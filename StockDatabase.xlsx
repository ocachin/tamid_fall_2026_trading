
<file path=[Content_Types].xml><?xml version="1.0" encoding="utf-8"?>
<Types xmlns="http://schemas.openxmlformats.org/package/2006/content-types"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volatileDependencies.xml" ContentType="application/vnd.openxmlformats-officedocument.spreadsheetml.volatileDependenc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oscar/Desktop/TAMID Fall 2026/"/>
    </mc:Choice>
  </mc:AlternateContent>
  <xr:revisionPtr revIDLastSave="0" documentId="13_ncr:1_{9C3FC3A4-B487-3344-83BA-132003EFB14B}" xr6:coauthVersionLast="47" xr6:coauthVersionMax="47" xr10:uidLastSave="{00000000-0000-0000-0000-000000000000}"/>
  <bookViews>
    <workbookView xWindow="14660" yWindow="920" windowWidth="15440" windowHeight="17660" xr2:uid="{CF23D8A9-997B-4792-9DFA-A755924013DC}"/>
  </bookViews>
  <sheets>
    <sheet name="Data" sheetId="6" r:id="rId1"/>
    <sheet name="VIX" sheetId="5" r:id="rId2"/>
    <sheet name="Target_PX" sheetId="9" r:id="rId3"/>
    <sheet name="ORCL_DAILY_2026-09-14" sheetId="16" r:id="rId4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9" l="1" a="1"/>
  <c r="H2" i="5" a="1"/>
  <c r="F2" i="9" l="1"/>
  <c r="O4" i="5"/>
  <c r="O3" i="6"/>
  <c r="O2" i="6" s="1"/>
  <c r="A1" i="6" a="1"/>
  <c r="A1" i="6" l="1"/>
  <c r="V2" i="6"/>
  <c r="S14" i="6" l="1"/>
  <c r="S7" i="6" a="1"/>
  <c r="S11" i="6" a="1"/>
  <c r="S12" i="6"/>
  <c r="S9" i="6" a="1"/>
  <c r="S13" i="6" a="1"/>
  <c r="S8" i="6"/>
  <c r="S10" i="6"/>
  <c r="O2" i="5"/>
  <c r="L2" i="9" l="1"/>
  <c r="G2" i="9" s="1"/>
  <c r="L5" i="9" l="1"/>
  <c r="L4" i="9" s="1"/>
  <c r="A2" i="9" s="1" a="1"/>
  <c r="O3" i="5"/>
  <c r="A2" i="9" l="1"/>
  <c r="H2" i="5"/>
  <c r="S13" i="6"/>
  <c r="S11" i="6"/>
  <c r="S9" i="6"/>
  <c r="S7" i="6"/>
  <c r="A1" i="5" a="1"/>
  <c r="A1" i="5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2B21CC-0B71-4F10-9AE7-AF0147C1C587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  <connection id="2" xr16:uid="{A9545748-865A-4BAA-A8DC-81F2D0D345CF}" keepAlive="1" name="Query - Table 2" description="Connection to the 'Table 2' query in the workbook." type="5" refreshedVersion="8" background="1" saveData="1">
    <dbPr connection="Provider=Microsoft.Mashup.OleDb.1;Data Source=$Workbook$;Location=&quot;Table 2&quot;;Extended Properties=&quot;&quot;" command="SELECT * FROM [Table 2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854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7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89"/>
        </ext>
      </extLst>
    </bk>
    <bk>
      <extLst>
        <ext uri="{3e2802c4-a4d2-4d8b-9148-e3be6c30e623}">
          <xlrd:rvb i="790"/>
        </ext>
      </extLst>
    </bk>
    <bk>
      <extLst>
        <ext uri="{3e2802c4-a4d2-4d8b-9148-e3be6c30e623}">
          <xlrd:rvb i="791"/>
        </ext>
      </extLst>
    </bk>
    <bk>
      <extLst>
        <ext uri="{3e2802c4-a4d2-4d8b-9148-e3be6c30e623}">
          <xlrd:rvb i="792"/>
        </ext>
      </extLst>
    </bk>
    <bk>
      <extLst>
        <ext uri="{3e2802c4-a4d2-4d8b-9148-e3be6c30e623}">
          <xlrd:rvb i="793"/>
        </ext>
      </extLst>
    </bk>
    <bk>
      <extLst>
        <ext uri="{3e2802c4-a4d2-4d8b-9148-e3be6c30e623}">
          <xlrd:rvb i="794"/>
        </ext>
      </extLst>
    </bk>
    <bk>
      <extLst>
        <ext uri="{3e2802c4-a4d2-4d8b-9148-e3be6c30e623}">
          <xlrd:rvb i="795"/>
        </ext>
      </extLst>
    </bk>
    <bk>
      <extLst>
        <ext uri="{3e2802c4-a4d2-4d8b-9148-e3be6c30e623}">
          <xlrd:rvb i="796"/>
        </ext>
      </extLst>
    </bk>
    <bk>
      <extLst>
        <ext uri="{3e2802c4-a4d2-4d8b-9148-e3be6c30e623}">
          <xlrd:rvb i="797"/>
        </ext>
      </extLst>
    </bk>
    <bk>
      <extLst>
        <ext uri="{3e2802c4-a4d2-4d8b-9148-e3be6c30e623}">
          <xlrd:rvb i="798"/>
        </ext>
      </extLst>
    </bk>
    <bk>
      <extLst>
        <ext uri="{3e2802c4-a4d2-4d8b-9148-e3be6c30e623}">
          <xlrd:rvb i="799"/>
        </ext>
      </extLst>
    </bk>
    <bk>
      <extLst>
        <ext uri="{3e2802c4-a4d2-4d8b-9148-e3be6c30e623}">
          <xlrd:rvb i="800"/>
        </ext>
      </extLst>
    </bk>
    <bk>
      <extLst>
        <ext uri="{3e2802c4-a4d2-4d8b-9148-e3be6c30e623}">
          <xlrd:rvb i="801"/>
        </ext>
      </extLst>
    </bk>
    <bk>
      <extLst>
        <ext uri="{3e2802c4-a4d2-4d8b-9148-e3be6c30e623}">
          <xlrd:rvb i="802"/>
        </ext>
      </extLst>
    </bk>
    <bk>
      <extLst>
        <ext uri="{3e2802c4-a4d2-4d8b-9148-e3be6c30e623}">
          <xlrd:rvb i="803"/>
        </ext>
      </extLst>
    </bk>
    <bk>
      <extLst>
        <ext uri="{3e2802c4-a4d2-4d8b-9148-e3be6c30e623}">
          <xlrd:rvb i="804"/>
        </ext>
      </extLst>
    </bk>
    <bk>
      <extLst>
        <ext uri="{3e2802c4-a4d2-4d8b-9148-e3be6c30e623}">
          <xlrd:rvb i="805"/>
        </ext>
      </extLst>
    </bk>
    <bk>
      <extLst>
        <ext uri="{3e2802c4-a4d2-4d8b-9148-e3be6c30e623}">
          <xlrd:rvb i="806"/>
        </ext>
      </extLst>
    </bk>
    <bk>
      <extLst>
        <ext uri="{3e2802c4-a4d2-4d8b-9148-e3be6c30e623}">
          <xlrd:rvb i="807"/>
        </ext>
      </extLst>
    </bk>
    <bk>
      <extLst>
        <ext uri="{3e2802c4-a4d2-4d8b-9148-e3be6c30e623}">
          <xlrd:rvb i="808"/>
        </ext>
      </extLst>
    </bk>
    <bk>
      <extLst>
        <ext uri="{3e2802c4-a4d2-4d8b-9148-e3be6c30e623}">
          <xlrd:rvb i="809"/>
        </ext>
      </extLst>
    </bk>
    <bk>
      <extLst>
        <ext uri="{3e2802c4-a4d2-4d8b-9148-e3be6c30e623}">
          <xlrd:rvb i="810"/>
        </ext>
      </extLst>
    </bk>
    <bk>
      <extLst>
        <ext uri="{3e2802c4-a4d2-4d8b-9148-e3be6c30e623}">
          <xlrd:rvb i="811"/>
        </ext>
      </extLst>
    </bk>
    <bk>
      <extLst>
        <ext uri="{3e2802c4-a4d2-4d8b-9148-e3be6c30e623}">
          <xlrd:rvb i="812"/>
        </ext>
      </extLst>
    </bk>
    <bk>
      <extLst>
        <ext uri="{3e2802c4-a4d2-4d8b-9148-e3be6c30e623}">
          <xlrd:rvb i="813"/>
        </ext>
      </extLst>
    </bk>
    <bk>
      <extLst>
        <ext uri="{3e2802c4-a4d2-4d8b-9148-e3be6c30e623}">
          <xlrd:rvb i="814"/>
        </ext>
      </extLst>
    </bk>
    <bk>
      <extLst>
        <ext uri="{3e2802c4-a4d2-4d8b-9148-e3be6c30e623}">
          <xlrd:rvb i="815"/>
        </ext>
      </extLst>
    </bk>
    <bk>
      <extLst>
        <ext uri="{3e2802c4-a4d2-4d8b-9148-e3be6c30e623}">
          <xlrd:rvb i="816"/>
        </ext>
      </extLst>
    </bk>
    <bk>
      <extLst>
        <ext uri="{3e2802c4-a4d2-4d8b-9148-e3be6c30e623}">
          <xlrd:rvb i="817"/>
        </ext>
      </extLst>
    </bk>
    <bk>
      <extLst>
        <ext uri="{3e2802c4-a4d2-4d8b-9148-e3be6c30e623}">
          <xlrd:rvb i="818"/>
        </ext>
      </extLst>
    </bk>
    <bk>
      <extLst>
        <ext uri="{3e2802c4-a4d2-4d8b-9148-e3be6c30e623}">
          <xlrd:rvb i="819"/>
        </ext>
      </extLst>
    </bk>
    <bk>
      <extLst>
        <ext uri="{3e2802c4-a4d2-4d8b-9148-e3be6c30e623}">
          <xlrd:rvb i="820"/>
        </ext>
      </extLst>
    </bk>
    <bk>
      <extLst>
        <ext uri="{3e2802c4-a4d2-4d8b-9148-e3be6c30e623}">
          <xlrd:rvb i="821"/>
        </ext>
      </extLst>
    </bk>
    <bk>
      <extLst>
        <ext uri="{3e2802c4-a4d2-4d8b-9148-e3be6c30e623}">
          <xlrd:rvb i="822"/>
        </ext>
      </extLst>
    </bk>
    <bk>
      <extLst>
        <ext uri="{3e2802c4-a4d2-4d8b-9148-e3be6c30e623}">
          <xlrd:rvb i="823"/>
        </ext>
      </extLst>
    </bk>
    <bk>
      <extLst>
        <ext uri="{3e2802c4-a4d2-4d8b-9148-e3be6c30e623}">
          <xlrd:rvb i="824"/>
        </ext>
      </extLst>
    </bk>
    <bk>
      <extLst>
        <ext uri="{3e2802c4-a4d2-4d8b-9148-e3be6c30e623}">
          <xlrd:rvb i="825"/>
        </ext>
      </extLst>
    </bk>
    <bk>
      <extLst>
        <ext uri="{3e2802c4-a4d2-4d8b-9148-e3be6c30e623}">
          <xlrd:rvb i="826"/>
        </ext>
      </extLst>
    </bk>
    <bk>
      <extLst>
        <ext uri="{3e2802c4-a4d2-4d8b-9148-e3be6c30e623}">
          <xlrd:rvb i="827"/>
        </ext>
      </extLst>
    </bk>
    <bk>
      <extLst>
        <ext uri="{3e2802c4-a4d2-4d8b-9148-e3be6c30e623}">
          <xlrd:rvb i="828"/>
        </ext>
      </extLst>
    </bk>
    <bk>
      <extLst>
        <ext uri="{3e2802c4-a4d2-4d8b-9148-e3be6c30e623}">
          <xlrd:rvb i="829"/>
        </ext>
      </extLst>
    </bk>
    <bk>
      <extLst>
        <ext uri="{3e2802c4-a4d2-4d8b-9148-e3be6c30e623}">
          <xlrd:rvb i="830"/>
        </ext>
      </extLst>
    </bk>
    <bk>
      <extLst>
        <ext uri="{3e2802c4-a4d2-4d8b-9148-e3be6c30e623}">
          <xlrd:rvb i="831"/>
        </ext>
      </extLst>
    </bk>
    <bk>
      <extLst>
        <ext uri="{3e2802c4-a4d2-4d8b-9148-e3be6c30e623}">
          <xlrd:rvb i="832"/>
        </ext>
      </extLst>
    </bk>
    <bk>
      <extLst>
        <ext uri="{3e2802c4-a4d2-4d8b-9148-e3be6c30e623}">
          <xlrd:rvb i="833"/>
        </ext>
      </extLst>
    </bk>
    <bk>
      <extLst>
        <ext uri="{3e2802c4-a4d2-4d8b-9148-e3be6c30e623}">
          <xlrd:rvb i="834"/>
        </ext>
      </extLst>
    </bk>
    <bk>
      <extLst>
        <ext uri="{3e2802c4-a4d2-4d8b-9148-e3be6c30e623}">
          <xlrd:rvb i="835"/>
        </ext>
      </extLst>
    </bk>
    <bk>
      <extLst>
        <ext uri="{3e2802c4-a4d2-4d8b-9148-e3be6c30e623}">
          <xlrd:rvb i="836"/>
        </ext>
      </extLst>
    </bk>
    <bk>
      <extLst>
        <ext uri="{3e2802c4-a4d2-4d8b-9148-e3be6c30e623}">
          <xlrd:rvb i="837"/>
        </ext>
      </extLst>
    </bk>
    <bk>
      <extLst>
        <ext uri="{3e2802c4-a4d2-4d8b-9148-e3be6c30e623}">
          <xlrd:rvb i="838"/>
        </ext>
      </extLst>
    </bk>
    <bk>
      <extLst>
        <ext uri="{3e2802c4-a4d2-4d8b-9148-e3be6c30e623}">
          <xlrd:rvb i="839"/>
        </ext>
      </extLst>
    </bk>
    <bk>
      <extLst>
        <ext uri="{3e2802c4-a4d2-4d8b-9148-e3be6c30e623}">
          <xlrd:rvb i="840"/>
        </ext>
      </extLst>
    </bk>
    <bk>
      <extLst>
        <ext uri="{3e2802c4-a4d2-4d8b-9148-e3be6c30e623}">
          <xlrd:rvb i="841"/>
        </ext>
      </extLst>
    </bk>
    <bk>
      <extLst>
        <ext uri="{3e2802c4-a4d2-4d8b-9148-e3be6c30e623}">
          <xlrd:rvb i="842"/>
        </ext>
      </extLst>
    </bk>
    <bk>
      <extLst>
        <ext uri="{3e2802c4-a4d2-4d8b-9148-e3be6c30e623}">
          <xlrd:rvb i="843"/>
        </ext>
      </extLst>
    </bk>
    <bk>
      <extLst>
        <ext uri="{3e2802c4-a4d2-4d8b-9148-e3be6c30e623}">
          <xlrd:rvb i="844"/>
        </ext>
      </extLst>
    </bk>
    <bk>
      <extLst>
        <ext uri="{3e2802c4-a4d2-4d8b-9148-e3be6c30e623}">
          <xlrd:rvb i="845"/>
        </ext>
      </extLst>
    </bk>
    <bk>
      <extLst>
        <ext uri="{3e2802c4-a4d2-4d8b-9148-e3be6c30e623}">
          <xlrd:rvb i="846"/>
        </ext>
      </extLst>
    </bk>
    <bk>
      <extLst>
        <ext uri="{3e2802c4-a4d2-4d8b-9148-e3be6c30e623}">
          <xlrd:rvb i="847"/>
        </ext>
      </extLst>
    </bk>
    <bk>
      <extLst>
        <ext uri="{3e2802c4-a4d2-4d8b-9148-e3be6c30e623}">
          <xlrd:rvb i="848"/>
        </ext>
      </extLst>
    </bk>
    <bk>
      <extLst>
        <ext uri="{3e2802c4-a4d2-4d8b-9148-e3be6c30e623}">
          <xlrd:rvb i="849"/>
        </ext>
      </extLst>
    </bk>
    <bk>
      <extLst>
        <ext uri="{3e2802c4-a4d2-4d8b-9148-e3be6c30e623}">
          <xlrd:rvb i="850"/>
        </ext>
      </extLst>
    </bk>
    <bk>
      <extLst>
        <ext uri="{3e2802c4-a4d2-4d8b-9148-e3be6c30e623}">
          <xlrd:rvb i="851"/>
        </ext>
      </extLst>
    </bk>
    <bk>
      <extLst>
        <ext uri="{3e2802c4-a4d2-4d8b-9148-e3be6c30e623}">
          <xlrd:rvb i="852"/>
        </ext>
      </extLst>
    </bk>
    <bk>
      <extLst>
        <ext uri="{3e2802c4-a4d2-4d8b-9148-e3be6c30e623}">
          <xlrd:rvb i="853"/>
        </ext>
      </extLst>
    </bk>
    <bk>
      <extLst>
        <ext uri="{3e2802c4-a4d2-4d8b-9148-e3be6c30e623}">
          <xlrd:rvb i="854"/>
        </ext>
      </extLst>
    </bk>
    <bk>
      <extLst>
        <ext uri="{3e2802c4-a4d2-4d8b-9148-e3be6c30e623}">
          <xlrd:rvb i="855"/>
        </ext>
      </extLst>
    </bk>
    <bk>
      <extLst>
        <ext uri="{3e2802c4-a4d2-4d8b-9148-e3be6c30e623}">
          <xlrd:rvb i="856"/>
        </ext>
      </extLst>
    </bk>
    <bk>
      <extLst>
        <ext uri="{3e2802c4-a4d2-4d8b-9148-e3be6c30e623}">
          <xlrd:rvb i="857"/>
        </ext>
      </extLst>
    </bk>
    <bk>
      <extLst>
        <ext uri="{3e2802c4-a4d2-4d8b-9148-e3be6c30e623}">
          <xlrd:rvb i="858"/>
        </ext>
      </extLst>
    </bk>
    <bk>
      <extLst>
        <ext uri="{3e2802c4-a4d2-4d8b-9148-e3be6c30e623}">
          <xlrd:rvb i="859"/>
        </ext>
      </extLst>
    </bk>
    <bk>
      <extLst>
        <ext uri="{3e2802c4-a4d2-4d8b-9148-e3be6c30e623}">
          <xlrd:rvb i="860"/>
        </ext>
      </extLst>
    </bk>
    <bk>
      <extLst>
        <ext uri="{3e2802c4-a4d2-4d8b-9148-e3be6c30e623}">
          <xlrd:rvb i="861"/>
        </ext>
      </extLst>
    </bk>
    <bk>
      <extLst>
        <ext uri="{3e2802c4-a4d2-4d8b-9148-e3be6c30e623}">
          <xlrd:rvb i="862"/>
        </ext>
      </extLst>
    </bk>
    <bk>
      <extLst>
        <ext uri="{3e2802c4-a4d2-4d8b-9148-e3be6c30e623}">
          <xlrd:rvb i="863"/>
        </ext>
      </extLst>
    </bk>
    <bk>
      <extLst>
        <ext uri="{3e2802c4-a4d2-4d8b-9148-e3be6c30e623}">
          <xlrd:rvb i="864"/>
        </ext>
      </extLst>
    </bk>
    <bk>
      <extLst>
        <ext uri="{3e2802c4-a4d2-4d8b-9148-e3be6c30e623}">
          <xlrd:rvb i="865"/>
        </ext>
      </extLst>
    </bk>
    <bk>
      <extLst>
        <ext uri="{3e2802c4-a4d2-4d8b-9148-e3be6c30e623}">
          <xlrd:rvb i="866"/>
        </ext>
      </extLst>
    </bk>
    <bk>
      <extLst>
        <ext uri="{3e2802c4-a4d2-4d8b-9148-e3be6c30e623}">
          <xlrd:rvb i="867"/>
        </ext>
      </extLst>
    </bk>
    <bk>
      <extLst>
        <ext uri="{3e2802c4-a4d2-4d8b-9148-e3be6c30e623}">
          <xlrd:rvb i="868"/>
        </ext>
      </extLst>
    </bk>
    <bk>
      <extLst>
        <ext uri="{3e2802c4-a4d2-4d8b-9148-e3be6c30e623}">
          <xlrd:rvb i="869"/>
        </ext>
      </extLst>
    </bk>
    <bk>
      <extLst>
        <ext uri="{3e2802c4-a4d2-4d8b-9148-e3be6c30e623}">
          <xlrd:rvb i="870"/>
        </ext>
      </extLst>
    </bk>
    <bk>
      <extLst>
        <ext uri="{3e2802c4-a4d2-4d8b-9148-e3be6c30e623}">
          <xlrd:rvb i="871"/>
        </ext>
      </extLst>
    </bk>
    <bk>
      <extLst>
        <ext uri="{3e2802c4-a4d2-4d8b-9148-e3be6c30e623}">
          <xlrd:rvb i="872"/>
        </ext>
      </extLst>
    </bk>
    <bk>
      <extLst>
        <ext uri="{3e2802c4-a4d2-4d8b-9148-e3be6c30e623}">
          <xlrd:rvb i="873"/>
        </ext>
      </extLst>
    </bk>
    <bk>
      <extLst>
        <ext uri="{3e2802c4-a4d2-4d8b-9148-e3be6c30e623}">
          <xlrd:rvb i="874"/>
        </ext>
      </extLst>
    </bk>
    <bk>
      <extLst>
        <ext uri="{3e2802c4-a4d2-4d8b-9148-e3be6c30e623}">
          <xlrd:rvb i="875"/>
        </ext>
      </extLst>
    </bk>
    <bk>
      <extLst>
        <ext uri="{3e2802c4-a4d2-4d8b-9148-e3be6c30e623}">
          <xlrd:rvb i="876"/>
        </ext>
      </extLst>
    </bk>
    <bk>
      <extLst>
        <ext uri="{3e2802c4-a4d2-4d8b-9148-e3be6c30e623}">
          <xlrd:rvb i="877"/>
        </ext>
      </extLst>
    </bk>
    <bk>
      <extLst>
        <ext uri="{3e2802c4-a4d2-4d8b-9148-e3be6c30e623}">
          <xlrd:rvb i="878"/>
        </ext>
      </extLst>
    </bk>
    <bk>
      <extLst>
        <ext uri="{3e2802c4-a4d2-4d8b-9148-e3be6c30e623}">
          <xlrd:rvb i="879"/>
        </ext>
      </extLst>
    </bk>
    <bk>
      <extLst>
        <ext uri="{3e2802c4-a4d2-4d8b-9148-e3be6c30e623}">
          <xlrd:rvb i="880"/>
        </ext>
      </extLst>
    </bk>
    <bk>
      <extLst>
        <ext uri="{3e2802c4-a4d2-4d8b-9148-e3be6c30e623}">
          <xlrd:rvb i="881"/>
        </ext>
      </extLst>
    </bk>
    <bk>
      <extLst>
        <ext uri="{3e2802c4-a4d2-4d8b-9148-e3be6c30e623}">
          <xlrd:rvb i="882"/>
        </ext>
      </extLst>
    </bk>
    <bk>
      <extLst>
        <ext uri="{3e2802c4-a4d2-4d8b-9148-e3be6c30e623}">
          <xlrd:rvb i="883"/>
        </ext>
      </extLst>
    </bk>
    <bk>
      <extLst>
        <ext uri="{3e2802c4-a4d2-4d8b-9148-e3be6c30e623}">
          <xlrd:rvb i="884"/>
        </ext>
      </extLst>
    </bk>
    <bk>
      <extLst>
        <ext uri="{3e2802c4-a4d2-4d8b-9148-e3be6c30e623}">
          <xlrd:rvb i="885"/>
        </ext>
      </extLst>
    </bk>
    <bk>
      <extLst>
        <ext uri="{3e2802c4-a4d2-4d8b-9148-e3be6c30e623}">
          <xlrd:rvb i="886"/>
        </ext>
      </extLst>
    </bk>
    <bk>
      <extLst>
        <ext uri="{3e2802c4-a4d2-4d8b-9148-e3be6c30e623}">
          <xlrd:rvb i="887"/>
        </ext>
      </extLst>
    </bk>
    <bk>
      <extLst>
        <ext uri="{3e2802c4-a4d2-4d8b-9148-e3be6c30e623}">
          <xlrd:rvb i="888"/>
        </ext>
      </extLst>
    </bk>
    <bk>
      <extLst>
        <ext uri="{3e2802c4-a4d2-4d8b-9148-e3be6c30e623}">
          <xlrd:rvb i="889"/>
        </ext>
      </extLst>
    </bk>
    <bk>
      <extLst>
        <ext uri="{3e2802c4-a4d2-4d8b-9148-e3be6c30e623}">
          <xlrd:rvb i="890"/>
        </ext>
      </extLst>
    </bk>
    <bk>
      <extLst>
        <ext uri="{3e2802c4-a4d2-4d8b-9148-e3be6c30e623}">
          <xlrd:rvb i="891"/>
        </ext>
      </extLst>
    </bk>
    <bk>
      <extLst>
        <ext uri="{3e2802c4-a4d2-4d8b-9148-e3be6c30e623}">
          <xlrd:rvb i="892"/>
        </ext>
      </extLst>
    </bk>
    <bk>
      <extLst>
        <ext uri="{3e2802c4-a4d2-4d8b-9148-e3be6c30e623}">
          <xlrd:rvb i="893"/>
        </ext>
      </extLst>
    </bk>
    <bk>
      <extLst>
        <ext uri="{3e2802c4-a4d2-4d8b-9148-e3be6c30e623}">
          <xlrd:rvb i="894"/>
        </ext>
      </extLst>
    </bk>
    <bk>
      <extLst>
        <ext uri="{3e2802c4-a4d2-4d8b-9148-e3be6c30e623}">
          <xlrd:rvb i="895"/>
        </ext>
      </extLst>
    </bk>
    <bk>
      <extLst>
        <ext uri="{3e2802c4-a4d2-4d8b-9148-e3be6c30e623}">
          <xlrd:rvb i="896"/>
        </ext>
      </extLst>
    </bk>
    <bk>
      <extLst>
        <ext uri="{3e2802c4-a4d2-4d8b-9148-e3be6c30e623}">
          <xlrd:rvb i="897"/>
        </ext>
      </extLst>
    </bk>
    <bk>
      <extLst>
        <ext uri="{3e2802c4-a4d2-4d8b-9148-e3be6c30e623}">
          <xlrd:rvb i="898"/>
        </ext>
      </extLst>
    </bk>
    <bk>
      <extLst>
        <ext uri="{3e2802c4-a4d2-4d8b-9148-e3be6c30e623}">
          <xlrd:rvb i="899"/>
        </ext>
      </extLst>
    </bk>
    <bk>
      <extLst>
        <ext uri="{3e2802c4-a4d2-4d8b-9148-e3be6c30e623}">
          <xlrd:rvb i="900"/>
        </ext>
      </extLst>
    </bk>
    <bk>
      <extLst>
        <ext uri="{3e2802c4-a4d2-4d8b-9148-e3be6c30e623}">
          <xlrd:rvb i="901"/>
        </ext>
      </extLst>
    </bk>
    <bk>
      <extLst>
        <ext uri="{3e2802c4-a4d2-4d8b-9148-e3be6c30e623}">
          <xlrd:rvb i="902"/>
        </ext>
      </extLst>
    </bk>
    <bk>
      <extLst>
        <ext uri="{3e2802c4-a4d2-4d8b-9148-e3be6c30e623}">
          <xlrd:rvb i="903"/>
        </ext>
      </extLst>
    </bk>
    <bk>
      <extLst>
        <ext uri="{3e2802c4-a4d2-4d8b-9148-e3be6c30e623}">
          <xlrd:rvb i="904"/>
        </ext>
      </extLst>
    </bk>
    <bk>
      <extLst>
        <ext uri="{3e2802c4-a4d2-4d8b-9148-e3be6c30e623}">
          <xlrd:rvb i="905"/>
        </ext>
      </extLst>
    </bk>
    <bk>
      <extLst>
        <ext uri="{3e2802c4-a4d2-4d8b-9148-e3be6c30e623}">
          <xlrd:rvb i="906"/>
        </ext>
      </extLst>
    </bk>
    <bk>
      <extLst>
        <ext uri="{3e2802c4-a4d2-4d8b-9148-e3be6c30e623}">
          <xlrd:rvb i="907"/>
        </ext>
      </extLst>
    </bk>
    <bk>
      <extLst>
        <ext uri="{3e2802c4-a4d2-4d8b-9148-e3be6c30e623}">
          <xlrd:rvb i="908"/>
        </ext>
      </extLst>
    </bk>
    <bk>
      <extLst>
        <ext uri="{3e2802c4-a4d2-4d8b-9148-e3be6c30e623}">
          <xlrd:rvb i="909"/>
        </ext>
      </extLst>
    </bk>
    <bk>
      <extLst>
        <ext uri="{3e2802c4-a4d2-4d8b-9148-e3be6c30e623}">
          <xlrd:rvb i="910"/>
        </ext>
      </extLst>
    </bk>
    <bk>
      <extLst>
        <ext uri="{3e2802c4-a4d2-4d8b-9148-e3be6c30e623}">
          <xlrd:rvb i="911"/>
        </ext>
      </extLst>
    </bk>
    <bk>
      <extLst>
        <ext uri="{3e2802c4-a4d2-4d8b-9148-e3be6c30e623}">
          <xlrd:rvb i="912"/>
        </ext>
      </extLst>
    </bk>
    <bk>
      <extLst>
        <ext uri="{3e2802c4-a4d2-4d8b-9148-e3be6c30e623}">
          <xlrd:rvb i="913"/>
        </ext>
      </extLst>
    </bk>
    <bk>
      <extLst>
        <ext uri="{3e2802c4-a4d2-4d8b-9148-e3be6c30e623}">
          <xlrd:rvb i="914"/>
        </ext>
      </extLst>
    </bk>
    <bk>
      <extLst>
        <ext uri="{3e2802c4-a4d2-4d8b-9148-e3be6c30e623}">
          <xlrd:rvb i="915"/>
        </ext>
      </extLst>
    </bk>
    <bk>
      <extLst>
        <ext uri="{3e2802c4-a4d2-4d8b-9148-e3be6c30e623}">
          <xlrd:rvb i="916"/>
        </ext>
      </extLst>
    </bk>
    <bk>
      <extLst>
        <ext uri="{3e2802c4-a4d2-4d8b-9148-e3be6c30e623}">
          <xlrd:rvb i="917"/>
        </ext>
      </extLst>
    </bk>
    <bk>
      <extLst>
        <ext uri="{3e2802c4-a4d2-4d8b-9148-e3be6c30e623}">
          <xlrd:rvb i="918"/>
        </ext>
      </extLst>
    </bk>
    <bk>
      <extLst>
        <ext uri="{3e2802c4-a4d2-4d8b-9148-e3be6c30e623}">
          <xlrd:rvb i="919"/>
        </ext>
      </extLst>
    </bk>
    <bk>
      <extLst>
        <ext uri="{3e2802c4-a4d2-4d8b-9148-e3be6c30e623}">
          <xlrd:rvb i="920"/>
        </ext>
      </extLst>
    </bk>
    <bk>
      <extLst>
        <ext uri="{3e2802c4-a4d2-4d8b-9148-e3be6c30e623}">
          <xlrd:rvb i="921"/>
        </ext>
      </extLst>
    </bk>
    <bk>
      <extLst>
        <ext uri="{3e2802c4-a4d2-4d8b-9148-e3be6c30e623}">
          <xlrd:rvb i="922"/>
        </ext>
      </extLst>
    </bk>
    <bk>
      <extLst>
        <ext uri="{3e2802c4-a4d2-4d8b-9148-e3be6c30e623}">
          <xlrd:rvb i="923"/>
        </ext>
      </extLst>
    </bk>
    <bk>
      <extLst>
        <ext uri="{3e2802c4-a4d2-4d8b-9148-e3be6c30e623}">
          <xlrd:rvb i="924"/>
        </ext>
      </extLst>
    </bk>
    <bk>
      <extLst>
        <ext uri="{3e2802c4-a4d2-4d8b-9148-e3be6c30e623}">
          <xlrd:rvb i="925"/>
        </ext>
      </extLst>
    </bk>
    <bk>
      <extLst>
        <ext uri="{3e2802c4-a4d2-4d8b-9148-e3be6c30e623}">
          <xlrd:rvb i="926"/>
        </ext>
      </extLst>
    </bk>
    <bk>
      <extLst>
        <ext uri="{3e2802c4-a4d2-4d8b-9148-e3be6c30e623}">
          <xlrd:rvb i="927"/>
        </ext>
      </extLst>
    </bk>
    <bk>
      <extLst>
        <ext uri="{3e2802c4-a4d2-4d8b-9148-e3be6c30e623}">
          <xlrd:rvb i="928"/>
        </ext>
      </extLst>
    </bk>
    <bk>
      <extLst>
        <ext uri="{3e2802c4-a4d2-4d8b-9148-e3be6c30e623}">
          <xlrd:rvb i="929"/>
        </ext>
      </extLst>
    </bk>
    <bk>
      <extLst>
        <ext uri="{3e2802c4-a4d2-4d8b-9148-e3be6c30e623}">
          <xlrd:rvb i="930"/>
        </ext>
      </extLst>
    </bk>
    <bk>
      <extLst>
        <ext uri="{3e2802c4-a4d2-4d8b-9148-e3be6c30e623}">
          <xlrd:rvb i="931"/>
        </ext>
      </extLst>
    </bk>
    <bk>
      <extLst>
        <ext uri="{3e2802c4-a4d2-4d8b-9148-e3be6c30e623}">
          <xlrd:rvb i="932"/>
        </ext>
      </extLst>
    </bk>
    <bk>
      <extLst>
        <ext uri="{3e2802c4-a4d2-4d8b-9148-e3be6c30e623}">
          <xlrd:rvb i="933"/>
        </ext>
      </extLst>
    </bk>
    <bk>
      <extLst>
        <ext uri="{3e2802c4-a4d2-4d8b-9148-e3be6c30e623}">
          <xlrd:rvb i="934"/>
        </ext>
      </extLst>
    </bk>
    <bk>
      <extLst>
        <ext uri="{3e2802c4-a4d2-4d8b-9148-e3be6c30e623}">
          <xlrd:rvb i="935"/>
        </ext>
      </extLst>
    </bk>
    <bk>
      <extLst>
        <ext uri="{3e2802c4-a4d2-4d8b-9148-e3be6c30e623}">
          <xlrd:rvb i="936"/>
        </ext>
      </extLst>
    </bk>
    <bk>
      <extLst>
        <ext uri="{3e2802c4-a4d2-4d8b-9148-e3be6c30e623}">
          <xlrd:rvb i="937"/>
        </ext>
      </extLst>
    </bk>
    <bk>
      <extLst>
        <ext uri="{3e2802c4-a4d2-4d8b-9148-e3be6c30e623}">
          <xlrd:rvb i="938"/>
        </ext>
      </extLst>
    </bk>
    <bk>
      <extLst>
        <ext uri="{3e2802c4-a4d2-4d8b-9148-e3be6c30e623}">
          <xlrd:rvb i="939"/>
        </ext>
      </extLst>
    </bk>
    <bk>
      <extLst>
        <ext uri="{3e2802c4-a4d2-4d8b-9148-e3be6c30e623}">
          <xlrd:rvb i="940"/>
        </ext>
      </extLst>
    </bk>
    <bk>
      <extLst>
        <ext uri="{3e2802c4-a4d2-4d8b-9148-e3be6c30e623}">
          <xlrd:rvb i="941"/>
        </ext>
      </extLst>
    </bk>
    <bk>
      <extLst>
        <ext uri="{3e2802c4-a4d2-4d8b-9148-e3be6c30e623}">
          <xlrd:rvb i="942"/>
        </ext>
      </extLst>
    </bk>
    <bk>
      <extLst>
        <ext uri="{3e2802c4-a4d2-4d8b-9148-e3be6c30e623}">
          <xlrd:rvb i="943"/>
        </ext>
      </extLst>
    </bk>
    <bk>
      <extLst>
        <ext uri="{3e2802c4-a4d2-4d8b-9148-e3be6c30e623}">
          <xlrd:rvb i="944"/>
        </ext>
      </extLst>
    </bk>
    <bk>
      <extLst>
        <ext uri="{3e2802c4-a4d2-4d8b-9148-e3be6c30e623}">
          <xlrd:rvb i="945"/>
        </ext>
      </extLst>
    </bk>
    <bk>
      <extLst>
        <ext uri="{3e2802c4-a4d2-4d8b-9148-e3be6c30e623}">
          <xlrd:rvb i="946"/>
        </ext>
      </extLst>
    </bk>
    <bk>
      <extLst>
        <ext uri="{3e2802c4-a4d2-4d8b-9148-e3be6c30e623}">
          <xlrd:rvb i="947"/>
        </ext>
      </extLst>
    </bk>
    <bk>
      <extLst>
        <ext uri="{3e2802c4-a4d2-4d8b-9148-e3be6c30e623}">
          <xlrd:rvb i="948"/>
        </ext>
      </extLst>
    </bk>
    <bk>
      <extLst>
        <ext uri="{3e2802c4-a4d2-4d8b-9148-e3be6c30e623}">
          <xlrd:rvb i="949"/>
        </ext>
      </extLst>
    </bk>
    <bk>
      <extLst>
        <ext uri="{3e2802c4-a4d2-4d8b-9148-e3be6c30e623}">
          <xlrd:rvb i="950"/>
        </ext>
      </extLst>
    </bk>
    <bk>
      <extLst>
        <ext uri="{3e2802c4-a4d2-4d8b-9148-e3be6c30e623}">
          <xlrd:rvb i="951"/>
        </ext>
      </extLst>
    </bk>
    <bk>
      <extLst>
        <ext uri="{3e2802c4-a4d2-4d8b-9148-e3be6c30e623}">
          <xlrd:rvb i="952"/>
        </ext>
      </extLst>
    </bk>
    <bk>
      <extLst>
        <ext uri="{3e2802c4-a4d2-4d8b-9148-e3be6c30e623}">
          <xlrd:rvb i="953"/>
        </ext>
      </extLst>
    </bk>
    <bk>
      <extLst>
        <ext uri="{3e2802c4-a4d2-4d8b-9148-e3be6c30e623}">
          <xlrd:rvb i="954"/>
        </ext>
      </extLst>
    </bk>
    <bk>
      <extLst>
        <ext uri="{3e2802c4-a4d2-4d8b-9148-e3be6c30e623}">
          <xlrd:rvb i="955"/>
        </ext>
      </extLst>
    </bk>
    <bk>
      <extLst>
        <ext uri="{3e2802c4-a4d2-4d8b-9148-e3be6c30e623}">
          <xlrd:rvb i="956"/>
        </ext>
      </extLst>
    </bk>
    <bk>
      <extLst>
        <ext uri="{3e2802c4-a4d2-4d8b-9148-e3be6c30e623}">
          <xlrd:rvb i="957"/>
        </ext>
      </extLst>
    </bk>
    <bk>
      <extLst>
        <ext uri="{3e2802c4-a4d2-4d8b-9148-e3be6c30e623}">
          <xlrd:rvb i="958"/>
        </ext>
      </extLst>
    </bk>
    <bk>
      <extLst>
        <ext uri="{3e2802c4-a4d2-4d8b-9148-e3be6c30e623}">
          <xlrd:rvb i="959"/>
        </ext>
      </extLst>
    </bk>
    <bk>
      <extLst>
        <ext uri="{3e2802c4-a4d2-4d8b-9148-e3be6c30e623}">
          <xlrd:rvb i="960"/>
        </ext>
      </extLst>
    </bk>
    <bk>
      <extLst>
        <ext uri="{3e2802c4-a4d2-4d8b-9148-e3be6c30e623}">
          <xlrd:rvb i="961"/>
        </ext>
      </extLst>
    </bk>
    <bk>
      <extLst>
        <ext uri="{3e2802c4-a4d2-4d8b-9148-e3be6c30e623}">
          <xlrd:rvb i="962"/>
        </ext>
      </extLst>
    </bk>
    <bk>
      <extLst>
        <ext uri="{3e2802c4-a4d2-4d8b-9148-e3be6c30e623}">
          <xlrd:rvb i="963"/>
        </ext>
      </extLst>
    </bk>
    <bk>
      <extLst>
        <ext uri="{3e2802c4-a4d2-4d8b-9148-e3be6c30e623}">
          <xlrd:rvb i="964"/>
        </ext>
      </extLst>
    </bk>
    <bk>
      <extLst>
        <ext uri="{3e2802c4-a4d2-4d8b-9148-e3be6c30e623}">
          <xlrd:rvb i="965"/>
        </ext>
      </extLst>
    </bk>
    <bk>
      <extLst>
        <ext uri="{3e2802c4-a4d2-4d8b-9148-e3be6c30e623}">
          <xlrd:rvb i="966"/>
        </ext>
      </extLst>
    </bk>
    <bk>
      <extLst>
        <ext uri="{3e2802c4-a4d2-4d8b-9148-e3be6c30e623}">
          <xlrd:rvb i="967"/>
        </ext>
      </extLst>
    </bk>
    <bk>
      <extLst>
        <ext uri="{3e2802c4-a4d2-4d8b-9148-e3be6c30e623}">
          <xlrd:rvb i="968"/>
        </ext>
      </extLst>
    </bk>
    <bk>
      <extLst>
        <ext uri="{3e2802c4-a4d2-4d8b-9148-e3be6c30e623}">
          <xlrd:rvb i="969"/>
        </ext>
      </extLst>
    </bk>
    <bk>
      <extLst>
        <ext uri="{3e2802c4-a4d2-4d8b-9148-e3be6c30e623}">
          <xlrd:rvb i="970"/>
        </ext>
      </extLst>
    </bk>
    <bk>
      <extLst>
        <ext uri="{3e2802c4-a4d2-4d8b-9148-e3be6c30e623}">
          <xlrd:rvb i="971"/>
        </ext>
      </extLst>
    </bk>
    <bk>
      <extLst>
        <ext uri="{3e2802c4-a4d2-4d8b-9148-e3be6c30e623}">
          <xlrd:rvb i="972"/>
        </ext>
      </extLst>
    </bk>
    <bk>
      <extLst>
        <ext uri="{3e2802c4-a4d2-4d8b-9148-e3be6c30e623}">
          <xlrd:rvb i="973"/>
        </ext>
      </extLst>
    </bk>
    <bk>
      <extLst>
        <ext uri="{3e2802c4-a4d2-4d8b-9148-e3be6c30e623}">
          <xlrd:rvb i="974"/>
        </ext>
      </extLst>
    </bk>
    <bk>
      <extLst>
        <ext uri="{3e2802c4-a4d2-4d8b-9148-e3be6c30e623}">
          <xlrd:rvb i="975"/>
        </ext>
      </extLst>
    </bk>
    <bk>
      <extLst>
        <ext uri="{3e2802c4-a4d2-4d8b-9148-e3be6c30e623}">
          <xlrd:rvb i="976"/>
        </ext>
      </extLst>
    </bk>
    <bk>
      <extLst>
        <ext uri="{3e2802c4-a4d2-4d8b-9148-e3be6c30e623}">
          <xlrd:rvb i="977"/>
        </ext>
      </extLst>
    </bk>
    <bk>
      <extLst>
        <ext uri="{3e2802c4-a4d2-4d8b-9148-e3be6c30e623}">
          <xlrd:rvb i="978"/>
        </ext>
      </extLst>
    </bk>
    <bk>
      <extLst>
        <ext uri="{3e2802c4-a4d2-4d8b-9148-e3be6c30e623}">
          <xlrd:rvb i="979"/>
        </ext>
      </extLst>
    </bk>
    <bk>
      <extLst>
        <ext uri="{3e2802c4-a4d2-4d8b-9148-e3be6c30e623}">
          <xlrd:rvb i="980"/>
        </ext>
      </extLst>
    </bk>
    <bk>
      <extLst>
        <ext uri="{3e2802c4-a4d2-4d8b-9148-e3be6c30e623}">
          <xlrd:rvb i="981"/>
        </ext>
      </extLst>
    </bk>
    <bk>
      <extLst>
        <ext uri="{3e2802c4-a4d2-4d8b-9148-e3be6c30e623}">
          <xlrd:rvb i="982"/>
        </ext>
      </extLst>
    </bk>
    <bk>
      <extLst>
        <ext uri="{3e2802c4-a4d2-4d8b-9148-e3be6c30e623}">
          <xlrd:rvb i="983"/>
        </ext>
      </extLst>
    </bk>
    <bk>
      <extLst>
        <ext uri="{3e2802c4-a4d2-4d8b-9148-e3be6c30e623}">
          <xlrd:rvb i="984"/>
        </ext>
      </extLst>
    </bk>
    <bk>
      <extLst>
        <ext uri="{3e2802c4-a4d2-4d8b-9148-e3be6c30e623}">
          <xlrd:rvb i="985"/>
        </ext>
      </extLst>
    </bk>
    <bk>
      <extLst>
        <ext uri="{3e2802c4-a4d2-4d8b-9148-e3be6c30e623}">
          <xlrd:rvb i="986"/>
        </ext>
      </extLst>
    </bk>
    <bk>
      <extLst>
        <ext uri="{3e2802c4-a4d2-4d8b-9148-e3be6c30e623}">
          <xlrd:rvb i="987"/>
        </ext>
      </extLst>
    </bk>
    <bk>
      <extLst>
        <ext uri="{3e2802c4-a4d2-4d8b-9148-e3be6c30e623}">
          <xlrd:rvb i="988"/>
        </ext>
      </extLst>
    </bk>
    <bk>
      <extLst>
        <ext uri="{3e2802c4-a4d2-4d8b-9148-e3be6c30e623}">
          <xlrd:rvb i="989"/>
        </ext>
      </extLst>
    </bk>
    <bk>
      <extLst>
        <ext uri="{3e2802c4-a4d2-4d8b-9148-e3be6c30e623}">
          <xlrd:rvb i="990"/>
        </ext>
      </extLst>
    </bk>
    <bk>
      <extLst>
        <ext uri="{3e2802c4-a4d2-4d8b-9148-e3be6c30e623}">
          <xlrd:rvb i="991"/>
        </ext>
      </extLst>
    </bk>
    <bk>
      <extLst>
        <ext uri="{3e2802c4-a4d2-4d8b-9148-e3be6c30e623}">
          <xlrd:rvb i="992"/>
        </ext>
      </extLst>
    </bk>
    <bk>
      <extLst>
        <ext uri="{3e2802c4-a4d2-4d8b-9148-e3be6c30e623}">
          <xlrd:rvb i="993"/>
        </ext>
      </extLst>
    </bk>
    <bk>
      <extLst>
        <ext uri="{3e2802c4-a4d2-4d8b-9148-e3be6c30e623}">
          <xlrd:rvb i="994"/>
        </ext>
      </extLst>
    </bk>
    <bk>
      <extLst>
        <ext uri="{3e2802c4-a4d2-4d8b-9148-e3be6c30e623}">
          <xlrd:rvb i="995"/>
        </ext>
      </extLst>
    </bk>
    <bk>
      <extLst>
        <ext uri="{3e2802c4-a4d2-4d8b-9148-e3be6c30e623}">
          <xlrd:rvb i="996"/>
        </ext>
      </extLst>
    </bk>
    <bk>
      <extLst>
        <ext uri="{3e2802c4-a4d2-4d8b-9148-e3be6c30e623}">
          <xlrd:rvb i="997"/>
        </ext>
      </extLst>
    </bk>
    <bk>
      <extLst>
        <ext uri="{3e2802c4-a4d2-4d8b-9148-e3be6c30e623}">
          <xlrd:rvb i="998"/>
        </ext>
      </extLst>
    </bk>
    <bk>
      <extLst>
        <ext uri="{3e2802c4-a4d2-4d8b-9148-e3be6c30e623}">
          <xlrd:rvb i="999"/>
        </ext>
      </extLst>
    </bk>
    <bk>
      <extLst>
        <ext uri="{3e2802c4-a4d2-4d8b-9148-e3be6c30e623}">
          <xlrd:rvb i="1000"/>
        </ext>
      </extLst>
    </bk>
    <bk>
      <extLst>
        <ext uri="{3e2802c4-a4d2-4d8b-9148-e3be6c30e623}">
          <xlrd:rvb i="1001"/>
        </ext>
      </extLst>
    </bk>
    <bk>
      <extLst>
        <ext uri="{3e2802c4-a4d2-4d8b-9148-e3be6c30e623}">
          <xlrd:rvb i="1002"/>
        </ext>
      </extLst>
    </bk>
    <bk>
      <extLst>
        <ext uri="{3e2802c4-a4d2-4d8b-9148-e3be6c30e623}">
          <xlrd:rvb i="1003"/>
        </ext>
      </extLst>
    </bk>
    <bk>
      <extLst>
        <ext uri="{3e2802c4-a4d2-4d8b-9148-e3be6c30e623}">
          <xlrd:rvb i="1004"/>
        </ext>
      </extLst>
    </bk>
    <bk>
      <extLst>
        <ext uri="{3e2802c4-a4d2-4d8b-9148-e3be6c30e623}">
          <xlrd:rvb i="1005"/>
        </ext>
      </extLst>
    </bk>
    <bk>
      <extLst>
        <ext uri="{3e2802c4-a4d2-4d8b-9148-e3be6c30e623}">
          <xlrd:rvb i="1006"/>
        </ext>
      </extLst>
    </bk>
    <bk>
      <extLst>
        <ext uri="{3e2802c4-a4d2-4d8b-9148-e3be6c30e623}">
          <xlrd:rvb i="1007"/>
        </ext>
      </extLst>
    </bk>
    <bk>
      <extLst>
        <ext uri="{3e2802c4-a4d2-4d8b-9148-e3be6c30e623}">
          <xlrd:rvb i="1008"/>
        </ext>
      </extLst>
    </bk>
    <bk>
      <extLst>
        <ext uri="{3e2802c4-a4d2-4d8b-9148-e3be6c30e623}">
          <xlrd:rvb i="1009"/>
        </ext>
      </extLst>
    </bk>
    <bk>
      <extLst>
        <ext uri="{3e2802c4-a4d2-4d8b-9148-e3be6c30e623}">
          <xlrd:rvb i="1010"/>
        </ext>
      </extLst>
    </bk>
    <bk>
      <extLst>
        <ext uri="{3e2802c4-a4d2-4d8b-9148-e3be6c30e623}">
          <xlrd:rvb i="1011"/>
        </ext>
      </extLst>
    </bk>
    <bk>
      <extLst>
        <ext uri="{3e2802c4-a4d2-4d8b-9148-e3be6c30e623}">
          <xlrd:rvb i="1012"/>
        </ext>
      </extLst>
    </bk>
    <bk>
      <extLst>
        <ext uri="{3e2802c4-a4d2-4d8b-9148-e3be6c30e623}">
          <xlrd:rvb i="1013"/>
        </ext>
      </extLst>
    </bk>
    <bk>
      <extLst>
        <ext uri="{3e2802c4-a4d2-4d8b-9148-e3be6c30e623}">
          <xlrd:rvb i="1014"/>
        </ext>
      </extLst>
    </bk>
    <bk>
      <extLst>
        <ext uri="{3e2802c4-a4d2-4d8b-9148-e3be6c30e623}">
          <xlrd:rvb i="1015"/>
        </ext>
      </extLst>
    </bk>
    <bk>
      <extLst>
        <ext uri="{3e2802c4-a4d2-4d8b-9148-e3be6c30e623}">
          <xlrd:rvb i="1016"/>
        </ext>
      </extLst>
    </bk>
    <bk>
      <extLst>
        <ext uri="{3e2802c4-a4d2-4d8b-9148-e3be6c30e623}">
          <xlrd:rvb i="1017"/>
        </ext>
      </extLst>
    </bk>
    <bk>
      <extLst>
        <ext uri="{3e2802c4-a4d2-4d8b-9148-e3be6c30e623}">
          <xlrd:rvb i="1018"/>
        </ext>
      </extLst>
    </bk>
    <bk>
      <extLst>
        <ext uri="{3e2802c4-a4d2-4d8b-9148-e3be6c30e623}">
          <xlrd:rvb i="1019"/>
        </ext>
      </extLst>
    </bk>
    <bk>
      <extLst>
        <ext uri="{3e2802c4-a4d2-4d8b-9148-e3be6c30e623}">
          <xlrd:rvb i="1020"/>
        </ext>
      </extLst>
    </bk>
    <bk>
      <extLst>
        <ext uri="{3e2802c4-a4d2-4d8b-9148-e3be6c30e623}">
          <xlrd:rvb i="1021"/>
        </ext>
      </extLst>
    </bk>
    <bk>
      <extLst>
        <ext uri="{3e2802c4-a4d2-4d8b-9148-e3be6c30e623}">
          <xlrd:rvb i="1022"/>
        </ext>
      </extLst>
    </bk>
    <bk>
      <extLst>
        <ext uri="{3e2802c4-a4d2-4d8b-9148-e3be6c30e623}">
          <xlrd:rvb i="1023"/>
        </ext>
      </extLst>
    </bk>
    <bk>
      <extLst>
        <ext uri="{3e2802c4-a4d2-4d8b-9148-e3be6c30e623}">
          <xlrd:rvb i="1024"/>
        </ext>
      </extLst>
    </bk>
    <bk>
      <extLst>
        <ext uri="{3e2802c4-a4d2-4d8b-9148-e3be6c30e623}">
          <xlrd:rvb i="1025"/>
        </ext>
      </extLst>
    </bk>
    <bk>
      <extLst>
        <ext uri="{3e2802c4-a4d2-4d8b-9148-e3be6c30e623}">
          <xlrd:rvb i="1026"/>
        </ext>
      </extLst>
    </bk>
    <bk>
      <extLst>
        <ext uri="{3e2802c4-a4d2-4d8b-9148-e3be6c30e623}">
          <xlrd:rvb i="1027"/>
        </ext>
      </extLst>
    </bk>
    <bk>
      <extLst>
        <ext uri="{3e2802c4-a4d2-4d8b-9148-e3be6c30e623}">
          <xlrd:rvb i="1028"/>
        </ext>
      </extLst>
    </bk>
    <bk>
      <extLst>
        <ext uri="{3e2802c4-a4d2-4d8b-9148-e3be6c30e623}">
          <xlrd:rvb i="1029"/>
        </ext>
      </extLst>
    </bk>
    <bk>
      <extLst>
        <ext uri="{3e2802c4-a4d2-4d8b-9148-e3be6c30e623}">
          <xlrd:rvb i="1030"/>
        </ext>
      </extLst>
    </bk>
    <bk>
      <extLst>
        <ext uri="{3e2802c4-a4d2-4d8b-9148-e3be6c30e623}">
          <xlrd:rvb i="1031"/>
        </ext>
      </extLst>
    </bk>
    <bk>
      <extLst>
        <ext uri="{3e2802c4-a4d2-4d8b-9148-e3be6c30e623}">
          <xlrd:rvb i="1032"/>
        </ext>
      </extLst>
    </bk>
    <bk>
      <extLst>
        <ext uri="{3e2802c4-a4d2-4d8b-9148-e3be6c30e623}">
          <xlrd:rvb i="1033"/>
        </ext>
      </extLst>
    </bk>
    <bk>
      <extLst>
        <ext uri="{3e2802c4-a4d2-4d8b-9148-e3be6c30e623}">
          <xlrd:rvb i="1034"/>
        </ext>
      </extLst>
    </bk>
    <bk>
      <extLst>
        <ext uri="{3e2802c4-a4d2-4d8b-9148-e3be6c30e623}">
          <xlrd:rvb i="1035"/>
        </ext>
      </extLst>
    </bk>
    <bk>
      <extLst>
        <ext uri="{3e2802c4-a4d2-4d8b-9148-e3be6c30e623}">
          <xlrd:rvb i="1036"/>
        </ext>
      </extLst>
    </bk>
    <bk>
      <extLst>
        <ext uri="{3e2802c4-a4d2-4d8b-9148-e3be6c30e623}">
          <xlrd:rvb i="1037"/>
        </ext>
      </extLst>
    </bk>
    <bk>
      <extLst>
        <ext uri="{3e2802c4-a4d2-4d8b-9148-e3be6c30e623}">
          <xlrd:rvb i="1038"/>
        </ext>
      </extLst>
    </bk>
    <bk>
      <extLst>
        <ext uri="{3e2802c4-a4d2-4d8b-9148-e3be6c30e623}">
          <xlrd:rvb i="1039"/>
        </ext>
      </extLst>
    </bk>
    <bk>
      <extLst>
        <ext uri="{3e2802c4-a4d2-4d8b-9148-e3be6c30e623}">
          <xlrd:rvb i="1040"/>
        </ext>
      </extLst>
    </bk>
    <bk>
      <extLst>
        <ext uri="{3e2802c4-a4d2-4d8b-9148-e3be6c30e623}">
          <xlrd:rvb i="1041"/>
        </ext>
      </extLst>
    </bk>
    <bk>
      <extLst>
        <ext uri="{3e2802c4-a4d2-4d8b-9148-e3be6c30e623}">
          <xlrd:rvb i="1042"/>
        </ext>
      </extLst>
    </bk>
    <bk>
      <extLst>
        <ext uri="{3e2802c4-a4d2-4d8b-9148-e3be6c30e623}">
          <xlrd:rvb i="1043"/>
        </ext>
      </extLst>
    </bk>
    <bk>
      <extLst>
        <ext uri="{3e2802c4-a4d2-4d8b-9148-e3be6c30e623}">
          <xlrd:rvb i="1044"/>
        </ext>
      </extLst>
    </bk>
    <bk>
      <extLst>
        <ext uri="{3e2802c4-a4d2-4d8b-9148-e3be6c30e623}">
          <xlrd:rvb i="1045"/>
        </ext>
      </extLst>
    </bk>
    <bk>
      <extLst>
        <ext uri="{3e2802c4-a4d2-4d8b-9148-e3be6c30e623}">
          <xlrd:rvb i="1046"/>
        </ext>
      </extLst>
    </bk>
    <bk>
      <extLst>
        <ext uri="{3e2802c4-a4d2-4d8b-9148-e3be6c30e623}">
          <xlrd:rvb i="1047"/>
        </ext>
      </extLst>
    </bk>
    <bk>
      <extLst>
        <ext uri="{3e2802c4-a4d2-4d8b-9148-e3be6c30e623}">
          <xlrd:rvb i="1048"/>
        </ext>
      </extLst>
    </bk>
    <bk>
      <extLst>
        <ext uri="{3e2802c4-a4d2-4d8b-9148-e3be6c30e623}">
          <xlrd:rvb i="1049"/>
        </ext>
      </extLst>
    </bk>
    <bk>
      <extLst>
        <ext uri="{3e2802c4-a4d2-4d8b-9148-e3be6c30e623}">
          <xlrd:rvb i="1050"/>
        </ext>
      </extLst>
    </bk>
    <bk>
      <extLst>
        <ext uri="{3e2802c4-a4d2-4d8b-9148-e3be6c30e623}">
          <xlrd:rvb i="1051"/>
        </ext>
      </extLst>
    </bk>
    <bk>
      <extLst>
        <ext uri="{3e2802c4-a4d2-4d8b-9148-e3be6c30e623}">
          <xlrd:rvb i="1052"/>
        </ext>
      </extLst>
    </bk>
    <bk>
      <extLst>
        <ext uri="{3e2802c4-a4d2-4d8b-9148-e3be6c30e623}">
          <xlrd:rvb i="1053"/>
        </ext>
      </extLst>
    </bk>
    <bk>
      <extLst>
        <ext uri="{3e2802c4-a4d2-4d8b-9148-e3be6c30e623}">
          <xlrd:rvb i="1054"/>
        </ext>
      </extLst>
    </bk>
    <bk>
      <extLst>
        <ext uri="{3e2802c4-a4d2-4d8b-9148-e3be6c30e623}">
          <xlrd:rvb i="1055"/>
        </ext>
      </extLst>
    </bk>
    <bk>
      <extLst>
        <ext uri="{3e2802c4-a4d2-4d8b-9148-e3be6c30e623}">
          <xlrd:rvb i="1056"/>
        </ext>
      </extLst>
    </bk>
    <bk>
      <extLst>
        <ext uri="{3e2802c4-a4d2-4d8b-9148-e3be6c30e623}">
          <xlrd:rvb i="1057"/>
        </ext>
      </extLst>
    </bk>
    <bk>
      <extLst>
        <ext uri="{3e2802c4-a4d2-4d8b-9148-e3be6c30e623}">
          <xlrd:rvb i="1058"/>
        </ext>
      </extLst>
    </bk>
    <bk>
      <extLst>
        <ext uri="{3e2802c4-a4d2-4d8b-9148-e3be6c30e623}">
          <xlrd:rvb i="1059"/>
        </ext>
      </extLst>
    </bk>
    <bk>
      <extLst>
        <ext uri="{3e2802c4-a4d2-4d8b-9148-e3be6c30e623}">
          <xlrd:rvb i="1060"/>
        </ext>
      </extLst>
    </bk>
    <bk>
      <extLst>
        <ext uri="{3e2802c4-a4d2-4d8b-9148-e3be6c30e623}">
          <xlrd:rvb i="1061"/>
        </ext>
      </extLst>
    </bk>
    <bk>
      <extLst>
        <ext uri="{3e2802c4-a4d2-4d8b-9148-e3be6c30e623}">
          <xlrd:rvb i="1062"/>
        </ext>
      </extLst>
    </bk>
    <bk>
      <extLst>
        <ext uri="{3e2802c4-a4d2-4d8b-9148-e3be6c30e623}">
          <xlrd:rvb i="1063"/>
        </ext>
      </extLst>
    </bk>
    <bk>
      <extLst>
        <ext uri="{3e2802c4-a4d2-4d8b-9148-e3be6c30e623}">
          <xlrd:rvb i="1064"/>
        </ext>
      </extLst>
    </bk>
    <bk>
      <extLst>
        <ext uri="{3e2802c4-a4d2-4d8b-9148-e3be6c30e623}">
          <xlrd:rvb i="1065"/>
        </ext>
      </extLst>
    </bk>
    <bk>
      <extLst>
        <ext uri="{3e2802c4-a4d2-4d8b-9148-e3be6c30e623}">
          <xlrd:rvb i="1066"/>
        </ext>
      </extLst>
    </bk>
    <bk>
      <extLst>
        <ext uri="{3e2802c4-a4d2-4d8b-9148-e3be6c30e623}">
          <xlrd:rvb i="1067"/>
        </ext>
      </extLst>
    </bk>
    <bk>
      <extLst>
        <ext uri="{3e2802c4-a4d2-4d8b-9148-e3be6c30e623}">
          <xlrd:rvb i="1068"/>
        </ext>
      </extLst>
    </bk>
    <bk>
      <extLst>
        <ext uri="{3e2802c4-a4d2-4d8b-9148-e3be6c30e623}">
          <xlrd:rvb i="1069"/>
        </ext>
      </extLst>
    </bk>
    <bk>
      <extLst>
        <ext uri="{3e2802c4-a4d2-4d8b-9148-e3be6c30e623}">
          <xlrd:rvb i="1070"/>
        </ext>
      </extLst>
    </bk>
    <bk>
      <extLst>
        <ext uri="{3e2802c4-a4d2-4d8b-9148-e3be6c30e623}">
          <xlrd:rvb i="1071"/>
        </ext>
      </extLst>
    </bk>
    <bk>
      <extLst>
        <ext uri="{3e2802c4-a4d2-4d8b-9148-e3be6c30e623}">
          <xlrd:rvb i="1072"/>
        </ext>
      </extLst>
    </bk>
    <bk>
      <extLst>
        <ext uri="{3e2802c4-a4d2-4d8b-9148-e3be6c30e623}">
          <xlrd:rvb i="1073"/>
        </ext>
      </extLst>
    </bk>
    <bk>
      <extLst>
        <ext uri="{3e2802c4-a4d2-4d8b-9148-e3be6c30e623}">
          <xlrd:rvb i="1074"/>
        </ext>
      </extLst>
    </bk>
    <bk>
      <extLst>
        <ext uri="{3e2802c4-a4d2-4d8b-9148-e3be6c30e623}">
          <xlrd:rvb i="1075"/>
        </ext>
      </extLst>
    </bk>
    <bk>
      <extLst>
        <ext uri="{3e2802c4-a4d2-4d8b-9148-e3be6c30e623}">
          <xlrd:rvb i="1076"/>
        </ext>
      </extLst>
    </bk>
    <bk>
      <extLst>
        <ext uri="{3e2802c4-a4d2-4d8b-9148-e3be6c30e623}">
          <xlrd:rvb i="1077"/>
        </ext>
      </extLst>
    </bk>
    <bk>
      <extLst>
        <ext uri="{3e2802c4-a4d2-4d8b-9148-e3be6c30e623}">
          <xlrd:rvb i="1078"/>
        </ext>
      </extLst>
    </bk>
    <bk>
      <extLst>
        <ext uri="{3e2802c4-a4d2-4d8b-9148-e3be6c30e623}">
          <xlrd:rvb i="1079"/>
        </ext>
      </extLst>
    </bk>
    <bk>
      <extLst>
        <ext uri="{3e2802c4-a4d2-4d8b-9148-e3be6c30e623}">
          <xlrd:rvb i="1080"/>
        </ext>
      </extLst>
    </bk>
    <bk>
      <extLst>
        <ext uri="{3e2802c4-a4d2-4d8b-9148-e3be6c30e623}">
          <xlrd:rvb i="1081"/>
        </ext>
      </extLst>
    </bk>
    <bk>
      <extLst>
        <ext uri="{3e2802c4-a4d2-4d8b-9148-e3be6c30e623}">
          <xlrd:rvb i="1082"/>
        </ext>
      </extLst>
    </bk>
    <bk>
      <extLst>
        <ext uri="{3e2802c4-a4d2-4d8b-9148-e3be6c30e623}">
          <xlrd:rvb i="1083"/>
        </ext>
      </extLst>
    </bk>
    <bk>
      <extLst>
        <ext uri="{3e2802c4-a4d2-4d8b-9148-e3be6c30e623}">
          <xlrd:rvb i="1084"/>
        </ext>
      </extLst>
    </bk>
    <bk>
      <extLst>
        <ext uri="{3e2802c4-a4d2-4d8b-9148-e3be6c30e623}">
          <xlrd:rvb i="1085"/>
        </ext>
      </extLst>
    </bk>
    <bk>
      <extLst>
        <ext uri="{3e2802c4-a4d2-4d8b-9148-e3be6c30e623}">
          <xlrd:rvb i="1086"/>
        </ext>
      </extLst>
    </bk>
    <bk>
      <extLst>
        <ext uri="{3e2802c4-a4d2-4d8b-9148-e3be6c30e623}">
          <xlrd:rvb i="1087"/>
        </ext>
      </extLst>
    </bk>
    <bk>
      <extLst>
        <ext uri="{3e2802c4-a4d2-4d8b-9148-e3be6c30e623}">
          <xlrd:rvb i="1088"/>
        </ext>
      </extLst>
    </bk>
    <bk>
      <extLst>
        <ext uri="{3e2802c4-a4d2-4d8b-9148-e3be6c30e623}">
          <xlrd:rvb i="1089"/>
        </ext>
      </extLst>
    </bk>
    <bk>
      <extLst>
        <ext uri="{3e2802c4-a4d2-4d8b-9148-e3be6c30e623}">
          <xlrd:rvb i="1090"/>
        </ext>
      </extLst>
    </bk>
    <bk>
      <extLst>
        <ext uri="{3e2802c4-a4d2-4d8b-9148-e3be6c30e623}">
          <xlrd:rvb i="1091"/>
        </ext>
      </extLst>
    </bk>
    <bk>
      <extLst>
        <ext uri="{3e2802c4-a4d2-4d8b-9148-e3be6c30e623}">
          <xlrd:rvb i="1092"/>
        </ext>
      </extLst>
    </bk>
    <bk>
      <extLst>
        <ext uri="{3e2802c4-a4d2-4d8b-9148-e3be6c30e623}">
          <xlrd:rvb i="1093"/>
        </ext>
      </extLst>
    </bk>
    <bk>
      <extLst>
        <ext uri="{3e2802c4-a4d2-4d8b-9148-e3be6c30e623}">
          <xlrd:rvb i="1094"/>
        </ext>
      </extLst>
    </bk>
    <bk>
      <extLst>
        <ext uri="{3e2802c4-a4d2-4d8b-9148-e3be6c30e623}">
          <xlrd:rvb i="1095"/>
        </ext>
      </extLst>
    </bk>
    <bk>
      <extLst>
        <ext uri="{3e2802c4-a4d2-4d8b-9148-e3be6c30e623}">
          <xlrd:rvb i="1096"/>
        </ext>
      </extLst>
    </bk>
    <bk>
      <extLst>
        <ext uri="{3e2802c4-a4d2-4d8b-9148-e3be6c30e623}">
          <xlrd:rvb i="1097"/>
        </ext>
      </extLst>
    </bk>
    <bk>
      <extLst>
        <ext uri="{3e2802c4-a4d2-4d8b-9148-e3be6c30e623}">
          <xlrd:rvb i="1098"/>
        </ext>
      </extLst>
    </bk>
    <bk>
      <extLst>
        <ext uri="{3e2802c4-a4d2-4d8b-9148-e3be6c30e623}">
          <xlrd:rvb i="1099"/>
        </ext>
      </extLst>
    </bk>
    <bk>
      <extLst>
        <ext uri="{3e2802c4-a4d2-4d8b-9148-e3be6c30e623}">
          <xlrd:rvb i="1100"/>
        </ext>
      </extLst>
    </bk>
    <bk>
      <extLst>
        <ext uri="{3e2802c4-a4d2-4d8b-9148-e3be6c30e623}">
          <xlrd:rvb i="1101"/>
        </ext>
      </extLst>
    </bk>
    <bk>
      <extLst>
        <ext uri="{3e2802c4-a4d2-4d8b-9148-e3be6c30e623}">
          <xlrd:rvb i="1102"/>
        </ext>
      </extLst>
    </bk>
    <bk>
      <extLst>
        <ext uri="{3e2802c4-a4d2-4d8b-9148-e3be6c30e623}">
          <xlrd:rvb i="1103"/>
        </ext>
      </extLst>
    </bk>
    <bk>
      <extLst>
        <ext uri="{3e2802c4-a4d2-4d8b-9148-e3be6c30e623}">
          <xlrd:rvb i="1104"/>
        </ext>
      </extLst>
    </bk>
    <bk>
      <extLst>
        <ext uri="{3e2802c4-a4d2-4d8b-9148-e3be6c30e623}">
          <xlrd:rvb i="1105"/>
        </ext>
      </extLst>
    </bk>
    <bk>
      <extLst>
        <ext uri="{3e2802c4-a4d2-4d8b-9148-e3be6c30e623}">
          <xlrd:rvb i="1106"/>
        </ext>
      </extLst>
    </bk>
    <bk>
      <extLst>
        <ext uri="{3e2802c4-a4d2-4d8b-9148-e3be6c30e623}">
          <xlrd:rvb i="1107"/>
        </ext>
      </extLst>
    </bk>
    <bk>
      <extLst>
        <ext uri="{3e2802c4-a4d2-4d8b-9148-e3be6c30e623}">
          <xlrd:rvb i="1108"/>
        </ext>
      </extLst>
    </bk>
    <bk>
      <extLst>
        <ext uri="{3e2802c4-a4d2-4d8b-9148-e3be6c30e623}">
          <xlrd:rvb i="1109"/>
        </ext>
      </extLst>
    </bk>
    <bk>
      <extLst>
        <ext uri="{3e2802c4-a4d2-4d8b-9148-e3be6c30e623}">
          <xlrd:rvb i="1110"/>
        </ext>
      </extLst>
    </bk>
    <bk>
      <extLst>
        <ext uri="{3e2802c4-a4d2-4d8b-9148-e3be6c30e623}">
          <xlrd:rvb i="1111"/>
        </ext>
      </extLst>
    </bk>
    <bk>
      <extLst>
        <ext uri="{3e2802c4-a4d2-4d8b-9148-e3be6c30e623}">
          <xlrd:rvb i="1112"/>
        </ext>
      </extLst>
    </bk>
    <bk>
      <extLst>
        <ext uri="{3e2802c4-a4d2-4d8b-9148-e3be6c30e623}">
          <xlrd:rvb i="1113"/>
        </ext>
      </extLst>
    </bk>
    <bk>
      <extLst>
        <ext uri="{3e2802c4-a4d2-4d8b-9148-e3be6c30e623}">
          <xlrd:rvb i="1114"/>
        </ext>
      </extLst>
    </bk>
    <bk>
      <extLst>
        <ext uri="{3e2802c4-a4d2-4d8b-9148-e3be6c30e623}">
          <xlrd:rvb i="1115"/>
        </ext>
      </extLst>
    </bk>
    <bk>
      <extLst>
        <ext uri="{3e2802c4-a4d2-4d8b-9148-e3be6c30e623}">
          <xlrd:rvb i="1116"/>
        </ext>
      </extLst>
    </bk>
    <bk>
      <extLst>
        <ext uri="{3e2802c4-a4d2-4d8b-9148-e3be6c30e623}">
          <xlrd:rvb i="1117"/>
        </ext>
      </extLst>
    </bk>
    <bk>
      <extLst>
        <ext uri="{3e2802c4-a4d2-4d8b-9148-e3be6c30e623}">
          <xlrd:rvb i="1118"/>
        </ext>
      </extLst>
    </bk>
    <bk>
      <extLst>
        <ext uri="{3e2802c4-a4d2-4d8b-9148-e3be6c30e623}">
          <xlrd:rvb i="1119"/>
        </ext>
      </extLst>
    </bk>
    <bk>
      <extLst>
        <ext uri="{3e2802c4-a4d2-4d8b-9148-e3be6c30e623}">
          <xlrd:rvb i="1120"/>
        </ext>
      </extLst>
    </bk>
    <bk>
      <extLst>
        <ext uri="{3e2802c4-a4d2-4d8b-9148-e3be6c30e623}">
          <xlrd:rvb i="1121"/>
        </ext>
      </extLst>
    </bk>
    <bk>
      <extLst>
        <ext uri="{3e2802c4-a4d2-4d8b-9148-e3be6c30e623}">
          <xlrd:rvb i="1122"/>
        </ext>
      </extLst>
    </bk>
    <bk>
      <extLst>
        <ext uri="{3e2802c4-a4d2-4d8b-9148-e3be6c30e623}">
          <xlrd:rvb i="1123"/>
        </ext>
      </extLst>
    </bk>
    <bk>
      <extLst>
        <ext uri="{3e2802c4-a4d2-4d8b-9148-e3be6c30e623}">
          <xlrd:rvb i="1124"/>
        </ext>
      </extLst>
    </bk>
    <bk>
      <extLst>
        <ext uri="{3e2802c4-a4d2-4d8b-9148-e3be6c30e623}">
          <xlrd:rvb i="1125"/>
        </ext>
      </extLst>
    </bk>
    <bk>
      <extLst>
        <ext uri="{3e2802c4-a4d2-4d8b-9148-e3be6c30e623}">
          <xlrd:rvb i="1126"/>
        </ext>
      </extLst>
    </bk>
    <bk>
      <extLst>
        <ext uri="{3e2802c4-a4d2-4d8b-9148-e3be6c30e623}">
          <xlrd:rvb i="1127"/>
        </ext>
      </extLst>
    </bk>
    <bk>
      <extLst>
        <ext uri="{3e2802c4-a4d2-4d8b-9148-e3be6c30e623}">
          <xlrd:rvb i="1128"/>
        </ext>
      </extLst>
    </bk>
    <bk>
      <extLst>
        <ext uri="{3e2802c4-a4d2-4d8b-9148-e3be6c30e623}">
          <xlrd:rvb i="1129"/>
        </ext>
      </extLst>
    </bk>
    <bk>
      <extLst>
        <ext uri="{3e2802c4-a4d2-4d8b-9148-e3be6c30e623}">
          <xlrd:rvb i="1130"/>
        </ext>
      </extLst>
    </bk>
    <bk>
      <extLst>
        <ext uri="{3e2802c4-a4d2-4d8b-9148-e3be6c30e623}">
          <xlrd:rvb i="1131"/>
        </ext>
      </extLst>
    </bk>
    <bk>
      <extLst>
        <ext uri="{3e2802c4-a4d2-4d8b-9148-e3be6c30e623}">
          <xlrd:rvb i="1132"/>
        </ext>
      </extLst>
    </bk>
    <bk>
      <extLst>
        <ext uri="{3e2802c4-a4d2-4d8b-9148-e3be6c30e623}">
          <xlrd:rvb i="1133"/>
        </ext>
      </extLst>
    </bk>
    <bk>
      <extLst>
        <ext uri="{3e2802c4-a4d2-4d8b-9148-e3be6c30e623}">
          <xlrd:rvb i="1134"/>
        </ext>
      </extLst>
    </bk>
    <bk>
      <extLst>
        <ext uri="{3e2802c4-a4d2-4d8b-9148-e3be6c30e623}">
          <xlrd:rvb i="1135"/>
        </ext>
      </extLst>
    </bk>
    <bk>
      <extLst>
        <ext uri="{3e2802c4-a4d2-4d8b-9148-e3be6c30e623}">
          <xlrd:rvb i="1136"/>
        </ext>
      </extLst>
    </bk>
    <bk>
      <extLst>
        <ext uri="{3e2802c4-a4d2-4d8b-9148-e3be6c30e623}">
          <xlrd:rvb i="1137"/>
        </ext>
      </extLst>
    </bk>
    <bk>
      <extLst>
        <ext uri="{3e2802c4-a4d2-4d8b-9148-e3be6c30e623}">
          <xlrd:rvb i="1138"/>
        </ext>
      </extLst>
    </bk>
    <bk>
      <extLst>
        <ext uri="{3e2802c4-a4d2-4d8b-9148-e3be6c30e623}">
          <xlrd:rvb i="1139"/>
        </ext>
      </extLst>
    </bk>
    <bk>
      <extLst>
        <ext uri="{3e2802c4-a4d2-4d8b-9148-e3be6c30e623}">
          <xlrd:rvb i="1140"/>
        </ext>
      </extLst>
    </bk>
    <bk>
      <extLst>
        <ext uri="{3e2802c4-a4d2-4d8b-9148-e3be6c30e623}">
          <xlrd:rvb i="1141"/>
        </ext>
      </extLst>
    </bk>
    <bk>
      <extLst>
        <ext uri="{3e2802c4-a4d2-4d8b-9148-e3be6c30e623}">
          <xlrd:rvb i="1142"/>
        </ext>
      </extLst>
    </bk>
    <bk>
      <extLst>
        <ext uri="{3e2802c4-a4d2-4d8b-9148-e3be6c30e623}">
          <xlrd:rvb i="1143"/>
        </ext>
      </extLst>
    </bk>
    <bk>
      <extLst>
        <ext uri="{3e2802c4-a4d2-4d8b-9148-e3be6c30e623}">
          <xlrd:rvb i="1144"/>
        </ext>
      </extLst>
    </bk>
    <bk>
      <extLst>
        <ext uri="{3e2802c4-a4d2-4d8b-9148-e3be6c30e623}">
          <xlrd:rvb i="1145"/>
        </ext>
      </extLst>
    </bk>
    <bk>
      <extLst>
        <ext uri="{3e2802c4-a4d2-4d8b-9148-e3be6c30e623}">
          <xlrd:rvb i="1146"/>
        </ext>
      </extLst>
    </bk>
    <bk>
      <extLst>
        <ext uri="{3e2802c4-a4d2-4d8b-9148-e3be6c30e623}">
          <xlrd:rvb i="1147"/>
        </ext>
      </extLst>
    </bk>
    <bk>
      <extLst>
        <ext uri="{3e2802c4-a4d2-4d8b-9148-e3be6c30e623}">
          <xlrd:rvb i="1148"/>
        </ext>
      </extLst>
    </bk>
    <bk>
      <extLst>
        <ext uri="{3e2802c4-a4d2-4d8b-9148-e3be6c30e623}">
          <xlrd:rvb i="1149"/>
        </ext>
      </extLst>
    </bk>
    <bk>
      <extLst>
        <ext uri="{3e2802c4-a4d2-4d8b-9148-e3be6c30e623}">
          <xlrd:rvb i="1150"/>
        </ext>
      </extLst>
    </bk>
    <bk>
      <extLst>
        <ext uri="{3e2802c4-a4d2-4d8b-9148-e3be6c30e623}">
          <xlrd:rvb i="1151"/>
        </ext>
      </extLst>
    </bk>
    <bk>
      <extLst>
        <ext uri="{3e2802c4-a4d2-4d8b-9148-e3be6c30e623}">
          <xlrd:rvb i="1152"/>
        </ext>
      </extLst>
    </bk>
    <bk>
      <extLst>
        <ext uri="{3e2802c4-a4d2-4d8b-9148-e3be6c30e623}">
          <xlrd:rvb i="1153"/>
        </ext>
      </extLst>
    </bk>
    <bk>
      <extLst>
        <ext uri="{3e2802c4-a4d2-4d8b-9148-e3be6c30e623}">
          <xlrd:rvb i="1154"/>
        </ext>
      </extLst>
    </bk>
    <bk>
      <extLst>
        <ext uri="{3e2802c4-a4d2-4d8b-9148-e3be6c30e623}">
          <xlrd:rvb i="1155"/>
        </ext>
      </extLst>
    </bk>
    <bk>
      <extLst>
        <ext uri="{3e2802c4-a4d2-4d8b-9148-e3be6c30e623}">
          <xlrd:rvb i="1156"/>
        </ext>
      </extLst>
    </bk>
    <bk>
      <extLst>
        <ext uri="{3e2802c4-a4d2-4d8b-9148-e3be6c30e623}">
          <xlrd:rvb i="1157"/>
        </ext>
      </extLst>
    </bk>
    <bk>
      <extLst>
        <ext uri="{3e2802c4-a4d2-4d8b-9148-e3be6c30e623}">
          <xlrd:rvb i="1158"/>
        </ext>
      </extLst>
    </bk>
    <bk>
      <extLst>
        <ext uri="{3e2802c4-a4d2-4d8b-9148-e3be6c30e623}">
          <xlrd:rvb i="1159"/>
        </ext>
      </extLst>
    </bk>
    <bk>
      <extLst>
        <ext uri="{3e2802c4-a4d2-4d8b-9148-e3be6c30e623}">
          <xlrd:rvb i="1160"/>
        </ext>
      </extLst>
    </bk>
    <bk>
      <extLst>
        <ext uri="{3e2802c4-a4d2-4d8b-9148-e3be6c30e623}">
          <xlrd:rvb i="1161"/>
        </ext>
      </extLst>
    </bk>
    <bk>
      <extLst>
        <ext uri="{3e2802c4-a4d2-4d8b-9148-e3be6c30e623}">
          <xlrd:rvb i="1162"/>
        </ext>
      </extLst>
    </bk>
    <bk>
      <extLst>
        <ext uri="{3e2802c4-a4d2-4d8b-9148-e3be6c30e623}">
          <xlrd:rvb i="1163"/>
        </ext>
      </extLst>
    </bk>
    <bk>
      <extLst>
        <ext uri="{3e2802c4-a4d2-4d8b-9148-e3be6c30e623}">
          <xlrd:rvb i="1164"/>
        </ext>
      </extLst>
    </bk>
    <bk>
      <extLst>
        <ext uri="{3e2802c4-a4d2-4d8b-9148-e3be6c30e623}">
          <xlrd:rvb i="1165"/>
        </ext>
      </extLst>
    </bk>
    <bk>
      <extLst>
        <ext uri="{3e2802c4-a4d2-4d8b-9148-e3be6c30e623}">
          <xlrd:rvb i="1166"/>
        </ext>
      </extLst>
    </bk>
    <bk>
      <extLst>
        <ext uri="{3e2802c4-a4d2-4d8b-9148-e3be6c30e623}">
          <xlrd:rvb i="1167"/>
        </ext>
      </extLst>
    </bk>
    <bk>
      <extLst>
        <ext uri="{3e2802c4-a4d2-4d8b-9148-e3be6c30e623}">
          <xlrd:rvb i="1168"/>
        </ext>
      </extLst>
    </bk>
    <bk>
      <extLst>
        <ext uri="{3e2802c4-a4d2-4d8b-9148-e3be6c30e623}">
          <xlrd:rvb i="1169"/>
        </ext>
      </extLst>
    </bk>
    <bk>
      <extLst>
        <ext uri="{3e2802c4-a4d2-4d8b-9148-e3be6c30e623}">
          <xlrd:rvb i="1170"/>
        </ext>
      </extLst>
    </bk>
    <bk>
      <extLst>
        <ext uri="{3e2802c4-a4d2-4d8b-9148-e3be6c30e623}">
          <xlrd:rvb i="1171"/>
        </ext>
      </extLst>
    </bk>
    <bk>
      <extLst>
        <ext uri="{3e2802c4-a4d2-4d8b-9148-e3be6c30e623}">
          <xlrd:rvb i="1172"/>
        </ext>
      </extLst>
    </bk>
    <bk>
      <extLst>
        <ext uri="{3e2802c4-a4d2-4d8b-9148-e3be6c30e623}">
          <xlrd:rvb i="1173"/>
        </ext>
      </extLst>
    </bk>
    <bk>
      <extLst>
        <ext uri="{3e2802c4-a4d2-4d8b-9148-e3be6c30e623}">
          <xlrd:rvb i="1174"/>
        </ext>
      </extLst>
    </bk>
    <bk>
      <extLst>
        <ext uri="{3e2802c4-a4d2-4d8b-9148-e3be6c30e623}">
          <xlrd:rvb i="1175"/>
        </ext>
      </extLst>
    </bk>
    <bk>
      <extLst>
        <ext uri="{3e2802c4-a4d2-4d8b-9148-e3be6c30e623}">
          <xlrd:rvb i="1176"/>
        </ext>
      </extLst>
    </bk>
    <bk>
      <extLst>
        <ext uri="{3e2802c4-a4d2-4d8b-9148-e3be6c30e623}">
          <xlrd:rvb i="1177"/>
        </ext>
      </extLst>
    </bk>
    <bk>
      <extLst>
        <ext uri="{3e2802c4-a4d2-4d8b-9148-e3be6c30e623}">
          <xlrd:rvb i="1178"/>
        </ext>
      </extLst>
    </bk>
    <bk>
      <extLst>
        <ext uri="{3e2802c4-a4d2-4d8b-9148-e3be6c30e623}">
          <xlrd:rvb i="1179"/>
        </ext>
      </extLst>
    </bk>
    <bk>
      <extLst>
        <ext uri="{3e2802c4-a4d2-4d8b-9148-e3be6c30e623}">
          <xlrd:rvb i="1180"/>
        </ext>
      </extLst>
    </bk>
    <bk>
      <extLst>
        <ext uri="{3e2802c4-a4d2-4d8b-9148-e3be6c30e623}">
          <xlrd:rvb i="1181"/>
        </ext>
      </extLst>
    </bk>
    <bk>
      <extLst>
        <ext uri="{3e2802c4-a4d2-4d8b-9148-e3be6c30e623}">
          <xlrd:rvb i="1182"/>
        </ext>
      </extLst>
    </bk>
    <bk>
      <extLst>
        <ext uri="{3e2802c4-a4d2-4d8b-9148-e3be6c30e623}">
          <xlrd:rvb i="1183"/>
        </ext>
      </extLst>
    </bk>
    <bk>
      <extLst>
        <ext uri="{3e2802c4-a4d2-4d8b-9148-e3be6c30e623}">
          <xlrd:rvb i="1184"/>
        </ext>
      </extLst>
    </bk>
    <bk>
      <extLst>
        <ext uri="{3e2802c4-a4d2-4d8b-9148-e3be6c30e623}">
          <xlrd:rvb i="1185"/>
        </ext>
      </extLst>
    </bk>
    <bk>
      <extLst>
        <ext uri="{3e2802c4-a4d2-4d8b-9148-e3be6c30e623}">
          <xlrd:rvb i="1186"/>
        </ext>
      </extLst>
    </bk>
    <bk>
      <extLst>
        <ext uri="{3e2802c4-a4d2-4d8b-9148-e3be6c30e623}">
          <xlrd:rvb i="1187"/>
        </ext>
      </extLst>
    </bk>
    <bk>
      <extLst>
        <ext uri="{3e2802c4-a4d2-4d8b-9148-e3be6c30e623}">
          <xlrd:rvb i="1188"/>
        </ext>
      </extLst>
    </bk>
    <bk>
      <extLst>
        <ext uri="{3e2802c4-a4d2-4d8b-9148-e3be6c30e623}">
          <xlrd:rvb i="1189"/>
        </ext>
      </extLst>
    </bk>
    <bk>
      <extLst>
        <ext uri="{3e2802c4-a4d2-4d8b-9148-e3be6c30e623}">
          <xlrd:rvb i="1190"/>
        </ext>
      </extLst>
    </bk>
    <bk>
      <extLst>
        <ext uri="{3e2802c4-a4d2-4d8b-9148-e3be6c30e623}">
          <xlrd:rvb i="1191"/>
        </ext>
      </extLst>
    </bk>
    <bk>
      <extLst>
        <ext uri="{3e2802c4-a4d2-4d8b-9148-e3be6c30e623}">
          <xlrd:rvb i="1192"/>
        </ext>
      </extLst>
    </bk>
    <bk>
      <extLst>
        <ext uri="{3e2802c4-a4d2-4d8b-9148-e3be6c30e623}">
          <xlrd:rvb i="1193"/>
        </ext>
      </extLst>
    </bk>
    <bk>
      <extLst>
        <ext uri="{3e2802c4-a4d2-4d8b-9148-e3be6c30e623}">
          <xlrd:rvb i="1194"/>
        </ext>
      </extLst>
    </bk>
    <bk>
      <extLst>
        <ext uri="{3e2802c4-a4d2-4d8b-9148-e3be6c30e623}">
          <xlrd:rvb i="1195"/>
        </ext>
      </extLst>
    </bk>
    <bk>
      <extLst>
        <ext uri="{3e2802c4-a4d2-4d8b-9148-e3be6c30e623}">
          <xlrd:rvb i="1196"/>
        </ext>
      </extLst>
    </bk>
    <bk>
      <extLst>
        <ext uri="{3e2802c4-a4d2-4d8b-9148-e3be6c30e623}">
          <xlrd:rvb i="1197"/>
        </ext>
      </extLst>
    </bk>
    <bk>
      <extLst>
        <ext uri="{3e2802c4-a4d2-4d8b-9148-e3be6c30e623}">
          <xlrd:rvb i="1198"/>
        </ext>
      </extLst>
    </bk>
    <bk>
      <extLst>
        <ext uri="{3e2802c4-a4d2-4d8b-9148-e3be6c30e623}">
          <xlrd:rvb i="1199"/>
        </ext>
      </extLst>
    </bk>
    <bk>
      <extLst>
        <ext uri="{3e2802c4-a4d2-4d8b-9148-e3be6c30e623}">
          <xlrd:rvb i="1200"/>
        </ext>
      </extLst>
    </bk>
    <bk>
      <extLst>
        <ext uri="{3e2802c4-a4d2-4d8b-9148-e3be6c30e623}">
          <xlrd:rvb i="1201"/>
        </ext>
      </extLst>
    </bk>
    <bk>
      <extLst>
        <ext uri="{3e2802c4-a4d2-4d8b-9148-e3be6c30e623}">
          <xlrd:rvb i="1202"/>
        </ext>
      </extLst>
    </bk>
    <bk>
      <extLst>
        <ext uri="{3e2802c4-a4d2-4d8b-9148-e3be6c30e623}">
          <xlrd:rvb i="1203"/>
        </ext>
      </extLst>
    </bk>
    <bk>
      <extLst>
        <ext uri="{3e2802c4-a4d2-4d8b-9148-e3be6c30e623}">
          <xlrd:rvb i="1204"/>
        </ext>
      </extLst>
    </bk>
    <bk>
      <extLst>
        <ext uri="{3e2802c4-a4d2-4d8b-9148-e3be6c30e623}">
          <xlrd:rvb i="1205"/>
        </ext>
      </extLst>
    </bk>
    <bk>
      <extLst>
        <ext uri="{3e2802c4-a4d2-4d8b-9148-e3be6c30e623}">
          <xlrd:rvb i="1206"/>
        </ext>
      </extLst>
    </bk>
    <bk>
      <extLst>
        <ext uri="{3e2802c4-a4d2-4d8b-9148-e3be6c30e623}">
          <xlrd:rvb i="1207"/>
        </ext>
      </extLst>
    </bk>
    <bk>
      <extLst>
        <ext uri="{3e2802c4-a4d2-4d8b-9148-e3be6c30e623}">
          <xlrd:rvb i="1208"/>
        </ext>
      </extLst>
    </bk>
    <bk>
      <extLst>
        <ext uri="{3e2802c4-a4d2-4d8b-9148-e3be6c30e623}">
          <xlrd:rvb i="1209"/>
        </ext>
      </extLst>
    </bk>
    <bk>
      <extLst>
        <ext uri="{3e2802c4-a4d2-4d8b-9148-e3be6c30e623}">
          <xlrd:rvb i="1210"/>
        </ext>
      </extLst>
    </bk>
    <bk>
      <extLst>
        <ext uri="{3e2802c4-a4d2-4d8b-9148-e3be6c30e623}">
          <xlrd:rvb i="1211"/>
        </ext>
      </extLst>
    </bk>
    <bk>
      <extLst>
        <ext uri="{3e2802c4-a4d2-4d8b-9148-e3be6c30e623}">
          <xlrd:rvb i="1212"/>
        </ext>
      </extLst>
    </bk>
    <bk>
      <extLst>
        <ext uri="{3e2802c4-a4d2-4d8b-9148-e3be6c30e623}">
          <xlrd:rvb i="1213"/>
        </ext>
      </extLst>
    </bk>
    <bk>
      <extLst>
        <ext uri="{3e2802c4-a4d2-4d8b-9148-e3be6c30e623}">
          <xlrd:rvb i="1214"/>
        </ext>
      </extLst>
    </bk>
    <bk>
      <extLst>
        <ext uri="{3e2802c4-a4d2-4d8b-9148-e3be6c30e623}">
          <xlrd:rvb i="1215"/>
        </ext>
      </extLst>
    </bk>
    <bk>
      <extLst>
        <ext uri="{3e2802c4-a4d2-4d8b-9148-e3be6c30e623}">
          <xlrd:rvb i="1216"/>
        </ext>
      </extLst>
    </bk>
    <bk>
      <extLst>
        <ext uri="{3e2802c4-a4d2-4d8b-9148-e3be6c30e623}">
          <xlrd:rvb i="1217"/>
        </ext>
      </extLst>
    </bk>
    <bk>
      <extLst>
        <ext uri="{3e2802c4-a4d2-4d8b-9148-e3be6c30e623}">
          <xlrd:rvb i="1218"/>
        </ext>
      </extLst>
    </bk>
    <bk>
      <extLst>
        <ext uri="{3e2802c4-a4d2-4d8b-9148-e3be6c30e623}">
          <xlrd:rvb i="1219"/>
        </ext>
      </extLst>
    </bk>
    <bk>
      <extLst>
        <ext uri="{3e2802c4-a4d2-4d8b-9148-e3be6c30e623}">
          <xlrd:rvb i="1220"/>
        </ext>
      </extLst>
    </bk>
    <bk>
      <extLst>
        <ext uri="{3e2802c4-a4d2-4d8b-9148-e3be6c30e623}">
          <xlrd:rvb i="1221"/>
        </ext>
      </extLst>
    </bk>
    <bk>
      <extLst>
        <ext uri="{3e2802c4-a4d2-4d8b-9148-e3be6c30e623}">
          <xlrd:rvb i="1222"/>
        </ext>
      </extLst>
    </bk>
    <bk>
      <extLst>
        <ext uri="{3e2802c4-a4d2-4d8b-9148-e3be6c30e623}">
          <xlrd:rvb i="1223"/>
        </ext>
      </extLst>
    </bk>
    <bk>
      <extLst>
        <ext uri="{3e2802c4-a4d2-4d8b-9148-e3be6c30e623}">
          <xlrd:rvb i="1224"/>
        </ext>
      </extLst>
    </bk>
    <bk>
      <extLst>
        <ext uri="{3e2802c4-a4d2-4d8b-9148-e3be6c30e623}">
          <xlrd:rvb i="1225"/>
        </ext>
      </extLst>
    </bk>
    <bk>
      <extLst>
        <ext uri="{3e2802c4-a4d2-4d8b-9148-e3be6c30e623}">
          <xlrd:rvb i="1226"/>
        </ext>
      </extLst>
    </bk>
    <bk>
      <extLst>
        <ext uri="{3e2802c4-a4d2-4d8b-9148-e3be6c30e623}">
          <xlrd:rvb i="1227"/>
        </ext>
      </extLst>
    </bk>
    <bk>
      <extLst>
        <ext uri="{3e2802c4-a4d2-4d8b-9148-e3be6c30e623}">
          <xlrd:rvb i="1228"/>
        </ext>
      </extLst>
    </bk>
    <bk>
      <extLst>
        <ext uri="{3e2802c4-a4d2-4d8b-9148-e3be6c30e623}">
          <xlrd:rvb i="1229"/>
        </ext>
      </extLst>
    </bk>
    <bk>
      <extLst>
        <ext uri="{3e2802c4-a4d2-4d8b-9148-e3be6c30e623}">
          <xlrd:rvb i="1230"/>
        </ext>
      </extLst>
    </bk>
    <bk>
      <extLst>
        <ext uri="{3e2802c4-a4d2-4d8b-9148-e3be6c30e623}">
          <xlrd:rvb i="1231"/>
        </ext>
      </extLst>
    </bk>
    <bk>
      <extLst>
        <ext uri="{3e2802c4-a4d2-4d8b-9148-e3be6c30e623}">
          <xlrd:rvb i="1232"/>
        </ext>
      </extLst>
    </bk>
    <bk>
      <extLst>
        <ext uri="{3e2802c4-a4d2-4d8b-9148-e3be6c30e623}">
          <xlrd:rvb i="1233"/>
        </ext>
      </extLst>
    </bk>
    <bk>
      <extLst>
        <ext uri="{3e2802c4-a4d2-4d8b-9148-e3be6c30e623}">
          <xlrd:rvb i="1234"/>
        </ext>
      </extLst>
    </bk>
    <bk>
      <extLst>
        <ext uri="{3e2802c4-a4d2-4d8b-9148-e3be6c30e623}">
          <xlrd:rvb i="1235"/>
        </ext>
      </extLst>
    </bk>
    <bk>
      <extLst>
        <ext uri="{3e2802c4-a4d2-4d8b-9148-e3be6c30e623}">
          <xlrd:rvb i="1236"/>
        </ext>
      </extLst>
    </bk>
    <bk>
      <extLst>
        <ext uri="{3e2802c4-a4d2-4d8b-9148-e3be6c30e623}">
          <xlrd:rvb i="1237"/>
        </ext>
      </extLst>
    </bk>
    <bk>
      <extLst>
        <ext uri="{3e2802c4-a4d2-4d8b-9148-e3be6c30e623}">
          <xlrd:rvb i="1238"/>
        </ext>
      </extLst>
    </bk>
    <bk>
      <extLst>
        <ext uri="{3e2802c4-a4d2-4d8b-9148-e3be6c30e623}">
          <xlrd:rvb i="1239"/>
        </ext>
      </extLst>
    </bk>
    <bk>
      <extLst>
        <ext uri="{3e2802c4-a4d2-4d8b-9148-e3be6c30e623}">
          <xlrd:rvb i="1240"/>
        </ext>
      </extLst>
    </bk>
    <bk>
      <extLst>
        <ext uri="{3e2802c4-a4d2-4d8b-9148-e3be6c30e623}">
          <xlrd:rvb i="1241"/>
        </ext>
      </extLst>
    </bk>
    <bk>
      <extLst>
        <ext uri="{3e2802c4-a4d2-4d8b-9148-e3be6c30e623}">
          <xlrd:rvb i="1242"/>
        </ext>
      </extLst>
    </bk>
    <bk>
      <extLst>
        <ext uri="{3e2802c4-a4d2-4d8b-9148-e3be6c30e623}">
          <xlrd:rvb i="1243"/>
        </ext>
      </extLst>
    </bk>
    <bk>
      <extLst>
        <ext uri="{3e2802c4-a4d2-4d8b-9148-e3be6c30e623}">
          <xlrd:rvb i="1244"/>
        </ext>
      </extLst>
    </bk>
    <bk>
      <extLst>
        <ext uri="{3e2802c4-a4d2-4d8b-9148-e3be6c30e623}">
          <xlrd:rvb i="1245"/>
        </ext>
      </extLst>
    </bk>
    <bk>
      <extLst>
        <ext uri="{3e2802c4-a4d2-4d8b-9148-e3be6c30e623}">
          <xlrd:rvb i="1246"/>
        </ext>
      </extLst>
    </bk>
    <bk>
      <extLst>
        <ext uri="{3e2802c4-a4d2-4d8b-9148-e3be6c30e623}">
          <xlrd:rvb i="1247"/>
        </ext>
      </extLst>
    </bk>
    <bk>
      <extLst>
        <ext uri="{3e2802c4-a4d2-4d8b-9148-e3be6c30e623}">
          <xlrd:rvb i="1248"/>
        </ext>
      </extLst>
    </bk>
    <bk>
      <extLst>
        <ext uri="{3e2802c4-a4d2-4d8b-9148-e3be6c30e623}">
          <xlrd:rvb i="1249"/>
        </ext>
      </extLst>
    </bk>
    <bk>
      <extLst>
        <ext uri="{3e2802c4-a4d2-4d8b-9148-e3be6c30e623}">
          <xlrd:rvb i="1250"/>
        </ext>
      </extLst>
    </bk>
    <bk>
      <extLst>
        <ext uri="{3e2802c4-a4d2-4d8b-9148-e3be6c30e623}">
          <xlrd:rvb i="1251"/>
        </ext>
      </extLst>
    </bk>
    <bk>
      <extLst>
        <ext uri="{3e2802c4-a4d2-4d8b-9148-e3be6c30e623}">
          <xlrd:rvb i="1252"/>
        </ext>
      </extLst>
    </bk>
    <bk>
      <extLst>
        <ext uri="{3e2802c4-a4d2-4d8b-9148-e3be6c30e623}">
          <xlrd:rvb i="1253"/>
        </ext>
      </extLst>
    </bk>
    <bk>
      <extLst>
        <ext uri="{3e2802c4-a4d2-4d8b-9148-e3be6c30e623}">
          <xlrd:rvb i="1254"/>
        </ext>
      </extLst>
    </bk>
    <bk>
      <extLst>
        <ext uri="{3e2802c4-a4d2-4d8b-9148-e3be6c30e623}">
          <xlrd:rvb i="1255"/>
        </ext>
      </extLst>
    </bk>
    <bk>
      <extLst>
        <ext uri="{3e2802c4-a4d2-4d8b-9148-e3be6c30e623}">
          <xlrd:rvb i="1256"/>
        </ext>
      </extLst>
    </bk>
    <bk>
      <extLst>
        <ext uri="{3e2802c4-a4d2-4d8b-9148-e3be6c30e623}">
          <xlrd:rvb i="1257"/>
        </ext>
      </extLst>
    </bk>
    <bk>
      <extLst>
        <ext uri="{3e2802c4-a4d2-4d8b-9148-e3be6c30e623}">
          <xlrd:rvb i="1258"/>
        </ext>
      </extLst>
    </bk>
    <bk>
      <extLst>
        <ext uri="{3e2802c4-a4d2-4d8b-9148-e3be6c30e623}">
          <xlrd:rvb i="1259"/>
        </ext>
      </extLst>
    </bk>
    <bk>
      <extLst>
        <ext uri="{3e2802c4-a4d2-4d8b-9148-e3be6c30e623}">
          <xlrd:rvb i="1260"/>
        </ext>
      </extLst>
    </bk>
    <bk>
      <extLst>
        <ext uri="{3e2802c4-a4d2-4d8b-9148-e3be6c30e623}">
          <xlrd:rvb i="1261"/>
        </ext>
      </extLst>
    </bk>
    <bk>
      <extLst>
        <ext uri="{3e2802c4-a4d2-4d8b-9148-e3be6c30e623}">
          <xlrd:rvb i="1262"/>
        </ext>
      </extLst>
    </bk>
    <bk>
      <extLst>
        <ext uri="{3e2802c4-a4d2-4d8b-9148-e3be6c30e623}">
          <xlrd:rvb i="1263"/>
        </ext>
      </extLst>
    </bk>
    <bk>
      <extLst>
        <ext uri="{3e2802c4-a4d2-4d8b-9148-e3be6c30e623}">
          <xlrd:rvb i="1264"/>
        </ext>
      </extLst>
    </bk>
    <bk>
      <extLst>
        <ext uri="{3e2802c4-a4d2-4d8b-9148-e3be6c30e623}">
          <xlrd:rvb i="1265"/>
        </ext>
      </extLst>
    </bk>
    <bk>
      <extLst>
        <ext uri="{3e2802c4-a4d2-4d8b-9148-e3be6c30e623}">
          <xlrd:rvb i="1266"/>
        </ext>
      </extLst>
    </bk>
    <bk>
      <extLst>
        <ext uri="{3e2802c4-a4d2-4d8b-9148-e3be6c30e623}">
          <xlrd:rvb i="1267"/>
        </ext>
      </extLst>
    </bk>
    <bk>
      <extLst>
        <ext uri="{3e2802c4-a4d2-4d8b-9148-e3be6c30e623}">
          <xlrd:rvb i="1268"/>
        </ext>
      </extLst>
    </bk>
    <bk>
      <extLst>
        <ext uri="{3e2802c4-a4d2-4d8b-9148-e3be6c30e623}">
          <xlrd:rvb i="1269"/>
        </ext>
      </extLst>
    </bk>
    <bk>
      <extLst>
        <ext uri="{3e2802c4-a4d2-4d8b-9148-e3be6c30e623}">
          <xlrd:rvb i="1270"/>
        </ext>
      </extLst>
    </bk>
    <bk>
      <extLst>
        <ext uri="{3e2802c4-a4d2-4d8b-9148-e3be6c30e623}">
          <xlrd:rvb i="1271"/>
        </ext>
      </extLst>
    </bk>
    <bk>
      <extLst>
        <ext uri="{3e2802c4-a4d2-4d8b-9148-e3be6c30e623}">
          <xlrd:rvb i="1272"/>
        </ext>
      </extLst>
    </bk>
    <bk>
      <extLst>
        <ext uri="{3e2802c4-a4d2-4d8b-9148-e3be6c30e623}">
          <xlrd:rvb i="1273"/>
        </ext>
      </extLst>
    </bk>
    <bk>
      <extLst>
        <ext uri="{3e2802c4-a4d2-4d8b-9148-e3be6c30e623}">
          <xlrd:rvb i="1274"/>
        </ext>
      </extLst>
    </bk>
    <bk>
      <extLst>
        <ext uri="{3e2802c4-a4d2-4d8b-9148-e3be6c30e623}">
          <xlrd:rvb i="1275"/>
        </ext>
      </extLst>
    </bk>
    <bk>
      <extLst>
        <ext uri="{3e2802c4-a4d2-4d8b-9148-e3be6c30e623}">
          <xlrd:rvb i="1276"/>
        </ext>
      </extLst>
    </bk>
    <bk>
      <extLst>
        <ext uri="{3e2802c4-a4d2-4d8b-9148-e3be6c30e623}">
          <xlrd:rvb i="1277"/>
        </ext>
      </extLst>
    </bk>
    <bk>
      <extLst>
        <ext uri="{3e2802c4-a4d2-4d8b-9148-e3be6c30e623}">
          <xlrd:rvb i="1278"/>
        </ext>
      </extLst>
    </bk>
    <bk>
      <extLst>
        <ext uri="{3e2802c4-a4d2-4d8b-9148-e3be6c30e623}">
          <xlrd:rvb i="1279"/>
        </ext>
      </extLst>
    </bk>
    <bk>
      <extLst>
        <ext uri="{3e2802c4-a4d2-4d8b-9148-e3be6c30e623}">
          <xlrd:rvb i="1280"/>
        </ext>
      </extLst>
    </bk>
    <bk>
      <extLst>
        <ext uri="{3e2802c4-a4d2-4d8b-9148-e3be6c30e623}">
          <xlrd:rvb i="1281"/>
        </ext>
      </extLst>
    </bk>
    <bk>
      <extLst>
        <ext uri="{3e2802c4-a4d2-4d8b-9148-e3be6c30e623}">
          <xlrd:rvb i="1282"/>
        </ext>
      </extLst>
    </bk>
    <bk>
      <extLst>
        <ext uri="{3e2802c4-a4d2-4d8b-9148-e3be6c30e623}">
          <xlrd:rvb i="1283"/>
        </ext>
      </extLst>
    </bk>
    <bk>
      <extLst>
        <ext uri="{3e2802c4-a4d2-4d8b-9148-e3be6c30e623}">
          <xlrd:rvb i="1284"/>
        </ext>
      </extLst>
    </bk>
    <bk>
      <extLst>
        <ext uri="{3e2802c4-a4d2-4d8b-9148-e3be6c30e623}">
          <xlrd:rvb i="1285"/>
        </ext>
      </extLst>
    </bk>
    <bk>
      <extLst>
        <ext uri="{3e2802c4-a4d2-4d8b-9148-e3be6c30e623}">
          <xlrd:rvb i="1286"/>
        </ext>
      </extLst>
    </bk>
    <bk>
      <extLst>
        <ext uri="{3e2802c4-a4d2-4d8b-9148-e3be6c30e623}">
          <xlrd:rvb i="1287"/>
        </ext>
      </extLst>
    </bk>
    <bk>
      <extLst>
        <ext uri="{3e2802c4-a4d2-4d8b-9148-e3be6c30e623}">
          <xlrd:rvb i="1288"/>
        </ext>
      </extLst>
    </bk>
    <bk>
      <extLst>
        <ext uri="{3e2802c4-a4d2-4d8b-9148-e3be6c30e623}">
          <xlrd:rvb i="1289"/>
        </ext>
      </extLst>
    </bk>
    <bk>
      <extLst>
        <ext uri="{3e2802c4-a4d2-4d8b-9148-e3be6c30e623}">
          <xlrd:rvb i="1290"/>
        </ext>
      </extLst>
    </bk>
    <bk>
      <extLst>
        <ext uri="{3e2802c4-a4d2-4d8b-9148-e3be6c30e623}">
          <xlrd:rvb i="1291"/>
        </ext>
      </extLst>
    </bk>
    <bk>
      <extLst>
        <ext uri="{3e2802c4-a4d2-4d8b-9148-e3be6c30e623}">
          <xlrd:rvb i="1292"/>
        </ext>
      </extLst>
    </bk>
    <bk>
      <extLst>
        <ext uri="{3e2802c4-a4d2-4d8b-9148-e3be6c30e623}">
          <xlrd:rvb i="1293"/>
        </ext>
      </extLst>
    </bk>
    <bk>
      <extLst>
        <ext uri="{3e2802c4-a4d2-4d8b-9148-e3be6c30e623}">
          <xlrd:rvb i="1294"/>
        </ext>
      </extLst>
    </bk>
    <bk>
      <extLst>
        <ext uri="{3e2802c4-a4d2-4d8b-9148-e3be6c30e623}">
          <xlrd:rvb i="1295"/>
        </ext>
      </extLst>
    </bk>
    <bk>
      <extLst>
        <ext uri="{3e2802c4-a4d2-4d8b-9148-e3be6c30e623}">
          <xlrd:rvb i="1296"/>
        </ext>
      </extLst>
    </bk>
    <bk>
      <extLst>
        <ext uri="{3e2802c4-a4d2-4d8b-9148-e3be6c30e623}">
          <xlrd:rvb i="1297"/>
        </ext>
      </extLst>
    </bk>
    <bk>
      <extLst>
        <ext uri="{3e2802c4-a4d2-4d8b-9148-e3be6c30e623}">
          <xlrd:rvb i="1298"/>
        </ext>
      </extLst>
    </bk>
    <bk>
      <extLst>
        <ext uri="{3e2802c4-a4d2-4d8b-9148-e3be6c30e623}">
          <xlrd:rvb i="1299"/>
        </ext>
      </extLst>
    </bk>
    <bk>
      <extLst>
        <ext uri="{3e2802c4-a4d2-4d8b-9148-e3be6c30e623}">
          <xlrd:rvb i="1300"/>
        </ext>
      </extLst>
    </bk>
    <bk>
      <extLst>
        <ext uri="{3e2802c4-a4d2-4d8b-9148-e3be6c30e623}">
          <xlrd:rvb i="1301"/>
        </ext>
      </extLst>
    </bk>
    <bk>
      <extLst>
        <ext uri="{3e2802c4-a4d2-4d8b-9148-e3be6c30e623}">
          <xlrd:rvb i="1302"/>
        </ext>
      </extLst>
    </bk>
    <bk>
      <extLst>
        <ext uri="{3e2802c4-a4d2-4d8b-9148-e3be6c30e623}">
          <xlrd:rvb i="1303"/>
        </ext>
      </extLst>
    </bk>
    <bk>
      <extLst>
        <ext uri="{3e2802c4-a4d2-4d8b-9148-e3be6c30e623}">
          <xlrd:rvb i="1304"/>
        </ext>
      </extLst>
    </bk>
    <bk>
      <extLst>
        <ext uri="{3e2802c4-a4d2-4d8b-9148-e3be6c30e623}">
          <xlrd:rvb i="1305"/>
        </ext>
      </extLst>
    </bk>
    <bk>
      <extLst>
        <ext uri="{3e2802c4-a4d2-4d8b-9148-e3be6c30e623}">
          <xlrd:rvb i="1306"/>
        </ext>
      </extLst>
    </bk>
    <bk>
      <extLst>
        <ext uri="{3e2802c4-a4d2-4d8b-9148-e3be6c30e623}">
          <xlrd:rvb i="1307"/>
        </ext>
      </extLst>
    </bk>
    <bk>
      <extLst>
        <ext uri="{3e2802c4-a4d2-4d8b-9148-e3be6c30e623}">
          <xlrd:rvb i="1308"/>
        </ext>
      </extLst>
    </bk>
    <bk>
      <extLst>
        <ext uri="{3e2802c4-a4d2-4d8b-9148-e3be6c30e623}">
          <xlrd:rvb i="1309"/>
        </ext>
      </extLst>
    </bk>
    <bk>
      <extLst>
        <ext uri="{3e2802c4-a4d2-4d8b-9148-e3be6c30e623}">
          <xlrd:rvb i="1310"/>
        </ext>
      </extLst>
    </bk>
    <bk>
      <extLst>
        <ext uri="{3e2802c4-a4d2-4d8b-9148-e3be6c30e623}">
          <xlrd:rvb i="1311"/>
        </ext>
      </extLst>
    </bk>
    <bk>
      <extLst>
        <ext uri="{3e2802c4-a4d2-4d8b-9148-e3be6c30e623}">
          <xlrd:rvb i="1312"/>
        </ext>
      </extLst>
    </bk>
    <bk>
      <extLst>
        <ext uri="{3e2802c4-a4d2-4d8b-9148-e3be6c30e623}">
          <xlrd:rvb i="1313"/>
        </ext>
      </extLst>
    </bk>
    <bk>
      <extLst>
        <ext uri="{3e2802c4-a4d2-4d8b-9148-e3be6c30e623}">
          <xlrd:rvb i="1314"/>
        </ext>
      </extLst>
    </bk>
    <bk>
      <extLst>
        <ext uri="{3e2802c4-a4d2-4d8b-9148-e3be6c30e623}">
          <xlrd:rvb i="1315"/>
        </ext>
      </extLst>
    </bk>
    <bk>
      <extLst>
        <ext uri="{3e2802c4-a4d2-4d8b-9148-e3be6c30e623}">
          <xlrd:rvb i="1316"/>
        </ext>
      </extLst>
    </bk>
    <bk>
      <extLst>
        <ext uri="{3e2802c4-a4d2-4d8b-9148-e3be6c30e623}">
          <xlrd:rvb i="1317"/>
        </ext>
      </extLst>
    </bk>
    <bk>
      <extLst>
        <ext uri="{3e2802c4-a4d2-4d8b-9148-e3be6c30e623}">
          <xlrd:rvb i="1318"/>
        </ext>
      </extLst>
    </bk>
    <bk>
      <extLst>
        <ext uri="{3e2802c4-a4d2-4d8b-9148-e3be6c30e623}">
          <xlrd:rvb i="1319"/>
        </ext>
      </extLst>
    </bk>
    <bk>
      <extLst>
        <ext uri="{3e2802c4-a4d2-4d8b-9148-e3be6c30e623}">
          <xlrd:rvb i="1320"/>
        </ext>
      </extLst>
    </bk>
    <bk>
      <extLst>
        <ext uri="{3e2802c4-a4d2-4d8b-9148-e3be6c30e623}">
          <xlrd:rvb i="1321"/>
        </ext>
      </extLst>
    </bk>
    <bk>
      <extLst>
        <ext uri="{3e2802c4-a4d2-4d8b-9148-e3be6c30e623}">
          <xlrd:rvb i="1322"/>
        </ext>
      </extLst>
    </bk>
    <bk>
      <extLst>
        <ext uri="{3e2802c4-a4d2-4d8b-9148-e3be6c30e623}">
          <xlrd:rvb i="1323"/>
        </ext>
      </extLst>
    </bk>
    <bk>
      <extLst>
        <ext uri="{3e2802c4-a4d2-4d8b-9148-e3be6c30e623}">
          <xlrd:rvb i="1324"/>
        </ext>
      </extLst>
    </bk>
    <bk>
      <extLst>
        <ext uri="{3e2802c4-a4d2-4d8b-9148-e3be6c30e623}">
          <xlrd:rvb i="1325"/>
        </ext>
      </extLst>
    </bk>
    <bk>
      <extLst>
        <ext uri="{3e2802c4-a4d2-4d8b-9148-e3be6c30e623}">
          <xlrd:rvb i="1326"/>
        </ext>
      </extLst>
    </bk>
    <bk>
      <extLst>
        <ext uri="{3e2802c4-a4d2-4d8b-9148-e3be6c30e623}">
          <xlrd:rvb i="1327"/>
        </ext>
      </extLst>
    </bk>
    <bk>
      <extLst>
        <ext uri="{3e2802c4-a4d2-4d8b-9148-e3be6c30e623}">
          <xlrd:rvb i="1328"/>
        </ext>
      </extLst>
    </bk>
    <bk>
      <extLst>
        <ext uri="{3e2802c4-a4d2-4d8b-9148-e3be6c30e623}">
          <xlrd:rvb i="1329"/>
        </ext>
      </extLst>
    </bk>
    <bk>
      <extLst>
        <ext uri="{3e2802c4-a4d2-4d8b-9148-e3be6c30e623}">
          <xlrd:rvb i="1330"/>
        </ext>
      </extLst>
    </bk>
    <bk>
      <extLst>
        <ext uri="{3e2802c4-a4d2-4d8b-9148-e3be6c30e623}">
          <xlrd:rvb i="1331"/>
        </ext>
      </extLst>
    </bk>
    <bk>
      <extLst>
        <ext uri="{3e2802c4-a4d2-4d8b-9148-e3be6c30e623}">
          <xlrd:rvb i="1332"/>
        </ext>
      </extLst>
    </bk>
    <bk>
      <extLst>
        <ext uri="{3e2802c4-a4d2-4d8b-9148-e3be6c30e623}">
          <xlrd:rvb i="1333"/>
        </ext>
      </extLst>
    </bk>
    <bk>
      <extLst>
        <ext uri="{3e2802c4-a4d2-4d8b-9148-e3be6c30e623}">
          <xlrd:rvb i="1334"/>
        </ext>
      </extLst>
    </bk>
    <bk>
      <extLst>
        <ext uri="{3e2802c4-a4d2-4d8b-9148-e3be6c30e623}">
          <xlrd:rvb i="1335"/>
        </ext>
      </extLst>
    </bk>
    <bk>
      <extLst>
        <ext uri="{3e2802c4-a4d2-4d8b-9148-e3be6c30e623}">
          <xlrd:rvb i="1336"/>
        </ext>
      </extLst>
    </bk>
    <bk>
      <extLst>
        <ext uri="{3e2802c4-a4d2-4d8b-9148-e3be6c30e623}">
          <xlrd:rvb i="1337"/>
        </ext>
      </extLst>
    </bk>
    <bk>
      <extLst>
        <ext uri="{3e2802c4-a4d2-4d8b-9148-e3be6c30e623}">
          <xlrd:rvb i="1338"/>
        </ext>
      </extLst>
    </bk>
    <bk>
      <extLst>
        <ext uri="{3e2802c4-a4d2-4d8b-9148-e3be6c30e623}">
          <xlrd:rvb i="1339"/>
        </ext>
      </extLst>
    </bk>
    <bk>
      <extLst>
        <ext uri="{3e2802c4-a4d2-4d8b-9148-e3be6c30e623}">
          <xlrd:rvb i="1340"/>
        </ext>
      </extLst>
    </bk>
    <bk>
      <extLst>
        <ext uri="{3e2802c4-a4d2-4d8b-9148-e3be6c30e623}">
          <xlrd:rvb i="1341"/>
        </ext>
      </extLst>
    </bk>
    <bk>
      <extLst>
        <ext uri="{3e2802c4-a4d2-4d8b-9148-e3be6c30e623}">
          <xlrd:rvb i="1342"/>
        </ext>
      </extLst>
    </bk>
    <bk>
      <extLst>
        <ext uri="{3e2802c4-a4d2-4d8b-9148-e3be6c30e623}">
          <xlrd:rvb i="1343"/>
        </ext>
      </extLst>
    </bk>
    <bk>
      <extLst>
        <ext uri="{3e2802c4-a4d2-4d8b-9148-e3be6c30e623}">
          <xlrd:rvb i="1344"/>
        </ext>
      </extLst>
    </bk>
    <bk>
      <extLst>
        <ext uri="{3e2802c4-a4d2-4d8b-9148-e3be6c30e623}">
          <xlrd:rvb i="1345"/>
        </ext>
      </extLst>
    </bk>
    <bk>
      <extLst>
        <ext uri="{3e2802c4-a4d2-4d8b-9148-e3be6c30e623}">
          <xlrd:rvb i="1346"/>
        </ext>
      </extLst>
    </bk>
    <bk>
      <extLst>
        <ext uri="{3e2802c4-a4d2-4d8b-9148-e3be6c30e623}">
          <xlrd:rvb i="1347"/>
        </ext>
      </extLst>
    </bk>
    <bk>
      <extLst>
        <ext uri="{3e2802c4-a4d2-4d8b-9148-e3be6c30e623}">
          <xlrd:rvb i="1348"/>
        </ext>
      </extLst>
    </bk>
    <bk>
      <extLst>
        <ext uri="{3e2802c4-a4d2-4d8b-9148-e3be6c30e623}">
          <xlrd:rvb i="1349"/>
        </ext>
      </extLst>
    </bk>
    <bk>
      <extLst>
        <ext uri="{3e2802c4-a4d2-4d8b-9148-e3be6c30e623}">
          <xlrd:rvb i="1350"/>
        </ext>
      </extLst>
    </bk>
    <bk>
      <extLst>
        <ext uri="{3e2802c4-a4d2-4d8b-9148-e3be6c30e623}">
          <xlrd:rvb i="1351"/>
        </ext>
      </extLst>
    </bk>
    <bk>
      <extLst>
        <ext uri="{3e2802c4-a4d2-4d8b-9148-e3be6c30e623}">
          <xlrd:rvb i="1352"/>
        </ext>
      </extLst>
    </bk>
    <bk>
      <extLst>
        <ext uri="{3e2802c4-a4d2-4d8b-9148-e3be6c30e623}">
          <xlrd:rvb i="1353"/>
        </ext>
      </extLst>
    </bk>
    <bk>
      <extLst>
        <ext uri="{3e2802c4-a4d2-4d8b-9148-e3be6c30e623}">
          <xlrd:rvb i="1354"/>
        </ext>
      </extLst>
    </bk>
    <bk>
      <extLst>
        <ext uri="{3e2802c4-a4d2-4d8b-9148-e3be6c30e623}">
          <xlrd:rvb i="1355"/>
        </ext>
      </extLst>
    </bk>
    <bk>
      <extLst>
        <ext uri="{3e2802c4-a4d2-4d8b-9148-e3be6c30e623}">
          <xlrd:rvb i="1356"/>
        </ext>
      </extLst>
    </bk>
    <bk>
      <extLst>
        <ext uri="{3e2802c4-a4d2-4d8b-9148-e3be6c30e623}">
          <xlrd:rvb i="1357"/>
        </ext>
      </extLst>
    </bk>
    <bk>
      <extLst>
        <ext uri="{3e2802c4-a4d2-4d8b-9148-e3be6c30e623}">
          <xlrd:rvb i="1358"/>
        </ext>
      </extLst>
    </bk>
    <bk>
      <extLst>
        <ext uri="{3e2802c4-a4d2-4d8b-9148-e3be6c30e623}">
          <xlrd:rvb i="1359"/>
        </ext>
      </extLst>
    </bk>
    <bk>
      <extLst>
        <ext uri="{3e2802c4-a4d2-4d8b-9148-e3be6c30e623}">
          <xlrd:rvb i="1360"/>
        </ext>
      </extLst>
    </bk>
    <bk>
      <extLst>
        <ext uri="{3e2802c4-a4d2-4d8b-9148-e3be6c30e623}">
          <xlrd:rvb i="1361"/>
        </ext>
      </extLst>
    </bk>
    <bk>
      <extLst>
        <ext uri="{3e2802c4-a4d2-4d8b-9148-e3be6c30e623}">
          <xlrd:rvb i="1362"/>
        </ext>
      </extLst>
    </bk>
    <bk>
      <extLst>
        <ext uri="{3e2802c4-a4d2-4d8b-9148-e3be6c30e623}">
          <xlrd:rvb i="1363"/>
        </ext>
      </extLst>
    </bk>
    <bk>
      <extLst>
        <ext uri="{3e2802c4-a4d2-4d8b-9148-e3be6c30e623}">
          <xlrd:rvb i="1364"/>
        </ext>
      </extLst>
    </bk>
    <bk>
      <extLst>
        <ext uri="{3e2802c4-a4d2-4d8b-9148-e3be6c30e623}">
          <xlrd:rvb i="1365"/>
        </ext>
      </extLst>
    </bk>
    <bk>
      <extLst>
        <ext uri="{3e2802c4-a4d2-4d8b-9148-e3be6c30e623}">
          <xlrd:rvb i="1366"/>
        </ext>
      </extLst>
    </bk>
    <bk>
      <extLst>
        <ext uri="{3e2802c4-a4d2-4d8b-9148-e3be6c30e623}">
          <xlrd:rvb i="1367"/>
        </ext>
      </extLst>
    </bk>
    <bk>
      <extLst>
        <ext uri="{3e2802c4-a4d2-4d8b-9148-e3be6c30e623}">
          <xlrd:rvb i="1368"/>
        </ext>
      </extLst>
    </bk>
    <bk>
      <extLst>
        <ext uri="{3e2802c4-a4d2-4d8b-9148-e3be6c30e623}">
          <xlrd:rvb i="1369"/>
        </ext>
      </extLst>
    </bk>
    <bk>
      <extLst>
        <ext uri="{3e2802c4-a4d2-4d8b-9148-e3be6c30e623}">
          <xlrd:rvb i="1370"/>
        </ext>
      </extLst>
    </bk>
    <bk>
      <extLst>
        <ext uri="{3e2802c4-a4d2-4d8b-9148-e3be6c30e623}">
          <xlrd:rvb i="1371"/>
        </ext>
      </extLst>
    </bk>
    <bk>
      <extLst>
        <ext uri="{3e2802c4-a4d2-4d8b-9148-e3be6c30e623}">
          <xlrd:rvb i="1372"/>
        </ext>
      </extLst>
    </bk>
    <bk>
      <extLst>
        <ext uri="{3e2802c4-a4d2-4d8b-9148-e3be6c30e623}">
          <xlrd:rvb i="1373"/>
        </ext>
      </extLst>
    </bk>
    <bk>
      <extLst>
        <ext uri="{3e2802c4-a4d2-4d8b-9148-e3be6c30e623}">
          <xlrd:rvb i="1374"/>
        </ext>
      </extLst>
    </bk>
    <bk>
      <extLst>
        <ext uri="{3e2802c4-a4d2-4d8b-9148-e3be6c30e623}">
          <xlrd:rvb i="1375"/>
        </ext>
      </extLst>
    </bk>
    <bk>
      <extLst>
        <ext uri="{3e2802c4-a4d2-4d8b-9148-e3be6c30e623}">
          <xlrd:rvb i="1376"/>
        </ext>
      </extLst>
    </bk>
    <bk>
      <extLst>
        <ext uri="{3e2802c4-a4d2-4d8b-9148-e3be6c30e623}">
          <xlrd:rvb i="1377"/>
        </ext>
      </extLst>
    </bk>
    <bk>
      <extLst>
        <ext uri="{3e2802c4-a4d2-4d8b-9148-e3be6c30e623}">
          <xlrd:rvb i="1378"/>
        </ext>
      </extLst>
    </bk>
    <bk>
      <extLst>
        <ext uri="{3e2802c4-a4d2-4d8b-9148-e3be6c30e623}">
          <xlrd:rvb i="1379"/>
        </ext>
      </extLst>
    </bk>
    <bk>
      <extLst>
        <ext uri="{3e2802c4-a4d2-4d8b-9148-e3be6c30e623}">
          <xlrd:rvb i="1380"/>
        </ext>
      </extLst>
    </bk>
    <bk>
      <extLst>
        <ext uri="{3e2802c4-a4d2-4d8b-9148-e3be6c30e623}">
          <xlrd:rvb i="1381"/>
        </ext>
      </extLst>
    </bk>
    <bk>
      <extLst>
        <ext uri="{3e2802c4-a4d2-4d8b-9148-e3be6c30e623}">
          <xlrd:rvb i="1382"/>
        </ext>
      </extLst>
    </bk>
    <bk>
      <extLst>
        <ext uri="{3e2802c4-a4d2-4d8b-9148-e3be6c30e623}">
          <xlrd:rvb i="1383"/>
        </ext>
      </extLst>
    </bk>
    <bk>
      <extLst>
        <ext uri="{3e2802c4-a4d2-4d8b-9148-e3be6c30e623}">
          <xlrd:rvb i="1384"/>
        </ext>
      </extLst>
    </bk>
    <bk>
      <extLst>
        <ext uri="{3e2802c4-a4d2-4d8b-9148-e3be6c30e623}">
          <xlrd:rvb i="1385"/>
        </ext>
      </extLst>
    </bk>
    <bk>
      <extLst>
        <ext uri="{3e2802c4-a4d2-4d8b-9148-e3be6c30e623}">
          <xlrd:rvb i="1386"/>
        </ext>
      </extLst>
    </bk>
    <bk>
      <extLst>
        <ext uri="{3e2802c4-a4d2-4d8b-9148-e3be6c30e623}">
          <xlrd:rvb i="1387"/>
        </ext>
      </extLst>
    </bk>
    <bk>
      <extLst>
        <ext uri="{3e2802c4-a4d2-4d8b-9148-e3be6c30e623}">
          <xlrd:rvb i="1388"/>
        </ext>
      </extLst>
    </bk>
    <bk>
      <extLst>
        <ext uri="{3e2802c4-a4d2-4d8b-9148-e3be6c30e623}">
          <xlrd:rvb i="1389"/>
        </ext>
      </extLst>
    </bk>
    <bk>
      <extLst>
        <ext uri="{3e2802c4-a4d2-4d8b-9148-e3be6c30e623}">
          <xlrd:rvb i="1390"/>
        </ext>
      </extLst>
    </bk>
    <bk>
      <extLst>
        <ext uri="{3e2802c4-a4d2-4d8b-9148-e3be6c30e623}">
          <xlrd:rvb i="1391"/>
        </ext>
      </extLst>
    </bk>
    <bk>
      <extLst>
        <ext uri="{3e2802c4-a4d2-4d8b-9148-e3be6c30e623}">
          <xlrd:rvb i="1392"/>
        </ext>
      </extLst>
    </bk>
    <bk>
      <extLst>
        <ext uri="{3e2802c4-a4d2-4d8b-9148-e3be6c30e623}">
          <xlrd:rvb i="1393"/>
        </ext>
      </extLst>
    </bk>
    <bk>
      <extLst>
        <ext uri="{3e2802c4-a4d2-4d8b-9148-e3be6c30e623}">
          <xlrd:rvb i="1394"/>
        </ext>
      </extLst>
    </bk>
    <bk>
      <extLst>
        <ext uri="{3e2802c4-a4d2-4d8b-9148-e3be6c30e623}">
          <xlrd:rvb i="1395"/>
        </ext>
      </extLst>
    </bk>
    <bk>
      <extLst>
        <ext uri="{3e2802c4-a4d2-4d8b-9148-e3be6c30e623}">
          <xlrd:rvb i="1396"/>
        </ext>
      </extLst>
    </bk>
    <bk>
      <extLst>
        <ext uri="{3e2802c4-a4d2-4d8b-9148-e3be6c30e623}">
          <xlrd:rvb i="1397"/>
        </ext>
      </extLst>
    </bk>
    <bk>
      <extLst>
        <ext uri="{3e2802c4-a4d2-4d8b-9148-e3be6c30e623}">
          <xlrd:rvb i="1398"/>
        </ext>
      </extLst>
    </bk>
    <bk>
      <extLst>
        <ext uri="{3e2802c4-a4d2-4d8b-9148-e3be6c30e623}">
          <xlrd:rvb i="1399"/>
        </ext>
      </extLst>
    </bk>
    <bk>
      <extLst>
        <ext uri="{3e2802c4-a4d2-4d8b-9148-e3be6c30e623}">
          <xlrd:rvb i="1400"/>
        </ext>
      </extLst>
    </bk>
    <bk>
      <extLst>
        <ext uri="{3e2802c4-a4d2-4d8b-9148-e3be6c30e623}">
          <xlrd:rvb i="1401"/>
        </ext>
      </extLst>
    </bk>
    <bk>
      <extLst>
        <ext uri="{3e2802c4-a4d2-4d8b-9148-e3be6c30e623}">
          <xlrd:rvb i="1402"/>
        </ext>
      </extLst>
    </bk>
    <bk>
      <extLst>
        <ext uri="{3e2802c4-a4d2-4d8b-9148-e3be6c30e623}">
          <xlrd:rvb i="1403"/>
        </ext>
      </extLst>
    </bk>
    <bk>
      <extLst>
        <ext uri="{3e2802c4-a4d2-4d8b-9148-e3be6c30e623}">
          <xlrd:rvb i="1404"/>
        </ext>
      </extLst>
    </bk>
    <bk>
      <extLst>
        <ext uri="{3e2802c4-a4d2-4d8b-9148-e3be6c30e623}">
          <xlrd:rvb i="1405"/>
        </ext>
      </extLst>
    </bk>
    <bk>
      <extLst>
        <ext uri="{3e2802c4-a4d2-4d8b-9148-e3be6c30e623}">
          <xlrd:rvb i="1406"/>
        </ext>
      </extLst>
    </bk>
    <bk>
      <extLst>
        <ext uri="{3e2802c4-a4d2-4d8b-9148-e3be6c30e623}">
          <xlrd:rvb i="1407"/>
        </ext>
      </extLst>
    </bk>
    <bk>
      <extLst>
        <ext uri="{3e2802c4-a4d2-4d8b-9148-e3be6c30e623}">
          <xlrd:rvb i="1408"/>
        </ext>
      </extLst>
    </bk>
    <bk>
      <extLst>
        <ext uri="{3e2802c4-a4d2-4d8b-9148-e3be6c30e623}">
          <xlrd:rvb i="1409"/>
        </ext>
      </extLst>
    </bk>
    <bk>
      <extLst>
        <ext uri="{3e2802c4-a4d2-4d8b-9148-e3be6c30e623}">
          <xlrd:rvb i="1410"/>
        </ext>
      </extLst>
    </bk>
    <bk>
      <extLst>
        <ext uri="{3e2802c4-a4d2-4d8b-9148-e3be6c30e623}">
          <xlrd:rvb i="1411"/>
        </ext>
      </extLst>
    </bk>
    <bk>
      <extLst>
        <ext uri="{3e2802c4-a4d2-4d8b-9148-e3be6c30e623}">
          <xlrd:rvb i="1412"/>
        </ext>
      </extLst>
    </bk>
    <bk>
      <extLst>
        <ext uri="{3e2802c4-a4d2-4d8b-9148-e3be6c30e623}">
          <xlrd:rvb i="1413"/>
        </ext>
      </extLst>
    </bk>
    <bk>
      <extLst>
        <ext uri="{3e2802c4-a4d2-4d8b-9148-e3be6c30e623}">
          <xlrd:rvb i="1414"/>
        </ext>
      </extLst>
    </bk>
    <bk>
      <extLst>
        <ext uri="{3e2802c4-a4d2-4d8b-9148-e3be6c30e623}">
          <xlrd:rvb i="1415"/>
        </ext>
      </extLst>
    </bk>
    <bk>
      <extLst>
        <ext uri="{3e2802c4-a4d2-4d8b-9148-e3be6c30e623}">
          <xlrd:rvb i="1416"/>
        </ext>
      </extLst>
    </bk>
    <bk>
      <extLst>
        <ext uri="{3e2802c4-a4d2-4d8b-9148-e3be6c30e623}">
          <xlrd:rvb i="1417"/>
        </ext>
      </extLst>
    </bk>
    <bk>
      <extLst>
        <ext uri="{3e2802c4-a4d2-4d8b-9148-e3be6c30e623}">
          <xlrd:rvb i="1418"/>
        </ext>
      </extLst>
    </bk>
    <bk>
      <extLst>
        <ext uri="{3e2802c4-a4d2-4d8b-9148-e3be6c30e623}">
          <xlrd:rvb i="1419"/>
        </ext>
      </extLst>
    </bk>
    <bk>
      <extLst>
        <ext uri="{3e2802c4-a4d2-4d8b-9148-e3be6c30e623}">
          <xlrd:rvb i="1420"/>
        </ext>
      </extLst>
    </bk>
    <bk>
      <extLst>
        <ext uri="{3e2802c4-a4d2-4d8b-9148-e3be6c30e623}">
          <xlrd:rvb i="1421"/>
        </ext>
      </extLst>
    </bk>
    <bk>
      <extLst>
        <ext uri="{3e2802c4-a4d2-4d8b-9148-e3be6c30e623}">
          <xlrd:rvb i="1422"/>
        </ext>
      </extLst>
    </bk>
    <bk>
      <extLst>
        <ext uri="{3e2802c4-a4d2-4d8b-9148-e3be6c30e623}">
          <xlrd:rvb i="1423"/>
        </ext>
      </extLst>
    </bk>
    <bk>
      <extLst>
        <ext uri="{3e2802c4-a4d2-4d8b-9148-e3be6c30e623}">
          <xlrd:rvb i="1424"/>
        </ext>
      </extLst>
    </bk>
    <bk>
      <extLst>
        <ext uri="{3e2802c4-a4d2-4d8b-9148-e3be6c30e623}">
          <xlrd:rvb i="1425"/>
        </ext>
      </extLst>
    </bk>
    <bk>
      <extLst>
        <ext uri="{3e2802c4-a4d2-4d8b-9148-e3be6c30e623}">
          <xlrd:rvb i="1426"/>
        </ext>
      </extLst>
    </bk>
    <bk>
      <extLst>
        <ext uri="{3e2802c4-a4d2-4d8b-9148-e3be6c30e623}">
          <xlrd:rvb i="1427"/>
        </ext>
      </extLst>
    </bk>
    <bk>
      <extLst>
        <ext uri="{3e2802c4-a4d2-4d8b-9148-e3be6c30e623}">
          <xlrd:rvb i="1428"/>
        </ext>
      </extLst>
    </bk>
    <bk>
      <extLst>
        <ext uri="{3e2802c4-a4d2-4d8b-9148-e3be6c30e623}">
          <xlrd:rvb i="1429"/>
        </ext>
      </extLst>
    </bk>
    <bk>
      <extLst>
        <ext uri="{3e2802c4-a4d2-4d8b-9148-e3be6c30e623}">
          <xlrd:rvb i="1430"/>
        </ext>
      </extLst>
    </bk>
    <bk>
      <extLst>
        <ext uri="{3e2802c4-a4d2-4d8b-9148-e3be6c30e623}">
          <xlrd:rvb i="1431"/>
        </ext>
      </extLst>
    </bk>
    <bk>
      <extLst>
        <ext uri="{3e2802c4-a4d2-4d8b-9148-e3be6c30e623}">
          <xlrd:rvb i="1432"/>
        </ext>
      </extLst>
    </bk>
    <bk>
      <extLst>
        <ext uri="{3e2802c4-a4d2-4d8b-9148-e3be6c30e623}">
          <xlrd:rvb i="1433"/>
        </ext>
      </extLst>
    </bk>
    <bk>
      <extLst>
        <ext uri="{3e2802c4-a4d2-4d8b-9148-e3be6c30e623}">
          <xlrd:rvb i="1434"/>
        </ext>
      </extLst>
    </bk>
    <bk>
      <extLst>
        <ext uri="{3e2802c4-a4d2-4d8b-9148-e3be6c30e623}">
          <xlrd:rvb i="1435"/>
        </ext>
      </extLst>
    </bk>
    <bk>
      <extLst>
        <ext uri="{3e2802c4-a4d2-4d8b-9148-e3be6c30e623}">
          <xlrd:rvb i="1436"/>
        </ext>
      </extLst>
    </bk>
    <bk>
      <extLst>
        <ext uri="{3e2802c4-a4d2-4d8b-9148-e3be6c30e623}">
          <xlrd:rvb i="1437"/>
        </ext>
      </extLst>
    </bk>
    <bk>
      <extLst>
        <ext uri="{3e2802c4-a4d2-4d8b-9148-e3be6c30e623}">
          <xlrd:rvb i="1438"/>
        </ext>
      </extLst>
    </bk>
    <bk>
      <extLst>
        <ext uri="{3e2802c4-a4d2-4d8b-9148-e3be6c30e623}">
          <xlrd:rvb i="1439"/>
        </ext>
      </extLst>
    </bk>
    <bk>
      <extLst>
        <ext uri="{3e2802c4-a4d2-4d8b-9148-e3be6c30e623}">
          <xlrd:rvb i="1440"/>
        </ext>
      </extLst>
    </bk>
    <bk>
      <extLst>
        <ext uri="{3e2802c4-a4d2-4d8b-9148-e3be6c30e623}">
          <xlrd:rvb i="1441"/>
        </ext>
      </extLst>
    </bk>
    <bk>
      <extLst>
        <ext uri="{3e2802c4-a4d2-4d8b-9148-e3be6c30e623}">
          <xlrd:rvb i="1442"/>
        </ext>
      </extLst>
    </bk>
    <bk>
      <extLst>
        <ext uri="{3e2802c4-a4d2-4d8b-9148-e3be6c30e623}">
          <xlrd:rvb i="1443"/>
        </ext>
      </extLst>
    </bk>
    <bk>
      <extLst>
        <ext uri="{3e2802c4-a4d2-4d8b-9148-e3be6c30e623}">
          <xlrd:rvb i="1444"/>
        </ext>
      </extLst>
    </bk>
    <bk>
      <extLst>
        <ext uri="{3e2802c4-a4d2-4d8b-9148-e3be6c30e623}">
          <xlrd:rvb i="1445"/>
        </ext>
      </extLst>
    </bk>
    <bk>
      <extLst>
        <ext uri="{3e2802c4-a4d2-4d8b-9148-e3be6c30e623}">
          <xlrd:rvb i="1446"/>
        </ext>
      </extLst>
    </bk>
    <bk>
      <extLst>
        <ext uri="{3e2802c4-a4d2-4d8b-9148-e3be6c30e623}">
          <xlrd:rvb i="1447"/>
        </ext>
      </extLst>
    </bk>
    <bk>
      <extLst>
        <ext uri="{3e2802c4-a4d2-4d8b-9148-e3be6c30e623}">
          <xlrd:rvb i="1448"/>
        </ext>
      </extLst>
    </bk>
    <bk>
      <extLst>
        <ext uri="{3e2802c4-a4d2-4d8b-9148-e3be6c30e623}">
          <xlrd:rvb i="1449"/>
        </ext>
      </extLst>
    </bk>
    <bk>
      <extLst>
        <ext uri="{3e2802c4-a4d2-4d8b-9148-e3be6c30e623}">
          <xlrd:rvb i="1450"/>
        </ext>
      </extLst>
    </bk>
    <bk>
      <extLst>
        <ext uri="{3e2802c4-a4d2-4d8b-9148-e3be6c30e623}">
          <xlrd:rvb i="1451"/>
        </ext>
      </extLst>
    </bk>
    <bk>
      <extLst>
        <ext uri="{3e2802c4-a4d2-4d8b-9148-e3be6c30e623}">
          <xlrd:rvb i="1452"/>
        </ext>
      </extLst>
    </bk>
    <bk>
      <extLst>
        <ext uri="{3e2802c4-a4d2-4d8b-9148-e3be6c30e623}">
          <xlrd:rvb i="1453"/>
        </ext>
      </extLst>
    </bk>
    <bk>
      <extLst>
        <ext uri="{3e2802c4-a4d2-4d8b-9148-e3be6c30e623}">
          <xlrd:rvb i="1454"/>
        </ext>
      </extLst>
    </bk>
    <bk>
      <extLst>
        <ext uri="{3e2802c4-a4d2-4d8b-9148-e3be6c30e623}">
          <xlrd:rvb i="1455"/>
        </ext>
      </extLst>
    </bk>
    <bk>
      <extLst>
        <ext uri="{3e2802c4-a4d2-4d8b-9148-e3be6c30e623}">
          <xlrd:rvb i="1456"/>
        </ext>
      </extLst>
    </bk>
    <bk>
      <extLst>
        <ext uri="{3e2802c4-a4d2-4d8b-9148-e3be6c30e623}">
          <xlrd:rvb i="1457"/>
        </ext>
      </extLst>
    </bk>
    <bk>
      <extLst>
        <ext uri="{3e2802c4-a4d2-4d8b-9148-e3be6c30e623}">
          <xlrd:rvb i="1458"/>
        </ext>
      </extLst>
    </bk>
    <bk>
      <extLst>
        <ext uri="{3e2802c4-a4d2-4d8b-9148-e3be6c30e623}">
          <xlrd:rvb i="1459"/>
        </ext>
      </extLst>
    </bk>
    <bk>
      <extLst>
        <ext uri="{3e2802c4-a4d2-4d8b-9148-e3be6c30e623}">
          <xlrd:rvb i="1460"/>
        </ext>
      </extLst>
    </bk>
    <bk>
      <extLst>
        <ext uri="{3e2802c4-a4d2-4d8b-9148-e3be6c30e623}">
          <xlrd:rvb i="1461"/>
        </ext>
      </extLst>
    </bk>
    <bk>
      <extLst>
        <ext uri="{3e2802c4-a4d2-4d8b-9148-e3be6c30e623}">
          <xlrd:rvb i="1462"/>
        </ext>
      </extLst>
    </bk>
    <bk>
      <extLst>
        <ext uri="{3e2802c4-a4d2-4d8b-9148-e3be6c30e623}">
          <xlrd:rvb i="1463"/>
        </ext>
      </extLst>
    </bk>
    <bk>
      <extLst>
        <ext uri="{3e2802c4-a4d2-4d8b-9148-e3be6c30e623}">
          <xlrd:rvb i="1464"/>
        </ext>
      </extLst>
    </bk>
    <bk>
      <extLst>
        <ext uri="{3e2802c4-a4d2-4d8b-9148-e3be6c30e623}">
          <xlrd:rvb i="1465"/>
        </ext>
      </extLst>
    </bk>
    <bk>
      <extLst>
        <ext uri="{3e2802c4-a4d2-4d8b-9148-e3be6c30e623}">
          <xlrd:rvb i="1466"/>
        </ext>
      </extLst>
    </bk>
    <bk>
      <extLst>
        <ext uri="{3e2802c4-a4d2-4d8b-9148-e3be6c30e623}">
          <xlrd:rvb i="1467"/>
        </ext>
      </extLst>
    </bk>
    <bk>
      <extLst>
        <ext uri="{3e2802c4-a4d2-4d8b-9148-e3be6c30e623}">
          <xlrd:rvb i="1468"/>
        </ext>
      </extLst>
    </bk>
    <bk>
      <extLst>
        <ext uri="{3e2802c4-a4d2-4d8b-9148-e3be6c30e623}">
          <xlrd:rvb i="1469"/>
        </ext>
      </extLst>
    </bk>
    <bk>
      <extLst>
        <ext uri="{3e2802c4-a4d2-4d8b-9148-e3be6c30e623}">
          <xlrd:rvb i="1470"/>
        </ext>
      </extLst>
    </bk>
    <bk>
      <extLst>
        <ext uri="{3e2802c4-a4d2-4d8b-9148-e3be6c30e623}">
          <xlrd:rvb i="1471"/>
        </ext>
      </extLst>
    </bk>
    <bk>
      <extLst>
        <ext uri="{3e2802c4-a4d2-4d8b-9148-e3be6c30e623}">
          <xlrd:rvb i="1472"/>
        </ext>
      </extLst>
    </bk>
    <bk>
      <extLst>
        <ext uri="{3e2802c4-a4d2-4d8b-9148-e3be6c30e623}">
          <xlrd:rvb i="1473"/>
        </ext>
      </extLst>
    </bk>
    <bk>
      <extLst>
        <ext uri="{3e2802c4-a4d2-4d8b-9148-e3be6c30e623}">
          <xlrd:rvb i="1474"/>
        </ext>
      </extLst>
    </bk>
    <bk>
      <extLst>
        <ext uri="{3e2802c4-a4d2-4d8b-9148-e3be6c30e623}">
          <xlrd:rvb i="1475"/>
        </ext>
      </extLst>
    </bk>
    <bk>
      <extLst>
        <ext uri="{3e2802c4-a4d2-4d8b-9148-e3be6c30e623}">
          <xlrd:rvb i="1476"/>
        </ext>
      </extLst>
    </bk>
    <bk>
      <extLst>
        <ext uri="{3e2802c4-a4d2-4d8b-9148-e3be6c30e623}">
          <xlrd:rvb i="1477"/>
        </ext>
      </extLst>
    </bk>
    <bk>
      <extLst>
        <ext uri="{3e2802c4-a4d2-4d8b-9148-e3be6c30e623}">
          <xlrd:rvb i="1478"/>
        </ext>
      </extLst>
    </bk>
    <bk>
      <extLst>
        <ext uri="{3e2802c4-a4d2-4d8b-9148-e3be6c30e623}">
          <xlrd:rvb i="1479"/>
        </ext>
      </extLst>
    </bk>
    <bk>
      <extLst>
        <ext uri="{3e2802c4-a4d2-4d8b-9148-e3be6c30e623}">
          <xlrd:rvb i="1480"/>
        </ext>
      </extLst>
    </bk>
    <bk>
      <extLst>
        <ext uri="{3e2802c4-a4d2-4d8b-9148-e3be6c30e623}">
          <xlrd:rvb i="1481"/>
        </ext>
      </extLst>
    </bk>
    <bk>
      <extLst>
        <ext uri="{3e2802c4-a4d2-4d8b-9148-e3be6c30e623}">
          <xlrd:rvb i="1482"/>
        </ext>
      </extLst>
    </bk>
    <bk>
      <extLst>
        <ext uri="{3e2802c4-a4d2-4d8b-9148-e3be6c30e623}">
          <xlrd:rvb i="1483"/>
        </ext>
      </extLst>
    </bk>
    <bk>
      <extLst>
        <ext uri="{3e2802c4-a4d2-4d8b-9148-e3be6c30e623}">
          <xlrd:rvb i="1484"/>
        </ext>
      </extLst>
    </bk>
    <bk>
      <extLst>
        <ext uri="{3e2802c4-a4d2-4d8b-9148-e3be6c30e623}">
          <xlrd:rvb i="1485"/>
        </ext>
      </extLst>
    </bk>
    <bk>
      <extLst>
        <ext uri="{3e2802c4-a4d2-4d8b-9148-e3be6c30e623}">
          <xlrd:rvb i="1486"/>
        </ext>
      </extLst>
    </bk>
    <bk>
      <extLst>
        <ext uri="{3e2802c4-a4d2-4d8b-9148-e3be6c30e623}">
          <xlrd:rvb i="1487"/>
        </ext>
      </extLst>
    </bk>
    <bk>
      <extLst>
        <ext uri="{3e2802c4-a4d2-4d8b-9148-e3be6c30e623}">
          <xlrd:rvb i="1488"/>
        </ext>
      </extLst>
    </bk>
    <bk>
      <extLst>
        <ext uri="{3e2802c4-a4d2-4d8b-9148-e3be6c30e623}">
          <xlrd:rvb i="1489"/>
        </ext>
      </extLst>
    </bk>
    <bk>
      <extLst>
        <ext uri="{3e2802c4-a4d2-4d8b-9148-e3be6c30e623}">
          <xlrd:rvb i="1490"/>
        </ext>
      </extLst>
    </bk>
    <bk>
      <extLst>
        <ext uri="{3e2802c4-a4d2-4d8b-9148-e3be6c30e623}">
          <xlrd:rvb i="1491"/>
        </ext>
      </extLst>
    </bk>
    <bk>
      <extLst>
        <ext uri="{3e2802c4-a4d2-4d8b-9148-e3be6c30e623}">
          <xlrd:rvb i="1492"/>
        </ext>
      </extLst>
    </bk>
    <bk>
      <extLst>
        <ext uri="{3e2802c4-a4d2-4d8b-9148-e3be6c30e623}">
          <xlrd:rvb i="1493"/>
        </ext>
      </extLst>
    </bk>
    <bk>
      <extLst>
        <ext uri="{3e2802c4-a4d2-4d8b-9148-e3be6c30e623}">
          <xlrd:rvb i="1494"/>
        </ext>
      </extLst>
    </bk>
    <bk>
      <extLst>
        <ext uri="{3e2802c4-a4d2-4d8b-9148-e3be6c30e623}">
          <xlrd:rvb i="1495"/>
        </ext>
      </extLst>
    </bk>
    <bk>
      <extLst>
        <ext uri="{3e2802c4-a4d2-4d8b-9148-e3be6c30e623}">
          <xlrd:rvb i="1496"/>
        </ext>
      </extLst>
    </bk>
    <bk>
      <extLst>
        <ext uri="{3e2802c4-a4d2-4d8b-9148-e3be6c30e623}">
          <xlrd:rvb i="1497"/>
        </ext>
      </extLst>
    </bk>
    <bk>
      <extLst>
        <ext uri="{3e2802c4-a4d2-4d8b-9148-e3be6c30e623}">
          <xlrd:rvb i="1498"/>
        </ext>
      </extLst>
    </bk>
    <bk>
      <extLst>
        <ext uri="{3e2802c4-a4d2-4d8b-9148-e3be6c30e623}">
          <xlrd:rvb i="1499"/>
        </ext>
      </extLst>
    </bk>
    <bk>
      <extLst>
        <ext uri="{3e2802c4-a4d2-4d8b-9148-e3be6c30e623}">
          <xlrd:rvb i="1500"/>
        </ext>
      </extLst>
    </bk>
    <bk>
      <extLst>
        <ext uri="{3e2802c4-a4d2-4d8b-9148-e3be6c30e623}">
          <xlrd:rvb i="1501"/>
        </ext>
      </extLst>
    </bk>
    <bk>
      <extLst>
        <ext uri="{3e2802c4-a4d2-4d8b-9148-e3be6c30e623}">
          <xlrd:rvb i="1502"/>
        </ext>
      </extLst>
    </bk>
    <bk>
      <extLst>
        <ext uri="{3e2802c4-a4d2-4d8b-9148-e3be6c30e623}">
          <xlrd:rvb i="1503"/>
        </ext>
      </extLst>
    </bk>
    <bk>
      <extLst>
        <ext uri="{3e2802c4-a4d2-4d8b-9148-e3be6c30e623}">
          <xlrd:rvb i="1504"/>
        </ext>
      </extLst>
    </bk>
    <bk>
      <extLst>
        <ext uri="{3e2802c4-a4d2-4d8b-9148-e3be6c30e623}">
          <xlrd:rvb i="1505"/>
        </ext>
      </extLst>
    </bk>
    <bk>
      <extLst>
        <ext uri="{3e2802c4-a4d2-4d8b-9148-e3be6c30e623}">
          <xlrd:rvb i="1506"/>
        </ext>
      </extLst>
    </bk>
    <bk>
      <extLst>
        <ext uri="{3e2802c4-a4d2-4d8b-9148-e3be6c30e623}">
          <xlrd:rvb i="1507"/>
        </ext>
      </extLst>
    </bk>
    <bk>
      <extLst>
        <ext uri="{3e2802c4-a4d2-4d8b-9148-e3be6c30e623}">
          <xlrd:rvb i="1508"/>
        </ext>
      </extLst>
    </bk>
    <bk>
      <extLst>
        <ext uri="{3e2802c4-a4d2-4d8b-9148-e3be6c30e623}">
          <xlrd:rvb i="1509"/>
        </ext>
      </extLst>
    </bk>
    <bk>
      <extLst>
        <ext uri="{3e2802c4-a4d2-4d8b-9148-e3be6c30e623}">
          <xlrd:rvb i="1510"/>
        </ext>
      </extLst>
    </bk>
    <bk>
      <extLst>
        <ext uri="{3e2802c4-a4d2-4d8b-9148-e3be6c30e623}">
          <xlrd:rvb i="1511"/>
        </ext>
      </extLst>
    </bk>
    <bk>
      <extLst>
        <ext uri="{3e2802c4-a4d2-4d8b-9148-e3be6c30e623}">
          <xlrd:rvb i="1512"/>
        </ext>
      </extLst>
    </bk>
    <bk>
      <extLst>
        <ext uri="{3e2802c4-a4d2-4d8b-9148-e3be6c30e623}">
          <xlrd:rvb i="1513"/>
        </ext>
      </extLst>
    </bk>
    <bk>
      <extLst>
        <ext uri="{3e2802c4-a4d2-4d8b-9148-e3be6c30e623}">
          <xlrd:rvb i="1514"/>
        </ext>
      </extLst>
    </bk>
    <bk>
      <extLst>
        <ext uri="{3e2802c4-a4d2-4d8b-9148-e3be6c30e623}">
          <xlrd:rvb i="1515"/>
        </ext>
      </extLst>
    </bk>
    <bk>
      <extLst>
        <ext uri="{3e2802c4-a4d2-4d8b-9148-e3be6c30e623}">
          <xlrd:rvb i="1516"/>
        </ext>
      </extLst>
    </bk>
    <bk>
      <extLst>
        <ext uri="{3e2802c4-a4d2-4d8b-9148-e3be6c30e623}">
          <xlrd:rvb i="1517"/>
        </ext>
      </extLst>
    </bk>
    <bk>
      <extLst>
        <ext uri="{3e2802c4-a4d2-4d8b-9148-e3be6c30e623}">
          <xlrd:rvb i="1518"/>
        </ext>
      </extLst>
    </bk>
    <bk>
      <extLst>
        <ext uri="{3e2802c4-a4d2-4d8b-9148-e3be6c30e623}">
          <xlrd:rvb i="1519"/>
        </ext>
      </extLst>
    </bk>
    <bk>
      <extLst>
        <ext uri="{3e2802c4-a4d2-4d8b-9148-e3be6c30e623}">
          <xlrd:rvb i="1520"/>
        </ext>
      </extLst>
    </bk>
    <bk>
      <extLst>
        <ext uri="{3e2802c4-a4d2-4d8b-9148-e3be6c30e623}">
          <xlrd:rvb i="1521"/>
        </ext>
      </extLst>
    </bk>
    <bk>
      <extLst>
        <ext uri="{3e2802c4-a4d2-4d8b-9148-e3be6c30e623}">
          <xlrd:rvb i="1522"/>
        </ext>
      </extLst>
    </bk>
    <bk>
      <extLst>
        <ext uri="{3e2802c4-a4d2-4d8b-9148-e3be6c30e623}">
          <xlrd:rvb i="1523"/>
        </ext>
      </extLst>
    </bk>
    <bk>
      <extLst>
        <ext uri="{3e2802c4-a4d2-4d8b-9148-e3be6c30e623}">
          <xlrd:rvb i="1524"/>
        </ext>
      </extLst>
    </bk>
    <bk>
      <extLst>
        <ext uri="{3e2802c4-a4d2-4d8b-9148-e3be6c30e623}">
          <xlrd:rvb i="1525"/>
        </ext>
      </extLst>
    </bk>
    <bk>
      <extLst>
        <ext uri="{3e2802c4-a4d2-4d8b-9148-e3be6c30e623}">
          <xlrd:rvb i="1526"/>
        </ext>
      </extLst>
    </bk>
    <bk>
      <extLst>
        <ext uri="{3e2802c4-a4d2-4d8b-9148-e3be6c30e623}">
          <xlrd:rvb i="1527"/>
        </ext>
      </extLst>
    </bk>
    <bk>
      <extLst>
        <ext uri="{3e2802c4-a4d2-4d8b-9148-e3be6c30e623}">
          <xlrd:rvb i="1528"/>
        </ext>
      </extLst>
    </bk>
    <bk>
      <extLst>
        <ext uri="{3e2802c4-a4d2-4d8b-9148-e3be6c30e623}">
          <xlrd:rvb i="1529"/>
        </ext>
      </extLst>
    </bk>
    <bk>
      <extLst>
        <ext uri="{3e2802c4-a4d2-4d8b-9148-e3be6c30e623}">
          <xlrd:rvb i="1530"/>
        </ext>
      </extLst>
    </bk>
    <bk>
      <extLst>
        <ext uri="{3e2802c4-a4d2-4d8b-9148-e3be6c30e623}">
          <xlrd:rvb i="1531"/>
        </ext>
      </extLst>
    </bk>
    <bk>
      <extLst>
        <ext uri="{3e2802c4-a4d2-4d8b-9148-e3be6c30e623}">
          <xlrd:rvb i="1532"/>
        </ext>
      </extLst>
    </bk>
    <bk>
      <extLst>
        <ext uri="{3e2802c4-a4d2-4d8b-9148-e3be6c30e623}">
          <xlrd:rvb i="1533"/>
        </ext>
      </extLst>
    </bk>
    <bk>
      <extLst>
        <ext uri="{3e2802c4-a4d2-4d8b-9148-e3be6c30e623}">
          <xlrd:rvb i="1534"/>
        </ext>
      </extLst>
    </bk>
    <bk>
      <extLst>
        <ext uri="{3e2802c4-a4d2-4d8b-9148-e3be6c30e623}">
          <xlrd:rvb i="1535"/>
        </ext>
      </extLst>
    </bk>
    <bk>
      <extLst>
        <ext uri="{3e2802c4-a4d2-4d8b-9148-e3be6c30e623}">
          <xlrd:rvb i="1536"/>
        </ext>
      </extLst>
    </bk>
    <bk>
      <extLst>
        <ext uri="{3e2802c4-a4d2-4d8b-9148-e3be6c30e623}">
          <xlrd:rvb i="1537"/>
        </ext>
      </extLst>
    </bk>
    <bk>
      <extLst>
        <ext uri="{3e2802c4-a4d2-4d8b-9148-e3be6c30e623}">
          <xlrd:rvb i="1538"/>
        </ext>
      </extLst>
    </bk>
    <bk>
      <extLst>
        <ext uri="{3e2802c4-a4d2-4d8b-9148-e3be6c30e623}">
          <xlrd:rvb i="1539"/>
        </ext>
      </extLst>
    </bk>
    <bk>
      <extLst>
        <ext uri="{3e2802c4-a4d2-4d8b-9148-e3be6c30e623}">
          <xlrd:rvb i="1540"/>
        </ext>
      </extLst>
    </bk>
    <bk>
      <extLst>
        <ext uri="{3e2802c4-a4d2-4d8b-9148-e3be6c30e623}">
          <xlrd:rvb i="1541"/>
        </ext>
      </extLst>
    </bk>
    <bk>
      <extLst>
        <ext uri="{3e2802c4-a4d2-4d8b-9148-e3be6c30e623}">
          <xlrd:rvb i="1542"/>
        </ext>
      </extLst>
    </bk>
    <bk>
      <extLst>
        <ext uri="{3e2802c4-a4d2-4d8b-9148-e3be6c30e623}">
          <xlrd:rvb i="1543"/>
        </ext>
      </extLst>
    </bk>
    <bk>
      <extLst>
        <ext uri="{3e2802c4-a4d2-4d8b-9148-e3be6c30e623}">
          <xlrd:rvb i="1544"/>
        </ext>
      </extLst>
    </bk>
    <bk>
      <extLst>
        <ext uri="{3e2802c4-a4d2-4d8b-9148-e3be6c30e623}">
          <xlrd:rvb i="1545"/>
        </ext>
      </extLst>
    </bk>
    <bk>
      <extLst>
        <ext uri="{3e2802c4-a4d2-4d8b-9148-e3be6c30e623}">
          <xlrd:rvb i="1546"/>
        </ext>
      </extLst>
    </bk>
    <bk>
      <extLst>
        <ext uri="{3e2802c4-a4d2-4d8b-9148-e3be6c30e623}">
          <xlrd:rvb i="1547"/>
        </ext>
      </extLst>
    </bk>
    <bk>
      <extLst>
        <ext uri="{3e2802c4-a4d2-4d8b-9148-e3be6c30e623}">
          <xlrd:rvb i="1548"/>
        </ext>
      </extLst>
    </bk>
    <bk>
      <extLst>
        <ext uri="{3e2802c4-a4d2-4d8b-9148-e3be6c30e623}">
          <xlrd:rvb i="1549"/>
        </ext>
      </extLst>
    </bk>
    <bk>
      <extLst>
        <ext uri="{3e2802c4-a4d2-4d8b-9148-e3be6c30e623}">
          <xlrd:rvb i="1550"/>
        </ext>
      </extLst>
    </bk>
    <bk>
      <extLst>
        <ext uri="{3e2802c4-a4d2-4d8b-9148-e3be6c30e623}">
          <xlrd:rvb i="1551"/>
        </ext>
      </extLst>
    </bk>
    <bk>
      <extLst>
        <ext uri="{3e2802c4-a4d2-4d8b-9148-e3be6c30e623}">
          <xlrd:rvb i="1552"/>
        </ext>
      </extLst>
    </bk>
    <bk>
      <extLst>
        <ext uri="{3e2802c4-a4d2-4d8b-9148-e3be6c30e623}">
          <xlrd:rvb i="1553"/>
        </ext>
      </extLst>
    </bk>
    <bk>
      <extLst>
        <ext uri="{3e2802c4-a4d2-4d8b-9148-e3be6c30e623}">
          <xlrd:rvb i="1554"/>
        </ext>
      </extLst>
    </bk>
    <bk>
      <extLst>
        <ext uri="{3e2802c4-a4d2-4d8b-9148-e3be6c30e623}">
          <xlrd:rvb i="1555"/>
        </ext>
      </extLst>
    </bk>
    <bk>
      <extLst>
        <ext uri="{3e2802c4-a4d2-4d8b-9148-e3be6c30e623}">
          <xlrd:rvb i="1556"/>
        </ext>
      </extLst>
    </bk>
    <bk>
      <extLst>
        <ext uri="{3e2802c4-a4d2-4d8b-9148-e3be6c30e623}">
          <xlrd:rvb i="1557"/>
        </ext>
      </extLst>
    </bk>
    <bk>
      <extLst>
        <ext uri="{3e2802c4-a4d2-4d8b-9148-e3be6c30e623}">
          <xlrd:rvb i="1558"/>
        </ext>
      </extLst>
    </bk>
    <bk>
      <extLst>
        <ext uri="{3e2802c4-a4d2-4d8b-9148-e3be6c30e623}">
          <xlrd:rvb i="1559"/>
        </ext>
      </extLst>
    </bk>
    <bk>
      <extLst>
        <ext uri="{3e2802c4-a4d2-4d8b-9148-e3be6c30e623}">
          <xlrd:rvb i="1560"/>
        </ext>
      </extLst>
    </bk>
    <bk>
      <extLst>
        <ext uri="{3e2802c4-a4d2-4d8b-9148-e3be6c30e623}">
          <xlrd:rvb i="1561"/>
        </ext>
      </extLst>
    </bk>
    <bk>
      <extLst>
        <ext uri="{3e2802c4-a4d2-4d8b-9148-e3be6c30e623}">
          <xlrd:rvb i="1562"/>
        </ext>
      </extLst>
    </bk>
    <bk>
      <extLst>
        <ext uri="{3e2802c4-a4d2-4d8b-9148-e3be6c30e623}">
          <xlrd:rvb i="1563"/>
        </ext>
      </extLst>
    </bk>
    <bk>
      <extLst>
        <ext uri="{3e2802c4-a4d2-4d8b-9148-e3be6c30e623}">
          <xlrd:rvb i="1564"/>
        </ext>
      </extLst>
    </bk>
    <bk>
      <extLst>
        <ext uri="{3e2802c4-a4d2-4d8b-9148-e3be6c30e623}">
          <xlrd:rvb i="1565"/>
        </ext>
      </extLst>
    </bk>
    <bk>
      <extLst>
        <ext uri="{3e2802c4-a4d2-4d8b-9148-e3be6c30e623}">
          <xlrd:rvb i="1566"/>
        </ext>
      </extLst>
    </bk>
    <bk>
      <extLst>
        <ext uri="{3e2802c4-a4d2-4d8b-9148-e3be6c30e623}">
          <xlrd:rvb i="1567"/>
        </ext>
      </extLst>
    </bk>
    <bk>
      <extLst>
        <ext uri="{3e2802c4-a4d2-4d8b-9148-e3be6c30e623}">
          <xlrd:rvb i="1568"/>
        </ext>
      </extLst>
    </bk>
    <bk>
      <extLst>
        <ext uri="{3e2802c4-a4d2-4d8b-9148-e3be6c30e623}">
          <xlrd:rvb i="1569"/>
        </ext>
      </extLst>
    </bk>
    <bk>
      <extLst>
        <ext uri="{3e2802c4-a4d2-4d8b-9148-e3be6c30e623}">
          <xlrd:rvb i="1570"/>
        </ext>
      </extLst>
    </bk>
    <bk>
      <extLst>
        <ext uri="{3e2802c4-a4d2-4d8b-9148-e3be6c30e623}">
          <xlrd:rvb i="1571"/>
        </ext>
      </extLst>
    </bk>
    <bk>
      <extLst>
        <ext uri="{3e2802c4-a4d2-4d8b-9148-e3be6c30e623}">
          <xlrd:rvb i="1572"/>
        </ext>
      </extLst>
    </bk>
    <bk>
      <extLst>
        <ext uri="{3e2802c4-a4d2-4d8b-9148-e3be6c30e623}">
          <xlrd:rvb i="1573"/>
        </ext>
      </extLst>
    </bk>
    <bk>
      <extLst>
        <ext uri="{3e2802c4-a4d2-4d8b-9148-e3be6c30e623}">
          <xlrd:rvb i="1574"/>
        </ext>
      </extLst>
    </bk>
    <bk>
      <extLst>
        <ext uri="{3e2802c4-a4d2-4d8b-9148-e3be6c30e623}">
          <xlrd:rvb i="1575"/>
        </ext>
      </extLst>
    </bk>
    <bk>
      <extLst>
        <ext uri="{3e2802c4-a4d2-4d8b-9148-e3be6c30e623}">
          <xlrd:rvb i="1576"/>
        </ext>
      </extLst>
    </bk>
    <bk>
      <extLst>
        <ext uri="{3e2802c4-a4d2-4d8b-9148-e3be6c30e623}">
          <xlrd:rvb i="1577"/>
        </ext>
      </extLst>
    </bk>
    <bk>
      <extLst>
        <ext uri="{3e2802c4-a4d2-4d8b-9148-e3be6c30e623}">
          <xlrd:rvb i="1578"/>
        </ext>
      </extLst>
    </bk>
    <bk>
      <extLst>
        <ext uri="{3e2802c4-a4d2-4d8b-9148-e3be6c30e623}">
          <xlrd:rvb i="1579"/>
        </ext>
      </extLst>
    </bk>
    <bk>
      <extLst>
        <ext uri="{3e2802c4-a4d2-4d8b-9148-e3be6c30e623}">
          <xlrd:rvb i="1580"/>
        </ext>
      </extLst>
    </bk>
    <bk>
      <extLst>
        <ext uri="{3e2802c4-a4d2-4d8b-9148-e3be6c30e623}">
          <xlrd:rvb i="1581"/>
        </ext>
      </extLst>
    </bk>
    <bk>
      <extLst>
        <ext uri="{3e2802c4-a4d2-4d8b-9148-e3be6c30e623}">
          <xlrd:rvb i="1582"/>
        </ext>
      </extLst>
    </bk>
    <bk>
      <extLst>
        <ext uri="{3e2802c4-a4d2-4d8b-9148-e3be6c30e623}">
          <xlrd:rvb i="1583"/>
        </ext>
      </extLst>
    </bk>
    <bk>
      <extLst>
        <ext uri="{3e2802c4-a4d2-4d8b-9148-e3be6c30e623}">
          <xlrd:rvb i="1584"/>
        </ext>
      </extLst>
    </bk>
    <bk>
      <extLst>
        <ext uri="{3e2802c4-a4d2-4d8b-9148-e3be6c30e623}">
          <xlrd:rvb i="1585"/>
        </ext>
      </extLst>
    </bk>
    <bk>
      <extLst>
        <ext uri="{3e2802c4-a4d2-4d8b-9148-e3be6c30e623}">
          <xlrd:rvb i="1586"/>
        </ext>
      </extLst>
    </bk>
    <bk>
      <extLst>
        <ext uri="{3e2802c4-a4d2-4d8b-9148-e3be6c30e623}">
          <xlrd:rvb i="1587"/>
        </ext>
      </extLst>
    </bk>
    <bk>
      <extLst>
        <ext uri="{3e2802c4-a4d2-4d8b-9148-e3be6c30e623}">
          <xlrd:rvb i="1588"/>
        </ext>
      </extLst>
    </bk>
    <bk>
      <extLst>
        <ext uri="{3e2802c4-a4d2-4d8b-9148-e3be6c30e623}">
          <xlrd:rvb i="1589"/>
        </ext>
      </extLst>
    </bk>
    <bk>
      <extLst>
        <ext uri="{3e2802c4-a4d2-4d8b-9148-e3be6c30e623}">
          <xlrd:rvb i="1590"/>
        </ext>
      </extLst>
    </bk>
    <bk>
      <extLst>
        <ext uri="{3e2802c4-a4d2-4d8b-9148-e3be6c30e623}">
          <xlrd:rvb i="1591"/>
        </ext>
      </extLst>
    </bk>
    <bk>
      <extLst>
        <ext uri="{3e2802c4-a4d2-4d8b-9148-e3be6c30e623}">
          <xlrd:rvb i="1592"/>
        </ext>
      </extLst>
    </bk>
    <bk>
      <extLst>
        <ext uri="{3e2802c4-a4d2-4d8b-9148-e3be6c30e623}">
          <xlrd:rvb i="1593"/>
        </ext>
      </extLst>
    </bk>
    <bk>
      <extLst>
        <ext uri="{3e2802c4-a4d2-4d8b-9148-e3be6c30e623}">
          <xlrd:rvb i="1594"/>
        </ext>
      </extLst>
    </bk>
    <bk>
      <extLst>
        <ext uri="{3e2802c4-a4d2-4d8b-9148-e3be6c30e623}">
          <xlrd:rvb i="1595"/>
        </ext>
      </extLst>
    </bk>
    <bk>
      <extLst>
        <ext uri="{3e2802c4-a4d2-4d8b-9148-e3be6c30e623}">
          <xlrd:rvb i="1596"/>
        </ext>
      </extLst>
    </bk>
    <bk>
      <extLst>
        <ext uri="{3e2802c4-a4d2-4d8b-9148-e3be6c30e623}">
          <xlrd:rvb i="1597"/>
        </ext>
      </extLst>
    </bk>
    <bk>
      <extLst>
        <ext uri="{3e2802c4-a4d2-4d8b-9148-e3be6c30e623}">
          <xlrd:rvb i="1598"/>
        </ext>
      </extLst>
    </bk>
    <bk>
      <extLst>
        <ext uri="{3e2802c4-a4d2-4d8b-9148-e3be6c30e623}">
          <xlrd:rvb i="1599"/>
        </ext>
      </extLst>
    </bk>
    <bk>
      <extLst>
        <ext uri="{3e2802c4-a4d2-4d8b-9148-e3be6c30e623}">
          <xlrd:rvb i="1600"/>
        </ext>
      </extLst>
    </bk>
    <bk>
      <extLst>
        <ext uri="{3e2802c4-a4d2-4d8b-9148-e3be6c30e623}">
          <xlrd:rvb i="1601"/>
        </ext>
      </extLst>
    </bk>
    <bk>
      <extLst>
        <ext uri="{3e2802c4-a4d2-4d8b-9148-e3be6c30e623}">
          <xlrd:rvb i="1602"/>
        </ext>
      </extLst>
    </bk>
    <bk>
      <extLst>
        <ext uri="{3e2802c4-a4d2-4d8b-9148-e3be6c30e623}">
          <xlrd:rvb i="1603"/>
        </ext>
      </extLst>
    </bk>
    <bk>
      <extLst>
        <ext uri="{3e2802c4-a4d2-4d8b-9148-e3be6c30e623}">
          <xlrd:rvb i="1604"/>
        </ext>
      </extLst>
    </bk>
    <bk>
      <extLst>
        <ext uri="{3e2802c4-a4d2-4d8b-9148-e3be6c30e623}">
          <xlrd:rvb i="1605"/>
        </ext>
      </extLst>
    </bk>
    <bk>
      <extLst>
        <ext uri="{3e2802c4-a4d2-4d8b-9148-e3be6c30e623}">
          <xlrd:rvb i="1606"/>
        </ext>
      </extLst>
    </bk>
    <bk>
      <extLst>
        <ext uri="{3e2802c4-a4d2-4d8b-9148-e3be6c30e623}">
          <xlrd:rvb i="1607"/>
        </ext>
      </extLst>
    </bk>
    <bk>
      <extLst>
        <ext uri="{3e2802c4-a4d2-4d8b-9148-e3be6c30e623}">
          <xlrd:rvb i="1608"/>
        </ext>
      </extLst>
    </bk>
    <bk>
      <extLst>
        <ext uri="{3e2802c4-a4d2-4d8b-9148-e3be6c30e623}">
          <xlrd:rvb i="1609"/>
        </ext>
      </extLst>
    </bk>
    <bk>
      <extLst>
        <ext uri="{3e2802c4-a4d2-4d8b-9148-e3be6c30e623}">
          <xlrd:rvb i="1610"/>
        </ext>
      </extLst>
    </bk>
    <bk>
      <extLst>
        <ext uri="{3e2802c4-a4d2-4d8b-9148-e3be6c30e623}">
          <xlrd:rvb i="1611"/>
        </ext>
      </extLst>
    </bk>
    <bk>
      <extLst>
        <ext uri="{3e2802c4-a4d2-4d8b-9148-e3be6c30e623}">
          <xlrd:rvb i="1612"/>
        </ext>
      </extLst>
    </bk>
    <bk>
      <extLst>
        <ext uri="{3e2802c4-a4d2-4d8b-9148-e3be6c30e623}">
          <xlrd:rvb i="1613"/>
        </ext>
      </extLst>
    </bk>
    <bk>
      <extLst>
        <ext uri="{3e2802c4-a4d2-4d8b-9148-e3be6c30e623}">
          <xlrd:rvb i="1614"/>
        </ext>
      </extLst>
    </bk>
    <bk>
      <extLst>
        <ext uri="{3e2802c4-a4d2-4d8b-9148-e3be6c30e623}">
          <xlrd:rvb i="1615"/>
        </ext>
      </extLst>
    </bk>
    <bk>
      <extLst>
        <ext uri="{3e2802c4-a4d2-4d8b-9148-e3be6c30e623}">
          <xlrd:rvb i="1616"/>
        </ext>
      </extLst>
    </bk>
    <bk>
      <extLst>
        <ext uri="{3e2802c4-a4d2-4d8b-9148-e3be6c30e623}">
          <xlrd:rvb i="1617"/>
        </ext>
      </extLst>
    </bk>
    <bk>
      <extLst>
        <ext uri="{3e2802c4-a4d2-4d8b-9148-e3be6c30e623}">
          <xlrd:rvb i="1618"/>
        </ext>
      </extLst>
    </bk>
    <bk>
      <extLst>
        <ext uri="{3e2802c4-a4d2-4d8b-9148-e3be6c30e623}">
          <xlrd:rvb i="1619"/>
        </ext>
      </extLst>
    </bk>
    <bk>
      <extLst>
        <ext uri="{3e2802c4-a4d2-4d8b-9148-e3be6c30e623}">
          <xlrd:rvb i="1620"/>
        </ext>
      </extLst>
    </bk>
    <bk>
      <extLst>
        <ext uri="{3e2802c4-a4d2-4d8b-9148-e3be6c30e623}">
          <xlrd:rvb i="1621"/>
        </ext>
      </extLst>
    </bk>
    <bk>
      <extLst>
        <ext uri="{3e2802c4-a4d2-4d8b-9148-e3be6c30e623}">
          <xlrd:rvb i="1622"/>
        </ext>
      </extLst>
    </bk>
    <bk>
      <extLst>
        <ext uri="{3e2802c4-a4d2-4d8b-9148-e3be6c30e623}">
          <xlrd:rvb i="1623"/>
        </ext>
      </extLst>
    </bk>
    <bk>
      <extLst>
        <ext uri="{3e2802c4-a4d2-4d8b-9148-e3be6c30e623}">
          <xlrd:rvb i="1624"/>
        </ext>
      </extLst>
    </bk>
    <bk>
      <extLst>
        <ext uri="{3e2802c4-a4d2-4d8b-9148-e3be6c30e623}">
          <xlrd:rvb i="1625"/>
        </ext>
      </extLst>
    </bk>
    <bk>
      <extLst>
        <ext uri="{3e2802c4-a4d2-4d8b-9148-e3be6c30e623}">
          <xlrd:rvb i="1626"/>
        </ext>
      </extLst>
    </bk>
    <bk>
      <extLst>
        <ext uri="{3e2802c4-a4d2-4d8b-9148-e3be6c30e623}">
          <xlrd:rvb i="1627"/>
        </ext>
      </extLst>
    </bk>
    <bk>
      <extLst>
        <ext uri="{3e2802c4-a4d2-4d8b-9148-e3be6c30e623}">
          <xlrd:rvb i="1628"/>
        </ext>
      </extLst>
    </bk>
    <bk>
      <extLst>
        <ext uri="{3e2802c4-a4d2-4d8b-9148-e3be6c30e623}">
          <xlrd:rvb i="1629"/>
        </ext>
      </extLst>
    </bk>
    <bk>
      <extLst>
        <ext uri="{3e2802c4-a4d2-4d8b-9148-e3be6c30e623}">
          <xlrd:rvb i="1630"/>
        </ext>
      </extLst>
    </bk>
    <bk>
      <extLst>
        <ext uri="{3e2802c4-a4d2-4d8b-9148-e3be6c30e623}">
          <xlrd:rvb i="1631"/>
        </ext>
      </extLst>
    </bk>
    <bk>
      <extLst>
        <ext uri="{3e2802c4-a4d2-4d8b-9148-e3be6c30e623}">
          <xlrd:rvb i="1632"/>
        </ext>
      </extLst>
    </bk>
    <bk>
      <extLst>
        <ext uri="{3e2802c4-a4d2-4d8b-9148-e3be6c30e623}">
          <xlrd:rvb i="1633"/>
        </ext>
      </extLst>
    </bk>
    <bk>
      <extLst>
        <ext uri="{3e2802c4-a4d2-4d8b-9148-e3be6c30e623}">
          <xlrd:rvb i="1634"/>
        </ext>
      </extLst>
    </bk>
    <bk>
      <extLst>
        <ext uri="{3e2802c4-a4d2-4d8b-9148-e3be6c30e623}">
          <xlrd:rvb i="1635"/>
        </ext>
      </extLst>
    </bk>
    <bk>
      <extLst>
        <ext uri="{3e2802c4-a4d2-4d8b-9148-e3be6c30e623}">
          <xlrd:rvb i="1636"/>
        </ext>
      </extLst>
    </bk>
    <bk>
      <extLst>
        <ext uri="{3e2802c4-a4d2-4d8b-9148-e3be6c30e623}">
          <xlrd:rvb i="1637"/>
        </ext>
      </extLst>
    </bk>
    <bk>
      <extLst>
        <ext uri="{3e2802c4-a4d2-4d8b-9148-e3be6c30e623}">
          <xlrd:rvb i="1638"/>
        </ext>
      </extLst>
    </bk>
    <bk>
      <extLst>
        <ext uri="{3e2802c4-a4d2-4d8b-9148-e3be6c30e623}">
          <xlrd:rvb i="1639"/>
        </ext>
      </extLst>
    </bk>
    <bk>
      <extLst>
        <ext uri="{3e2802c4-a4d2-4d8b-9148-e3be6c30e623}">
          <xlrd:rvb i="1640"/>
        </ext>
      </extLst>
    </bk>
    <bk>
      <extLst>
        <ext uri="{3e2802c4-a4d2-4d8b-9148-e3be6c30e623}">
          <xlrd:rvb i="1641"/>
        </ext>
      </extLst>
    </bk>
    <bk>
      <extLst>
        <ext uri="{3e2802c4-a4d2-4d8b-9148-e3be6c30e623}">
          <xlrd:rvb i="1642"/>
        </ext>
      </extLst>
    </bk>
    <bk>
      <extLst>
        <ext uri="{3e2802c4-a4d2-4d8b-9148-e3be6c30e623}">
          <xlrd:rvb i="1643"/>
        </ext>
      </extLst>
    </bk>
    <bk>
      <extLst>
        <ext uri="{3e2802c4-a4d2-4d8b-9148-e3be6c30e623}">
          <xlrd:rvb i="1644"/>
        </ext>
      </extLst>
    </bk>
    <bk>
      <extLst>
        <ext uri="{3e2802c4-a4d2-4d8b-9148-e3be6c30e623}">
          <xlrd:rvb i="1645"/>
        </ext>
      </extLst>
    </bk>
    <bk>
      <extLst>
        <ext uri="{3e2802c4-a4d2-4d8b-9148-e3be6c30e623}">
          <xlrd:rvb i="1646"/>
        </ext>
      </extLst>
    </bk>
    <bk>
      <extLst>
        <ext uri="{3e2802c4-a4d2-4d8b-9148-e3be6c30e623}">
          <xlrd:rvb i="1647"/>
        </ext>
      </extLst>
    </bk>
    <bk>
      <extLst>
        <ext uri="{3e2802c4-a4d2-4d8b-9148-e3be6c30e623}">
          <xlrd:rvb i="1648"/>
        </ext>
      </extLst>
    </bk>
    <bk>
      <extLst>
        <ext uri="{3e2802c4-a4d2-4d8b-9148-e3be6c30e623}">
          <xlrd:rvb i="1649"/>
        </ext>
      </extLst>
    </bk>
    <bk>
      <extLst>
        <ext uri="{3e2802c4-a4d2-4d8b-9148-e3be6c30e623}">
          <xlrd:rvb i="1650"/>
        </ext>
      </extLst>
    </bk>
    <bk>
      <extLst>
        <ext uri="{3e2802c4-a4d2-4d8b-9148-e3be6c30e623}">
          <xlrd:rvb i="1651"/>
        </ext>
      </extLst>
    </bk>
    <bk>
      <extLst>
        <ext uri="{3e2802c4-a4d2-4d8b-9148-e3be6c30e623}">
          <xlrd:rvb i="1652"/>
        </ext>
      </extLst>
    </bk>
    <bk>
      <extLst>
        <ext uri="{3e2802c4-a4d2-4d8b-9148-e3be6c30e623}">
          <xlrd:rvb i="1653"/>
        </ext>
      </extLst>
    </bk>
    <bk>
      <extLst>
        <ext uri="{3e2802c4-a4d2-4d8b-9148-e3be6c30e623}">
          <xlrd:rvb i="1654"/>
        </ext>
      </extLst>
    </bk>
    <bk>
      <extLst>
        <ext uri="{3e2802c4-a4d2-4d8b-9148-e3be6c30e623}">
          <xlrd:rvb i="1655"/>
        </ext>
      </extLst>
    </bk>
    <bk>
      <extLst>
        <ext uri="{3e2802c4-a4d2-4d8b-9148-e3be6c30e623}">
          <xlrd:rvb i="1656"/>
        </ext>
      </extLst>
    </bk>
    <bk>
      <extLst>
        <ext uri="{3e2802c4-a4d2-4d8b-9148-e3be6c30e623}">
          <xlrd:rvb i="1657"/>
        </ext>
      </extLst>
    </bk>
    <bk>
      <extLst>
        <ext uri="{3e2802c4-a4d2-4d8b-9148-e3be6c30e623}">
          <xlrd:rvb i="1658"/>
        </ext>
      </extLst>
    </bk>
    <bk>
      <extLst>
        <ext uri="{3e2802c4-a4d2-4d8b-9148-e3be6c30e623}">
          <xlrd:rvb i="1659"/>
        </ext>
      </extLst>
    </bk>
    <bk>
      <extLst>
        <ext uri="{3e2802c4-a4d2-4d8b-9148-e3be6c30e623}">
          <xlrd:rvb i="1660"/>
        </ext>
      </extLst>
    </bk>
    <bk>
      <extLst>
        <ext uri="{3e2802c4-a4d2-4d8b-9148-e3be6c30e623}">
          <xlrd:rvb i="1661"/>
        </ext>
      </extLst>
    </bk>
    <bk>
      <extLst>
        <ext uri="{3e2802c4-a4d2-4d8b-9148-e3be6c30e623}">
          <xlrd:rvb i="1662"/>
        </ext>
      </extLst>
    </bk>
    <bk>
      <extLst>
        <ext uri="{3e2802c4-a4d2-4d8b-9148-e3be6c30e623}">
          <xlrd:rvb i="1663"/>
        </ext>
      </extLst>
    </bk>
    <bk>
      <extLst>
        <ext uri="{3e2802c4-a4d2-4d8b-9148-e3be6c30e623}">
          <xlrd:rvb i="1664"/>
        </ext>
      </extLst>
    </bk>
    <bk>
      <extLst>
        <ext uri="{3e2802c4-a4d2-4d8b-9148-e3be6c30e623}">
          <xlrd:rvb i="1665"/>
        </ext>
      </extLst>
    </bk>
    <bk>
      <extLst>
        <ext uri="{3e2802c4-a4d2-4d8b-9148-e3be6c30e623}">
          <xlrd:rvb i="1666"/>
        </ext>
      </extLst>
    </bk>
    <bk>
      <extLst>
        <ext uri="{3e2802c4-a4d2-4d8b-9148-e3be6c30e623}">
          <xlrd:rvb i="1667"/>
        </ext>
      </extLst>
    </bk>
    <bk>
      <extLst>
        <ext uri="{3e2802c4-a4d2-4d8b-9148-e3be6c30e623}">
          <xlrd:rvb i="1668"/>
        </ext>
      </extLst>
    </bk>
    <bk>
      <extLst>
        <ext uri="{3e2802c4-a4d2-4d8b-9148-e3be6c30e623}">
          <xlrd:rvb i="1669"/>
        </ext>
      </extLst>
    </bk>
    <bk>
      <extLst>
        <ext uri="{3e2802c4-a4d2-4d8b-9148-e3be6c30e623}">
          <xlrd:rvb i="1670"/>
        </ext>
      </extLst>
    </bk>
    <bk>
      <extLst>
        <ext uri="{3e2802c4-a4d2-4d8b-9148-e3be6c30e623}">
          <xlrd:rvb i="1671"/>
        </ext>
      </extLst>
    </bk>
    <bk>
      <extLst>
        <ext uri="{3e2802c4-a4d2-4d8b-9148-e3be6c30e623}">
          <xlrd:rvb i="1672"/>
        </ext>
      </extLst>
    </bk>
    <bk>
      <extLst>
        <ext uri="{3e2802c4-a4d2-4d8b-9148-e3be6c30e623}">
          <xlrd:rvb i="1673"/>
        </ext>
      </extLst>
    </bk>
    <bk>
      <extLst>
        <ext uri="{3e2802c4-a4d2-4d8b-9148-e3be6c30e623}">
          <xlrd:rvb i="1674"/>
        </ext>
      </extLst>
    </bk>
    <bk>
      <extLst>
        <ext uri="{3e2802c4-a4d2-4d8b-9148-e3be6c30e623}">
          <xlrd:rvb i="1675"/>
        </ext>
      </extLst>
    </bk>
    <bk>
      <extLst>
        <ext uri="{3e2802c4-a4d2-4d8b-9148-e3be6c30e623}">
          <xlrd:rvb i="1676"/>
        </ext>
      </extLst>
    </bk>
    <bk>
      <extLst>
        <ext uri="{3e2802c4-a4d2-4d8b-9148-e3be6c30e623}">
          <xlrd:rvb i="1677"/>
        </ext>
      </extLst>
    </bk>
    <bk>
      <extLst>
        <ext uri="{3e2802c4-a4d2-4d8b-9148-e3be6c30e623}">
          <xlrd:rvb i="1678"/>
        </ext>
      </extLst>
    </bk>
    <bk>
      <extLst>
        <ext uri="{3e2802c4-a4d2-4d8b-9148-e3be6c30e623}">
          <xlrd:rvb i="1679"/>
        </ext>
      </extLst>
    </bk>
    <bk>
      <extLst>
        <ext uri="{3e2802c4-a4d2-4d8b-9148-e3be6c30e623}">
          <xlrd:rvb i="1680"/>
        </ext>
      </extLst>
    </bk>
    <bk>
      <extLst>
        <ext uri="{3e2802c4-a4d2-4d8b-9148-e3be6c30e623}">
          <xlrd:rvb i="1681"/>
        </ext>
      </extLst>
    </bk>
    <bk>
      <extLst>
        <ext uri="{3e2802c4-a4d2-4d8b-9148-e3be6c30e623}">
          <xlrd:rvb i="1682"/>
        </ext>
      </extLst>
    </bk>
    <bk>
      <extLst>
        <ext uri="{3e2802c4-a4d2-4d8b-9148-e3be6c30e623}">
          <xlrd:rvb i="1683"/>
        </ext>
      </extLst>
    </bk>
    <bk>
      <extLst>
        <ext uri="{3e2802c4-a4d2-4d8b-9148-e3be6c30e623}">
          <xlrd:rvb i="1684"/>
        </ext>
      </extLst>
    </bk>
    <bk>
      <extLst>
        <ext uri="{3e2802c4-a4d2-4d8b-9148-e3be6c30e623}">
          <xlrd:rvb i="1685"/>
        </ext>
      </extLst>
    </bk>
    <bk>
      <extLst>
        <ext uri="{3e2802c4-a4d2-4d8b-9148-e3be6c30e623}">
          <xlrd:rvb i="1686"/>
        </ext>
      </extLst>
    </bk>
    <bk>
      <extLst>
        <ext uri="{3e2802c4-a4d2-4d8b-9148-e3be6c30e623}">
          <xlrd:rvb i="1687"/>
        </ext>
      </extLst>
    </bk>
    <bk>
      <extLst>
        <ext uri="{3e2802c4-a4d2-4d8b-9148-e3be6c30e623}">
          <xlrd:rvb i="1688"/>
        </ext>
      </extLst>
    </bk>
    <bk>
      <extLst>
        <ext uri="{3e2802c4-a4d2-4d8b-9148-e3be6c30e623}">
          <xlrd:rvb i="1689"/>
        </ext>
      </extLst>
    </bk>
    <bk>
      <extLst>
        <ext uri="{3e2802c4-a4d2-4d8b-9148-e3be6c30e623}">
          <xlrd:rvb i="1690"/>
        </ext>
      </extLst>
    </bk>
    <bk>
      <extLst>
        <ext uri="{3e2802c4-a4d2-4d8b-9148-e3be6c30e623}">
          <xlrd:rvb i="1691"/>
        </ext>
      </extLst>
    </bk>
    <bk>
      <extLst>
        <ext uri="{3e2802c4-a4d2-4d8b-9148-e3be6c30e623}">
          <xlrd:rvb i="1692"/>
        </ext>
      </extLst>
    </bk>
    <bk>
      <extLst>
        <ext uri="{3e2802c4-a4d2-4d8b-9148-e3be6c30e623}">
          <xlrd:rvb i="1693"/>
        </ext>
      </extLst>
    </bk>
    <bk>
      <extLst>
        <ext uri="{3e2802c4-a4d2-4d8b-9148-e3be6c30e623}">
          <xlrd:rvb i="1694"/>
        </ext>
      </extLst>
    </bk>
    <bk>
      <extLst>
        <ext uri="{3e2802c4-a4d2-4d8b-9148-e3be6c30e623}">
          <xlrd:rvb i="1695"/>
        </ext>
      </extLst>
    </bk>
    <bk>
      <extLst>
        <ext uri="{3e2802c4-a4d2-4d8b-9148-e3be6c30e623}">
          <xlrd:rvb i="1696"/>
        </ext>
      </extLst>
    </bk>
    <bk>
      <extLst>
        <ext uri="{3e2802c4-a4d2-4d8b-9148-e3be6c30e623}">
          <xlrd:rvb i="1697"/>
        </ext>
      </extLst>
    </bk>
    <bk>
      <extLst>
        <ext uri="{3e2802c4-a4d2-4d8b-9148-e3be6c30e623}">
          <xlrd:rvb i="1698"/>
        </ext>
      </extLst>
    </bk>
    <bk>
      <extLst>
        <ext uri="{3e2802c4-a4d2-4d8b-9148-e3be6c30e623}">
          <xlrd:rvb i="1699"/>
        </ext>
      </extLst>
    </bk>
    <bk>
      <extLst>
        <ext uri="{3e2802c4-a4d2-4d8b-9148-e3be6c30e623}">
          <xlrd:rvb i="1700"/>
        </ext>
      </extLst>
    </bk>
    <bk>
      <extLst>
        <ext uri="{3e2802c4-a4d2-4d8b-9148-e3be6c30e623}">
          <xlrd:rvb i="1701"/>
        </ext>
      </extLst>
    </bk>
    <bk>
      <extLst>
        <ext uri="{3e2802c4-a4d2-4d8b-9148-e3be6c30e623}">
          <xlrd:rvb i="1702"/>
        </ext>
      </extLst>
    </bk>
    <bk>
      <extLst>
        <ext uri="{3e2802c4-a4d2-4d8b-9148-e3be6c30e623}">
          <xlrd:rvb i="1703"/>
        </ext>
      </extLst>
    </bk>
    <bk>
      <extLst>
        <ext uri="{3e2802c4-a4d2-4d8b-9148-e3be6c30e623}">
          <xlrd:rvb i="1704"/>
        </ext>
      </extLst>
    </bk>
    <bk>
      <extLst>
        <ext uri="{3e2802c4-a4d2-4d8b-9148-e3be6c30e623}">
          <xlrd:rvb i="1705"/>
        </ext>
      </extLst>
    </bk>
    <bk>
      <extLst>
        <ext uri="{3e2802c4-a4d2-4d8b-9148-e3be6c30e623}">
          <xlrd:rvb i="1706"/>
        </ext>
      </extLst>
    </bk>
    <bk>
      <extLst>
        <ext uri="{3e2802c4-a4d2-4d8b-9148-e3be6c30e623}">
          <xlrd:rvb i="1707"/>
        </ext>
      </extLst>
    </bk>
    <bk>
      <extLst>
        <ext uri="{3e2802c4-a4d2-4d8b-9148-e3be6c30e623}">
          <xlrd:rvb i="1708"/>
        </ext>
      </extLst>
    </bk>
    <bk>
      <extLst>
        <ext uri="{3e2802c4-a4d2-4d8b-9148-e3be6c30e623}">
          <xlrd:rvb i="1709"/>
        </ext>
      </extLst>
    </bk>
    <bk>
      <extLst>
        <ext uri="{3e2802c4-a4d2-4d8b-9148-e3be6c30e623}">
          <xlrd:rvb i="1710"/>
        </ext>
      </extLst>
    </bk>
    <bk>
      <extLst>
        <ext uri="{3e2802c4-a4d2-4d8b-9148-e3be6c30e623}">
          <xlrd:rvb i="1711"/>
        </ext>
      </extLst>
    </bk>
    <bk>
      <extLst>
        <ext uri="{3e2802c4-a4d2-4d8b-9148-e3be6c30e623}">
          <xlrd:rvb i="1712"/>
        </ext>
      </extLst>
    </bk>
    <bk>
      <extLst>
        <ext uri="{3e2802c4-a4d2-4d8b-9148-e3be6c30e623}">
          <xlrd:rvb i="1713"/>
        </ext>
      </extLst>
    </bk>
    <bk>
      <extLst>
        <ext uri="{3e2802c4-a4d2-4d8b-9148-e3be6c30e623}">
          <xlrd:rvb i="1714"/>
        </ext>
      </extLst>
    </bk>
    <bk>
      <extLst>
        <ext uri="{3e2802c4-a4d2-4d8b-9148-e3be6c30e623}">
          <xlrd:rvb i="1715"/>
        </ext>
      </extLst>
    </bk>
    <bk>
      <extLst>
        <ext uri="{3e2802c4-a4d2-4d8b-9148-e3be6c30e623}">
          <xlrd:rvb i="1716"/>
        </ext>
      </extLst>
    </bk>
    <bk>
      <extLst>
        <ext uri="{3e2802c4-a4d2-4d8b-9148-e3be6c30e623}">
          <xlrd:rvb i="1717"/>
        </ext>
      </extLst>
    </bk>
    <bk>
      <extLst>
        <ext uri="{3e2802c4-a4d2-4d8b-9148-e3be6c30e623}">
          <xlrd:rvb i="1718"/>
        </ext>
      </extLst>
    </bk>
    <bk>
      <extLst>
        <ext uri="{3e2802c4-a4d2-4d8b-9148-e3be6c30e623}">
          <xlrd:rvb i="1719"/>
        </ext>
      </extLst>
    </bk>
    <bk>
      <extLst>
        <ext uri="{3e2802c4-a4d2-4d8b-9148-e3be6c30e623}">
          <xlrd:rvb i="1720"/>
        </ext>
      </extLst>
    </bk>
    <bk>
      <extLst>
        <ext uri="{3e2802c4-a4d2-4d8b-9148-e3be6c30e623}">
          <xlrd:rvb i="1721"/>
        </ext>
      </extLst>
    </bk>
    <bk>
      <extLst>
        <ext uri="{3e2802c4-a4d2-4d8b-9148-e3be6c30e623}">
          <xlrd:rvb i="1722"/>
        </ext>
      </extLst>
    </bk>
    <bk>
      <extLst>
        <ext uri="{3e2802c4-a4d2-4d8b-9148-e3be6c30e623}">
          <xlrd:rvb i="1723"/>
        </ext>
      </extLst>
    </bk>
    <bk>
      <extLst>
        <ext uri="{3e2802c4-a4d2-4d8b-9148-e3be6c30e623}">
          <xlrd:rvb i="1724"/>
        </ext>
      </extLst>
    </bk>
    <bk>
      <extLst>
        <ext uri="{3e2802c4-a4d2-4d8b-9148-e3be6c30e623}">
          <xlrd:rvb i="1725"/>
        </ext>
      </extLst>
    </bk>
    <bk>
      <extLst>
        <ext uri="{3e2802c4-a4d2-4d8b-9148-e3be6c30e623}">
          <xlrd:rvb i="1726"/>
        </ext>
      </extLst>
    </bk>
    <bk>
      <extLst>
        <ext uri="{3e2802c4-a4d2-4d8b-9148-e3be6c30e623}">
          <xlrd:rvb i="1727"/>
        </ext>
      </extLst>
    </bk>
    <bk>
      <extLst>
        <ext uri="{3e2802c4-a4d2-4d8b-9148-e3be6c30e623}">
          <xlrd:rvb i="1728"/>
        </ext>
      </extLst>
    </bk>
    <bk>
      <extLst>
        <ext uri="{3e2802c4-a4d2-4d8b-9148-e3be6c30e623}">
          <xlrd:rvb i="1729"/>
        </ext>
      </extLst>
    </bk>
    <bk>
      <extLst>
        <ext uri="{3e2802c4-a4d2-4d8b-9148-e3be6c30e623}">
          <xlrd:rvb i="1730"/>
        </ext>
      </extLst>
    </bk>
    <bk>
      <extLst>
        <ext uri="{3e2802c4-a4d2-4d8b-9148-e3be6c30e623}">
          <xlrd:rvb i="1731"/>
        </ext>
      </extLst>
    </bk>
    <bk>
      <extLst>
        <ext uri="{3e2802c4-a4d2-4d8b-9148-e3be6c30e623}">
          <xlrd:rvb i="1732"/>
        </ext>
      </extLst>
    </bk>
    <bk>
      <extLst>
        <ext uri="{3e2802c4-a4d2-4d8b-9148-e3be6c30e623}">
          <xlrd:rvb i="1733"/>
        </ext>
      </extLst>
    </bk>
    <bk>
      <extLst>
        <ext uri="{3e2802c4-a4d2-4d8b-9148-e3be6c30e623}">
          <xlrd:rvb i="1734"/>
        </ext>
      </extLst>
    </bk>
    <bk>
      <extLst>
        <ext uri="{3e2802c4-a4d2-4d8b-9148-e3be6c30e623}">
          <xlrd:rvb i="1735"/>
        </ext>
      </extLst>
    </bk>
    <bk>
      <extLst>
        <ext uri="{3e2802c4-a4d2-4d8b-9148-e3be6c30e623}">
          <xlrd:rvb i="1736"/>
        </ext>
      </extLst>
    </bk>
    <bk>
      <extLst>
        <ext uri="{3e2802c4-a4d2-4d8b-9148-e3be6c30e623}">
          <xlrd:rvb i="1737"/>
        </ext>
      </extLst>
    </bk>
    <bk>
      <extLst>
        <ext uri="{3e2802c4-a4d2-4d8b-9148-e3be6c30e623}">
          <xlrd:rvb i="1738"/>
        </ext>
      </extLst>
    </bk>
    <bk>
      <extLst>
        <ext uri="{3e2802c4-a4d2-4d8b-9148-e3be6c30e623}">
          <xlrd:rvb i="1739"/>
        </ext>
      </extLst>
    </bk>
    <bk>
      <extLst>
        <ext uri="{3e2802c4-a4d2-4d8b-9148-e3be6c30e623}">
          <xlrd:rvb i="1740"/>
        </ext>
      </extLst>
    </bk>
    <bk>
      <extLst>
        <ext uri="{3e2802c4-a4d2-4d8b-9148-e3be6c30e623}">
          <xlrd:rvb i="1741"/>
        </ext>
      </extLst>
    </bk>
    <bk>
      <extLst>
        <ext uri="{3e2802c4-a4d2-4d8b-9148-e3be6c30e623}">
          <xlrd:rvb i="1742"/>
        </ext>
      </extLst>
    </bk>
    <bk>
      <extLst>
        <ext uri="{3e2802c4-a4d2-4d8b-9148-e3be6c30e623}">
          <xlrd:rvb i="1743"/>
        </ext>
      </extLst>
    </bk>
    <bk>
      <extLst>
        <ext uri="{3e2802c4-a4d2-4d8b-9148-e3be6c30e623}">
          <xlrd:rvb i="1744"/>
        </ext>
      </extLst>
    </bk>
    <bk>
      <extLst>
        <ext uri="{3e2802c4-a4d2-4d8b-9148-e3be6c30e623}">
          <xlrd:rvb i="1745"/>
        </ext>
      </extLst>
    </bk>
    <bk>
      <extLst>
        <ext uri="{3e2802c4-a4d2-4d8b-9148-e3be6c30e623}">
          <xlrd:rvb i="1746"/>
        </ext>
      </extLst>
    </bk>
    <bk>
      <extLst>
        <ext uri="{3e2802c4-a4d2-4d8b-9148-e3be6c30e623}">
          <xlrd:rvb i="1747"/>
        </ext>
      </extLst>
    </bk>
    <bk>
      <extLst>
        <ext uri="{3e2802c4-a4d2-4d8b-9148-e3be6c30e623}">
          <xlrd:rvb i="1748"/>
        </ext>
      </extLst>
    </bk>
    <bk>
      <extLst>
        <ext uri="{3e2802c4-a4d2-4d8b-9148-e3be6c30e623}">
          <xlrd:rvb i="1749"/>
        </ext>
      </extLst>
    </bk>
    <bk>
      <extLst>
        <ext uri="{3e2802c4-a4d2-4d8b-9148-e3be6c30e623}">
          <xlrd:rvb i="1750"/>
        </ext>
      </extLst>
    </bk>
    <bk>
      <extLst>
        <ext uri="{3e2802c4-a4d2-4d8b-9148-e3be6c30e623}">
          <xlrd:rvb i="1751"/>
        </ext>
      </extLst>
    </bk>
    <bk>
      <extLst>
        <ext uri="{3e2802c4-a4d2-4d8b-9148-e3be6c30e623}">
          <xlrd:rvb i="1752"/>
        </ext>
      </extLst>
    </bk>
    <bk>
      <extLst>
        <ext uri="{3e2802c4-a4d2-4d8b-9148-e3be6c30e623}">
          <xlrd:rvb i="1753"/>
        </ext>
      </extLst>
    </bk>
    <bk>
      <extLst>
        <ext uri="{3e2802c4-a4d2-4d8b-9148-e3be6c30e623}">
          <xlrd:rvb i="1754"/>
        </ext>
      </extLst>
    </bk>
    <bk>
      <extLst>
        <ext uri="{3e2802c4-a4d2-4d8b-9148-e3be6c30e623}">
          <xlrd:rvb i="1755"/>
        </ext>
      </extLst>
    </bk>
    <bk>
      <extLst>
        <ext uri="{3e2802c4-a4d2-4d8b-9148-e3be6c30e623}">
          <xlrd:rvb i="1756"/>
        </ext>
      </extLst>
    </bk>
    <bk>
      <extLst>
        <ext uri="{3e2802c4-a4d2-4d8b-9148-e3be6c30e623}">
          <xlrd:rvb i="1757"/>
        </ext>
      </extLst>
    </bk>
    <bk>
      <extLst>
        <ext uri="{3e2802c4-a4d2-4d8b-9148-e3be6c30e623}">
          <xlrd:rvb i="1758"/>
        </ext>
      </extLst>
    </bk>
    <bk>
      <extLst>
        <ext uri="{3e2802c4-a4d2-4d8b-9148-e3be6c30e623}">
          <xlrd:rvb i="1759"/>
        </ext>
      </extLst>
    </bk>
    <bk>
      <extLst>
        <ext uri="{3e2802c4-a4d2-4d8b-9148-e3be6c30e623}">
          <xlrd:rvb i="1760"/>
        </ext>
      </extLst>
    </bk>
    <bk>
      <extLst>
        <ext uri="{3e2802c4-a4d2-4d8b-9148-e3be6c30e623}">
          <xlrd:rvb i="1761"/>
        </ext>
      </extLst>
    </bk>
    <bk>
      <extLst>
        <ext uri="{3e2802c4-a4d2-4d8b-9148-e3be6c30e623}">
          <xlrd:rvb i="1762"/>
        </ext>
      </extLst>
    </bk>
    <bk>
      <extLst>
        <ext uri="{3e2802c4-a4d2-4d8b-9148-e3be6c30e623}">
          <xlrd:rvb i="1763"/>
        </ext>
      </extLst>
    </bk>
    <bk>
      <extLst>
        <ext uri="{3e2802c4-a4d2-4d8b-9148-e3be6c30e623}">
          <xlrd:rvb i="1764"/>
        </ext>
      </extLst>
    </bk>
    <bk>
      <extLst>
        <ext uri="{3e2802c4-a4d2-4d8b-9148-e3be6c30e623}">
          <xlrd:rvb i="1765"/>
        </ext>
      </extLst>
    </bk>
    <bk>
      <extLst>
        <ext uri="{3e2802c4-a4d2-4d8b-9148-e3be6c30e623}">
          <xlrd:rvb i="1766"/>
        </ext>
      </extLst>
    </bk>
    <bk>
      <extLst>
        <ext uri="{3e2802c4-a4d2-4d8b-9148-e3be6c30e623}">
          <xlrd:rvb i="1767"/>
        </ext>
      </extLst>
    </bk>
    <bk>
      <extLst>
        <ext uri="{3e2802c4-a4d2-4d8b-9148-e3be6c30e623}">
          <xlrd:rvb i="1768"/>
        </ext>
      </extLst>
    </bk>
    <bk>
      <extLst>
        <ext uri="{3e2802c4-a4d2-4d8b-9148-e3be6c30e623}">
          <xlrd:rvb i="1769"/>
        </ext>
      </extLst>
    </bk>
    <bk>
      <extLst>
        <ext uri="{3e2802c4-a4d2-4d8b-9148-e3be6c30e623}">
          <xlrd:rvb i="1770"/>
        </ext>
      </extLst>
    </bk>
    <bk>
      <extLst>
        <ext uri="{3e2802c4-a4d2-4d8b-9148-e3be6c30e623}">
          <xlrd:rvb i="1771"/>
        </ext>
      </extLst>
    </bk>
    <bk>
      <extLst>
        <ext uri="{3e2802c4-a4d2-4d8b-9148-e3be6c30e623}">
          <xlrd:rvb i="1772"/>
        </ext>
      </extLst>
    </bk>
    <bk>
      <extLst>
        <ext uri="{3e2802c4-a4d2-4d8b-9148-e3be6c30e623}">
          <xlrd:rvb i="1773"/>
        </ext>
      </extLst>
    </bk>
    <bk>
      <extLst>
        <ext uri="{3e2802c4-a4d2-4d8b-9148-e3be6c30e623}">
          <xlrd:rvb i="1774"/>
        </ext>
      </extLst>
    </bk>
    <bk>
      <extLst>
        <ext uri="{3e2802c4-a4d2-4d8b-9148-e3be6c30e623}">
          <xlrd:rvb i="1775"/>
        </ext>
      </extLst>
    </bk>
    <bk>
      <extLst>
        <ext uri="{3e2802c4-a4d2-4d8b-9148-e3be6c30e623}">
          <xlrd:rvb i="1776"/>
        </ext>
      </extLst>
    </bk>
    <bk>
      <extLst>
        <ext uri="{3e2802c4-a4d2-4d8b-9148-e3be6c30e623}">
          <xlrd:rvb i="1777"/>
        </ext>
      </extLst>
    </bk>
    <bk>
      <extLst>
        <ext uri="{3e2802c4-a4d2-4d8b-9148-e3be6c30e623}">
          <xlrd:rvb i="1778"/>
        </ext>
      </extLst>
    </bk>
    <bk>
      <extLst>
        <ext uri="{3e2802c4-a4d2-4d8b-9148-e3be6c30e623}">
          <xlrd:rvb i="1779"/>
        </ext>
      </extLst>
    </bk>
    <bk>
      <extLst>
        <ext uri="{3e2802c4-a4d2-4d8b-9148-e3be6c30e623}">
          <xlrd:rvb i="1780"/>
        </ext>
      </extLst>
    </bk>
    <bk>
      <extLst>
        <ext uri="{3e2802c4-a4d2-4d8b-9148-e3be6c30e623}">
          <xlrd:rvb i="1781"/>
        </ext>
      </extLst>
    </bk>
    <bk>
      <extLst>
        <ext uri="{3e2802c4-a4d2-4d8b-9148-e3be6c30e623}">
          <xlrd:rvb i="1782"/>
        </ext>
      </extLst>
    </bk>
    <bk>
      <extLst>
        <ext uri="{3e2802c4-a4d2-4d8b-9148-e3be6c30e623}">
          <xlrd:rvb i="1783"/>
        </ext>
      </extLst>
    </bk>
    <bk>
      <extLst>
        <ext uri="{3e2802c4-a4d2-4d8b-9148-e3be6c30e623}">
          <xlrd:rvb i="1784"/>
        </ext>
      </extLst>
    </bk>
    <bk>
      <extLst>
        <ext uri="{3e2802c4-a4d2-4d8b-9148-e3be6c30e623}">
          <xlrd:rvb i="1785"/>
        </ext>
      </extLst>
    </bk>
    <bk>
      <extLst>
        <ext uri="{3e2802c4-a4d2-4d8b-9148-e3be6c30e623}">
          <xlrd:rvb i="1786"/>
        </ext>
      </extLst>
    </bk>
    <bk>
      <extLst>
        <ext uri="{3e2802c4-a4d2-4d8b-9148-e3be6c30e623}">
          <xlrd:rvb i="1787"/>
        </ext>
      </extLst>
    </bk>
    <bk>
      <extLst>
        <ext uri="{3e2802c4-a4d2-4d8b-9148-e3be6c30e623}">
          <xlrd:rvb i="1788"/>
        </ext>
      </extLst>
    </bk>
    <bk>
      <extLst>
        <ext uri="{3e2802c4-a4d2-4d8b-9148-e3be6c30e623}">
          <xlrd:rvb i="1789"/>
        </ext>
      </extLst>
    </bk>
    <bk>
      <extLst>
        <ext uri="{3e2802c4-a4d2-4d8b-9148-e3be6c30e623}">
          <xlrd:rvb i="1790"/>
        </ext>
      </extLst>
    </bk>
    <bk>
      <extLst>
        <ext uri="{3e2802c4-a4d2-4d8b-9148-e3be6c30e623}">
          <xlrd:rvb i="1791"/>
        </ext>
      </extLst>
    </bk>
    <bk>
      <extLst>
        <ext uri="{3e2802c4-a4d2-4d8b-9148-e3be6c30e623}">
          <xlrd:rvb i="1792"/>
        </ext>
      </extLst>
    </bk>
    <bk>
      <extLst>
        <ext uri="{3e2802c4-a4d2-4d8b-9148-e3be6c30e623}">
          <xlrd:rvb i="1793"/>
        </ext>
      </extLst>
    </bk>
    <bk>
      <extLst>
        <ext uri="{3e2802c4-a4d2-4d8b-9148-e3be6c30e623}">
          <xlrd:rvb i="1794"/>
        </ext>
      </extLst>
    </bk>
    <bk>
      <extLst>
        <ext uri="{3e2802c4-a4d2-4d8b-9148-e3be6c30e623}">
          <xlrd:rvb i="1795"/>
        </ext>
      </extLst>
    </bk>
    <bk>
      <extLst>
        <ext uri="{3e2802c4-a4d2-4d8b-9148-e3be6c30e623}">
          <xlrd:rvb i="1796"/>
        </ext>
      </extLst>
    </bk>
    <bk>
      <extLst>
        <ext uri="{3e2802c4-a4d2-4d8b-9148-e3be6c30e623}">
          <xlrd:rvb i="1797"/>
        </ext>
      </extLst>
    </bk>
    <bk>
      <extLst>
        <ext uri="{3e2802c4-a4d2-4d8b-9148-e3be6c30e623}">
          <xlrd:rvb i="1798"/>
        </ext>
      </extLst>
    </bk>
    <bk>
      <extLst>
        <ext uri="{3e2802c4-a4d2-4d8b-9148-e3be6c30e623}">
          <xlrd:rvb i="1799"/>
        </ext>
      </extLst>
    </bk>
    <bk>
      <extLst>
        <ext uri="{3e2802c4-a4d2-4d8b-9148-e3be6c30e623}">
          <xlrd:rvb i="1800"/>
        </ext>
      </extLst>
    </bk>
    <bk>
      <extLst>
        <ext uri="{3e2802c4-a4d2-4d8b-9148-e3be6c30e623}">
          <xlrd:rvb i="1801"/>
        </ext>
      </extLst>
    </bk>
    <bk>
      <extLst>
        <ext uri="{3e2802c4-a4d2-4d8b-9148-e3be6c30e623}">
          <xlrd:rvb i="1802"/>
        </ext>
      </extLst>
    </bk>
    <bk>
      <extLst>
        <ext uri="{3e2802c4-a4d2-4d8b-9148-e3be6c30e623}">
          <xlrd:rvb i="1803"/>
        </ext>
      </extLst>
    </bk>
    <bk>
      <extLst>
        <ext uri="{3e2802c4-a4d2-4d8b-9148-e3be6c30e623}">
          <xlrd:rvb i="1804"/>
        </ext>
      </extLst>
    </bk>
    <bk>
      <extLst>
        <ext uri="{3e2802c4-a4d2-4d8b-9148-e3be6c30e623}">
          <xlrd:rvb i="1805"/>
        </ext>
      </extLst>
    </bk>
    <bk>
      <extLst>
        <ext uri="{3e2802c4-a4d2-4d8b-9148-e3be6c30e623}">
          <xlrd:rvb i="1806"/>
        </ext>
      </extLst>
    </bk>
    <bk>
      <extLst>
        <ext uri="{3e2802c4-a4d2-4d8b-9148-e3be6c30e623}">
          <xlrd:rvb i="1807"/>
        </ext>
      </extLst>
    </bk>
    <bk>
      <extLst>
        <ext uri="{3e2802c4-a4d2-4d8b-9148-e3be6c30e623}">
          <xlrd:rvb i="1808"/>
        </ext>
      </extLst>
    </bk>
    <bk>
      <extLst>
        <ext uri="{3e2802c4-a4d2-4d8b-9148-e3be6c30e623}">
          <xlrd:rvb i="1809"/>
        </ext>
      </extLst>
    </bk>
    <bk>
      <extLst>
        <ext uri="{3e2802c4-a4d2-4d8b-9148-e3be6c30e623}">
          <xlrd:rvb i="1810"/>
        </ext>
      </extLst>
    </bk>
    <bk>
      <extLst>
        <ext uri="{3e2802c4-a4d2-4d8b-9148-e3be6c30e623}">
          <xlrd:rvb i="1811"/>
        </ext>
      </extLst>
    </bk>
    <bk>
      <extLst>
        <ext uri="{3e2802c4-a4d2-4d8b-9148-e3be6c30e623}">
          <xlrd:rvb i="1812"/>
        </ext>
      </extLst>
    </bk>
    <bk>
      <extLst>
        <ext uri="{3e2802c4-a4d2-4d8b-9148-e3be6c30e623}">
          <xlrd:rvb i="1813"/>
        </ext>
      </extLst>
    </bk>
    <bk>
      <extLst>
        <ext uri="{3e2802c4-a4d2-4d8b-9148-e3be6c30e623}">
          <xlrd:rvb i="1814"/>
        </ext>
      </extLst>
    </bk>
    <bk>
      <extLst>
        <ext uri="{3e2802c4-a4d2-4d8b-9148-e3be6c30e623}">
          <xlrd:rvb i="1815"/>
        </ext>
      </extLst>
    </bk>
    <bk>
      <extLst>
        <ext uri="{3e2802c4-a4d2-4d8b-9148-e3be6c30e623}">
          <xlrd:rvb i="1816"/>
        </ext>
      </extLst>
    </bk>
    <bk>
      <extLst>
        <ext uri="{3e2802c4-a4d2-4d8b-9148-e3be6c30e623}">
          <xlrd:rvb i="1817"/>
        </ext>
      </extLst>
    </bk>
    <bk>
      <extLst>
        <ext uri="{3e2802c4-a4d2-4d8b-9148-e3be6c30e623}">
          <xlrd:rvb i="1818"/>
        </ext>
      </extLst>
    </bk>
    <bk>
      <extLst>
        <ext uri="{3e2802c4-a4d2-4d8b-9148-e3be6c30e623}">
          <xlrd:rvb i="1819"/>
        </ext>
      </extLst>
    </bk>
    <bk>
      <extLst>
        <ext uri="{3e2802c4-a4d2-4d8b-9148-e3be6c30e623}">
          <xlrd:rvb i="1820"/>
        </ext>
      </extLst>
    </bk>
    <bk>
      <extLst>
        <ext uri="{3e2802c4-a4d2-4d8b-9148-e3be6c30e623}">
          <xlrd:rvb i="1821"/>
        </ext>
      </extLst>
    </bk>
    <bk>
      <extLst>
        <ext uri="{3e2802c4-a4d2-4d8b-9148-e3be6c30e623}">
          <xlrd:rvb i="1822"/>
        </ext>
      </extLst>
    </bk>
    <bk>
      <extLst>
        <ext uri="{3e2802c4-a4d2-4d8b-9148-e3be6c30e623}">
          <xlrd:rvb i="1823"/>
        </ext>
      </extLst>
    </bk>
    <bk>
      <extLst>
        <ext uri="{3e2802c4-a4d2-4d8b-9148-e3be6c30e623}">
          <xlrd:rvb i="1824"/>
        </ext>
      </extLst>
    </bk>
    <bk>
      <extLst>
        <ext uri="{3e2802c4-a4d2-4d8b-9148-e3be6c30e623}">
          <xlrd:rvb i="1825"/>
        </ext>
      </extLst>
    </bk>
    <bk>
      <extLst>
        <ext uri="{3e2802c4-a4d2-4d8b-9148-e3be6c30e623}">
          <xlrd:rvb i="1826"/>
        </ext>
      </extLst>
    </bk>
    <bk>
      <extLst>
        <ext uri="{3e2802c4-a4d2-4d8b-9148-e3be6c30e623}">
          <xlrd:rvb i="1827"/>
        </ext>
      </extLst>
    </bk>
    <bk>
      <extLst>
        <ext uri="{3e2802c4-a4d2-4d8b-9148-e3be6c30e623}">
          <xlrd:rvb i="1828"/>
        </ext>
      </extLst>
    </bk>
    <bk>
      <extLst>
        <ext uri="{3e2802c4-a4d2-4d8b-9148-e3be6c30e623}">
          <xlrd:rvb i="1829"/>
        </ext>
      </extLst>
    </bk>
    <bk>
      <extLst>
        <ext uri="{3e2802c4-a4d2-4d8b-9148-e3be6c30e623}">
          <xlrd:rvb i="1830"/>
        </ext>
      </extLst>
    </bk>
    <bk>
      <extLst>
        <ext uri="{3e2802c4-a4d2-4d8b-9148-e3be6c30e623}">
          <xlrd:rvb i="1831"/>
        </ext>
      </extLst>
    </bk>
    <bk>
      <extLst>
        <ext uri="{3e2802c4-a4d2-4d8b-9148-e3be6c30e623}">
          <xlrd:rvb i="1832"/>
        </ext>
      </extLst>
    </bk>
    <bk>
      <extLst>
        <ext uri="{3e2802c4-a4d2-4d8b-9148-e3be6c30e623}">
          <xlrd:rvb i="1833"/>
        </ext>
      </extLst>
    </bk>
    <bk>
      <extLst>
        <ext uri="{3e2802c4-a4d2-4d8b-9148-e3be6c30e623}">
          <xlrd:rvb i="1834"/>
        </ext>
      </extLst>
    </bk>
    <bk>
      <extLst>
        <ext uri="{3e2802c4-a4d2-4d8b-9148-e3be6c30e623}">
          <xlrd:rvb i="1835"/>
        </ext>
      </extLst>
    </bk>
    <bk>
      <extLst>
        <ext uri="{3e2802c4-a4d2-4d8b-9148-e3be6c30e623}">
          <xlrd:rvb i="1836"/>
        </ext>
      </extLst>
    </bk>
    <bk>
      <extLst>
        <ext uri="{3e2802c4-a4d2-4d8b-9148-e3be6c30e623}">
          <xlrd:rvb i="1837"/>
        </ext>
      </extLst>
    </bk>
    <bk>
      <extLst>
        <ext uri="{3e2802c4-a4d2-4d8b-9148-e3be6c30e623}">
          <xlrd:rvb i="1838"/>
        </ext>
      </extLst>
    </bk>
    <bk>
      <extLst>
        <ext uri="{3e2802c4-a4d2-4d8b-9148-e3be6c30e623}">
          <xlrd:rvb i="1839"/>
        </ext>
      </extLst>
    </bk>
    <bk>
      <extLst>
        <ext uri="{3e2802c4-a4d2-4d8b-9148-e3be6c30e623}">
          <xlrd:rvb i="1840"/>
        </ext>
      </extLst>
    </bk>
    <bk>
      <extLst>
        <ext uri="{3e2802c4-a4d2-4d8b-9148-e3be6c30e623}">
          <xlrd:rvb i="1841"/>
        </ext>
      </extLst>
    </bk>
    <bk>
      <extLst>
        <ext uri="{3e2802c4-a4d2-4d8b-9148-e3be6c30e623}">
          <xlrd:rvb i="1842"/>
        </ext>
      </extLst>
    </bk>
    <bk>
      <extLst>
        <ext uri="{3e2802c4-a4d2-4d8b-9148-e3be6c30e623}">
          <xlrd:rvb i="1843"/>
        </ext>
      </extLst>
    </bk>
    <bk>
      <extLst>
        <ext uri="{3e2802c4-a4d2-4d8b-9148-e3be6c30e623}">
          <xlrd:rvb i="1844"/>
        </ext>
      </extLst>
    </bk>
    <bk>
      <extLst>
        <ext uri="{3e2802c4-a4d2-4d8b-9148-e3be6c30e623}">
          <xlrd:rvb i="1845"/>
        </ext>
      </extLst>
    </bk>
    <bk>
      <extLst>
        <ext uri="{3e2802c4-a4d2-4d8b-9148-e3be6c30e623}">
          <xlrd:rvb i="1846"/>
        </ext>
      </extLst>
    </bk>
    <bk>
      <extLst>
        <ext uri="{3e2802c4-a4d2-4d8b-9148-e3be6c30e623}">
          <xlrd:rvb i="1847"/>
        </ext>
      </extLst>
    </bk>
    <bk>
      <extLst>
        <ext uri="{3e2802c4-a4d2-4d8b-9148-e3be6c30e623}">
          <xlrd:rvb i="1848"/>
        </ext>
      </extLst>
    </bk>
    <bk>
      <extLst>
        <ext uri="{3e2802c4-a4d2-4d8b-9148-e3be6c30e623}">
          <xlrd:rvb i="1849"/>
        </ext>
      </extLst>
    </bk>
    <bk>
      <extLst>
        <ext uri="{3e2802c4-a4d2-4d8b-9148-e3be6c30e623}">
          <xlrd:rvb i="1850"/>
        </ext>
      </extLst>
    </bk>
    <bk>
      <extLst>
        <ext uri="{3e2802c4-a4d2-4d8b-9148-e3be6c30e623}">
          <xlrd:rvb i="1851"/>
        </ext>
      </extLst>
    </bk>
    <bk>
      <extLst>
        <ext uri="{3e2802c4-a4d2-4d8b-9148-e3be6c30e623}">
          <xlrd:rvb i="1852"/>
        </ext>
      </extLst>
    </bk>
    <bk>
      <extLst>
        <ext uri="{3e2802c4-a4d2-4d8b-9148-e3be6c30e623}">
          <xlrd:rvb i="1853"/>
        </ext>
      </extLst>
    </bk>
    <bk>
      <extLst>
        <ext uri="{3e2802c4-a4d2-4d8b-9148-e3be6c30e623}">
          <xlrd:rvb i="1854"/>
        </ext>
      </extLst>
    </bk>
    <bk>
      <extLst>
        <ext uri="{3e2802c4-a4d2-4d8b-9148-e3be6c30e623}">
          <xlrd:rvb i="1855"/>
        </ext>
      </extLst>
    </bk>
    <bk>
      <extLst>
        <ext uri="{3e2802c4-a4d2-4d8b-9148-e3be6c30e623}">
          <xlrd:rvb i="1856"/>
        </ext>
      </extLst>
    </bk>
    <bk>
      <extLst>
        <ext uri="{3e2802c4-a4d2-4d8b-9148-e3be6c30e623}">
          <xlrd:rvb i="1857"/>
        </ext>
      </extLst>
    </bk>
    <bk>
      <extLst>
        <ext uri="{3e2802c4-a4d2-4d8b-9148-e3be6c30e623}">
          <xlrd:rvb i="1858"/>
        </ext>
      </extLst>
    </bk>
    <bk>
      <extLst>
        <ext uri="{3e2802c4-a4d2-4d8b-9148-e3be6c30e623}">
          <xlrd:rvb i="1859"/>
        </ext>
      </extLst>
    </bk>
    <bk>
      <extLst>
        <ext uri="{3e2802c4-a4d2-4d8b-9148-e3be6c30e623}">
          <xlrd:rvb i="1860"/>
        </ext>
      </extLst>
    </bk>
    <bk>
      <extLst>
        <ext uri="{3e2802c4-a4d2-4d8b-9148-e3be6c30e623}">
          <xlrd:rvb i="1861"/>
        </ext>
      </extLst>
    </bk>
    <bk>
      <extLst>
        <ext uri="{3e2802c4-a4d2-4d8b-9148-e3be6c30e623}">
          <xlrd:rvb i="1862"/>
        </ext>
      </extLst>
    </bk>
    <bk>
      <extLst>
        <ext uri="{3e2802c4-a4d2-4d8b-9148-e3be6c30e623}">
          <xlrd:rvb i="1863"/>
        </ext>
      </extLst>
    </bk>
    <bk>
      <extLst>
        <ext uri="{3e2802c4-a4d2-4d8b-9148-e3be6c30e623}">
          <xlrd:rvb i="1864"/>
        </ext>
      </extLst>
    </bk>
    <bk>
      <extLst>
        <ext uri="{3e2802c4-a4d2-4d8b-9148-e3be6c30e623}">
          <xlrd:rvb i="1865"/>
        </ext>
      </extLst>
    </bk>
    <bk>
      <extLst>
        <ext uri="{3e2802c4-a4d2-4d8b-9148-e3be6c30e623}">
          <xlrd:rvb i="1866"/>
        </ext>
      </extLst>
    </bk>
    <bk>
      <extLst>
        <ext uri="{3e2802c4-a4d2-4d8b-9148-e3be6c30e623}">
          <xlrd:rvb i="1867"/>
        </ext>
      </extLst>
    </bk>
    <bk>
      <extLst>
        <ext uri="{3e2802c4-a4d2-4d8b-9148-e3be6c30e623}">
          <xlrd:rvb i="1868"/>
        </ext>
      </extLst>
    </bk>
    <bk>
      <extLst>
        <ext uri="{3e2802c4-a4d2-4d8b-9148-e3be6c30e623}">
          <xlrd:rvb i="1869"/>
        </ext>
      </extLst>
    </bk>
    <bk>
      <extLst>
        <ext uri="{3e2802c4-a4d2-4d8b-9148-e3be6c30e623}">
          <xlrd:rvb i="1870"/>
        </ext>
      </extLst>
    </bk>
    <bk>
      <extLst>
        <ext uri="{3e2802c4-a4d2-4d8b-9148-e3be6c30e623}">
          <xlrd:rvb i="1871"/>
        </ext>
      </extLst>
    </bk>
    <bk>
      <extLst>
        <ext uri="{3e2802c4-a4d2-4d8b-9148-e3be6c30e623}">
          <xlrd:rvb i="1872"/>
        </ext>
      </extLst>
    </bk>
    <bk>
      <extLst>
        <ext uri="{3e2802c4-a4d2-4d8b-9148-e3be6c30e623}">
          <xlrd:rvb i="1873"/>
        </ext>
      </extLst>
    </bk>
    <bk>
      <extLst>
        <ext uri="{3e2802c4-a4d2-4d8b-9148-e3be6c30e623}">
          <xlrd:rvb i="1874"/>
        </ext>
      </extLst>
    </bk>
    <bk>
      <extLst>
        <ext uri="{3e2802c4-a4d2-4d8b-9148-e3be6c30e623}">
          <xlrd:rvb i="1875"/>
        </ext>
      </extLst>
    </bk>
    <bk>
      <extLst>
        <ext uri="{3e2802c4-a4d2-4d8b-9148-e3be6c30e623}">
          <xlrd:rvb i="1876"/>
        </ext>
      </extLst>
    </bk>
    <bk>
      <extLst>
        <ext uri="{3e2802c4-a4d2-4d8b-9148-e3be6c30e623}">
          <xlrd:rvb i="1877"/>
        </ext>
      </extLst>
    </bk>
    <bk>
      <extLst>
        <ext uri="{3e2802c4-a4d2-4d8b-9148-e3be6c30e623}">
          <xlrd:rvb i="1878"/>
        </ext>
      </extLst>
    </bk>
    <bk>
      <extLst>
        <ext uri="{3e2802c4-a4d2-4d8b-9148-e3be6c30e623}">
          <xlrd:rvb i="1879"/>
        </ext>
      </extLst>
    </bk>
    <bk>
      <extLst>
        <ext uri="{3e2802c4-a4d2-4d8b-9148-e3be6c30e623}">
          <xlrd:rvb i="1880"/>
        </ext>
      </extLst>
    </bk>
    <bk>
      <extLst>
        <ext uri="{3e2802c4-a4d2-4d8b-9148-e3be6c30e623}">
          <xlrd:rvb i="1881"/>
        </ext>
      </extLst>
    </bk>
    <bk>
      <extLst>
        <ext uri="{3e2802c4-a4d2-4d8b-9148-e3be6c30e623}">
          <xlrd:rvb i="1882"/>
        </ext>
      </extLst>
    </bk>
    <bk>
      <extLst>
        <ext uri="{3e2802c4-a4d2-4d8b-9148-e3be6c30e623}">
          <xlrd:rvb i="1883"/>
        </ext>
      </extLst>
    </bk>
    <bk>
      <extLst>
        <ext uri="{3e2802c4-a4d2-4d8b-9148-e3be6c30e623}">
          <xlrd:rvb i="1884"/>
        </ext>
      </extLst>
    </bk>
    <bk>
      <extLst>
        <ext uri="{3e2802c4-a4d2-4d8b-9148-e3be6c30e623}">
          <xlrd:rvb i="1885"/>
        </ext>
      </extLst>
    </bk>
    <bk>
      <extLst>
        <ext uri="{3e2802c4-a4d2-4d8b-9148-e3be6c30e623}">
          <xlrd:rvb i="1886"/>
        </ext>
      </extLst>
    </bk>
    <bk>
      <extLst>
        <ext uri="{3e2802c4-a4d2-4d8b-9148-e3be6c30e623}">
          <xlrd:rvb i="1887"/>
        </ext>
      </extLst>
    </bk>
    <bk>
      <extLst>
        <ext uri="{3e2802c4-a4d2-4d8b-9148-e3be6c30e623}">
          <xlrd:rvb i="1888"/>
        </ext>
      </extLst>
    </bk>
    <bk>
      <extLst>
        <ext uri="{3e2802c4-a4d2-4d8b-9148-e3be6c30e623}">
          <xlrd:rvb i="1889"/>
        </ext>
      </extLst>
    </bk>
    <bk>
      <extLst>
        <ext uri="{3e2802c4-a4d2-4d8b-9148-e3be6c30e623}">
          <xlrd:rvb i="1890"/>
        </ext>
      </extLst>
    </bk>
    <bk>
      <extLst>
        <ext uri="{3e2802c4-a4d2-4d8b-9148-e3be6c30e623}">
          <xlrd:rvb i="1891"/>
        </ext>
      </extLst>
    </bk>
    <bk>
      <extLst>
        <ext uri="{3e2802c4-a4d2-4d8b-9148-e3be6c30e623}">
          <xlrd:rvb i="1892"/>
        </ext>
      </extLst>
    </bk>
    <bk>
      <extLst>
        <ext uri="{3e2802c4-a4d2-4d8b-9148-e3be6c30e623}">
          <xlrd:rvb i="1893"/>
        </ext>
      </extLst>
    </bk>
    <bk>
      <extLst>
        <ext uri="{3e2802c4-a4d2-4d8b-9148-e3be6c30e623}">
          <xlrd:rvb i="1894"/>
        </ext>
      </extLst>
    </bk>
    <bk>
      <extLst>
        <ext uri="{3e2802c4-a4d2-4d8b-9148-e3be6c30e623}">
          <xlrd:rvb i="1895"/>
        </ext>
      </extLst>
    </bk>
    <bk>
      <extLst>
        <ext uri="{3e2802c4-a4d2-4d8b-9148-e3be6c30e623}">
          <xlrd:rvb i="1896"/>
        </ext>
      </extLst>
    </bk>
    <bk>
      <extLst>
        <ext uri="{3e2802c4-a4d2-4d8b-9148-e3be6c30e623}">
          <xlrd:rvb i="1897"/>
        </ext>
      </extLst>
    </bk>
    <bk>
      <extLst>
        <ext uri="{3e2802c4-a4d2-4d8b-9148-e3be6c30e623}">
          <xlrd:rvb i="1898"/>
        </ext>
      </extLst>
    </bk>
    <bk>
      <extLst>
        <ext uri="{3e2802c4-a4d2-4d8b-9148-e3be6c30e623}">
          <xlrd:rvb i="1899"/>
        </ext>
      </extLst>
    </bk>
    <bk>
      <extLst>
        <ext uri="{3e2802c4-a4d2-4d8b-9148-e3be6c30e623}">
          <xlrd:rvb i="1900"/>
        </ext>
      </extLst>
    </bk>
    <bk>
      <extLst>
        <ext uri="{3e2802c4-a4d2-4d8b-9148-e3be6c30e623}">
          <xlrd:rvb i="1901"/>
        </ext>
      </extLst>
    </bk>
    <bk>
      <extLst>
        <ext uri="{3e2802c4-a4d2-4d8b-9148-e3be6c30e623}">
          <xlrd:rvb i="1902"/>
        </ext>
      </extLst>
    </bk>
    <bk>
      <extLst>
        <ext uri="{3e2802c4-a4d2-4d8b-9148-e3be6c30e623}">
          <xlrd:rvb i="1903"/>
        </ext>
      </extLst>
    </bk>
    <bk>
      <extLst>
        <ext uri="{3e2802c4-a4d2-4d8b-9148-e3be6c30e623}">
          <xlrd:rvb i="1904"/>
        </ext>
      </extLst>
    </bk>
    <bk>
      <extLst>
        <ext uri="{3e2802c4-a4d2-4d8b-9148-e3be6c30e623}">
          <xlrd:rvb i="1905"/>
        </ext>
      </extLst>
    </bk>
    <bk>
      <extLst>
        <ext uri="{3e2802c4-a4d2-4d8b-9148-e3be6c30e623}">
          <xlrd:rvb i="1906"/>
        </ext>
      </extLst>
    </bk>
    <bk>
      <extLst>
        <ext uri="{3e2802c4-a4d2-4d8b-9148-e3be6c30e623}">
          <xlrd:rvb i="1907"/>
        </ext>
      </extLst>
    </bk>
    <bk>
      <extLst>
        <ext uri="{3e2802c4-a4d2-4d8b-9148-e3be6c30e623}">
          <xlrd:rvb i="1908"/>
        </ext>
      </extLst>
    </bk>
    <bk>
      <extLst>
        <ext uri="{3e2802c4-a4d2-4d8b-9148-e3be6c30e623}">
          <xlrd:rvb i="1909"/>
        </ext>
      </extLst>
    </bk>
    <bk>
      <extLst>
        <ext uri="{3e2802c4-a4d2-4d8b-9148-e3be6c30e623}">
          <xlrd:rvb i="1910"/>
        </ext>
      </extLst>
    </bk>
    <bk>
      <extLst>
        <ext uri="{3e2802c4-a4d2-4d8b-9148-e3be6c30e623}">
          <xlrd:rvb i="1911"/>
        </ext>
      </extLst>
    </bk>
    <bk>
      <extLst>
        <ext uri="{3e2802c4-a4d2-4d8b-9148-e3be6c30e623}">
          <xlrd:rvb i="1912"/>
        </ext>
      </extLst>
    </bk>
    <bk>
      <extLst>
        <ext uri="{3e2802c4-a4d2-4d8b-9148-e3be6c30e623}">
          <xlrd:rvb i="1913"/>
        </ext>
      </extLst>
    </bk>
    <bk>
      <extLst>
        <ext uri="{3e2802c4-a4d2-4d8b-9148-e3be6c30e623}">
          <xlrd:rvb i="1914"/>
        </ext>
      </extLst>
    </bk>
    <bk>
      <extLst>
        <ext uri="{3e2802c4-a4d2-4d8b-9148-e3be6c30e623}">
          <xlrd:rvb i="1915"/>
        </ext>
      </extLst>
    </bk>
    <bk>
      <extLst>
        <ext uri="{3e2802c4-a4d2-4d8b-9148-e3be6c30e623}">
          <xlrd:rvb i="1916"/>
        </ext>
      </extLst>
    </bk>
    <bk>
      <extLst>
        <ext uri="{3e2802c4-a4d2-4d8b-9148-e3be6c30e623}">
          <xlrd:rvb i="1917"/>
        </ext>
      </extLst>
    </bk>
    <bk>
      <extLst>
        <ext uri="{3e2802c4-a4d2-4d8b-9148-e3be6c30e623}">
          <xlrd:rvb i="1918"/>
        </ext>
      </extLst>
    </bk>
    <bk>
      <extLst>
        <ext uri="{3e2802c4-a4d2-4d8b-9148-e3be6c30e623}">
          <xlrd:rvb i="1919"/>
        </ext>
      </extLst>
    </bk>
    <bk>
      <extLst>
        <ext uri="{3e2802c4-a4d2-4d8b-9148-e3be6c30e623}">
          <xlrd:rvb i="1920"/>
        </ext>
      </extLst>
    </bk>
    <bk>
      <extLst>
        <ext uri="{3e2802c4-a4d2-4d8b-9148-e3be6c30e623}">
          <xlrd:rvb i="1921"/>
        </ext>
      </extLst>
    </bk>
    <bk>
      <extLst>
        <ext uri="{3e2802c4-a4d2-4d8b-9148-e3be6c30e623}">
          <xlrd:rvb i="1922"/>
        </ext>
      </extLst>
    </bk>
    <bk>
      <extLst>
        <ext uri="{3e2802c4-a4d2-4d8b-9148-e3be6c30e623}">
          <xlrd:rvb i="1923"/>
        </ext>
      </extLst>
    </bk>
    <bk>
      <extLst>
        <ext uri="{3e2802c4-a4d2-4d8b-9148-e3be6c30e623}">
          <xlrd:rvb i="1924"/>
        </ext>
      </extLst>
    </bk>
    <bk>
      <extLst>
        <ext uri="{3e2802c4-a4d2-4d8b-9148-e3be6c30e623}">
          <xlrd:rvb i="1925"/>
        </ext>
      </extLst>
    </bk>
    <bk>
      <extLst>
        <ext uri="{3e2802c4-a4d2-4d8b-9148-e3be6c30e623}">
          <xlrd:rvb i="1926"/>
        </ext>
      </extLst>
    </bk>
    <bk>
      <extLst>
        <ext uri="{3e2802c4-a4d2-4d8b-9148-e3be6c30e623}">
          <xlrd:rvb i="1927"/>
        </ext>
      </extLst>
    </bk>
    <bk>
      <extLst>
        <ext uri="{3e2802c4-a4d2-4d8b-9148-e3be6c30e623}">
          <xlrd:rvb i="1928"/>
        </ext>
      </extLst>
    </bk>
    <bk>
      <extLst>
        <ext uri="{3e2802c4-a4d2-4d8b-9148-e3be6c30e623}">
          <xlrd:rvb i="1929"/>
        </ext>
      </extLst>
    </bk>
    <bk>
      <extLst>
        <ext uri="{3e2802c4-a4d2-4d8b-9148-e3be6c30e623}">
          <xlrd:rvb i="1930"/>
        </ext>
      </extLst>
    </bk>
    <bk>
      <extLst>
        <ext uri="{3e2802c4-a4d2-4d8b-9148-e3be6c30e623}">
          <xlrd:rvb i="1931"/>
        </ext>
      </extLst>
    </bk>
    <bk>
      <extLst>
        <ext uri="{3e2802c4-a4d2-4d8b-9148-e3be6c30e623}">
          <xlrd:rvb i="1932"/>
        </ext>
      </extLst>
    </bk>
    <bk>
      <extLst>
        <ext uri="{3e2802c4-a4d2-4d8b-9148-e3be6c30e623}">
          <xlrd:rvb i="1933"/>
        </ext>
      </extLst>
    </bk>
    <bk>
      <extLst>
        <ext uri="{3e2802c4-a4d2-4d8b-9148-e3be6c30e623}">
          <xlrd:rvb i="1934"/>
        </ext>
      </extLst>
    </bk>
    <bk>
      <extLst>
        <ext uri="{3e2802c4-a4d2-4d8b-9148-e3be6c30e623}">
          <xlrd:rvb i="1935"/>
        </ext>
      </extLst>
    </bk>
    <bk>
      <extLst>
        <ext uri="{3e2802c4-a4d2-4d8b-9148-e3be6c30e623}">
          <xlrd:rvb i="1936"/>
        </ext>
      </extLst>
    </bk>
    <bk>
      <extLst>
        <ext uri="{3e2802c4-a4d2-4d8b-9148-e3be6c30e623}">
          <xlrd:rvb i="1937"/>
        </ext>
      </extLst>
    </bk>
    <bk>
      <extLst>
        <ext uri="{3e2802c4-a4d2-4d8b-9148-e3be6c30e623}">
          <xlrd:rvb i="1938"/>
        </ext>
      </extLst>
    </bk>
    <bk>
      <extLst>
        <ext uri="{3e2802c4-a4d2-4d8b-9148-e3be6c30e623}">
          <xlrd:rvb i="1939"/>
        </ext>
      </extLst>
    </bk>
    <bk>
      <extLst>
        <ext uri="{3e2802c4-a4d2-4d8b-9148-e3be6c30e623}">
          <xlrd:rvb i="1940"/>
        </ext>
      </extLst>
    </bk>
    <bk>
      <extLst>
        <ext uri="{3e2802c4-a4d2-4d8b-9148-e3be6c30e623}">
          <xlrd:rvb i="1941"/>
        </ext>
      </extLst>
    </bk>
    <bk>
      <extLst>
        <ext uri="{3e2802c4-a4d2-4d8b-9148-e3be6c30e623}">
          <xlrd:rvb i="1942"/>
        </ext>
      </extLst>
    </bk>
    <bk>
      <extLst>
        <ext uri="{3e2802c4-a4d2-4d8b-9148-e3be6c30e623}">
          <xlrd:rvb i="1943"/>
        </ext>
      </extLst>
    </bk>
    <bk>
      <extLst>
        <ext uri="{3e2802c4-a4d2-4d8b-9148-e3be6c30e623}">
          <xlrd:rvb i="1944"/>
        </ext>
      </extLst>
    </bk>
    <bk>
      <extLst>
        <ext uri="{3e2802c4-a4d2-4d8b-9148-e3be6c30e623}">
          <xlrd:rvb i="1945"/>
        </ext>
      </extLst>
    </bk>
    <bk>
      <extLst>
        <ext uri="{3e2802c4-a4d2-4d8b-9148-e3be6c30e623}">
          <xlrd:rvb i="1946"/>
        </ext>
      </extLst>
    </bk>
    <bk>
      <extLst>
        <ext uri="{3e2802c4-a4d2-4d8b-9148-e3be6c30e623}">
          <xlrd:rvb i="1947"/>
        </ext>
      </extLst>
    </bk>
    <bk>
      <extLst>
        <ext uri="{3e2802c4-a4d2-4d8b-9148-e3be6c30e623}">
          <xlrd:rvb i="1948"/>
        </ext>
      </extLst>
    </bk>
    <bk>
      <extLst>
        <ext uri="{3e2802c4-a4d2-4d8b-9148-e3be6c30e623}">
          <xlrd:rvb i="1949"/>
        </ext>
      </extLst>
    </bk>
    <bk>
      <extLst>
        <ext uri="{3e2802c4-a4d2-4d8b-9148-e3be6c30e623}">
          <xlrd:rvb i="1950"/>
        </ext>
      </extLst>
    </bk>
    <bk>
      <extLst>
        <ext uri="{3e2802c4-a4d2-4d8b-9148-e3be6c30e623}">
          <xlrd:rvb i="1951"/>
        </ext>
      </extLst>
    </bk>
    <bk>
      <extLst>
        <ext uri="{3e2802c4-a4d2-4d8b-9148-e3be6c30e623}">
          <xlrd:rvb i="1952"/>
        </ext>
      </extLst>
    </bk>
    <bk>
      <extLst>
        <ext uri="{3e2802c4-a4d2-4d8b-9148-e3be6c30e623}">
          <xlrd:rvb i="1953"/>
        </ext>
      </extLst>
    </bk>
    <bk>
      <extLst>
        <ext uri="{3e2802c4-a4d2-4d8b-9148-e3be6c30e623}">
          <xlrd:rvb i="1954"/>
        </ext>
      </extLst>
    </bk>
    <bk>
      <extLst>
        <ext uri="{3e2802c4-a4d2-4d8b-9148-e3be6c30e623}">
          <xlrd:rvb i="1955"/>
        </ext>
      </extLst>
    </bk>
    <bk>
      <extLst>
        <ext uri="{3e2802c4-a4d2-4d8b-9148-e3be6c30e623}">
          <xlrd:rvb i="1956"/>
        </ext>
      </extLst>
    </bk>
    <bk>
      <extLst>
        <ext uri="{3e2802c4-a4d2-4d8b-9148-e3be6c30e623}">
          <xlrd:rvb i="1957"/>
        </ext>
      </extLst>
    </bk>
    <bk>
      <extLst>
        <ext uri="{3e2802c4-a4d2-4d8b-9148-e3be6c30e623}">
          <xlrd:rvb i="1958"/>
        </ext>
      </extLst>
    </bk>
    <bk>
      <extLst>
        <ext uri="{3e2802c4-a4d2-4d8b-9148-e3be6c30e623}">
          <xlrd:rvb i="1959"/>
        </ext>
      </extLst>
    </bk>
    <bk>
      <extLst>
        <ext uri="{3e2802c4-a4d2-4d8b-9148-e3be6c30e623}">
          <xlrd:rvb i="1960"/>
        </ext>
      </extLst>
    </bk>
    <bk>
      <extLst>
        <ext uri="{3e2802c4-a4d2-4d8b-9148-e3be6c30e623}">
          <xlrd:rvb i="1961"/>
        </ext>
      </extLst>
    </bk>
    <bk>
      <extLst>
        <ext uri="{3e2802c4-a4d2-4d8b-9148-e3be6c30e623}">
          <xlrd:rvb i="1962"/>
        </ext>
      </extLst>
    </bk>
    <bk>
      <extLst>
        <ext uri="{3e2802c4-a4d2-4d8b-9148-e3be6c30e623}">
          <xlrd:rvb i="1963"/>
        </ext>
      </extLst>
    </bk>
    <bk>
      <extLst>
        <ext uri="{3e2802c4-a4d2-4d8b-9148-e3be6c30e623}">
          <xlrd:rvb i="1964"/>
        </ext>
      </extLst>
    </bk>
    <bk>
      <extLst>
        <ext uri="{3e2802c4-a4d2-4d8b-9148-e3be6c30e623}">
          <xlrd:rvb i="1965"/>
        </ext>
      </extLst>
    </bk>
    <bk>
      <extLst>
        <ext uri="{3e2802c4-a4d2-4d8b-9148-e3be6c30e623}">
          <xlrd:rvb i="1966"/>
        </ext>
      </extLst>
    </bk>
    <bk>
      <extLst>
        <ext uri="{3e2802c4-a4d2-4d8b-9148-e3be6c30e623}">
          <xlrd:rvb i="1967"/>
        </ext>
      </extLst>
    </bk>
    <bk>
      <extLst>
        <ext uri="{3e2802c4-a4d2-4d8b-9148-e3be6c30e623}">
          <xlrd:rvb i="1968"/>
        </ext>
      </extLst>
    </bk>
    <bk>
      <extLst>
        <ext uri="{3e2802c4-a4d2-4d8b-9148-e3be6c30e623}">
          <xlrd:rvb i="1969"/>
        </ext>
      </extLst>
    </bk>
    <bk>
      <extLst>
        <ext uri="{3e2802c4-a4d2-4d8b-9148-e3be6c30e623}">
          <xlrd:rvb i="1970"/>
        </ext>
      </extLst>
    </bk>
    <bk>
      <extLst>
        <ext uri="{3e2802c4-a4d2-4d8b-9148-e3be6c30e623}">
          <xlrd:rvb i="1971"/>
        </ext>
      </extLst>
    </bk>
    <bk>
      <extLst>
        <ext uri="{3e2802c4-a4d2-4d8b-9148-e3be6c30e623}">
          <xlrd:rvb i="1972"/>
        </ext>
      </extLst>
    </bk>
    <bk>
      <extLst>
        <ext uri="{3e2802c4-a4d2-4d8b-9148-e3be6c30e623}">
          <xlrd:rvb i="1973"/>
        </ext>
      </extLst>
    </bk>
    <bk>
      <extLst>
        <ext uri="{3e2802c4-a4d2-4d8b-9148-e3be6c30e623}">
          <xlrd:rvb i="1974"/>
        </ext>
      </extLst>
    </bk>
    <bk>
      <extLst>
        <ext uri="{3e2802c4-a4d2-4d8b-9148-e3be6c30e623}">
          <xlrd:rvb i="1975"/>
        </ext>
      </extLst>
    </bk>
    <bk>
      <extLst>
        <ext uri="{3e2802c4-a4d2-4d8b-9148-e3be6c30e623}">
          <xlrd:rvb i="1976"/>
        </ext>
      </extLst>
    </bk>
    <bk>
      <extLst>
        <ext uri="{3e2802c4-a4d2-4d8b-9148-e3be6c30e623}">
          <xlrd:rvb i="1977"/>
        </ext>
      </extLst>
    </bk>
    <bk>
      <extLst>
        <ext uri="{3e2802c4-a4d2-4d8b-9148-e3be6c30e623}">
          <xlrd:rvb i="1978"/>
        </ext>
      </extLst>
    </bk>
    <bk>
      <extLst>
        <ext uri="{3e2802c4-a4d2-4d8b-9148-e3be6c30e623}">
          <xlrd:rvb i="1979"/>
        </ext>
      </extLst>
    </bk>
    <bk>
      <extLst>
        <ext uri="{3e2802c4-a4d2-4d8b-9148-e3be6c30e623}">
          <xlrd:rvb i="1980"/>
        </ext>
      </extLst>
    </bk>
    <bk>
      <extLst>
        <ext uri="{3e2802c4-a4d2-4d8b-9148-e3be6c30e623}">
          <xlrd:rvb i="1981"/>
        </ext>
      </extLst>
    </bk>
    <bk>
      <extLst>
        <ext uri="{3e2802c4-a4d2-4d8b-9148-e3be6c30e623}">
          <xlrd:rvb i="1982"/>
        </ext>
      </extLst>
    </bk>
    <bk>
      <extLst>
        <ext uri="{3e2802c4-a4d2-4d8b-9148-e3be6c30e623}">
          <xlrd:rvb i="1983"/>
        </ext>
      </extLst>
    </bk>
    <bk>
      <extLst>
        <ext uri="{3e2802c4-a4d2-4d8b-9148-e3be6c30e623}">
          <xlrd:rvb i="1984"/>
        </ext>
      </extLst>
    </bk>
    <bk>
      <extLst>
        <ext uri="{3e2802c4-a4d2-4d8b-9148-e3be6c30e623}">
          <xlrd:rvb i="1985"/>
        </ext>
      </extLst>
    </bk>
    <bk>
      <extLst>
        <ext uri="{3e2802c4-a4d2-4d8b-9148-e3be6c30e623}">
          <xlrd:rvb i="1986"/>
        </ext>
      </extLst>
    </bk>
    <bk>
      <extLst>
        <ext uri="{3e2802c4-a4d2-4d8b-9148-e3be6c30e623}">
          <xlrd:rvb i="1987"/>
        </ext>
      </extLst>
    </bk>
    <bk>
      <extLst>
        <ext uri="{3e2802c4-a4d2-4d8b-9148-e3be6c30e623}">
          <xlrd:rvb i="1988"/>
        </ext>
      </extLst>
    </bk>
    <bk>
      <extLst>
        <ext uri="{3e2802c4-a4d2-4d8b-9148-e3be6c30e623}">
          <xlrd:rvb i="1989"/>
        </ext>
      </extLst>
    </bk>
    <bk>
      <extLst>
        <ext uri="{3e2802c4-a4d2-4d8b-9148-e3be6c30e623}">
          <xlrd:rvb i="1990"/>
        </ext>
      </extLst>
    </bk>
    <bk>
      <extLst>
        <ext uri="{3e2802c4-a4d2-4d8b-9148-e3be6c30e623}">
          <xlrd:rvb i="1991"/>
        </ext>
      </extLst>
    </bk>
    <bk>
      <extLst>
        <ext uri="{3e2802c4-a4d2-4d8b-9148-e3be6c30e623}">
          <xlrd:rvb i="1992"/>
        </ext>
      </extLst>
    </bk>
    <bk>
      <extLst>
        <ext uri="{3e2802c4-a4d2-4d8b-9148-e3be6c30e623}">
          <xlrd:rvb i="1993"/>
        </ext>
      </extLst>
    </bk>
    <bk>
      <extLst>
        <ext uri="{3e2802c4-a4d2-4d8b-9148-e3be6c30e623}">
          <xlrd:rvb i="1994"/>
        </ext>
      </extLst>
    </bk>
    <bk>
      <extLst>
        <ext uri="{3e2802c4-a4d2-4d8b-9148-e3be6c30e623}">
          <xlrd:rvb i="1995"/>
        </ext>
      </extLst>
    </bk>
    <bk>
      <extLst>
        <ext uri="{3e2802c4-a4d2-4d8b-9148-e3be6c30e623}">
          <xlrd:rvb i="1996"/>
        </ext>
      </extLst>
    </bk>
    <bk>
      <extLst>
        <ext uri="{3e2802c4-a4d2-4d8b-9148-e3be6c30e623}">
          <xlrd:rvb i="1997"/>
        </ext>
      </extLst>
    </bk>
    <bk>
      <extLst>
        <ext uri="{3e2802c4-a4d2-4d8b-9148-e3be6c30e623}">
          <xlrd:rvb i="1998"/>
        </ext>
      </extLst>
    </bk>
    <bk>
      <extLst>
        <ext uri="{3e2802c4-a4d2-4d8b-9148-e3be6c30e623}">
          <xlrd:rvb i="1999"/>
        </ext>
      </extLst>
    </bk>
    <bk>
      <extLst>
        <ext uri="{3e2802c4-a4d2-4d8b-9148-e3be6c30e623}">
          <xlrd:rvb i="2000"/>
        </ext>
      </extLst>
    </bk>
    <bk>
      <extLst>
        <ext uri="{3e2802c4-a4d2-4d8b-9148-e3be6c30e623}">
          <xlrd:rvb i="2001"/>
        </ext>
      </extLst>
    </bk>
    <bk>
      <extLst>
        <ext uri="{3e2802c4-a4d2-4d8b-9148-e3be6c30e623}">
          <xlrd:rvb i="2002"/>
        </ext>
      </extLst>
    </bk>
    <bk>
      <extLst>
        <ext uri="{3e2802c4-a4d2-4d8b-9148-e3be6c30e623}">
          <xlrd:rvb i="2003"/>
        </ext>
      </extLst>
    </bk>
    <bk>
      <extLst>
        <ext uri="{3e2802c4-a4d2-4d8b-9148-e3be6c30e623}">
          <xlrd:rvb i="2004"/>
        </ext>
      </extLst>
    </bk>
    <bk>
      <extLst>
        <ext uri="{3e2802c4-a4d2-4d8b-9148-e3be6c30e623}">
          <xlrd:rvb i="2005"/>
        </ext>
      </extLst>
    </bk>
    <bk>
      <extLst>
        <ext uri="{3e2802c4-a4d2-4d8b-9148-e3be6c30e623}">
          <xlrd:rvb i="2006"/>
        </ext>
      </extLst>
    </bk>
    <bk>
      <extLst>
        <ext uri="{3e2802c4-a4d2-4d8b-9148-e3be6c30e623}">
          <xlrd:rvb i="2007"/>
        </ext>
      </extLst>
    </bk>
    <bk>
      <extLst>
        <ext uri="{3e2802c4-a4d2-4d8b-9148-e3be6c30e623}">
          <xlrd:rvb i="2008"/>
        </ext>
      </extLst>
    </bk>
    <bk>
      <extLst>
        <ext uri="{3e2802c4-a4d2-4d8b-9148-e3be6c30e623}">
          <xlrd:rvb i="2009"/>
        </ext>
      </extLst>
    </bk>
    <bk>
      <extLst>
        <ext uri="{3e2802c4-a4d2-4d8b-9148-e3be6c30e623}">
          <xlrd:rvb i="2010"/>
        </ext>
      </extLst>
    </bk>
    <bk>
      <extLst>
        <ext uri="{3e2802c4-a4d2-4d8b-9148-e3be6c30e623}">
          <xlrd:rvb i="2011"/>
        </ext>
      </extLst>
    </bk>
    <bk>
      <extLst>
        <ext uri="{3e2802c4-a4d2-4d8b-9148-e3be6c30e623}">
          <xlrd:rvb i="2012"/>
        </ext>
      </extLst>
    </bk>
    <bk>
      <extLst>
        <ext uri="{3e2802c4-a4d2-4d8b-9148-e3be6c30e623}">
          <xlrd:rvb i="2013"/>
        </ext>
      </extLst>
    </bk>
    <bk>
      <extLst>
        <ext uri="{3e2802c4-a4d2-4d8b-9148-e3be6c30e623}">
          <xlrd:rvb i="2014"/>
        </ext>
      </extLst>
    </bk>
    <bk>
      <extLst>
        <ext uri="{3e2802c4-a4d2-4d8b-9148-e3be6c30e623}">
          <xlrd:rvb i="2015"/>
        </ext>
      </extLst>
    </bk>
    <bk>
      <extLst>
        <ext uri="{3e2802c4-a4d2-4d8b-9148-e3be6c30e623}">
          <xlrd:rvb i="2016"/>
        </ext>
      </extLst>
    </bk>
    <bk>
      <extLst>
        <ext uri="{3e2802c4-a4d2-4d8b-9148-e3be6c30e623}">
          <xlrd:rvb i="2017"/>
        </ext>
      </extLst>
    </bk>
    <bk>
      <extLst>
        <ext uri="{3e2802c4-a4d2-4d8b-9148-e3be6c30e623}">
          <xlrd:rvb i="2018"/>
        </ext>
      </extLst>
    </bk>
    <bk>
      <extLst>
        <ext uri="{3e2802c4-a4d2-4d8b-9148-e3be6c30e623}">
          <xlrd:rvb i="2019"/>
        </ext>
      </extLst>
    </bk>
    <bk>
      <extLst>
        <ext uri="{3e2802c4-a4d2-4d8b-9148-e3be6c30e623}">
          <xlrd:rvb i="2020"/>
        </ext>
      </extLst>
    </bk>
    <bk>
      <extLst>
        <ext uri="{3e2802c4-a4d2-4d8b-9148-e3be6c30e623}">
          <xlrd:rvb i="2021"/>
        </ext>
      </extLst>
    </bk>
    <bk>
      <extLst>
        <ext uri="{3e2802c4-a4d2-4d8b-9148-e3be6c30e623}">
          <xlrd:rvb i="2022"/>
        </ext>
      </extLst>
    </bk>
    <bk>
      <extLst>
        <ext uri="{3e2802c4-a4d2-4d8b-9148-e3be6c30e623}">
          <xlrd:rvb i="2023"/>
        </ext>
      </extLst>
    </bk>
    <bk>
      <extLst>
        <ext uri="{3e2802c4-a4d2-4d8b-9148-e3be6c30e623}">
          <xlrd:rvb i="2024"/>
        </ext>
      </extLst>
    </bk>
    <bk>
      <extLst>
        <ext uri="{3e2802c4-a4d2-4d8b-9148-e3be6c30e623}">
          <xlrd:rvb i="2025"/>
        </ext>
      </extLst>
    </bk>
    <bk>
      <extLst>
        <ext uri="{3e2802c4-a4d2-4d8b-9148-e3be6c30e623}">
          <xlrd:rvb i="2026"/>
        </ext>
      </extLst>
    </bk>
    <bk>
      <extLst>
        <ext uri="{3e2802c4-a4d2-4d8b-9148-e3be6c30e623}">
          <xlrd:rvb i="2027"/>
        </ext>
      </extLst>
    </bk>
    <bk>
      <extLst>
        <ext uri="{3e2802c4-a4d2-4d8b-9148-e3be6c30e623}">
          <xlrd:rvb i="2028"/>
        </ext>
      </extLst>
    </bk>
    <bk>
      <extLst>
        <ext uri="{3e2802c4-a4d2-4d8b-9148-e3be6c30e623}">
          <xlrd:rvb i="2029"/>
        </ext>
      </extLst>
    </bk>
    <bk>
      <extLst>
        <ext uri="{3e2802c4-a4d2-4d8b-9148-e3be6c30e623}">
          <xlrd:rvb i="2030"/>
        </ext>
      </extLst>
    </bk>
    <bk>
      <extLst>
        <ext uri="{3e2802c4-a4d2-4d8b-9148-e3be6c30e623}">
          <xlrd:rvb i="2031"/>
        </ext>
      </extLst>
    </bk>
    <bk>
      <extLst>
        <ext uri="{3e2802c4-a4d2-4d8b-9148-e3be6c30e623}">
          <xlrd:rvb i="2032"/>
        </ext>
      </extLst>
    </bk>
    <bk>
      <extLst>
        <ext uri="{3e2802c4-a4d2-4d8b-9148-e3be6c30e623}">
          <xlrd:rvb i="2033"/>
        </ext>
      </extLst>
    </bk>
    <bk>
      <extLst>
        <ext uri="{3e2802c4-a4d2-4d8b-9148-e3be6c30e623}">
          <xlrd:rvb i="2034"/>
        </ext>
      </extLst>
    </bk>
    <bk>
      <extLst>
        <ext uri="{3e2802c4-a4d2-4d8b-9148-e3be6c30e623}">
          <xlrd:rvb i="2035"/>
        </ext>
      </extLst>
    </bk>
    <bk>
      <extLst>
        <ext uri="{3e2802c4-a4d2-4d8b-9148-e3be6c30e623}">
          <xlrd:rvb i="2036"/>
        </ext>
      </extLst>
    </bk>
    <bk>
      <extLst>
        <ext uri="{3e2802c4-a4d2-4d8b-9148-e3be6c30e623}">
          <xlrd:rvb i="2037"/>
        </ext>
      </extLst>
    </bk>
    <bk>
      <extLst>
        <ext uri="{3e2802c4-a4d2-4d8b-9148-e3be6c30e623}">
          <xlrd:rvb i="2038"/>
        </ext>
      </extLst>
    </bk>
    <bk>
      <extLst>
        <ext uri="{3e2802c4-a4d2-4d8b-9148-e3be6c30e623}">
          <xlrd:rvb i="2039"/>
        </ext>
      </extLst>
    </bk>
    <bk>
      <extLst>
        <ext uri="{3e2802c4-a4d2-4d8b-9148-e3be6c30e623}">
          <xlrd:rvb i="2040"/>
        </ext>
      </extLst>
    </bk>
    <bk>
      <extLst>
        <ext uri="{3e2802c4-a4d2-4d8b-9148-e3be6c30e623}">
          <xlrd:rvb i="2041"/>
        </ext>
      </extLst>
    </bk>
    <bk>
      <extLst>
        <ext uri="{3e2802c4-a4d2-4d8b-9148-e3be6c30e623}">
          <xlrd:rvb i="2042"/>
        </ext>
      </extLst>
    </bk>
    <bk>
      <extLst>
        <ext uri="{3e2802c4-a4d2-4d8b-9148-e3be6c30e623}">
          <xlrd:rvb i="2043"/>
        </ext>
      </extLst>
    </bk>
    <bk>
      <extLst>
        <ext uri="{3e2802c4-a4d2-4d8b-9148-e3be6c30e623}">
          <xlrd:rvb i="2044"/>
        </ext>
      </extLst>
    </bk>
    <bk>
      <extLst>
        <ext uri="{3e2802c4-a4d2-4d8b-9148-e3be6c30e623}">
          <xlrd:rvb i="2045"/>
        </ext>
      </extLst>
    </bk>
    <bk>
      <extLst>
        <ext uri="{3e2802c4-a4d2-4d8b-9148-e3be6c30e623}">
          <xlrd:rvb i="2046"/>
        </ext>
      </extLst>
    </bk>
    <bk>
      <extLst>
        <ext uri="{3e2802c4-a4d2-4d8b-9148-e3be6c30e623}">
          <xlrd:rvb i="2047"/>
        </ext>
      </extLst>
    </bk>
    <bk>
      <extLst>
        <ext uri="{3e2802c4-a4d2-4d8b-9148-e3be6c30e623}">
          <xlrd:rvb i="2048"/>
        </ext>
      </extLst>
    </bk>
    <bk>
      <extLst>
        <ext uri="{3e2802c4-a4d2-4d8b-9148-e3be6c30e623}">
          <xlrd:rvb i="2049"/>
        </ext>
      </extLst>
    </bk>
    <bk>
      <extLst>
        <ext uri="{3e2802c4-a4d2-4d8b-9148-e3be6c30e623}">
          <xlrd:rvb i="2050"/>
        </ext>
      </extLst>
    </bk>
    <bk>
      <extLst>
        <ext uri="{3e2802c4-a4d2-4d8b-9148-e3be6c30e623}">
          <xlrd:rvb i="2051"/>
        </ext>
      </extLst>
    </bk>
    <bk>
      <extLst>
        <ext uri="{3e2802c4-a4d2-4d8b-9148-e3be6c30e623}">
          <xlrd:rvb i="2052"/>
        </ext>
      </extLst>
    </bk>
    <bk>
      <extLst>
        <ext uri="{3e2802c4-a4d2-4d8b-9148-e3be6c30e623}">
          <xlrd:rvb i="2053"/>
        </ext>
      </extLst>
    </bk>
    <bk>
      <extLst>
        <ext uri="{3e2802c4-a4d2-4d8b-9148-e3be6c30e623}">
          <xlrd:rvb i="2054"/>
        </ext>
      </extLst>
    </bk>
    <bk>
      <extLst>
        <ext uri="{3e2802c4-a4d2-4d8b-9148-e3be6c30e623}">
          <xlrd:rvb i="2055"/>
        </ext>
      </extLst>
    </bk>
    <bk>
      <extLst>
        <ext uri="{3e2802c4-a4d2-4d8b-9148-e3be6c30e623}">
          <xlrd:rvb i="2056"/>
        </ext>
      </extLst>
    </bk>
    <bk>
      <extLst>
        <ext uri="{3e2802c4-a4d2-4d8b-9148-e3be6c30e623}">
          <xlrd:rvb i="2057"/>
        </ext>
      </extLst>
    </bk>
    <bk>
      <extLst>
        <ext uri="{3e2802c4-a4d2-4d8b-9148-e3be6c30e623}">
          <xlrd:rvb i="2058"/>
        </ext>
      </extLst>
    </bk>
    <bk>
      <extLst>
        <ext uri="{3e2802c4-a4d2-4d8b-9148-e3be6c30e623}">
          <xlrd:rvb i="2059"/>
        </ext>
      </extLst>
    </bk>
    <bk>
      <extLst>
        <ext uri="{3e2802c4-a4d2-4d8b-9148-e3be6c30e623}">
          <xlrd:rvb i="2060"/>
        </ext>
      </extLst>
    </bk>
    <bk>
      <extLst>
        <ext uri="{3e2802c4-a4d2-4d8b-9148-e3be6c30e623}">
          <xlrd:rvb i="2061"/>
        </ext>
      </extLst>
    </bk>
    <bk>
      <extLst>
        <ext uri="{3e2802c4-a4d2-4d8b-9148-e3be6c30e623}">
          <xlrd:rvb i="2062"/>
        </ext>
      </extLst>
    </bk>
    <bk>
      <extLst>
        <ext uri="{3e2802c4-a4d2-4d8b-9148-e3be6c30e623}">
          <xlrd:rvb i="2063"/>
        </ext>
      </extLst>
    </bk>
    <bk>
      <extLst>
        <ext uri="{3e2802c4-a4d2-4d8b-9148-e3be6c30e623}">
          <xlrd:rvb i="2064"/>
        </ext>
      </extLst>
    </bk>
    <bk>
      <extLst>
        <ext uri="{3e2802c4-a4d2-4d8b-9148-e3be6c30e623}">
          <xlrd:rvb i="2065"/>
        </ext>
      </extLst>
    </bk>
    <bk>
      <extLst>
        <ext uri="{3e2802c4-a4d2-4d8b-9148-e3be6c30e623}">
          <xlrd:rvb i="2066"/>
        </ext>
      </extLst>
    </bk>
    <bk>
      <extLst>
        <ext uri="{3e2802c4-a4d2-4d8b-9148-e3be6c30e623}">
          <xlrd:rvb i="2067"/>
        </ext>
      </extLst>
    </bk>
    <bk>
      <extLst>
        <ext uri="{3e2802c4-a4d2-4d8b-9148-e3be6c30e623}">
          <xlrd:rvb i="2068"/>
        </ext>
      </extLst>
    </bk>
    <bk>
      <extLst>
        <ext uri="{3e2802c4-a4d2-4d8b-9148-e3be6c30e623}">
          <xlrd:rvb i="2069"/>
        </ext>
      </extLst>
    </bk>
    <bk>
      <extLst>
        <ext uri="{3e2802c4-a4d2-4d8b-9148-e3be6c30e623}">
          <xlrd:rvb i="2070"/>
        </ext>
      </extLst>
    </bk>
    <bk>
      <extLst>
        <ext uri="{3e2802c4-a4d2-4d8b-9148-e3be6c30e623}">
          <xlrd:rvb i="2071"/>
        </ext>
      </extLst>
    </bk>
    <bk>
      <extLst>
        <ext uri="{3e2802c4-a4d2-4d8b-9148-e3be6c30e623}">
          <xlrd:rvb i="2072"/>
        </ext>
      </extLst>
    </bk>
    <bk>
      <extLst>
        <ext uri="{3e2802c4-a4d2-4d8b-9148-e3be6c30e623}">
          <xlrd:rvb i="2073"/>
        </ext>
      </extLst>
    </bk>
    <bk>
      <extLst>
        <ext uri="{3e2802c4-a4d2-4d8b-9148-e3be6c30e623}">
          <xlrd:rvb i="2074"/>
        </ext>
      </extLst>
    </bk>
    <bk>
      <extLst>
        <ext uri="{3e2802c4-a4d2-4d8b-9148-e3be6c30e623}">
          <xlrd:rvb i="2075"/>
        </ext>
      </extLst>
    </bk>
    <bk>
      <extLst>
        <ext uri="{3e2802c4-a4d2-4d8b-9148-e3be6c30e623}">
          <xlrd:rvb i="2076"/>
        </ext>
      </extLst>
    </bk>
    <bk>
      <extLst>
        <ext uri="{3e2802c4-a4d2-4d8b-9148-e3be6c30e623}">
          <xlrd:rvb i="2077"/>
        </ext>
      </extLst>
    </bk>
    <bk>
      <extLst>
        <ext uri="{3e2802c4-a4d2-4d8b-9148-e3be6c30e623}">
          <xlrd:rvb i="2078"/>
        </ext>
      </extLst>
    </bk>
    <bk>
      <extLst>
        <ext uri="{3e2802c4-a4d2-4d8b-9148-e3be6c30e623}">
          <xlrd:rvb i="2079"/>
        </ext>
      </extLst>
    </bk>
    <bk>
      <extLst>
        <ext uri="{3e2802c4-a4d2-4d8b-9148-e3be6c30e623}">
          <xlrd:rvb i="2080"/>
        </ext>
      </extLst>
    </bk>
    <bk>
      <extLst>
        <ext uri="{3e2802c4-a4d2-4d8b-9148-e3be6c30e623}">
          <xlrd:rvb i="2081"/>
        </ext>
      </extLst>
    </bk>
    <bk>
      <extLst>
        <ext uri="{3e2802c4-a4d2-4d8b-9148-e3be6c30e623}">
          <xlrd:rvb i="2082"/>
        </ext>
      </extLst>
    </bk>
    <bk>
      <extLst>
        <ext uri="{3e2802c4-a4d2-4d8b-9148-e3be6c30e623}">
          <xlrd:rvb i="2083"/>
        </ext>
      </extLst>
    </bk>
    <bk>
      <extLst>
        <ext uri="{3e2802c4-a4d2-4d8b-9148-e3be6c30e623}">
          <xlrd:rvb i="2084"/>
        </ext>
      </extLst>
    </bk>
    <bk>
      <extLst>
        <ext uri="{3e2802c4-a4d2-4d8b-9148-e3be6c30e623}">
          <xlrd:rvb i="2085"/>
        </ext>
      </extLst>
    </bk>
    <bk>
      <extLst>
        <ext uri="{3e2802c4-a4d2-4d8b-9148-e3be6c30e623}">
          <xlrd:rvb i="2086"/>
        </ext>
      </extLst>
    </bk>
    <bk>
      <extLst>
        <ext uri="{3e2802c4-a4d2-4d8b-9148-e3be6c30e623}">
          <xlrd:rvb i="2087"/>
        </ext>
      </extLst>
    </bk>
    <bk>
      <extLst>
        <ext uri="{3e2802c4-a4d2-4d8b-9148-e3be6c30e623}">
          <xlrd:rvb i="2088"/>
        </ext>
      </extLst>
    </bk>
    <bk>
      <extLst>
        <ext uri="{3e2802c4-a4d2-4d8b-9148-e3be6c30e623}">
          <xlrd:rvb i="2089"/>
        </ext>
      </extLst>
    </bk>
    <bk>
      <extLst>
        <ext uri="{3e2802c4-a4d2-4d8b-9148-e3be6c30e623}">
          <xlrd:rvb i="2090"/>
        </ext>
      </extLst>
    </bk>
    <bk>
      <extLst>
        <ext uri="{3e2802c4-a4d2-4d8b-9148-e3be6c30e623}">
          <xlrd:rvb i="2091"/>
        </ext>
      </extLst>
    </bk>
    <bk>
      <extLst>
        <ext uri="{3e2802c4-a4d2-4d8b-9148-e3be6c30e623}">
          <xlrd:rvb i="2092"/>
        </ext>
      </extLst>
    </bk>
    <bk>
      <extLst>
        <ext uri="{3e2802c4-a4d2-4d8b-9148-e3be6c30e623}">
          <xlrd:rvb i="2093"/>
        </ext>
      </extLst>
    </bk>
    <bk>
      <extLst>
        <ext uri="{3e2802c4-a4d2-4d8b-9148-e3be6c30e623}">
          <xlrd:rvb i="2094"/>
        </ext>
      </extLst>
    </bk>
    <bk>
      <extLst>
        <ext uri="{3e2802c4-a4d2-4d8b-9148-e3be6c30e623}">
          <xlrd:rvb i="2095"/>
        </ext>
      </extLst>
    </bk>
    <bk>
      <extLst>
        <ext uri="{3e2802c4-a4d2-4d8b-9148-e3be6c30e623}">
          <xlrd:rvb i="2096"/>
        </ext>
      </extLst>
    </bk>
    <bk>
      <extLst>
        <ext uri="{3e2802c4-a4d2-4d8b-9148-e3be6c30e623}">
          <xlrd:rvb i="2097"/>
        </ext>
      </extLst>
    </bk>
    <bk>
      <extLst>
        <ext uri="{3e2802c4-a4d2-4d8b-9148-e3be6c30e623}">
          <xlrd:rvb i="2098"/>
        </ext>
      </extLst>
    </bk>
    <bk>
      <extLst>
        <ext uri="{3e2802c4-a4d2-4d8b-9148-e3be6c30e623}">
          <xlrd:rvb i="2099"/>
        </ext>
      </extLst>
    </bk>
    <bk>
      <extLst>
        <ext uri="{3e2802c4-a4d2-4d8b-9148-e3be6c30e623}">
          <xlrd:rvb i="2100"/>
        </ext>
      </extLst>
    </bk>
    <bk>
      <extLst>
        <ext uri="{3e2802c4-a4d2-4d8b-9148-e3be6c30e623}">
          <xlrd:rvb i="2101"/>
        </ext>
      </extLst>
    </bk>
    <bk>
      <extLst>
        <ext uri="{3e2802c4-a4d2-4d8b-9148-e3be6c30e623}">
          <xlrd:rvb i="2102"/>
        </ext>
      </extLst>
    </bk>
    <bk>
      <extLst>
        <ext uri="{3e2802c4-a4d2-4d8b-9148-e3be6c30e623}">
          <xlrd:rvb i="2103"/>
        </ext>
      </extLst>
    </bk>
    <bk>
      <extLst>
        <ext uri="{3e2802c4-a4d2-4d8b-9148-e3be6c30e623}">
          <xlrd:rvb i="2104"/>
        </ext>
      </extLst>
    </bk>
    <bk>
      <extLst>
        <ext uri="{3e2802c4-a4d2-4d8b-9148-e3be6c30e623}">
          <xlrd:rvb i="2105"/>
        </ext>
      </extLst>
    </bk>
    <bk>
      <extLst>
        <ext uri="{3e2802c4-a4d2-4d8b-9148-e3be6c30e623}">
          <xlrd:rvb i="2106"/>
        </ext>
      </extLst>
    </bk>
    <bk>
      <extLst>
        <ext uri="{3e2802c4-a4d2-4d8b-9148-e3be6c30e623}">
          <xlrd:rvb i="2107"/>
        </ext>
      </extLst>
    </bk>
    <bk>
      <extLst>
        <ext uri="{3e2802c4-a4d2-4d8b-9148-e3be6c30e623}">
          <xlrd:rvb i="2108"/>
        </ext>
      </extLst>
    </bk>
    <bk>
      <extLst>
        <ext uri="{3e2802c4-a4d2-4d8b-9148-e3be6c30e623}">
          <xlrd:rvb i="2109"/>
        </ext>
      </extLst>
    </bk>
    <bk>
      <extLst>
        <ext uri="{3e2802c4-a4d2-4d8b-9148-e3be6c30e623}">
          <xlrd:rvb i="2110"/>
        </ext>
      </extLst>
    </bk>
    <bk>
      <extLst>
        <ext uri="{3e2802c4-a4d2-4d8b-9148-e3be6c30e623}">
          <xlrd:rvb i="2111"/>
        </ext>
      </extLst>
    </bk>
    <bk>
      <extLst>
        <ext uri="{3e2802c4-a4d2-4d8b-9148-e3be6c30e623}">
          <xlrd:rvb i="2112"/>
        </ext>
      </extLst>
    </bk>
    <bk>
      <extLst>
        <ext uri="{3e2802c4-a4d2-4d8b-9148-e3be6c30e623}">
          <xlrd:rvb i="2113"/>
        </ext>
      </extLst>
    </bk>
    <bk>
      <extLst>
        <ext uri="{3e2802c4-a4d2-4d8b-9148-e3be6c30e623}">
          <xlrd:rvb i="2114"/>
        </ext>
      </extLst>
    </bk>
    <bk>
      <extLst>
        <ext uri="{3e2802c4-a4d2-4d8b-9148-e3be6c30e623}">
          <xlrd:rvb i="2115"/>
        </ext>
      </extLst>
    </bk>
    <bk>
      <extLst>
        <ext uri="{3e2802c4-a4d2-4d8b-9148-e3be6c30e623}">
          <xlrd:rvb i="2116"/>
        </ext>
      </extLst>
    </bk>
    <bk>
      <extLst>
        <ext uri="{3e2802c4-a4d2-4d8b-9148-e3be6c30e623}">
          <xlrd:rvb i="2117"/>
        </ext>
      </extLst>
    </bk>
    <bk>
      <extLst>
        <ext uri="{3e2802c4-a4d2-4d8b-9148-e3be6c30e623}">
          <xlrd:rvb i="2118"/>
        </ext>
      </extLst>
    </bk>
    <bk>
      <extLst>
        <ext uri="{3e2802c4-a4d2-4d8b-9148-e3be6c30e623}">
          <xlrd:rvb i="2119"/>
        </ext>
      </extLst>
    </bk>
    <bk>
      <extLst>
        <ext uri="{3e2802c4-a4d2-4d8b-9148-e3be6c30e623}">
          <xlrd:rvb i="2120"/>
        </ext>
      </extLst>
    </bk>
    <bk>
      <extLst>
        <ext uri="{3e2802c4-a4d2-4d8b-9148-e3be6c30e623}">
          <xlrd:rvb i="2121"/>
        </ext>
      </extLst>
    </bk>
    <bk>
      <extLst>
        <ext uri="{3e2802c4-a4d2-4d8b-9148-e3be6c30e623}">
          <xlrd:rvb i="2122"/>
        </ext>
      </extLst>
    </bk>
    <bk>
      <extLst>
        <ext uri="{3e2802c4-a4d2-4d8b-9148-e3be6c30e623}">
          <xlrd:rvb i="2123"/>
        </ext>
      </extLst>
    </bk>
    <bk>
      <extLst>
        <ext uri="{3e2802c4-a4d2-4d8b-9148-e3be6c30e623}">
          <xlrd:rvb i="2124"/>
        </ext>
      </extLst>
    </bk>
    <bk>
      <extLst>
        <ext uri="{3e2802c4-a4d2-4d8b-9148-e3be6c30e623}">
          <xlrd:rvb i="2125"/>
        </ext>
      </extLst>
    </bk>
    <bk>
      <extLst>
        <ext uri="{3e2802c4-a4d2-4d8b-9148-e3be6c30e623}">
          <xlrd:rvb i="2126"/>
        </ext>
      </extLst>
    </bk>
    <bk>
      <extLst>
        <ext uri="{3e2802c4-a4d2-4d8b-9148-e3be6c30e623}">
          <xlrd:rvb i="2127"/>
        </ext>
      </extLst>
    </bk>
    <bk>
      <extLst>
        <ext uri="{3e2802c4-a4d2-4d8b-9148-e3be6c30e623}">
          <xlrd:rvb i="2128"/>
        </ext>
      </extLst>
    </bk>
    <bk>
      <extLst>
        <ext uri="{3e2802c4-a4d2-4d8b-9148-e3be6c30e623}">
          <xlrd:rvb i="2129"/>
        </ext>
      </extLst>
    </bk>
    <bk>
      <extLst>
        <ext uri="{3e2802c4-a4d2-4d8b-9148-e3be6c30e623}">
          <xlrd:rvb i="2130"/>
        </ext>
      </extLst>
    </bk>
    <bk>
      <extLst>
        <ext uri="{3e2802c4-a4d2-4d8b-9148-e3be6c30e623}">
          <xlrd:rvb i="2131"/>
        </ext>
      </extLst>
    </bk>
    <bk>
      <extLst>
        <ext uri="{3e2802c4-a4d2-4d8b-9148-e3be6c30e623}">
          <xlrd:rvb i="2132"/>
        </ext>
      </extLst>
    </bk>
    <bk>
      <extLst>
        <ext uri="{3e2802c4-a4d2-4d8b-9148-e3be6c30e623}">
          <xlrd:rvb i="2133"/>
        </ext>
      </extLst>
    </bk>
    <bk>
      <extLst>
        <ext uri="{3e2802c4-a4d2-4d8b-9148-e3be6c30e623}">
          <xlrd:rvb i="2134"/>
        </ext>
      </extLst>
    </bk>
    <bk>
      <extLst>
        <ext uri="{3e2802c4-a4d2-4d8b-9148-e3be6c30e623}">
          <xlrd:rvb i="2135"/>
        </ext>
      </extLst>
    </bk>
    <bk>
      <extLst>
        <ext uri="{3e2802c4-a4d2-4d8b-9148-e3be6c30e623}">
          <xlrd:rvb i="2136"/>
        </ext>
      </extLst>
    </bk>
    <bk>
      <extLst>
        <ext uri="{3e2802c4-a4d2-4d8b-9148-e3be6c30e623}">
          <xlrd:rvb i="2137"/>
        </ext>
      </extLst>
    </bk>
    <bk>
      <extLst>
        <ext uri="{3e2802c4-a4d2-4d8b-9148-e3be6c30e623}">
          <xlrd:rvb i="2138"/>
        </ext>
      </extLst>
    </bk>
    <bk>
      <extLst>
        <ext uri="{3e2802c4-a4d2-4d8b-9148-e3be6c30e623}">
          <xlrd:rvb i="2139"/>
        </ext>
      </extLst>
    </bk>
    <bk>
      <extLst>
        <ext uri="{3e2802c4-a4d2-4d8b-9148-e3be6c30e623}">
          <xlrd:rvb i="2140"/>
        </ext>
      </extLst>
    </bk>
    <bk>
      <extLst>
        <ext uri="{3e2802c4-a4d2-4d8b-9148-e3be6c30e623}">
          <xlrd:rvb i="2141"/>
        </ext>
      </extLst>
    </bk>
    <bk>
      <extLst>
        <ext uri="{3e2802c4-a4d2-4d8b-9148-e3be6c30e623}">
          <xlrd:rvb i="2142"/>
        </ext>
      </extLst>
    </bk>
    <bk>
      <extLst>
        <ext uri="{3e2802c4-a4d2-4d8b-9148-e3be6c30e623}">
          <xlrd:rvb i="2143"/>
        </ext>
      </extLst>
    </bk>
    <bk>
      <extLst>
        <ext uri="{3e2802c4-a4d2-4d8b-9148-e3be6c30e623}">
          <xlrd:rvb i="2144"/>
        </ext>
      </extLst>
    </bk>
    <bk>
      <extLst>
        <ext uri="{3e2802c4-a4d2-4d8b-9148-e3be6c30e623}">
          <xlrd:rvb i="2145"/>
        </ext>
      </extLst>
    </bk>
    <bk>
      <extLst>
        <ext uri="{3e2802c4-a4d2-4d8b-9148-e3be6c30e623}">
          <xlrd:rvb i="2146"/>
        </ext>
      </extLst>
    </bk>
    <bk>
      <extLst>
        <ext uri="{3e2802c4-a4d2-4d8b-9148-e3be6c30e623}">
          <xlrd:rvb i="2147"/>
        </ext>
      </extLst>
    </bk>
    <bk>
      <extLst>
        <ext uri="{3e2802c4-a4d2-4d8b-9148-e3be6c30e623}">
          <xlrd:rvb i="2148"/>
        </ext>
      </extLst>
    </bk>
    <bk>
      <extLst>
        <ext uri="{3e2802c4-a4d2-4d8b-9148-e3be6c30e623}">
          <xlrd:rvb i="2149"/>
        </ext>
      </extLst>
    </bk>
    <bk>
      <extLst>
        <ext uri="{3e2802c4-a4d2-4d8b-9148-e3be6c30e623}">
          <xlrd:rvb i="2150"/>
        </ext>
      </extLst>
    </bk>
    <bk>
      <extLst>
        <ext uri="{3e2802c4-a4d2-4d8b-9148-e3be6c30e623}">
          <xlrd:rvb i="2151"/>
        </ext>
      </extLst>
    </bk>
    <bk>
      <extLst>
        <ext uri="{3e2802c4-a4d2-4d8b-9148-e3be6c30e623}">
          <xlrd:rvb i="2152"/>
        </ext>
      </extLst>
    </bk>
    <bk>
      <extLst>
        <ext uri="{3e2802c4-a4d2-4d8b-9148-e3be6c30e623}">
          <xlrd:rvb i="2153"/>
        </ext>
      </extLst>
    </bk>
    <bk>
      <extLst>
        <ext uri="{3e2802c4-a4d2-4d8b-9148-e3be6c30e623}">
          <xlrd:rvb i="2154"/>
        </ext>
      </extLst>
    </bk>
    <bk>
      <extLst>
        <ext uri="{3e2802c4-a4d2-4d8b-9148-e3be6c30e623}">
          <xlrd:rvb i="2155"/>
        </ext>
      </extLst>
    </bk>
    <bk>
      <extLst>
        <ext uri="{3e2802c4-a4d2-4d8b-9148-e3be6c30e623}">
          <xlrd:rvb i="2156"/>
        </ext>
      </extLst>
    </bk>
    <bk>
      <extLst>
        <ext uri="{3e2802c4-a4d2-4d8b-9148-e3be6c30e623}">
          <xlrd:rvb i="2157"/>
        </ext>
      </extLst>
    </bk>
    <bk>
      <extLst>
        <ext uri="{3e2802c4-a4d2-4d8b-9148-e3be6c30e623}">
          <xlrd:rvb i="2158"/>
        </ext>
      </extLst>
    </bk>
    <bk>
      <extLst>
        <ext uri="{3e2802c4-a4d2-4d8b-9148-e3be6c30e623}">
          <xlrd:rvb i="2159"/>
        </ext>
      </extLst>
    </bk>
    <bk>
      <extLst>
        <ext uri="{3e2802c4-a4d2-4d8b-9148-e3be6c30e623}">
          <xlrd:rvb i="2160"/>
        </ext>
      </extLst>
    </bk>
    <bk>
      <extLst>
        <ext uri="{3e2802c4-a4d2-4d8b-9148-e3be6c30e623}">
          <xlrd:rvb i="2161"/>
        </ext>
      </extLst>
    </bk>
    <bk>
      <extLst>
        <ext uri="{3e2802c4-a4d2-4d8b-9148-e3be6c30e623}">
          <xlrd:rvb i="2162"/>
        </ext>
      </extLst>
    </bk>
    <bk>
      <extLst>
        <ext uri="{3e2802c4-a4d2-4d8b-9148-e3be6c30e623}">
          <xlrd:rvb i="2163"/>
        </ext>
      </extLst>
    </bk>
    <bk>
      <extLst>
        <ext uri="{3e2802c4-a4d2-4d8b-9148-e3be6c30e623}">
          <xlrd:rvb i="2164"/>
        </ext>
      </extLst>
    </bk>
    <bk>
      <extLst>
        <ext uri="{3e2802c4-a4d2-4d8b-9148-e3be6c30e623}">
          <xlrd:rvb i="2165"/>
        </ext>
      </extLst>
    </bk>
    <bk>
      <extLst>
        <ext uri="{3e2802c4-a4d2-4d8b-9148-e3be6c30e623}">
          <xlrd:rvb i="2166"/>
        </ext>
      </extLst>
    </bk>
    <bk>
      <extLst>
        <ext uri="{3e2802c4-a4d2-4d8b-9148-e3be6c30e623}">
          <xlrd:rvb i="2167"/>
        </ext>
      </extLst>
    </bk>
    <bk>
      <extLst>
        <ext uri="{3e2802c4-a4d2-4d8b-9148-e3be6c30e623}">
          <xlrd:rvb i="2168"/>
        </ext>
      </extLst>
    </bk>
    <bk>
      <extLst>
        <ext uri="{3e2802c4-a4d2-4d8b-9148-e3be6c30e623}">
          <xlrd:rvb i="2169"/>
        </ext>
      </extLst>
    </bk>
    <bk>
      <extLst>
        <ext uri="{3e2802c4-a4d2-4d8b-9148-e3be6c30e623}">
          <xlrd:rvb i="2170"/>
        </ext>
      </extLst>
    </bk>
    <bk>
      <extLst>
        <ext uri="{3e2802c4-a4d2-4d8b-9148-e3be6c30e623}">
          <xlrd:rvb i="2171"/>
        </ext>
      </extLst>
    </bk>
    <bk>
      <extLst>
        <ext uri="{3e2802c4-a4d2-4d8b-9148-e3be6c30e623}">
          <xlrd:rvb i="2172"/>
        </ext>
      </extLst>
    </bk>
    <bk>
      <extLst>
        <ext uri="{3e2802c4-a4d2-4d8b-9148-e3be6c30e623}">
          <xlrd:rvb i="2173"/>
        </ext>
      </extLst>
    </bk>
    <bk>
      <extLst>
        <ext uri="{3e2802c4-a4d2-4d8b-9148-e3be6c30e623}">
          <xlrd:rvb i="2174"/>
        </ext>
      </extLst>
    </bk>
    <bk>
      <extLst>
        <ext uri="{3e2802c4-a4d2-4d8b-9148-e3be6c30e623}">
          <xlrd:rvb i="2175"/>
        </ext>
      </extLst>
    </bk>
    <bk>
      <extLst>
        <ext uri="{3e2802c4-a4d2-4d8b-9148-e3be6c30e623}">
          <xlrd:rvb i="2176"/>
        </ext>
      </extLst>
    </bk>
    <bk>
      <extLst>
        <ext uri="{3e2802c4-a4d2-4d8b-9148-e3be6c30e623}">
          <xlrd:rvb i="2177"/>
        </ext>
      </extLst>
    </bk>
    <bk>
      <extLst>
        <ext uri="{3e2802c4-a4d2-4d8b-9148-e3be6c30e623}">
          <xlrd:rvb i="2178"/>
        </ext>
      </extLst>
    </bk>
    <bk>
      <extLst>
        <ext uri="{3e2802c4-a4d2-4d8b-9148-e3be6c30e623}">
          <xlrd:rvb i="2179"/>
        </ext>
      </extLst>
    </bk>
    <bk>
      <extLst>
        <ext uri="{3e2802c4-a4d2-4d8b-9148-e3be6c30e623}">
          <xlrd:rvb i="2180"/>
        </ext>
      </extLst>
    </bk>
    <bk>
      <extLst>
        <ext uri="{3e2802c4-a4d2-4d8b-9148-e3be6c30e623}">
          <xlrd:rvb i="2181"/>
        </ext>
      </extLst>
    </bk>
    <bk>
      <extLst>
        <ext uri="{3e2802c4-a4d2-4d8b-9148-e3be6c30e623}">
          <xlrd:rvb i="2182"/>
        </ext>
      </extLst>
    </bk>
    <bk>
      <extLst>
        <ext uri="{3e2802c4-a4d2-4d8b-9148-e3be6c30e623}">
          <xlrd:rvb i="2183"/>
        </ext>
      </extLst>
    </bk>
    <bk>
      <extLst>
        <ext uri="{3e2802c4-a4d2-4d8b-9148-e3be6c30e623}">
          <xlrd:rvb i="2184"/>
        </ext>
      </extLst>
    </bk>
    <bk>
      <extLst>
        <ext uri="{3e2802c4-a4d2-4d8b-9148-e3be6c30e623}">
          <xlrd:rvb i="2185"/>
        </ext>
      </extLst>
    </bk>
    <bk>
      <extLst>
        <ext uri="{3e2802c4-a4d2-4d8b-9148-e3be6c30e623}">
          <xlrd:rvb i="2186"/>
        </ext>
      </extLst>
    </bk>
    <bk>
      <extLst>
        <ext uri="{3e2802c4-a4d2-4d8b-9148-e3be6c30e623}">
          <xlrd:rvb i="2187"/>
        </ext>
      </extLst>
    </bk>
    <bk>
      <extLst>
        <ext uri="{3e2802c4-a4d2-4d8b-9148-e3be6c30e623}">
          <xlrd:rvb i="2188"/>
        </ext>
      </extLst>
    </bk>
    <bk>
      <extLst>
        <ext uri="{3e2802c4-a4d2-4d8b-9148-e3be6c30e623}">
          <xlrd:rvb i="2189"/>
        </ext>
      </extLst>
    </bk>
    <bk>
      <extLst>
        <ext uri="{3e2802c4-a4d2-4d8b-9148-e3be6c30e623}">
          <xlrd:rvb i="2190"/>
        </ext>
      </extLst>
    </bk>
    <bk>
      <extLst>
        <ext uri="{3e2802c4-a4d2-4d8b-9148-e3be6c30e623}">
          <xlrd:rvb i="2191"/>
        </ext>
      </extLst>
    </bk>
    <bk>
      <extLst>
        <ext uri="{3e2802c4-a4d2-4d8b-9148-e3be6c30e623}">
          <xlrd:rvb i="2192"/>
        </ext>
      </extLst>
    </bk>
    <bk>
      <extLst>
        <ext uri="{3e2802c4-a4d2-4d8b-9148-e3be6c30e623}">
          <xlrd:rvb i="2193"/>
        </ext>
      </extLst>
    </bk>
    <bk>
      <extLst>
        <ext uri="{3e2802c4-a4d2-4d8b-9148-e3be6c30e623}">
          <xlrd:rvb i="2194"/>
        </ext>
      </extLst>
    </bk>
    <bk>
      <extLst>
        <ext uri="{3e2802c4-a4d2-4d8b-9148-e3be6c30e623}">
          <xlrd:rvb i="2195"/>
        </ext>
      </extLst>
    </bk>
    <bk>
      <extLst>
        <ext uri="{3e2802c4-a4d2-4d8b-9148-e3be6c30e623}">
          <xlrd:rvb i="2196"/>
        </ext>
      </extLst>
    </bk>
    <bk>
      <extLst>
        <ext uri="{3e2802c4-a4d2-4d8b-9148-e3be6c30e623}">
          <xlrd:rvb i="2197"/>
        </ext>
      </extLst>
    </bk>
    <bk>
      <extLst>
        <ext uri="{3e2802c4-a4d2-4d8b-9148-e3be6c30e623}">
          <xlrd:rvb i="2198"/>
        </ext>
      </extLst>
    </bk>
    <bk>
      <extLst>
        <ext uri="{3e2802c4-a4d2-4d8b-9148-e3be6c30e623}">
          <xlrd:rvb i="2199"/>
        </ext>
      </extLst>
    </bk>
    <bk>
      <extLst>
        <ext uri="{3e2802c4-a4d2-4d8b-9148-e3be6c30e623}">
          <xlrd:rvb i="2200"/>
        </ext>
      </extLst>
    </bk>
    <bk>
      <extLst>
        <ext uri="{3e2802c4-a4d2-4d8b-9148-e3be6c30e623}">
          <xlrd:rvb i="2201"/>
        </ext>
      </extLst>
    </bk>
    <bk>
      <extLst>
        <ext uri="{3e2802c4-a4d2-4d8b-9148-e3be6c30e623}">
          <xlrd:rvb i="2202"/>
        </ext>
      </extLst>
    </bk>
    <bk>
      <extLst>
        <ext uri="{3e2802c4-a4d2-4d8b-9148-e3be6c30e623}">
          <xlrd:rvb i="2203"/>
        </ext>
      </extLst>
    </bk>
    <bk>
      <extLst>
        <ext uri="{3e2802c4-a4d2-4d8b-9148-e3be6c30e623}">
          <xlrd:rvb i="2204"/>
        </ext>
      </extLst>
    </bk>
    <bk>
      <extLst>
        <ext uri="{3e2802c4-a4d2-4d8b-9148-e3be6c30e623}">
          <xlrd:rvb i="2205"/>
        </ext>
      </extLst>
    </bk>
    <bk>
      <extLst>
        <ext uri="{3e2802c4-a4d2-4d8b-9148-e3be6c30e623}">
          <xlrd:rvb i="2206"/>
        </ext>
      </extLst>
    </bk>
    <bk>
      <extLst>
        <ext uri="{3e2802c4-a4d2-4d8b-9148-e3be6c30e623}">
          <xlrd:rvb i="2207"/>
        </ext>
      </extLst>
    </bk>
    <bk>
      <extLst>
        <ext uri="{3e2802c4-a4d2-4d8b-9148-e3be6c30e623}">
          <xlrd:rvb i="2208"/>
        </ext>
      </extLst>
    </bk>
    <bk>
      <extLst>
        <ext uri="{3e2802c4-a4d2-4d8b-9148-e3be6c30e623}">
          <xlrd:rvb i="2209"/>
        </ext>
      </extLst>
    </bk>
    <bk>
      <extLst>
        <ext uri="{3e2802c4-a4d2-4d8b-9148-e3be6c30e623}">
          <xlrd:rvb i="2210"/>
        </ext>
      </extLst>
    </bk>
    <bk>
      <extLst>
        <ext uri="{3e2802c4-a4d2-4d8b-9148-e3be6c30e623}">
          <xlrd:rvb i="2211"/>
        </ext>
      </extLst>
    </bk>
    <bk>
      <extLst>
        <ext uri="{3e2802c4-a4d2-4d8b-9148-e3be6c30e623}">
          <xlrd:rvb i="2212"/>
        </ext>
      </extLst>
    </bk>
    <bk>
      <extLst>
        <ext uri="{3e2802c4-a4d2-4d8b-9148-e3be6c30e623}">
          <xlrd:rvb i="2213"/>
        </ext>
      </extLst>
    </bk>
    <bk>
      <extLst>
        <ext uri="{3e2802c4-a4d2-4d8b-9148-e3be6c30e623}">
          <xlrd:rvb i="2214"/>
        </ext>
      </extLst>
    </bk>
    <bk>
      <extLst>
        <ext uri="{3e2802c4-a4d2-4d8b-9148-e3be6c30e623}">
          <xlrd:rvb i="2215"/>
        </ext>
      </extLst>
    </bk>
    <bk>
      <extLst>
        <ext uri="{3e2802c4-a4d2-4d8b-9148-e3be6c30e623}">
          <xlrd:rvb i="2216"/>
        </ext>
      </extLst>
    </bk>
    <bk>
      <extLst>
        <ext uri="{3e2802c4-a4d2-4d8b-9148-e3be6c30e623}">
          <xlrd:rvb i="2217"/>
        </ext>
      </extLst>
    </bk>
    <bk>
      <extLst>
        <ext uri="{3e2802c4-a4d2-4d8b-9148-e3be6c30e623}">
          <xlrd:rvb i="2218"/>
        </ext>
      </extLst>
    </bk>
    <bk>
      <extLst>
        <ext uri="{3e2802c4-a4d2-4d8b-9148-e3be6c30e623}">
          <xlrd:rvb i="2219"/>
        </ext>
      </extLst>
    </bk>
    <bk>
      <extLst>
        <ext uri="{3e2802c4-a4d2-4d8b-9148-e3be6c30e623}">
          <xlrd:rvb i="2220"/>
        </ext>
      </extLst>
    </bk>
    <bk>
      <extLst>
        <ext uri="{3e2802c4-a4d2-4d8b-9148-e3be6c30e623}">
          <xlrd:rvb i="2221"/>
        </ext>
      </extLst>
    </bk>
    <bk>
      <extLst>
        <ext uri="{3e2802c4-a4d2-4d8b-9148-e3be6c30e623}">
          <xlrd:rvb i="2222"/>
        </ext>
      </extLst>
    </bk>
    <bk>
      <extLst>
        <ext uri="{3e2802c4-a4d2-4d8b-9148-e3be6c30e623}">
          <xlrd:rvb i="2223"/>
        </ext>
      </extLst>
    </bk>
    <bk>
      <extLst>
        <ext uri="{3e2802c4-a4d2-4d8b-9148-e3be6c30e623}">
          <xlrd:rvb i="2224"/>
        </ext>
      </extLst>
    </bk>
    <bk>
      <extLst>
        <ext uri="{3e2802c4-a4d2-4d8b-9148-e3be6c30e623}">
          <xlrd:rvb i="2225"/>
        </ext>
      </extLst>
    </bk>
    <bk>
      <extLst>
        <ext uri="{3e2802c4-a4d2-4d8b-9148-e3be6c30e623}">
          <xlrd:rvb i="2226"/>
        </ext>
      </extLst>
    </bk>
    <bk>
      <extLst>
        <ext uri="{3e2802c4-a4d2-4d8b-9148-e3be6c30e623}">
          <xlrd:rvb i="2227"/>
        </ext>
      </extLst>
    </bk>
    <bk>
      <extLst>
        <ext uri="{3e2802c4-a4d2-4d8b-9148-e3be6c30e623}">
          <xlrd:rvb i="2228"/>
        </ext>
      </extLst>
    </bk>
    <bk>
      <extLst>
        <ext uri="{3e2802c4-a4d2-4d8b-9148-e3be6c30e623}">
          <xlrd:rvb i="2229"/>
        </ext>
      </extLst>
    </bk>
    <bk>
      <extLst>
        <ext uri="{3e2802c4-a4d2-4d8b-9148-e3be6c30e623}">
          <xlrd:rvb i="2230"/>
        </ext>
      </extLst>
    </bk>
    <bk>
      <extLst>
        <ext uri="{3e2802c4-a4d2-4d8b-9148-e3be6c30e623}">
          <xlrd:rvb i="2231"/>
        </ext>
      </extLst>
    </bk>
    <bk>
      <extLst>
        <ext uri="{3e2802c4-a4d2-4d8b-9148-e3be6c30e623}">
          <xlrd:rvb i="2232"/>
        </ext>
      </extLst>
    </bk>
    <bk>
      <extLst>
        <ext uri="{3e2802c4-a4d2-4d8b-9148-e3be6c30e623}">
          <xlrd:rvb i="2233"/>
        </ext>
      </extLst>
    </bk>
    <bk>
      <extLst>
        <ext uri="{3e2802c4-a4d2-4d8b-9148-e3be6c30e623}">
          <xlrd:rvb i="2234"/>
        </ext>
      </extLst>
    </bk>
    <bk>
      <extLst>
        <ext uri="{3e2802c4-a4d2-4d8b-9148-e3be6c30e623}">
          <xlrd:rvb i="2235"/>
        </ext>
      </extLst>
    </bk>
    <bk>
      <extLst>
        <ext uri="{3e2802c4-a4d2-4d8b-9148-e3be6c30e623}">
          <xlrd:rvb i="2236"/>
        </ext>
      </extLst>
    </bk>
    <bk>
      <extLst>
        <ext uri="{3e2802c4-a4d2-4d8b-9148-e3be6c30e623}">
          <xlrd:rvb i="2237"/>
        </ext>
      </extLst>
    </bk>
    <bk>
      <extLst>
        <ext uri="{3e2802c4-a4d2-4d8b-9148-e3be6c30e623}">
          <xlrd:rvb i="2238"/>
        </ext>
      </extLst>
    </bk>
    <bk>
      <extLst>
        <ext uri="{3e2802c4-a4d2-4d8b-9148-e3be6c30e623}">
          <xlrd:rvb i="2239"/>
        </ext>
      </extLst>
    </bk>
    <bk>
      <extLst>
        <ext uri="{3e2802c4-a4d2-4d8b-9148-e3be6c30e623}">
          <xlrd:rvb i="2240"/>
        </ext>
      </extLst>
    </bk>
    <bk>
      <extLst>
        <ext uri="{3e2802c4-a4d2-4d8b-9148-e3be6c30e623}">
          <xlrd:rvb i="2241"/>
        </ext>
      </extLst>
    </bk>
    <bk>
      <extLst>
        <ext uri="{3e2802c4-a4d2-4d8b-9148-e3be6c30e623}">
          <xlrd:rvb i="2242"/>
        </ext>
      </extLst>
    </bk>
    <bk>
      <extLst>
        <ext uri="{3e2802c4-a4d2-4d8b-9148-e3be6c30e623}">
          <xlrd:rvb i="2243"/>
        </ext>
      </extLst>
    </bk>
    <bk>
      <extLst>
        <ext uri="{3e2802c4-a4d2-4d8b-9148-e3be6c30e623}">
          <xlrd:rvb i="2244"/>
        </ext>
      </extLst>
    </bk>
    <bk>
      <extLst>
        <ext uri="{3e2802c4-a4d2-4d8b-9148-e3be6c30e623}">
          <xlrd:rvb i="2245"/>
        </ext>
      </extLst>
    </bk>
    <bk>
      <extLst>
        <ext uri="{3e2802c4-a4d2-4d8b-9148-e3be6c30e623}">
          <xlrd:rvb i="2246"/>
        </ext>
      </extLst>
    </bk>
    <bk>
      <extLst>
        <ext uri="{3e2802c4-a4d2-4d8b-9148-e3be6c30e623}">
          <xlrd:rvb i="2247"/>
        </ext>
      </extLst>
    </bk>
    <bk>
      <extLst>
        <ext uri="{3e2802c4-a4d2-4d8b-9148-e3be6c30e623}">
          <xlrd:rvb i="2248"/>
        </ext>
      </extLst>
    </bk>
    <bk>
      <extLst>
        <ext uri="{3e2802c4-a4d2-4d8b-9148-e3be6c30e623}">
          <xlrd:rvb i="2249"/>
        </ext>
      </extLst>
    </bk>
    <bk>
      <extLst>
        <ext uri="{3e2802c4-a4d2-4d8b-9148-e3be6c30e623}">
          <xlrd:rvb i="2250"/>
        </ext>
      </extLst>
    </bk>
    <bk>
      <extLst>
        <ext uri="{3e2802c4-a4d2-4d8b-9148-e3be6c30e623}">
          <xlrd:rvb i="2251"/>
        </ext>
      </extLst>
    </bk>
    <bk>
      <extLst>
        <ext uri="{3e2802c4-a4d2-4d8b-9148-e3be6c30e623}">
          <xlrd:rvb i="2252"/>
        </ext>
      </extLst>
    </bk>
    <bk>
      <extLst>
        <ext uri="{3e2802c4-a4d2-4d8b-9148-e3be6c30e623}">
          <xlrd:rvb i="2253"/>
        </ext>
      </extLst>
    </bk>
    <bk>
      <extLst>
        <ext uri="{3e2802c4-a4d2-4d8b-9148-e3be6c30e623}">
          <xlrd:rvb i="2254"/>
        </ext>
      </extLst>
    </bk>
    <bk>
      <extLst>
        <ext uri="{3e2802c4-a4d2-4d8b-9148-e3be6c30e623}">
          <xlrd:rvb i="2255"/>
        </ext>
      </extLst>
    </bk>
    <bk>
      <extLst>
        <ext uri="{3e2802c4-a4d2-4d8b-9148-e3be6c30e623}">
          <xlrd:rvb i="2256"/>
        </ext>
      </extLst>
    </bk>
    <bk>
      <extLst>
        <ext uri="{3e2802c4-a4d2-4d8b-9148-e3be6c30e623}">
          <xlrd:rvb i="2257"/>
        </ext>
      </extLst>
    </bk>
    <bk>
      <extLst>
        <ext uri="{3e2802c4-a4d2-4d8b-9148-e3be6c30e623}">
          <xlrd:rvb i="2258"/>
        </ext>
      </extLst>
    </bk>
    <bk>
      <extLst>
        <ext uri="{3e2802c4-a4d2-4d8b-9148-e3be6c30e623}">
          <xlrd:rvb i="2259"/>
        </ext>
      </extLst>
    </bk>
    <bk>
      <extLst>
        <ext uri="{3e2802c4-a4d2-4d8b-9148-e3be6c30e623}">
          <xlrd:rvb i="2260"/>
        </ext>
      </extLst>
    </bk>
    <bk>
      <extLst>
        <ext uri="{3e2802c4-a4d2-4d8b-9148-e3be6c30e623}">
          <xlrd:rvb i="2261"/>
        </ext>
      </extLst>
    </bk>
    <bk>
      <extLst>
        <ext uri="{3e2802c4-a4d2-4d8b-9148-e3be6c30e623}">
          <xlrd:rvb i="2262"/>
        </ext>
      </extLst>
    </bk>
    <bk>
      <extLst>
        <ext uri="{3e2802c4-a4d2-4d8b-9148-e3be6c30e623}">
          <xlrd:rvb i="2263"/>
        </ext>
      </extLst>
    </bk>
    <bk>
      <extLst>
        <ext uri="{3e2802c4-a4d2-4d8b-9148-e3be6c30e623}">
          <xlrd:rvb i="2264"/>
        </ext>
      </extLst>
    </bk>
    <bk>
      <extLst>
        <ext uri="{3e2802c4-a4d2-4d8b-9148-e3be6c30e623}">
          <xlrd:rvb i="2265"/>
        </ext>
      </extLst>
    </bk>
    <bk>
      <extLst>
        <ext uri="{3e2802c4-a4d2-4d8b-9148-e3be6c30e623}">
          <xlrd:rvb i="2266"/>
        </ext>
      </extLst>
    </bk>
    <bk>
      <extLst>
        <ext uri="{3e2802c4-a4d2-4d8b-9148-e3be6c30e623}">
          <xlrd:rvb i="2267"/>
        </ext>
      </extLst>
    </bk>
    <bk>
      <extLst>
        <ext uri="{3e2802c4-a4d2-4d8b-9148-e3be6c30e623}">
          <xlrd:rvb i="2268"/>
        </ext>
      </extLst>
    </bk>
    <bk>
      <extLst>
        <ext uri="{3e2802c4-a4d2-4d8b-9148-e3be6c30e623}">
          <xlrd:rvb i="2269"/>
        </ext>
      </extLst>
    </bk>
    <bk>
      <extLst>
        <ext uri="{3e2802c4-a4d2-4d8b-9148-e3be6c30e623}">
          <xlrd:rvb i="2270"/>
        </ext>
      </extLst>
    </bk>
    <bk>
      <extLst>
        <ext uri="{3e2802c4-a4d2-4d8b-9148-e3be6c30e623}">
          <xlrd:rvb i="2271"/>
        </ext>
      </extLst>
    </bk>
    <bk>
      <extLst>
        <ext uri="{3e2802c4-a4d2-4d8b-9148-e3be6c30e623}">
          <xlrd:rvb i="2272"/>
        </ext>
      </extLst>
    </bk>
    <bk>
      <extLst>
        <ext uri="{3e2802c4-a4d2-4d8b-9148-e3be6c30e623}">
          <xlrd:rvb i="2273"/>
        </ext>
      </extLst>
    </bk>
    <bk>
      <extLst>
        <ext uri="{3e2802c4-a4d2-4d8b-9148-e3be6c30e623}">
          <xlrd:rvb i="2274"/>
        </ext>
      </extLst>
    </bk>
    <bk>
      <extLst>
        <ext uri="{3e2802c4-a4d2-4d8b-9148-e3be6c30e623}">
          <xlrd:rvb i="2275"/>
        </ext>
      </extLst>
    </bk>
    <bk>
      <extLst>
        <ext uri="{3e2802c4-a4d2-4d8b-9148-e3be6c30e623}">
          <xlrd:rvb i="2276"/>
        </ext>
      </extLst>
    </bk>
    <bk>
      <extLst>
        <ext uri="{3e2802c4-a4d2-4d8b-9148-e3be6c30e623}">
          <xlrd:rvb i="2277"/>
        </ext>
      </extLst>
    </bk>
    <bk>
      <extLst>
        <ext uri="{3e2802c4-a4d2-4d8b-9148-e3be6c30e623}">
          <xlrd:rvb i="2278"/>
        </ext>
      </extLst>
    </bk>
    <bk>
      <extLst>
        <ext uri="{3e2802c4-a4d2-4d8b-9148-e3be6c30e623}">
          <xlrd:rvb i="2279"/>
        </ext>
      </extLst>
    </bk>
    <bk>
      <extLst>
        <ext uri="{3e2802c4-a4d2-4d8b-9148-e3be6c30e623}">
          <xlrd:rvb i="2280"/>
        </ext>
      </extLst>
    </bk>
    <bk>
      <extLst>
        <ext uri="{3e2802c4-a4d2-4d8b-9148-e3be6c30e623}">
          <xlrd:rvb i="2281"/>
        </ext>
      </extLst>
    </bk>
    <bk>
      <extLst>
        <ext uri="{3e2802c4-a4d2-4d8b-9148-e3be6c30e623}">
          <xlrd:rvb i="2282"/>
        </ext>
      </extLst>
    </bk>
    <bk>
      <extLst>
        <ext uri="{3e2802c4-a4d2-4d8b-9148-e3be6c30e623}">
          <xlrd:rvb i="2283"/>
        </ext>
      </extLst>
    </bk>
    <bk>
      <extLst>
        <ext uri="{3e2802c4-a4d2-4d8b-9148-e3be6c30e623}">
          <xlrd:rvb i="2284"/>
        </ext>
      </extLst>
    </bk>
    <bk>
      <extLst>
        <ext uri="{3e2802c4-a4d2-4d8b-9148-e3be6c30e623}">
          <xlrd:rvb i="2285"/>
        </ext>
      </extLst>
    </bk>
    <bk>
      <extLst>
        <ext uri="{3e2802c4-a4d2-4d8b-9148-e3be6c30e623}">
          <xlrd:rvb i="2286"/>
        </ext>
      </extLst>
    </bk>
    <bk>
      <extLst>
        <ext uri="{3e2802c4-a4d2-4d8b-9148-e3be6c30e623}">
          <xlrd:rvb i="2287"/>
        </ext>
      </extLst>
    </bk>
    <bk>
      <extLst>
        <ext uri="{3e2802c4-a4d2-4d8b-9148-e3be6c30e623}">
          <xlrd:rvb i="2288"/>
        </ext>
      </extLst>
    </bk>
    <bk>
      <extLst>
        <ext uri="{3e2802c4-a4d2-4d8b-9148-e3be6c30e623}">
          <xlrd:rvb i="2289"/>
        </ext>
      </extLst>
    </bk>
    <bk>
      <extLst>
        <ext uri="{3e2802c4-a4d2-4d8b-9148-e3be6c30e623}">
          <xlrd:rvb i="2290"/>
        </ext>
      </extLst>
    </bk>
    <bk>
      <extLst>
        <ext uri="{3e2802c4-a4d2-4d8b-9148-e3be6c30e623}">
          <xlrd:rvb i="2291"/>
        </ext>
      </extLst>
    </bk>
    <bk>
      <extLst>
        <ext uri="{3e2802c4-a4d2-4d8b-9148-e3be6c30e623}">
          <xlrd:rvb i="2292"/>
        </ext>
      </extLst>
    </bk>
    <bk>
      <extLst>
        <ext uri="{3e2802c4-a4d2-4d8b-9148-e3be6c30e623}">
          <xlrd:rvb i="2293"/>
        </ext>
      </extLst>
    </bk>
    <bk>
      <extLst>
        <ext uri="{3e2802c4-a4d2-4d8b-9148-e3be6c30e623}">
          <xlrd:rvb i="2294"/>
        </ext>
      </extLst>
    </bk>
    <bk>
      <extLst>
        <ext uri="{3e2802c4-a4d2-4d8b-9148-e3be6c30e623}">
          <xlrd:rvb i="2295"/>
        </ext>
      </extLst>
    </bk>
    <bk>
      <extLst>
        <ext uri="{3e2802c4-a4d2-4d8b-9148-e3be6c30e623}">
          <xlrd:rvb i="2296"/>
        </ext>
      </extLst>
    </bk>
    <bk>
      <extLst>
        <ext uri="{3e2802c4-a4d2-4d8b-9148-e3be6c30e623}">
          <xlrd:rvb i="2297"/>
        </ext>
      </extLst>
    </bk>
    <bk>
      <extLst>
        <ext uri="{3e2802c4-a4d2-4d8b-9148-e3be6c30e623}">
          <xlrd:rvb i="2298"/>
        </ext>
      </extLst>
    </bk>
    <bk>
      <extLst>
        <ext uri="{3e2802c4-a4d2-4d8b-9148-e3be6c30e623}">
          <xlrd:rvb i="2299"/>
        </ext>
      </extLst>
    </bk>
    <bk>
      <extLst>
        <ext uri="{3e2802c4-a4d2-4d8b-9148-e3be6c30e623}">
          <xlrd:rvb i="2300"/>
        </ext>
      </extLst>
    </bk>
    <bk>
      <extLst>
        <ext uri="{3e2802c4-a4d2-4d8b-9148-e3be6c30e623}">
          <xlrd:rvb i="2301"/>
        </ext>
      </extLst>
    </bk>
    <bk>
      <extLst>
        <ext uri="{3e2802c4-a4d2-4d8b-9148-e3be6c30e623}">
          <xlrd:rvb i="2302"/>
        </ext>
      </extLst>
    </bk>
    <bk>
      <extLst>
        <ext uri="{3e2802c4-a4d2-4d8b-9148-e3be6c30e623}">
          <xlrd:rvb i="2303"/>
        </ext>
      </extLst>
    </bk>
    <bk>
      <extLst>
        <ext uri="{3e2802c4-a4d2-4d8b-9148-e3be6c30e623}">
          <xlrd:rvb i="2304"/>
        </ext>
      </extLst>
    </bk>
    <bk>
      <extLst>
        <ext uri="{3e2802c4-a4d2-4d8b-9148-e3be6c30e623}">
          <xlrd:rvb i="2305"/>
        </ext>
      </extLst>
    </bk>
    <bk>
      <extLst>
        <ext uri="{3e2802c4-a4d2-4d8b-9148-e3be6c30e623}">
          <xlrd:rvb i="2306"/>
        </ext>
      </extLst>
    </bk>
    <bk>
      <extLst>
        <ext uri="{3e2802c4-a4d2-4d8b-9148-e3be6c30e623}">
          <xlrd:rvb i="2307"/>
        </ext>
      </extLst>
    </bk>
    <bk>
      <extLst>
        <ext uri="{3e2802c4-a4d2-4d8b-9148-e3be6c30e623}">
          <xlrd:rvb i="2308"/>
        </ext>
      </extLst>
    </bk>
    <bk>
      <extLst>
        <ext uri="{3e2802c4-a4d2-4d8b-9148-e3be6c30e623}">
          <xlrd:rvb i="2309"/>
        </ext>
      </extLst>
    </bk>
    <bk>
      <extLst>
        <ext uri="{3e2802c4-a4d2-4d8b-9148-e3be6c30e623}">
          <xlrd:rvb i="2310"/>
        </ext>
      </extLst>
    </bk>
    <bk>
      <extLst>
        <ext uri="{3e2802c4-a4d2-4d8b-9148-e3be6c30e623}">
          <xlrd:rvb i="2311"/>
        </ext>
      </extLst>
    </bk>
    <bk>
      <extLst>
        <ext uri="{3e2802c4-a4d2-4d8b-9148-e3be6c30e623}">
          <xlrd:rvb i="2312"/>
        </ext>
      </extLst>
    </bk>
    <bk>
      <extLst>
        <ext uri="{3e2802c4-a4d2-4d8b-9148-e3be6c30e623}">
          <xlrd:rvb i="2313"/>
        </ext>
      </extLst>
    </bk>
    <bk>
      <extLst>
        <ext uri="{3e2802c4-a4d2-4d8b-9148-e3be6c30e623}">
          <xlrd:rvb i="2314"/>
        </ext>
      </extLst>
    </bk>
    <bk>
      <extLst>
        <ext uri="{3e2802c4-a4d2-4d8b-9148-e3be6c30e623}">
          <xlrd:rvb i="2315"/>
        </ext>
      </extLst>
    </bk>
    <bk>
      <extLst>
        <ext uri="{3e2802c4-a4d2-4d8b-9148-e3be6c30e623}">
          <xlrd:rvb i="2316"/>
        </ext>
      </extLst>
    </bk>
    <bk>
      <extLst>
        <ext uri="{3e2802c4-a4d2-4d8b-9148-e3be6c30e623}">
          <xlrd:rvb i="2317"/>
        </ext>
      </extLst>
    </bk>
    <bk>
      <extLst>
        <ext uri="{3e2802c4-a4d2-4d8b-9148-e3be6c30e623}">
          <xlrd:rvb i="2318"/>
        </ext>
      </extLst>
    </bk>
    <bk>
      <extLst>
        <ext uri="{3e2802c4-a4d2-4d8b-9148-e3be6c30e623}">
          <xlrd:rvb i="2319"/>
        </ext>
      </extLst>
    </bk>
    <bk>
      <extLst>
        <ext uri="{3e2802c4-a4d2-4d8b-9148-e3be6c30e623}">
          <xlrd:rvb i="2320"/>
        </ext>
      </extLst>
    </bk>
    <bk>
      <extLst>
        <ext uri="{3e2802c4-a4d2-4d8b-9148-e3be6c30e623}">
          <xlrd:rvb i="2321"/>
        </ext>
      </extLst>
    </bk>
    <bk>
      <extLst>
        <ext uri="{3e2802c4-a4d2-4d8b-9148-e3be6c30e623}">
          <xlrd:rvb i="2322"/>
        </ext>
      </extLst>
    </bk>
    <bk>
      <extLst>
        <ext uri="{3e2802c4-a4d2-4d8b-9148-e3be6c30e623}">
          <xlrd:rvb i="2323"/>
        </ext>
      </extLst>
    </bk>
    <bk>
      <extLst>
        <ext uri="{3e2802c4-a4d2-4d8b-9148-e3be6c30e623}">
          <xlrd:rvb i="2324"/>
        </ext>
      </extLst>
    </bk>
    <bk>
      <extLst>
        <ext uri="{3e2802c4-a4d2-4d8b-9148-e3be6c30e623}">
          <xlrd:rvb i="2325"/>
        </ext>
      </extLst>
    </bk>
    <bk>
      <extLst>
        <ext uri="{3e2802c4-a4d2-4d8b-9148-e3be6c30e623}">
          <xlrd:rvb i="2326"/>
        </ext>
      </extLst>
    </bk>
    <bk>
      <extLst>
        <ext uri="{3e2802c4-a4d2-4d8b-9148-e3be6c30e623}">
          <xlrd:rvb i="2327"/>
        </ext>
      </extLst>
    </bk>
    <bk>
      <extLst>
        <ext uri="{3e2802c4-a4d2-4d8b-9148-e3be6c30e623}">
          <xlrd:rvb i="2328"/>
        </ext>
      </extLst>
    </bk>
    <bk>
      <extLst>
        <ext uri="{3e2802c4-a4d2-4d8b-9148-e3be6c30e623}">
          <xlrd:rvb i="2329"/>
        </ext>
      </extLst>
    </bk>
    <bk>
      <extLst>
        <ext uri="{3e2802c4-a4d2-4d8b-9148-e3be6c30e623}">
          <xlrd:rvb i="2330"/>
        </ext>
      </extLst>
    </bk>
    <bk>
      <extLst>
        <ext uri="{3e2802c4-a4d2-4d8b-9148-e3be6c30e623}">
          <xlrd:rvb i="2331"/>
        </ext>
      </extLst>
    </bk>
    <bk>
      <extLst>
        <ext uri="{3e2802c4-a4d2-4d8b-9148-e3be6c30e623}">
          <xlrd:rvb i="2332"/>
        </ext>
      </extLst>
    </bk>
    <bk>
      <extLst>
        <ext uri="{3e2802c4-a4d2-4d8b-9148-e3be6c30e623}">
          <xlrd:rvb i="2333"/>
        </ext>
      </extLst>
    </bk>
    <bk>
      <extLst>
        <ext uri="{3e2802c4-a4d2-4d8b-9148-e3be6c30e623}">
          <xlrd:rvb i="2334"/>
        </ext>
      </extLst>
    </bk>
    <bk>
      <extLst>
        <ext uri="{3e2802c4-a4d2-4d8b-9148-e3be6c30e623}">
          <xlrd:rvb i="2335"/>
        </ext>
      </extLst>
    </bk>
    <bk>
      <extLst>
        <ext uri="{3e2802c4-a4d2-4d8b-9148-e3be6c30e623}">
          <xlrd:rvb i="2336"/>
        </ext>
      </extLst>
    </bk>
    <bk>
      <extLst>
        <ext uri="{3e2802c4-a4d2-4d8b-9148-e3be6c30e623}">
          <xlrd:rvb i="2337"/>
        </ext>
      </extLst>
    </bk>
    <bk>
      <extLst>
        <ext uri="{3e2802c4-a4d2-4d8b-9148-e3be6c30e623}">
          <xlrd:rvb i="2338"/>
        </ext>
      </extLst>
    </bk>
    <bk>
      <extLst>
        <ext uri="{3e2802c4-a4d2-4d8b-9148-e3be6c30e623}">
          <xlrd:rvb i="2339"/>
        </ext>
      </extLst>
    </bk>
    <bk>
      <extLst>
        <ext uri="{3e2802c4-a4d2-4d8b-9148-e3be6c30e623}">
          <xlrd:rvb i="2340"/>
        </ext>
      </extLst>
    </bk>
    <bk>
      <extLst>
        <ext uri="{3e2802c4-a4d2-4d8b-9148-e3be6c30e623}">
          <xlrd:rvb i="2341"/>
        </ext>
      </extLst>
    </bk>
    <bk>
      <extLst>
        <ext uri="{3e2802c4-a4d2-4d8b-9148-e3be6c30e623}">
          <xlrd:rvb i="2342"/>
        </ext>
      </extLst>
    </bk>
    <bk>
      <extLst>
        <ext uri="{3e2802c4-a4d2-4d8b-9148-e3be6c30e623}">
          <xlrd:rvb i="2343"/>
        </ext>
      </extLst>
    </bk>
    <bk>
      <extLst>
        <ext uri="{3e2802c4-a4d2-4d8b-9148-e3be6c30e623}">
          <xlrd:rvb i="2344"/>
        </ext>
      </extLst>
    </bk>
    <bk>
      <extLst>
        <ext uri="{3e2802c4-a4d2-4d8b-9148-e3be6c30e623}">
          <xlrd:rvb i="2345"/>
        </ext>
      </extLst>
    </bk>
    <bk>
      <extLst>
        <ext uri="{3e2802c4-a4d2-4d8b-9148-e3be6c30e623}">
          <xlrd:rvb i="2346"/>
        </ext>
      </extLst>
    </bk>
    <bk>
      <extLst>
        <ext uri="{3e2802c4-a4d2-4d8b-9148-e3be6c30e623}">
          <xlrd:rvb i="2347"/>
        </ext>
      </extLst>
    </bk>
    <bk>
      <extLst>
        <ext uri="{3e2802c4-a4d2-4d8b-9148-e3be6c30e623}">
          <xlrd:rvb i="2348"/>
        </ext>
      </extLst>
    </bk>
    <bk>
      <extLst>
        <ext uri="{3e2802c4-a4d2-4d8b-9148-e3be6c30e623}">
          <xlrd:rvb i="2349"/>
        </ext>
      </extLst>
    </bk>
    <bk>
      <extLst>
        <ext uri="{3e2802c4-a4d2-4d8b-9148-e3be6c30e623}">
          <xlrd:rvb i="2350"/>
        </ext>
      </extLst>
    </bk>
    <bk>
      <extLst>
        <ext uri="{3e2802c4-a4d2-4d8b-9148-e3be6c30e623}">
          <xlrd:rvb i="2351"/>
        </ext>
      </extLst>
    </bk>
    <bk>
      <extLst>
        <ext uri="{3e2802c4-a4d2-4d8b-9148-e3be6c30e623}">
          <xlrd:rvb i="2352"/>
        </ext>
      </extLst>
    </bk>
    <bk>
      <extLst>
        <ext uri="{3e2802c4-a4d2-4d8b-9148-e3be6c30e623}">
          <xlrd:rvb i="2353"/>
        </ext>
      </extLst>
    </bk>
    <bk>
      <extLst>
        <ext uri="{3e2802c4-a4d2-4d8b-9148-e3be6c30e623}">
          <xlrd:rvb i="2354"/>
        </ext>
      </extLst>
    </bk>
    <bk>
      <extLst>
        <ext uri="{3e2802c4-a4d2-4d8b-9148-e3be6c30e623}">
          <xlrd:rvb i="2355"/>
        </ext>
      </extLst>
    </bk>
    <bk>
      <extLst>
        <ext uri="{3e2802c4-a4d2-4d8b-9148-e3be6c30e623}">
          <xlrd:rvb i="2356"/>
        </ext>
      </extLst>
    </bk>
    <bk>
      <extLst>
        <ext uri="{3e2802c4-a4d2-4d8b-9148-e3be6c30e623}">
          <xlrd:rvb i="2357"/>
        </ext>
      </extLst>
    </bk>
    <bk>
      <extLst>
        <ext uri="{3e2802c4-a4d2-4d8b-9148-e3be6c30e623}">
          <xlrd:rvb i="2358"/>
        </ext>
      </extLst>
    </bk>
    <bk>
      <extLst>
        <ext uri="{3e2802c4-a4d2-4d8b-9148-e3be6c30e623}">
          <xlrd:rvb i="2359"/>
        </ext>
      </extLst>
    </bk>
    <bk>
      <extLst>
        <ext uri="{3e2802c4-a4d2-4d8b-9148-e3be6c30e623}">
          <xlrd:rvb i="2360"/>
        </ext>
      </extLst>
    </bk>
    <bk>
      <extLst>
        <ext uri="{3e2802c4-a4d2-4d8b-9148-e3be6c30e623}">
          <xlrd:rvb i="2361"/>
        </ext>
      </extLst>
    </bk>
    <bk>
      <extLst>
        <ext uri="{3e2802c4-a4d2-4d8b-9148-e3be6c30e623}">
          <xlrd:rvb i="2362"/>
        </ext>
      </extLst>
    </bk>
    <bk>
      <extLst>
        <ext uri="{3e2802c4-a4d2-4d8b-9148-e3be6c30e623}">
          <xlrd:rvb i="2363"/>
        </ext>
      </extLst>
    </bk>
    <bk>
      <extLst>
        <ext uri="{3e2802c4-a4d2-4d8b-9148-e3be6c30e623}">
          <xlrd:rvb i="2364"/>
        </ext>
      </extLst>
    </bk>
    <bk>
      <extLst>
        <ext uri="{3e2802c4-a4d2-4d8b-9148-e3be6c30e623}">
          <xlrd:rvb i="2365"/>
        </ext>
      </extLst>
    </bk>
    <bk>
      <extLst>
        <ext uri="{3e2802c4-a4d2-4d8b-9148-e3be6c30e623}">
          <xlrd:rvb i="2366"/>
        </ext>
      </extLst>
    </bk>
    <bk>
      <extLst>
        <ext uri="{3e2802c4-a4d2-4d8b-9148-e3be6c30e623}">
          <xlrd:rvb i="2367"/>
        </ext>
      </extLst>
    </bk>
    <bk>
      <extLst>
        <ext uri="{3e2802c4-a4d2-4d8b-9148-e3be6c30e623}">
          <xlrd:rvb i="2368"/>
        </ext>
      </extLst>
    </bk>
    <bk>
      <extLst>
        <ext uri="{3e2802c4-a4d2-4d8b-9148-e3be6c30e623}">
          <xlrd:rvb i="2369"/>
        </ext>
      </extLst>
    </bk>
    <bk>
      <extLst>
        <ext uri="{3e2802c4-a4d2-4d8b-9148-e3be6c30e623}">
          <xlrd:rvb i="2370"/>
        </ext>
      </extLst>
    </bk>
    <bk>
      <extLst>
        <ext uri="{3e2802c4-a4d2-4d8b-9148-e3be6c30e623}">
          <xlrd:rvb i="2371"/>
        </ext>
      </extLst>
    </bk>
    <bk>
      <extLst>
        <ext uri="{3e2802c4-a4d2-4d8b-9148-e3be6c30e623}">
          <xlrd:rvb i="2372"/>
        </ext>
      </extLst>
    </bk>
    <bk>
      <extLst>
        <ext uri="{3e2802c4-a4d2-4d8b-9148-e3be6c30e623}">
          <xlrd:rvb i="2373"/>
        </ext>
      </extLst>
    </bk>
    <bk>
      <extLst>
        <ext uri="{3e2802c4-a4d2-4d8b-9148-e3be6c30e623}">
          <xlrd:rvb i="2374"/>
        </ext>
      </extLst>
    </bk>
    <bk>
      <extLst>
        <ext uri="{3e2802c4-a4d2-4d8b-9148-e3be6c30e623}">
          <xlrd:rvb i="2375"/>
        </ext>
      </extLst>
    </bk>
    <bk>
      <extLst>
        <ext uri="{3e2802c4-a4d2-4d8b-9148-e3be6c30e623}">
          <xlrd:rvb i="2376"/>
        </ext>
      </extLst>
    </bk>
    <bk>
      <extLst>
        <ext uri="{3e2802c4-a4d2-4d8b-9148-e3be6c30e623}">
          <xlrd:rvb i="2377"/>
        </ext>
      </extLst>
    </bk>
    <bk>
      <extLst>
        <ext uri="{3e2802c4-a4d2-4d8b-9148-e3be6c30e623}">
          <xlrd:rvb i="2378"/>
        </ext>
      </extLst>
    </bk>
    <bk>
      <extLst>
        <ext uri="{3e2802c4-a4d2-4d8b-9148-e3be6c30e623}">
          <xlrd:rvb i="2379"/>
        </ext>
      </extLst>
    </bk>
    <bk>
      <extLst>
        <ext uri="{3e2802c4-a4d2-4d8b-9148-e3be6c30e623}">
          <xlrd:rvb i="2380"/>
        </ext>
      </extLst>
    </bk>
    <bk>
      <extLst>
        <ext uri="{3e2802c4-a4d2-4d8b-9148-e3be6c30e623}">
          <xlrd:rvb i="2381"/>
        </ext>
      </extLst>
    </bk>
    <bk>
      <extLst>
        <ext uri="{3e2802c4-a4d2-4d8b-9148-e3be6c30e623}">
          <xlrd:rvb i="2382"/>
        </ext>
      </extLst>
    </bk>
    <bk>
      <extLst>
        <ext uri="{3e2802c4-a4d2-4d8b-9148-e3be6c30e623}">
          <xlrd:rvb i="2383"/>
        </ext>
      </extLst>
    </bk>
    <bk>
      <extLst>
        <ext uri="{3e2802c4-a4d2-4d8b-9148-e3be6c30e623}">
          <xlrd:rvb i="2384"/>
        </ext>
      </extLst>
    </bk>
    <bk>
      <extLst>
        <ext uri="{3e2802c4-a4d2-4d8b-9148-e3be6c30e623}">
          <xlrd:rvb i="2385"/>
        </ext>
      </extLst>
    </bk>
    <bk>
      <extLst>
        <ext uri="{3e2802c4-a4d2-4d8b-9148-e3be6c30e623}">
          <xlrd:rvb i="2386"/>
        </ext>
      </extLst>
    </bk>
    <bk>
      <extLst>
        <ext uri="{3e2802c4-a4d2-4d8b-9148-e3be6c30e623}">
          <xlrd:rvb i="2387"/>
        </ext>
      </extLst>
    </bk>
    <bk>
      <extLst>
        <ext uri="{3e2802c4-a4d2-4d8b-9148-e3be6c30e623}">
          <xlrd:rvb i="2388"/>
        </ext>
      </extLst>
    </bk>
    <bk>
      <extLst>
        <ext uri="{3e2802c4-a4d2-4d8b-9148-e3be6c30e623}">
          <xlrd:rvb i="2389"/>
        </ext>
      </extLst>
    </bk>
    <bk>
      <extLst>
        <ext uri="{3e2802c4-a4d2-4d8b-9148-e3be6c30e623}">
          <xlrd:rvb i="2390"/>
        </ext>
      </extLst>
    </bk>
    <bk>
      <extLst>
        <ext uri="{3e2802c4-a4d2-4d8b-9148-e3be6c30e623}">
          <xlrd:rvb i="2391"/>
        </ext>
      </extLst>
    </bk>
    <bk>
      <extLst>
        <ext uri="{3e2802c4-a4d2-4d8b-9148-e3be6c30e623}">
          <xlrd:rvb i="2392"/>
        </ext>
      </extLst>
    </bk>
    <bk>
      <extLst>
        <ext uri="{3e2802c4-a4d2-4d8b-9148-e3be6c30e623}">
          <xlrd:rvb i="2393"/>
        </ext>
      </extLst>
    </bk>
    <bk>
      <extLst>
        <ext uri="{3e2802c4-a4d2-4d8b-9148-e3be6c30e623}">
          <xlrd:rvb i="2394"/>
        </ext>
      </extLst>
    </bk>
    <bk>
      <extLst>
        <ext uri="{3e2802c4-a4d2-4d8b-9148-e3be6c30e623}">
          <xlrd:rvb i="2395"/>
        </ext>
      </extLst>
    </bk>
    <bk>
      <extLst>
        <ext uri="{3e2802c4-a4d2-4d8b-9148-e3be6c30e623}">
          <xlrd:rvb i="2396"/>
        </ext>
      </extLst>
    </bk>
    <bk>
      <extLst>
        <ext uri="{3e2802c4-a4d2-4d8b-9148-e3be6c30e623}">
          <xlrd:rvb i="2397"/>
        </ext>
      </extLst>
    </bk>
    <bk>
      <extLst>
        <ext uri="{3e2802c4-a4d2-4d8b-9148-e3be6c30e623}">
          <xlrd:rvb i="2398"/>
        </ext>
      </extLst>
    </bk>
    <bk>
      <extLst>
        <ext uri="{3e2802c4-a4d2-4d8b-9148-e3be6c30e623}">
          <xlrd:rvb i="2399"/>
        </ext>
      </extLst>
    </bk>
    <bk>
      <extLst>
        <ext uri="{3e2802c4-a4d2-4d8b-9148-e3be6c30e623}">
          <xlrd:rvb i="2400"/>
        </ext>
      </extLst>
    </bk>
    <bk>
      <extLst>
        <ext uri="{3e2802c4-a4d2-4d8b-9148-e3be6c30e623}">
          <xlrd:rvb i="2401"/>
        </ext>
      </extLst>
    </bk>
    <bk>
      <extLst>
        <ext uri="{3e2802c4-a4d2-4d8b-9148-e3be6c30e623}">
          <xlrd:rvb i="2402"/>
        </ext>
      </extLst>
    </bk>
    <bk>
      <extLst>
        <ext uri="{3e2802c4-a4d2-4d8b-9148-e3be6c30e623}">
          <xlrd:rvb i="2403"/>
        </ext>
      </extLst>
    </bk>
    <bk>
      <extLst>
        <ext uri="{3e2802c4-a4d2-4d8b-9148-e3be6c30e623}">
          <xlrd:rvb i="2404"/>
        </ext>
      </extLst>
    </bk>
    <bk>
      <extLst>
        <ext uri="{3e2802c4-a4d2-4d8b-9148-e3be6c30e623}">
          <xlrd:rvb i="2405"/>
        </ext>
      </extLst>
    </bk>
    <bk>
      <extLst>
        <ext uri="{3e2802c4-a4d2-4d8b-9148-e3be6c30e623}">
          <xlrd:rvb i="2406"/>
        </ext>
      </extLst>
    </bk>
    <bk>
      <extLst>
        <ext uri="{3e2802c4-a4d2-4d8b-9148-e3be6c30e623}">
          <xlrd:rvb i="2407"/>
        </ext>
      </extLst>
    </bk>
    <bk>
      <extLst>
        <ext uri="{3e2802c4-a4d2-4d8b-9148-e3be6c30e623}">
          <xlrd:rvb i="2408"/>
        </ext>
      </extLst>
    </bk>
    <bk>
      <extLst>
        <ext uri="{3e2802c4-a4d2-4d8b-9148-e3be6c30e623}">
          <xlrd:rvb i="2409"/>
        </ext>
      </extLst>
    </bk>
    <bk>
      <extLst>
        <ext uri="{3e2802c4-a4d2-4d8b-9148-e3be6c30e623}">
          <xlrd:rvb i="2410"/>
        </ext>
      </extLst>
    </bk>
    <bk>
      <extLst>
        <ext uri="{3e2802c4-a4d2-4d8b-9148-e3be6c30e623}">
          <xlrd:rvb i="2411"/>
        </ext>
      </extLst>
    </bk>
    <bk>
      <extLst>
        <ext uri="{3e2802c4-a4d2-4d8b-9148-e3be6c30e623}">
          <xlrd:rvb i="2412"/>
        </ext>
      </extLst>
    </bk>
    <bk>
      <extLst>
        <ext uri="{3e2802c4-a4d2-4d8b-9148-e3be6c30e623}">
          <xlrd:rvb i="2413"/>
        </ext>
      </extLst>
    </bk>
    <bk>
      <extLst>
        <ext uri="{3e2802c4-a4d2-4d8b-9148-e3be6c30e623}">
          <xlrd:rvb i="2414"/>
        </ext>
      </extLst>
    </bk>
    <bk>
      <extLst>
        <ext uri="{3e2802c4-a4d2-4d8b-9148-e3be6c30e623}">
          <xlrd:rvb i="2415"/>
        </ext>
      </extLst>
    </bk>
    <bk>
      <extLst>
        <ext uri="{3e2802c4-a4d2-4d8b-9148-e3be6c30e623}">
          <xlrd:rvb i="2416"/>
        </ext>
      </extLst>
    </bk>
    <bk>
      <extLst>
        <ext uri="{3e2802c4-a4d2-4d8b-9148-e3be6c30e623}">
          <xlrd:rvb i="2417"/>
        </ext>
      </extLst>
    </bk>
    <bk>
      <extLst>
        <ext uri="{3e2802c4-a4d2-4d8b-9148-e3be6c30e623}">
          <xlrd:rvb i="2418"/>
        </ext>
      </extLst>
    </bk>
    <bk>
      <extLst>
        <ext uri="{3e2802c4-a4d2-4d8b-9148-e3be6c30e623}">
          <xlrd:rvb i="2419"/>
        </ext>
      </extLst>
    </bk>
    <bk>
      <extLst>
        <ext uri="{3e2802c4-a4d2-4d8b-9148-e3be6c30e623}">
          <xlrd:rvb i="2420"/>
        </ext>
      </extLst>
    </bk>
    <bk>
      <extLst>
        <ext uri="{3e2802c4-a4d2-4d8b-9148-e3be6c30e623}">
          <xlrd:rvb i="2421"/>
        </ext>
      </extLst>
    </bk>
    <bk>
      <extLst>
        <ext uri="{3e2802c4-a4d2-4d8b-9148-e3be6c30e623}">
          <xlrd:rvb i="2422"/>
        </ext>
      </extLst>
    </bk>
    <bk>
      <extLst>
        <ext uri="{3e2802c4-a4d2-4d8b-9148-e3be6c30e623}">
          <xlrd:rvb i="2423"/>
        </ext>
      </extLst>
    </bk>
    <bk>
      <extLst>
        <ext uri="{3e2802c4-a4d2-4d8b-9148-e3be6c30e623}">
          <xlrd:rvb i="2424"/>
        </ext>
      </extLst>
    </bk>
    <bk>
      <extLst>
        <ext uri="{3e2802c4-a4d2-4d8b-9148-e3be6c30e623}">
          <xlrd:rvb i="2425"/>
        </ext>
      </extLst>
    </bk>
    <bk>
      <extLst>
        <ext uri="{3e2802c4-a4d2-4d8b-9148-e3be6c30e623}">
          <xlrd:rvb i="2426"/>
        </ext>
      </extLst>
    </bk>
    <bk>
      <extLst>
        <ext uri="{3e2802c4-a4d2-4d8b-9148-e3be6c30e623}">
          <xlrd:rvb i="2427"/>
        </ext>
      </extLst>
    </bk>
    <bk>
      <extLst>
        <ext uri="{3e2802c4-a4d2-4d8b-9148-e3be6c30e623}">
          <xlrd:rvb i="2428"/>
        </ext>
      </extLst>
    </bk>
    <bk>
      <extLst>
        <ext uri="{3e2802c4-a4d2-4d8b-9148-e3be6c30e623}">
          <xlrd:rvb i="2429"/>
        </ext>
      </extLst>
    </bk>
    <bk>
      <extLst>
        <ext uri="{3e2802c4-a4d2-4d8b-9148-e3be6c30e623}">
          <xlrd:rvb i="2430"/>
        </ext>
      </extLst>
    </bk>
    <bk>
      <extLst>
        <ext uri="{3e2802c4-a4d2-4d8b-9148-e3be6c30e623}">
          <xlrd:rvb i="2431"/>
        </ext>
      </extLst>
    </bk>
    <bk>
      <extLst>
        <ext uri="{3e2802c4-a4d2-4d8b-9148-e3be6c30e623}">
          <xlrd:rvb i="2432"/>
        </ext>
      </extLst>
    </bk>
    <bk>
      <extLst>
        <ext uri="{3e2802c4-a4d2-4d8b-9148-e3be6c30e623}">
          <xlrd:rvb i="2433"/>
        </ext>
      </extLst>
    </bk>
    <bk>
      <extLst>
        <ext uri="{3e2802c4-a4d2-4d8b-9148-e3be6c30e623}">
          <xlrd:rvb i="2434"/>
        </ext>
      </extLst>
    </bk>
    <bk>
      <extLst>
        <ext uri="{3e2802c4-a4d2-4d8b-9148-e3be6c30e623}">
          <xlrd:rvb i="2435"/>
        </ext>
      </extLst>
    </bk>
    <bk>
      <extLst>
        <ext uri="{3e2802c4-a4d2-4d8b-9148-e3be6c30e623}">
          <xlrd:rvb i="2436"/>
        </ext>
      </extLst>
    </bk>
    <bk>
      <extLst>
        <ext uri="{3e2802c4-a4d2-4d8b-9148-e3be6c30e623}">
          <xlrd:rvb i="2437"/>
        </ext>
      </extLst>
    </bk>
    <bk>
      <extLst>
        <ext uri="{3e2802c4-a4d2-4d8b-9148-e3be6c30e623}">
          <xlrd:rvb i="2438"/>
        </ext>
      </extLst>
    </bk>
    <bk>
      <extLst>
        <ext uri="{3e2802c4-a4d2-4d8b-9148-e3be6c30e623}">
          <xlrd:rvb i="2439"/>
        </ext>
      </extLst>
    </bk>
    <bk>
      <extLst>
        <ext uri="{3e2802c4-a4d2-4d8b-9148-e3be6c30e623}">
          <xlrd:rvb i="2440"/>
        </ext>
      </extLst>
    </bk>
    <bk>
      <extLst>
        <ext uri="{3e2802c4-a4d2-4d8b-9148-e3be6c30e623}">
          <xlrd:rvb i="2441"/>
        </ext>
      </extLst>
    </bk>
    <bk>
      <extLst>
        <ext uri="{3e2802c4-a4d2-4d8b-9148-e3be6c30e623}">
          <xlrd:rvb i="2442"/>
        </ext>
      </extLst>
    </bk>
    <bk>
      <extLst>
        <ext uri="{3e2802c4-a4d2-4d8b-9148-e3be6c30e623}">
          <xlrd:rvb i="2443"/>
        </ext>
      </extLst>
    </bk>
    <bk>
      <extLst>
        <ext uri="{3e2802c4-a4d2-4d8b-9148-e3be6c30e623}">
          <xlrd:rvb i="2444"/>
        </ext>
      </extLst>
    </bk>
    <bk>
      <extLst>
        <ext uri="{3e2802c4-a4d2-4d8b-9148-e3be6c30e623}">
          <xlrd:rvb i="2445"/>
        </ext>
      </extLst>
    </bk>
    <bk>
      <extLst>
        <ext uri="{3e2802c4-a4d2-4d8b-9148-e3be6c30e623}">
          <xlrd:rvb i="2446"/>
        </ext>
      </extLst>
    </bk>
    <bk>
      <extLst>
        <ext uri="{3e2802c4-a4d2-4d8b-9148-e3be6c30e623}">
          <xlrd:rvb i="2447"/>
        </ext>
      </extLst>
    </bk>
    <bk>
      <extLst>
        <ext uri="{3e2802c4-a4d2-4d8b-9148-e3be6c30e623}">
          <xlrd:rvb i="2448"/>
        </ext>
      </extLst>
    </bk>
    <bk>
      <extLst>
        <ext uri="{3e2802c4-a4d2-4d8b-9148-e3be6c30e623}">
          <xlrd:rvb i="2449"/>
        </ext>
      </extLst>
    </bk>
    <bk>
      <extLst>
        <ext uri="{3e2802c4-a4d2-4d8b-9148-e3be6c30e623}">
          <xlrd:rvb i="2450"/>
        </ext>
      </extLst>
    </bk>
    <bk>
      <extLst>
        <ext uri="{3e2802c4-a4d2-4d8b-9148-e3be6c30e623}">
          <xlrd:rvb i="2451"/>
        </ext>
      </extLst>
    </bk>
    <bk>
      <extLst>
        <ext uri="{3e2802c4-a4d2-4d8b-9148-e3be6c30e623}">
          <xlrd:rvb i="2452"/>
        </ext>
      </extLst>
    </bk>
    <bk>
      <extLst>
        <ext uri="{3e2802c4-a4d2-4d8b-9148-e3be6c30e623}">
          <xlrd:rvb i="2453"/>
        </ext>
      </extLst>
    </bk>
    <bk>
      <extLst>
        <ext uri="{3e2802c4-a4d2-4d8b-9148-e3be6c30e623}">
          <xlrd:rvb i="2454"/>
        </ext>
      </extLst>
    </bk>
    <bk>
      <extLst>
        <ext uri="{3e2802c4-a4d2-4d8b-9148-e3be6c30e623}">
          <xlrd:rvb i="2455"/>
        </ext>
      </extLst>
    </bk>
    <bk>
      <extLst>
        <ext uri="{3e2802c4-a4d2-4d8b-9148-e3be6c30e623}">
          <xlrd:rvb i="2456"/>
        </ext>
      </extLst>
    </bk>
    <bk>
      <extLst>
        <ext uri="{3e2802c4-a4d2-4d8b-9148-e3be6c30e623}">
          <xlrd:rvb i="2457"/>
        </ext>
      </extLst>
    </bk>
    <bk>
      <extLst>
        <ext uri="{3e2802c4-a4d2-4d8b-9148-e3be6c30e623}">
          <xlrd:rvb i="2458"/>
        </ext>
      </extLst>
    </bk>
    <bk>
      <extLst>
        <ext uri="{3e2802c4-a4d2-4d8b-9148-e3be6c30e623}">
          <xlrd:rvb i="2459"/>
        </ext>
      </extLst>
    </bk>
    <bk>
      <extLst>
        <ext uri="{3e2802c4-a4d2-4d8b-9148-e3be6c30e623}">
          <xlrd:rvb i="2460"/>
        </ext>
      </extLst>
    </bk>
    <bk>
      <extLst>
        <ext uri="{3e2802c4-a4d2-4d8b-9148-e3be6c30e623}">
          <xlrd:rvb i="2461"/>
        </ext>
      </extLst>
    </bk>
    <bk>
      <extLst>
        <ext uri="{3e2802c4-a4d2-4d8b-9148-e3be6c30e623}">
          <xlrd:rvb i="2462"/>
        </ext>
      </extLst>
    </bk>
    <bk>
      <extLst>
        <ext uri="{3e2802c4-a4d2-4d8b-9148-e3be6c30e623}">
          <xlrd:rvb i="2463"/>
        </ext>
      </extLst>
    </bk>
    <bk>
      <extLst>
        <ext uri="{3e2802c4-a4d2-4d8b-9148-e3be6c30e623}">
          <xlrd:rvb i="2464"/>
        </ext>
      </extLst>
    </bk>
    <bk>
      <extLst>
        <ext uri="{3e2802c4-a4d2-4d8b-9148-e3be6c30e623}">
          <xlrd:rvb i="2465"/>
        </ext>
      </extLst>
    </bk>
    <bk>
      <extLst>
        <ext uri="{3e2802c4-a4d2-4d8b-9148-e3be6c30e623}">
          <xlrd:rvb i="2466"/>
        </ext>
      </extLst>
    </bk>
    <bk>
      <extLst>
        <ext uri="{3e2802c4-a4d2-4d8b-9148-e3be6c30e623}">
          <xlrd:rvb i="2467"/>
        </ext>
      </extLst>
    </bk>
    <bk>
      <extLst>
        <ext uri="{3e2802c4-a4d2-4d8b-9148-e3be6c30e623}">
          <xlrd:rvb i="2468"/>
        </ext>
      </extLst>
    </bk>
    <bk>
      <extLst>
        <ext uri="{3e2802c4-a4d2-4d8b-9148-e3be6c30e623}">
          <xlrd:rvb i="2469"/>
        </ext>
      </extLst>
    </bk>
    <bk>
      <extLst>
        <ext uri="{3e2802c4-a4d2-4d8b-9148-e3be6c30e623}">
          <xlrd:rvb i="2470"/>
        </ext>
      </extLst>
    </bk>
    <bk>
      <extLst>
        <ext uri="{3e2802c4-a4d2-4d8b-9148-e3be6c30e623}">
          <xlrd:rvb i="2471"/>
        </ext>
      </extLst>
    </bk>
    <bk>
      <extLst>
        <ext uri="{3e2802c4-a4d2-4d8b-9148-e3be6c30e623}">
          <xlrd:rvb i="2472"/>
        </ext>
      </extLst>
    </bk>
    <bk>
      <extLst>
        <ext uri="{3e2802c4-a4d2-4d8b-9148-e3be6c30e623}">
          <xlrd:rvb i="2473"/>
        </ext>
      </extLst>
    </bk>
    <bk>
      <extLst>
        <ext uri="{3e2802c4-a4d2-4d8b-9148-e3be6c30e623}">
          <xlrd:rvb i="2474"/>
        </ext>
      </extLst>
    </bk>
    <bk>
      <extLst>
        <ext uri="{3e2802c4-a4d2-4d8b-9148-e3be6c30e623}">
          <xlrd:rvb i="2475"/>
        </ext>
      </extLst>
    </bk>
    <bk>
      <extLst>
        <ext uri="{3e2802c4-a4d2-4d8b-9148-e3be6c30e623}">
          <xlrd:rvb i="2476"/>
        </ext>
      </extLst>
    </bk>
    <bk>
      <extLst>
        <ext uri="{3e2802c4-a4d2-4d8b-9148-e3be6c30e623}">
          <xlrd:rvb i="2477"/>
        </ext>
      </extLst>
    </bk>
    <bk>
      <extLst>
        <ext uri="{3e2802c4-a4d2-4d8b-9148-e3be6c30e623}">
          <xlrd:rvb i="2478"/>
        </ext>
      </extLst>
    </bk>
    <bk>
      <extLst>
        <ext uri="{3e2802c4-a4d2-4d8b-9148-e3be6c30e623}">
          <xlrd:rvb i="2479"/>
        </ext>
      </extLst>
    </bk>
    <bk>
      <extLst>
        <ext uri="{3e2802c4-a4d2-4d8b-9148-e3be6c30e623}">
          <xlrd:rvb i="2480"/>
        </ext>
      </extLst>
    </bk>
    <bk>
      <extLst>
        <ext uri="{3e2802c4-a4d2-4d8b-9148-e3be6c30e623}">
          <xlrd:rvb i="2481"/>
        </ext>
      </extLst>
    </bk>
    <bk>
      <extLst>
        <ext uri="{3e2802c4-a4d2-4d8b-9148-e3be6c30e623}">
          <xlrd:rvb i="2482"/>
        </ext>
      </extLst>
    </bk>
    <bk>
      <extLst>
        <ext uri="{3e2802c4-a4d2-4d8b-9148-e3be6c30e623}">
          <xlrd:rvb i="2483"/>
        </ext>
      </extLst>
    </bk>
    <bk>
      <extLst>
        <ext uri="{3e2802c4-a4d2-4d8b-9148-e3be6c30e623}">
          <xlrd:rvb i="2484"/>
        </ext>
      </extLst>
    </bk>
    <bk>
      <extLst>
        <ext uri="{3e2802c4-a4d2-4d8b-9148-e3be6c30e623}">
          <xlrd:rvb i="2485"/>
        </ext>
      </extLst>
    </bk>
    <bk>
      <extLst>
        <ext uri="{3e2802c4-a4d2-4d8b-9148-e3be6c30e623}">
          <xlrd:rvb i="2486"/>
        </ext>
      </extLst>
    </bk>
    <bk>
      <extLst>
        <ext uri="{3e2802c4-a4d2-4d8b-9148-e3be6c30e623}">
          <xlrd:rvb i="2487"/>
        </ext>
      </extLst>
    </bk>
    <bk>
      <extLst>
        <ext uri="{3e2802c4-a4d2-4d8b-9148-e3be6c30e623}">
          <xlrd:rvb i="2488"/>
        </ext>
      </extLst>
    </bk>
    <bk>
      <extLst>
        <ext uri="{3e2802c4-a4d2-4d8b-9148-e3be6c30e623}">
          <xlrd:rvb i="2489"/>
        </ext>
      </extLst>
    </bk>
    <bk>
      <extLst>
        <ext uri="{3e2802c4-a4d2-4d8b-9148-e3be6c30e623}">
          <xlrd:rvb i="2490"/>
        </ext>
      </extLst>
    </bk>
    <bk>
      <extLst>
        <ext uri="{3e2802c4-a4d2-4d8b-9148-e3be6c30e623}">
          <xlrd:rvb i="2491"/>
        </ext>
      </extLst>
    </bk>
    <bk>
      <extLst>
        <ext uri="{3e2802c4-a4d2-4d8b-9148-e3be6c30e623}">
          <xlrd:rvb i="2492"/>
        </ext>
      </extLst>
    </bk>
    <bk>
      <extLst>
        <ext uri="{3e2802c4-a4d2-4d8b-9148-e3be6c30e623}">
          <xlrd:rvb i="2493"/>
        </ext>
      </extLst>
    </bk>
    <bk>
      <extLst>
        <ext uri="{3e2802c4-a4d2-4d8b-9148-e3be6c30e623}">
          <xlrd:rvb i="2494"/>
        </ext>
      </extLst>
    </bk>
    <bk>
      <extLst>
        <ext uri="{3e2802c4-a4d2-4d8b-9148-e3be6c30e623}">
          <xlrd:rvb i="2495"/>
        </ext>
      </extLst>
    </bk>
    <bk>
      <extLst>
        <ext uri="{3e2802c4-a4d2-4d8b-9148-e3be6c30e623}">
          <xlrd:rvb i="2496"/>
        </ext>
      </extLst>
    </bk>
    <bk>
      <extLst>
        <ext uri="{3e2802c4-a4d2-4d8b-9148-e3be6c30e623}">
          <xlrd:rvb i="2497"/>
        </ext>
      </extLst>
    </bk>
    <bk>
      <extLst>
        <ext uri="{3e2802c4-a4d2-4d8b-9148-e3be6c30e623}">
          <xlrd:rvb i="2498"/>
        </ext>
      </extLst>
    </bk>
    <bk>
      <extLst>
        <ext uri="{3e2802c4-a4d2-4d8b-9148-e3be6c30e623}">
          <xlrd:rvb i="2499"/>
        </ext>
      </extLst>
    </bk>
    <bk>
      <extLst>
        <ext uri="{3e2802c4-a4d2-4d8b-9148-e3be6c30e623}">
          <xlrd:rvb i="2500"/>
        </ext>
      </extLst>
    </bk>
    <bk>
      <extLst>
        <ext uri="{3e2802c4-a4d2-4d8b-9148-e3be6c30e623}">
          <xlrd:rvb i="2501"/>
        </ext>
      </extLst>
    </bk>
    <bk>
      <extLst>
        <ext uri="{3e2802c4-a4d2-4d8b-9148-e3be6c30e623}">
          <xlrd:rvb i="2502"/>
        </ext>
      </extLst>
    </bk>
    <bk>
      <extLst>
        <ext uri="{3e2802c4-a4d2-4d8b-9148-e3be6c30e623}">
          <xlrd:rvb i="2503"/>
        </ext>
      </extLst>
    </bk>
    <bk>
      <extLst>
        <ext uri="{3e2802c4-a4d2-4d8b-9148-e3be6c30e623}">
          <xlrd:rvb i="2504"/>
        </ext>
      </extLst>
    </bk>
    <bk>
      <extLst>
        <ext uri="{3e2802c4-a4d2-4d8b-9148-e3be6c30e623}">
          <xlrd:rvb i="2505"/>
        </ext>
      </extLst>
    </bk>
    <bk>
      <extLst>
        <ext uri="{3e2802c4-a4d2-4d8b-9148-e3be6c30e623}">
          <xlrd:rvb i="2506"/>
        </ext>
      </extLst>
    </bk>
    <bk>
      <extLst>
        <ext uri="{3e2802c4-a4d2-4d8b-9148-e3be6c30e623}">
          <xlrd:rvb i="2507"/>
        </ext>
      </extLst>
    </bk>
    <bk>
      <extLst>
        <ext uri="{3e2802c4-a4d2-4d8b-9148-e3be6c30e623}">
          <xlrd:rvb i="2508"/>
        </ext>
      </extLst>
    </bk>
    <bk>
      <extLst>
        <ext uri="{3e2802c4-a4d2-4d8b-9148-e3be6c30e623}">
          <xlrd:rvb i="2509"/>
        </ext>
      </extLst>
    </bk>
    <bk>
      <extLst>
        <ext uri="{3e2802c4-a4d2-4d8b-9148-e3be6c30e623}">
          <xlrd:rvb i="2510"/>
        </ext>
      </extLst>
    </bk>
    <bk>
      <extLst>
        <ext uri="{3e2802c4-a4d2-4d8b-9148-e3be6c30e623}">
          <xlrd:rvb i="2511"/>
        </ext>
      </extLst>
    </bk>
    <bk>
      <extLst>
        <ext uri="{3e2802c4-a4d2-4d8b-9148-e3be6c30e623}">
          <xlrd:rvb i="2512"/>
        </ext>
      </extLst>
    </bk>
    <bk>
      <extLst>
        <ext uri="{3e2802c4-a4d2-4d8b-9148-e3be6c30e623}">
          <xlrd:rvb i="2513"/>
        </ext>
      </extLst>
    </bk>
    <bk>
      <extLst>
        <ext uri="{3e2802c4-a4d2-4d8b-9148-e3be6c30e623}">
          <xlrd:rvb i="2514"/>
        </ext>
      </extLst>
    </bk>
    <bk>
      <extLst>
        <ext uri="{3e2802c4-a4d2-4d8b-9148-e3be6c30e623}">
          <xlrd:rvb i="2515"/>
        </ext>
      </extLst>
    </bk>
    <bk>
      <extLst>
        <ext uri="{3e2802c4-a4d2-4d8b-9148-e3be6c30e623}">
          <xlrd:rvb i="2516"/>
        </ext>
      </extLst>
    </bk>
    <bk>
      <extLst>
        <ext uri="{3e2802c4-a4d2-4d8b-9148-e3be6c30e623}">
          <xlrd:rvb i="2517"/>
        </ext>
      </extLst>
    </bk>
    <bk>
      <extLst>
        <ext uri="{3e2802c4-a4d2-4d8b-9148-e3be6c30e623}">
          <xlrd:rvb i="2518"/>
        </ext>
      </extLst>
    </bk>
    <bk>
      <extLst>
        <ext uri="{3e2802c4-a4d2-4d8b-9148-e3be6c30e623}">
          <xlrd:rvb i="2519"/>
        </ext>
      </extLst>
    </bk>
    <bk>
      <extLst>
        <ext uri="{3e2802c4-a4d2-4d8b-9148-e3be6c30e623}">
          <xlrd:rvb i="2520"/>
        </ext>
      </extLst>
    </bk>
    <bk>
      <extLst>
        <ext uri="{3e2802c4-a4d2-4d8b-9148-e3be6c30e623}">
          <xlrd:rvb i="2521"/>
        </ext>
      </extLst>
    </bk>
    <bk>
      <extLst>
        <ext uri="{3e2802c4-a4d2-4d8b-9148-e3be6c30e623}">
          <xlrd:rvb i="2522"/>
        </ext>
      </extLst>
    </bk>
    <bk>
      <extLst>
        <ext uri="{3e2802c4-a4d2-4d8b-9148-e3be6c30e623}">
          <xlrd:rvb i="2523"/>
        </ext>
      </extLst>
    </bk>
    <bk>
      <extLst>
        <ext uri="{3e2802c4-a4d2-4d8b-9148-e3be6c30e623}">
          <xlrd:rvb i="2524"/>
        </ext>
      </extLst>
    </bk>
    <bk>
      <extLst>
        <ext uri="{3e2802c4-a4d2-4d8b-9148-e3be6c30e623}">
          <xlrd:rvb i="2525"/>
        </ext>
      </extLst>
    </bk>
    <bk>
      <extLst>
        <ext uri="{3e2802c4-a4d2-4d8b-9148-e3be6c30e623}">
          <xlrd:rvb i="2526"/>
        </ext>
      </extLst>
    </bk>
    <bk>
      <extLst>
        <ext uri="{3e2802c4-a4d2-4d8b-9148-e3be6c30e623}">
          <xlrd:rvb i="2527"/>
        </ext>
      </extLst>
    </bk>
    <bk>
      <extLst>
        <ext uri="{3e2802c4-a4d2-4d8b-9148-e3be6c30e623}">
          <xlrd:rvb i="2528"/>
        </ext>
      </extLst>
    </bk>
    <bk>
      <extLst>
        <ext uri="{3e2802c4-a4d2-4d8b-9148-e3be6c30e623}">
          <xlrd:rvb i="2529"/>
        </ext>
      </extLst>
    </bk>
    <bk>
      <extLst>
        <ext uri="{3e2802c4-a4d2-4d8b-9148-e3be6c30e623}">
          <xlrd:rvb i="2530"/>
        </ext>
      </extLst>
    </bk>
    <bk>
      <extLst>
        <ext uri="{3e2802c4-a4d2-4d8b-9148-e3be6c30e623}">
          <xlrd:rvb i="2531"/>
        </ext>
      </extLst>
    </bk>
    <bk>
      <extLst>
        <ext uri="{3e2802c4-a4d2-4d8b-9148-e3be6c30e623}">
          <xlrd:rvb i="2532"/>
        </ext>
      </extLst>
    </bk>
    <bk>
      <extLst>
        <ext uri="{3e2802c4-a4d2-4d8b-9148-e3be6c30e623}">
          <xlrd:rvb i="2533"/>
        </ext>
      </extLst>
    </bk>
    <bk>
      <extLst>
        <ext uri="{3e2802c4-a4d2-4d8b-9148-e3be6c30e623}">
          <xlrd:rvb i="2534"/>
        </ext>
      </extLst>
    </bk>
    <bk>
      <extLst>
        <ext uri="{3e2802c4-a4d2-4d8b-9148-e3be6c30e623}">
          <xlrd:rvb i="2535"/>
        </ext>
      </extLst>
    </bk>
    <bk>
      <extLst>
        <ext uri="{3e2802c4-a4d2-4d8b-9148-e3be6c30e623}">
          <xlrd:rvb i="2536"/>
        </ext>
      </extLst>
    </bk>
    <bk>
      <extLst>
        <ext uri="{3e2802c4-a4d2-4d8b-9148-e3be6c30e623}">
          <xlrd:rvb i="2537"/>
        </ext>
      </extLst>
    </bk>
    <bk>
      <extLst>
        <ext uri="{3e2802c4-a4d2-4d8b-9148-e3be6c30e623}">
          <xlrd:rvb i="2538"/>
        </ext>
      </extLst>
    </bk>
    <bk>
      <extLst>
        <ext uri="{3e2802c4-a4d2-4d8b-9148-e3be6c30e623}">
          <xlrd:rvb i="2539"/>
        </ext>
      </extLst>
    </bk>
    <bk>
      <extLst>
        <ext uri="{3e2802c4-a4d2-4d8b-9148-e3be6c30e623}">
          <xlrd:rvb i="2540"/>
        </ext>
      </extLst>
    </bk>
    <bk>
      <extLst>
        <ext uri="{3e2802c4-a4d2-4d8b-9148-e3be6c30e623}">
          <xlrd:rvb i="2541"/>
        </ext>
      </extLst>
    </bk>
    <bk>
      <extLst>
        <ext uri="{3e2802c4-a4d2-4d8b-9148-e3be6c30e623}">
          <xlrd:rvb i="2542"/>
        </ext>
      </extLst>
    </bk>
    <bk>
      <extLst>
        <ext uri="{3e2802c4-a4d2-4d8b-9148-e3be6c30e623}">
          <xlrd:rvb i="2543"/>
        </ext>
      </extLst>
    </bk>
    <bk>
      <extLst>
        <ext uri="{3e2802c4-a4d2-4d8b-9148-e3be6c30e623}">
          <xlrd:rvb i="2544"/>
        </ext>
      </extLst>
    </bk>
    <bk>
      <extLst>
        <ext uri="{3e2802c4-a4d2-4d8b-9148-e3be6c30e623}">
          <xlrd:rvb i="2545"/>
        </ext>
      </extLst>
    </bk>
    <bk>
      <extLst>
        <ext uri="{3e2802c4-a4d2-4d8b-9148-e3be6c30e623}">
          <xlrd:rvb i="2546"/>
        </ext>
      </extLst>
    </bk>
    <bk>
      <extLst>
        <ext uri="{3e2802c4-a4d2-4d8b-9148-e3be6c30e623}">
          <xlrd:rvb i="2547"/>
        </ext>
      </extLst>
    </bk>
    <bk>
      <extLst>
        <ext uri="{3e2802c4-a4d2-4d8b-9148-e3be6c30e623}">
          <xlrd:rvb i="2548"/>
        </ext>
      </extLst>
    </bk>
    <bk>
      <extLst>
        <ext uri="{3e2802c4-a4d2-4d8b-9148-e3be6c30e623}">
          <xlrd:rvb i="2549"/>
        </ext>
      </extLst>
    </bk>
    <bk>
      <extLst>
        <ext uri="{3e2802c4-a4d2-4d8b-9148-e3be6c30e623}">
          <xlrd:rvb i="2550"/>
        </ext>
      </extLst>
    </bk>
    <bk>
      <extLst>
        <ext uri="{3e2802c4-a4d2-4d8b-9148-e3be6c30e623}">
          <xlrd:rvb i="2551"/>
        </ext>
      </extLst>
    </bk>
    <bk>
      <extLst>
        <ext uri="{3e2802c4-a4d2-4d8b-9148-e3be6c30e623}">
          <xlrd:rvb i="2552"/>
        </ext>
      </extLst>
    </bk>
    <bk>
      <extLst>
        <ext uri="{3e2802c4-a4d2-4d8b-9148-e3be6c30e623}">
          <xlrd:rvb i="2553"/>
        </ext>
      </extLst>
    </bk>
    <bk>
      <extLst>
        <ext uri="{3e2802c4-a4d2-4d8b-9148-e3be6c30e623}">
          <xlrd:rvb i="2554"/>
        </ext>
      </extLst>
    </bk>
    <bk>
      <extLst>
        <ext uri="{3e2802c4-a4d2-4d8b-9148-e3be6c30e623}">
          <xlrd:rvb i="2555"/>
        </ext>
      </extLst>
    </bk>
    <bk>
      <extLst>
        <ext uri="{3e2802c4-a4d2-4d8b-9148-e3be6c30e623}">
          <xlrd:rvb i="2556"/>
        </ext>
      </extLst>
    </bk>
    <bk>
      <extLst>
        <ext uri="{3e2802c4-a4d2-4d8b-9148-e3be6c30e623}">
          <xlrd:rvb i="2557"/>
        </ext>
      </extLst>
    </bk>
    <bk>
      <extLst>
        <ext uri="{3e2802c4-a4d2-4d8b-9148-e3be6c30e623}">
          <xlrd:rvb i="2558"/>
        </ext>
      </extLst>
    </bk>
    <bk>
      <extLst>
        <ext uri="{3e2802c4-a4d2-4d8b-9148-e3be6c30e623}">
          <xlrd:rvb i="2559"/>
        </ext>
      </extLst>
    </bk>
    <bk>
      <extLst>
        <ext uri="{3e2802c4-a4d2-4d8b-9148-e3be6c30e623}">
          <xlrd:rvb i="2560"/>
        </ext>
      </extLst>
    </bk>
    <bk>
      <extLst>
        <ext uri="{3e2802c4-a4d2-4d8b-9148-e3be6c30e623}">
          <xlrd:rvb i="2561"/>
        </ext>
      </extLst>
    </bk>
    <bk>
      <extLst>
        <ext uri="{3e2802c4-a4d2-4d8b-9148-e3be6c30e623}">
          <xlrd:rvb i="2562"/>
        </ext>
      </extLst>
    </bk>
    <bk>
      <extLst>
        <ext uri="{3e2802c4-a4d2-4d8b-9148-e3be6c30e623}">
          <xlrd:rvb i="2563"/>
        </ext>
      </extLst>
    </bk>
    <bk>
      <extLst>
        <ext uri="{3e2802c4-a4d2-4d8b-9148-e3be6c30e623}">
          <xlrd:rvb i="2564"/>
        </ext>
      </extLst>
    </bk>
    <bk>
      <extLst>
        <ext uri="{3e2802c4-a4d2-4d8b-9148-e3be6c30e623}">
          <xlrd:rvb i="2565"/>
        </ext>
      </extLst>
    </bk>
    <bk>
      <extLst>
        <ext uri="{3e2802c4-a4d2-4d8b-9148-e3be6c30e623}">
          <xlrd:rvb i="2566"/>
        </ext>
      </extLst>
    </bk>
    <bk>
      <extLst>
        <ext uri="{3e2802c4-a4d2-4d8b-9148-e3be6c30e623}">
          <xlrd:rvb i="2567"/>
        </ext>
      </extLst>
    </bk>
    <bk>
      <extLst>
        <ext uri="{3e2802c4-a4d2-4d8b-9148-e3be6c30e623}">
          <xlrd:rvb i="2568"/>
        </ext>
      </extLst>
    </bk>
    <bk>
      <extLst>
        <ext uri="{3e2802c4-a4d2-4d8b-9148-e3be6c30e623}">
          <xlrd:rvb i="2569"/>
        </ext>
      </extLst>
    </bk>
    <bk>
      <extLst>
        <ext uri="{3e2802c4-a4d2-4d8b-9148-e3be6c30e623}">
          <xlrd:rvb i="2570"/>
        </ext>
      </extLst>
    </bk>
    <bk>
      <extLst>
        <ext uri="{3e2802c4-a4d2-4d8b-9148-e3be6c30e623}">
          <xlrd:rvb i="2571"/>
        </ext>
      </extLst>
    </bk>
    <bk>
      <extLst>
        <ext uri="{3e2802c4-a4d2-4d8b-9148-e3be6c30e623}">
          <xlrd:rvb i="2572"/>
        </ext>
      </extLst>
    </bk>
    <bk>
      <extLst>
        <ext uri="{3e2802c4-a4d2-4d8b-9148-e3be6c30e623}">
          <xlrd:rvb i="2573"/>
        </ext>
      </extLst>
    </bk>
    <bk>
      <extLst>
        <ext uri="{3e2802c4-a4d2-4d8b-9148-e3be6c30e623}">
          <xlrd:rvb i="2574"/>
        </ext>
      </extLst>
    </bk>
    <bk>
      <extLst>
        <ext uri="{3e2802c4-a4d2-4d8b-9148-e3be6c30e623}">
          <xlrd:rvb i="2575"/>
        </ext>
      </extLst>
    </bk>
    <bk>
      <extLst>
        <ext uri="{3e2802c4-a4d2-4d8b-9148-e3be6c30e623}">
          <xlrd:rvb i="2576"/>
        </ext>
      </extLst>
    </bk>
    <bk>
      <extLst>
        <ext uri="{3e2802c4-a4d2-4d8b-9148-e3be6c30e623}">
          <xlrd:rvb i="2577"/>
        </ext>
      </extLst>
    </bk>
    <bk>
      <extLst>
        <ext uri="{3e2802c4-a4d2-4d8b-9148-e3be6c30e623}">
          <xlrd:rvb i="2578"/>
        </ext>
      </extLst>
    </bk>
    <bk>
      <extLst>
        <ext uri="{3e2802c4-a4d2-4d8b-9148-e3be6c30e623}">
          <xlrd:rvb i="2579"/>
        </ext>
      </extLst>
    </bk>
    <bk>
      <extLst>
        <ext uri="{3e2802c4-a4d2-4d8b-9148-e3be6c30e623}">
          <xlrd:rvb i="2580"/>
        </ext>
      </extLst>
    </bk>
    <bk>
      <extLst>
        <ext uri="{3e2802c4-a4d2-4d8b-9148-e3be6c30e623}">
          <xlrd:rvb i="2581"/>
        </ext>
      </extLst>
    </bk>
    <bk>
      <extLst>
        <ext uri="{3e2802c4-a4d2-4d8b-9148-e3be6c30e623}">
          <xlrd:rvb i="2582"/>
        </ext>
      </extLst>
    </bk>
    <bk>
      <extLst>
        <ext uri="{3e2802c4-a4d2-4d8b-9148-e3be6c30e623}">
          <xlrd:rvb i="2583"/>
        </ext>
      </extLst>
    </bk>
    <bk>
      <extLst>
        <ext uri="{3e2802c4-a4d2-4d8b-9148-e3be6c30e623}">
          <xlrd:rvb i="2584"/>
        </ext>
      </extLst>
    </bk>
    <bk>
      <extLst>
        <ext uri="{3e2802c4-a4d2-4d8b-9148-e3be6c30e623}">
          <xlrd:rvb i="2585"/>
        </ext>
      </extLst>
    </bk>
    <bk>
      <extLst>
        <ext uri="{3e2802c4-a4d2-4d8b-9148-e3be6c30e623}">
          <xlrd:rvb i="2586"/>
        </ext>
      </extLst>
    </bk>
    <bk>
      <extLst>
        <ext uri="{3e2802c4-a4d2-4d8b-9148-e3be6c30e623}">
          <xlrd:rvb i="2587"/>
        </ext>
      </extLst>
    </bk>
    <bk>
      <extLst>
        <ext uri="{3e2802c4-a4d2-4d8b-9148-e3be6c30e623}">
          <xlrd:rvb i="2588"/>
        </ext>
      </extLst>
    </bk>
    <bk>
      <extLst>
        <ext uri="{3e2802c4-a4d2-4d8b-9148-e3be6c30e623}">
          <xlrd:rvb i="2589"/>
        </ext>
      </extLst>
    </bk>
    <bk>
      <extLst>
        <ext uri="{3e2802c4-a4d2-4d8b-9148-e3be6c30e623}">
          <xlrd:rvb i="2590"/>
        </ext>
      </extLst>
    </bk>
    <bk>
      <extLst>
        <ext uri="{3e2802c4-a4d2-4d8b-9148-e3be6c30e623}">
          <xlrd:rvb i="2591"/>
        </ext>
      </extLst>
    </bk>
    <bk>
      <extLst>
        <ext uri="{3e2802c4-a4d2-4d8b-9148-e3be6c30e623}">
          <xlrd:rvb i="2592"/>
        </ext>
      </extLst>
    </bk>
    <bk>
      <extLst>
        <ext uri="{3e2802c4-a4d2-4d8b-9148-e3be6c30e623}">
          <xlrd:rvb i="2593"/>
        </ext>
      </extLst>
    </bk>
    <bk>
      <extLst>
        <ext uri="{3e2802c4-a4d2-4d8b-9148-e3be6c30e623}">
          <xlrd:rvb i="2594"/>
        </ext>
      </extLst>
    </bk>
    <bk>
      <extLst>
        <ext uri="{3e2802c4-a4d2-4d8b-9148-e3be6c30e623}">
          <xlrd:rvb i="2595"/>
        </ext>
      </extLst>
    </bk>
    <bk>
      <extLst>
        <ext uri="{3e2802c4-a4d2-4d8b-9148-e3be6c30e623}">
          <xlrd:rvb i="2596"/>
        </ext>
      </extLst>
    </bk>
    <bk>
      <extLst>
        <ext uri="{3e2802c4-a4d2-4d8b-9148-e3be6c30e623}">
          <xlrd:rvb i="2597"/>
        </ext>
      </extLst>
    </bk>
    <bk>
      <extLst>
        <ext uri="{3e2802c4-a4d2-4d8b-9148-e3be6c30e623}">
          <xlrd:rvb i="2598"/>
        </ext>
      </extLst>
    </bk>
    <bk>
      <extLst>
        <ext uri="{3e2802c4-a4d2-4d8b-9148-e3be6c30e623}">
          <xlrd:rvb i="2599"/>
        </ext>
      </extLst>
    </bk>
    <bk>
      <extLst>
        <ext uri="{3e2802c4-a4d2-4d8b-9148-e3be6c30e623}">
          <xlrd:rvb i="2600"/>
        </ext>
      </extLst>
    </bk>
    <bk>
      <extLst>
        <ext uri="{3e2802c4-a4d2-4d8b-9148-e3be6c30e623}">
          <xlrd:rvb i="2601"/>
        </ext>
      </extLst>
    </bk>
    <bk>
      <extLst>
        <ext uri="{3e2802c4-a4d2-4d8b-9148-e3be6c30e623}">
          <xlrd:rvb i="2602"/>
        </ext>
      </extLst>
    </bk>
    <bk>
      <extLst>
        <ext uri="{3e2802c4-a4d2-4d8b-9148-e3be6c30e623}">
          <xlrd:rvb i="2603"/>
        </ext>
      </extLst>
    </bk>
    <bk>
      <extLst>
        <ext uri="{3e2802c4-a4d2-4d8b-9148-e3be6c30e623}">
          <xlrd:rvb i="2604"/>
        </ext>
      </extLst>
    </bk>
    <bk>
      <extLst>
        <ext uri="{3e2802c4-a4d2-4d8b-9148-e3be6c30e623}">
          <xlrd:rvb i="2605"/>
        </ext>
      </extLst>
    </bk>
    <bk>
      <extLst>
        <ext uri="{3e2802c4-a4d2-4d8b-9148-e3be6c30e623}">
          <xlrd:rvb i="2606"/>
        </ext>
      </extLst>
    </bk>
    <bk>
      <extLst>
        <ext uri="{3e2802c4-a4d2-4d8b-9148-e3be6c30e623}">
          <xlrd:rvb i="2607"/>
        </ext>
      </extLst>
    </bk>
    <bk>
      <extLst>
        <ext uri="{3e2802c4-a4d2-4d8b-9148-e3be6c30e623}">
          <xlrd:rvb i="2608"/>
        </ext>
      </extLst>
    </bk>
    <bk>
      <extLst>
        <ext uri="{3e2802c4-a4d2-4d8b-9148-e3be6c30e623}">
          <xlrd:rvb i="2609"/>
        </ext>
      </extLst>
    </bk>
    <bk>
      <extLst>
        <ext uri="{3e2802c4-a4d2-4d8b-9148-e3be6c30e623}">
          <xlrd:rvb i="2610"/>
        </ext>
      </extLst>
    </bk>
    <bk>
      <extLst>
        <ext uri="{3e2802c4-a4d2-4d8b-9148-e3be6c30e623}">
          <xlrd:rvb i="2611"/>
        </ext>
      </extLst>
    </bk>
    <bk>
      <extLst>
        <ext uri="{3e2802c4-a4d2-4d8b-9148-e3be6c30e623}">
          <xlrd:rvb i="2612"/>
        </ext>
      </extLst>
    </bk>
    <bk>
      <extLst>
        <ext uri="{3e2802c4-a4d2-4d8b-9148-e3be6c30e623}">
          <xlrd:rvb i="2613"/>
        </ext>
      </extLst>
    </bk>
    <bk>
      <extLst>
        <ext uri="{3e2802c4-a4d2-4d8b-9148-e3be6c30e623}">
          <xlrd:rvb i="2614"/>
        </ext>
      </extLst>
    </bk>
    <bk>
      <extLst>
        <ext uri="{3e2802c4-a4d2-4d8b-9148-e3be6c30e623}">
          <xlrd:rvb i="2615"/>
        </ext>
      </extLst>
    </bk>
    <bk>
      <extLst>
        <ext uri="{3e2802c4-a4d2-4d8b-9148-e3be6c30e623}">
          <xlrd:rvb i="2616"/>
        </ext>
      </extLst>
    </bk>
    <bk>
      <extLst>
        <ext uri="{3e2802c4-a4d2-4d8b-9148-e3be6c30e623}">
          <xlrd:rvb i="2617"/>
        </ext>
      </extLst>
    </bk>
    <bk>
      <extLst>
        <ext uri="{3e2802c4-a4d2-4d8b-9148-e3be6c30e623}">
          <xlrd:rvb i="2618"/>
        </ext>
      </extLst>
    </bk>
    <bk>
      <extLst>
        <ext uri="{3e2802c4-a4d2-4d8b-9148-e3be6c30e623}">
          <xlrd:rvb i="2619"/>
        </ext>
      </extLst>
    </bk>
    <bk>
      <extLst>
        <ext uri="{3e2802c4-a4d2-4d8b-9148-e3be6c30e623}">
          <xlrd:rvb i="2620"/>
        </ext>
      </extLst>
    </bk>
    <bk>
      <extLst>
        <ext uri="{3e2802c4-a4d2-4d8b-9148-e3be6c30e623}">
          <xlrd:rvb i="2621"/>
        </ext>
      </extLst>
    </bk>
    <bk>
      <extLst>
        <ext uri="{3e2802c4-a4d2-4d8b-9148-e3be6c30e623}">
          <xlrd:rvb i="2622"/>
        </ext>
      </extLst>
    </bk>
    <bk>
      <extLst>
        <ext uri="{3e2802c4-a4d2-4d8b-9148-e3be6c30e623}">
          <xlrd:rvb i="2623"/>
        </ext>
      </extLst>
    </bk>
    <bk>
      <extLst>
        <ext uri="{3e2802c4-a4d2-4d8b-9148-e3be6c30e623}">
          <xlrd:rvb i="2624"/>
        </ext>
      </extLst>
    </bk>
    <bk>
      <extLst>
        <ext uri="{3e2802c4-a4d2-4d8b-9148-e3be6c30e623}">
          <xlrd:rvb i="2625"/>
        </ext>
      </extLst>
    </bk>
    <bk>
      <extLst>
        <ext uri="{3e2802c4-a4d2-4d8b-9148-e3be6c30e623}">
          <xlrd:rvb i="2626"/>
        </ext>
      </extLst>
    </bk>
    <bk>
      <extLst>
        <ext uri="{3e2802c4-a4d2-4d8b-9148-e3be6c30e623}">
          <xlrd:rvb i="2627"/>
        </ext>
      </extLst>
    </bk>
    <bk>
      <extLst>
        <ext uri="{3e2802c4-a4d2-4d8b-9148-e3be6c30e623}">
          <xlrd:rvb i="2628"/>
        </ext>
      </extLst>
    </bk>
    <bk>
      <extLst>
        <ext uri="{3e2802c4-a4d2-4d8b-9148-e3be6c30e623}">
          <xlrd:rvb i="2629"/>
        </ext>
      </extLst>
    </bk>
    <bk>
      <extLst>
        <ext uri="{3e2802c4-a4d2-4d8b-9148-e3be6c30e623}">
          <xlrd:rvb i="2630"/>
        </ext>
      </extLst>
    </bk>
    <bk>
      <extLst>
        <ext uri="{3e2802c4-a4d2-4d8b-9148-e3be6c30e623}">
          <xlrd:rvb i="2631"/>
        </ext>
      </extLst>
    </bk>
    <bk>
      <extLst>
        <ext uri="{3e2802c4-a4d2-4d8b-9148-e3be6c30e623}">
          <xlrd:rvb i="2632"/>
        </ext>
      </extLst>
    </bk>
    <bk>
      <extLst>
        <ext uri="{3e2802c4-a4d2-4d8b-9148-e3be6c30e623}">
          <xlrd:rvb i="2633"/>
        </ext>
      </extLst>
    </bk>
    <bk>
      <extLst>
        <ext uri="{3e2802c4-a4d2-4d8b-9148-e3be6c30e623}">
          <xlrd:rvb i="2634"/>
        </ext>
      </extLst>
    </bk>
    <bk>
      <extLst>
        <ext uri="{3e2802c4-a4d2-4d8b-9148-e3be6c30e623}">
          <xlrd:rvb i="2635"/>
        </ext>
      </extLst>
    </bk>
    <bk>
      <extLst>
        <ext uri="{3e2802c4-a4d2-4d8b-9148-e3be6c30e623}">
          <xlrd:rvb i="2636"/>
        </ext>
      </extLst>
    </bk>
    <bk>
      <extLst>
        <ext uri="{3e2802c4-a4d2-4d8b-9148-e3be6c30e623}">
          <xlrd:rvb i="2637"/>
        </ext>
      </extLst>
    </bk>
    <bk>
      <extLst>
        <ext uri="{3e2802c4-a4d2-4d8b-9148-e3be6c30e623}">
          <xlrd:rvb i="2638"/>
        </ext>
      </extLst>
    </bk>
    <bk>
      <extLst>
        <ext uri="{3e2802c4-a4d2-4d8b-9148-e3be6c30e623}">
          <xlrd:rvb i="2639"/>
        </ext>
      </extLst>
    </bk>
    <bk>
      <extLst>
        <ext uri="{3e2802c4-a4d2-4d8b-9148-e3be6c30e623}">
          <xlrd:rvb i="2640"/>
        </ext>
      </extLst>
    </bk>
    <bk>
      <extLst>
        <ext uri="{3e2802c4-a4d2-4d8b-9148-e3be6c30e623}">
          <xlrd:rvb i="2641"/>
        </ext>
      </extLst>
    </bk>
    <bk>
      <extLst>
        <ext uri="{3e2802c4-a4d2-4d8b-9148-e3be6c30e623}">
          <xlrd:rvb i="2642"/>
        </ext>
      </extLst>
    </bk>
    <bk>
      <extLst>
        <ext uri="{3e2802c4-a4d2-4d8b-9148-e3be6c30e623}">
          <xlrd:rvb i="2643"/>
        </ext>
      </extLst>
    </bk>
    <bk>
      <extLst>
        <ext uri="{3e2802c4-a4d2-4d8b-9148-e3be6c30e623}">
          <xlrd:rvb i="2644"/>
        </ext>
      </extLst>
    </bk>
    <bk>
      <extLst>
        <ext uri="{3e2802c4-a4d2-4d8b-9148-e3be6c30e623}">
          <xlrd:rvb i="2645"/>
        </ext>
      </extLst>
    </bk>
    <bk>
      <extLst>
        <ext uri="{3e2802c4-a4d2-4d8b-9148-e3be6c30e623}">
          <xlrd:rvb i="2646"/>
        </ext>
      </extLst>
    </bk>
    <bk>
      <extLst>
        <ext uri="{3e2802c4-a4d2-4d8b-9148-e3be6c30e623}">
          <xlrd:rvb i="2647"/>
        </ext>
      </extLst>
    </bk>
    <bk>
      <extLst>
        <ext uri="{3e2802c4-a4d2-4d8b-9148-e3be6c30e623}">
          <xlrd:rvb i="2648"/>
        </ext>
      </extLst>
    </bk>
    <bk>
      <extLst>
        <ext uri="{3e2802c4-a4d2-4d8b-9148-e3be6c30e623}">
          <xlrd:rvb i="2649"/>
        </ext>
      </extLst>
    </bk>
    <bk>
      <extLst>
        <ext uri="{3e2802c4-a4d2-4d8b-9148-e3be6c30e623}">
          <xlrd:rvb i="2650"/>
        </ext>
      </extLst>
    </bk>
    <bk>
      <extLst>
        <ext uri="{3e2802c4-a4d2-4d8b-9148-e3be6c30e623}">
          <xlrd:rvb i="2651"/>
        </ext>
      </extLst>
    </bk>
    <bk>
      <extLst>
        <ext uri="{3e2802c4-a4d2-4d8b-9148-e3be6c30e623}">
          <xlrd:rvb i="2652"/>
        </ext>
      </extLst>
    </bk>
    <bk>
      <extLst>
        <ext uri="{3e2802c4-a4d2-4d8b-9148-e3be6c30e623}">
          <xlrd:rvb i="2653"/>
        </ext>
      </extLst>
    </bk>
    <bk>
      <extLst>
        <ext uri="{3e2802c4-a4d2-4d8b-9148-e3be6c30e623}">
          <xlrd:rvb i="2654"/>
        </ext>
      </extLst>
    </bk>
    <bk>
      <extLst>
        <ext uri="{3e2802c4-a4d2-4d8b-9148-e3be6c30e623}">
          <xlrd:rvb i="2655"/>
        </ext>
      </extLst>
    </bk>
    <bk>
      <extLst>
        <ext uri="{3e2802c4-a4d2-4d8b-9148-e3be6c30e623}">
          <xlrd:rvb i="2656"/>
        </ext>
      </extLst>
    </bk>
    <bk>
      <extLst>
        <ext uri="{3e2802c4-a4d2-4d8b-9148-e3be6c30e623}">
          <xlrd:rvb i="2657"/>
        </ext>
      </extLst>
    </bk>
    <bk>
      <extLst>
        <ext uri="{3e2802c4-a4d2-4d8b-9148-e3be6c30e623}">
          <xlrd:rvb i="2658"/>
        </ext>
      </extLst>
    </bk>
    <bk>
      <extLst>
        <ext uri="{3e2802c4-a4d2-4d8b-9148-e3be6c30e623}">
          <xlrd:rvb i="2659"/>
        </ext>
      </extLst>
    </bk>
    <bk>
      <extLst>
        <ext uri="{3e2802c4-a4d2-4d8b-9148-e3be6c30e623}">
          <xlrd:rvb i="2660"/>
        </ext>
      </extLst>
    </bk>
    <bk>
      <extLst>
        <ext uri="{3e2802c4-a4d2-4d8b-9148-e3be6c30e623}">
          <xlrd:rvb i="2661"/>
        </ext>
      </extLst>
    </bk>
    <bk>
      <extLst>
        <ext uri="{3e2802c4-a4d2-4d8b-9148-e3be6c30e623}">
          <xlrd:rvb i="2662"/>
        </ext>
      </extLst>
    </bk>
    <bk>
      <extLst>
        <ext uri="{3e2802c4-a4d2-4d8b-9148-e3be6c30e623}">
          <xlrd:rvb i="2663"/>
        </ext>
      </extLst>
    </bk>
    <bk>
      <extLst>
        <ext uri="{3e2802c4-a4d2-4d8b-9148-e3be6c30e623}">
          <xlrd:rvb i="2664"/>
        </ext>
      </extLst>
    </bk>
    <bk>
      <extLst>
        <ext uri="{3e2802c4-a4d2-4d8b-9148-e3be6c30e623}">
          <xlrd:rvb i="2665"/>
        </ext>
      </extLst>
    </bk>
    <bk>
      <extLst>
        <ext uri="{3e2802c4-a4d2-4d8b-9148-e3be6c30e623}">
          <xlrd:rvb i="2666"/>
        </ext>
      </extLst>
    </bk>
    <bk>
      <extLst>
        <ext uri="{3e2802c4-a4d2-4d8b-9148-e3be6c30e623}">
          <xlrd:rvb i="2667"/>
        </ext>
      </extLst>
    </bk>
    <bk>
      <extLst>
        <ext uri="{3e2802c4-a4d2-4d8b-9148-e3be6c30e623}">
          <xlrd:rvb i="2668"/>
        </ext>
      </extLst>
    </bk>
    <bk>
      <extLst>
        <ext uri="{3e2802c4-a4d2-4d8b-9148-e3be6c30e623}">
          <xlrd:rvb i="2669"/>
        </ext>
      </extLst>
    </bk>
    <bk>
      <extLst>
        <ext uri="{3e2802c4-a4d2-4d8b-9148-e3be6c30e623}">
          <xlrd:rvb i="2670"/>
        </ext>
      </extLst>
    </bk>
    <bk>
      <extLst>
        <ext uri="{3e2802c4-a4d2-4d8b-9148-e3be6c30e623}">
          <xlrd:rvb i="2671"/>
        </ext>
      </extLst>
    </bk>
    <bk>
      <extLst>
        <ext uri="{3e2802c4-a4d2-4d8b-9148-e3be6c30e623}">
          <xlrd:rvb i="2672"/>
        </ext>
      </extLst>
    </bk>
    <bk>
      <extLst>
        <ext uri="{3e2802c4-a4d2-4d8b-9148-e3be6c30e623}">
          <xlrd:rvb i="2673"/>
        </ext>
      </extLst>
    </bk>
    <bk>
      <extLst>
        <ext uri="{3e2802c4-a4d2-4d8b-9148-e3be6c30e623}">
          <xlrd:rvb i="2674"/>
        </ext>
      </extLst>
    </bk>
    <bk>
      <extLst>
        <ext uri="{3e2802c4-a4d2-4d8b-9148-e3be6c30e623}">
          <xlrd:rvb i="2675"/>
        </ext>
      </extLst>
    </bk>
    <bk>
      <extLst>
        <ext uri="{3e2802c4-a4d2-4d8b-9148-e3be6c30e623}">
          <xlrd:rvb i="2676"/>
        </ext>
      </extLst>
    </bk>
    <bk>
      <extLst>
        <ext uri="{3e2802c4-a4d2-4d8b-9148-e3be6c30e623}">
          <xlrd:rvb i="2677"/>
        </ext>
      </extLst>
    </bk>
    <bk>
      <extLst>
        <ext uri="{3e2802c4-a4d2-4d8b-9148-e3be6c30e623}">
          <xlrd:rvb i="2678"/>
        </ext>
      </extLst>
    </bk>
    <bk>
      <extLst>
        <ext uri="{3e2802c4-a4d2-4d8b-9148-e3be6c30e623}">
          <xlrd:rvb i="2679"/>
        </ext>
      </extLst>
    </bk>
    <bk>
      <extLst>
        <ext uri="{3e2802c4-a4d2-4d8b-9148-e3be6c30e623}">
          <xlrd:rvb i="2680"/>
        </ext>
      </extLst>
    </bk>
    <bk>
      <extLst>
        <ext uri="{3e2802c4-a4d2-4d8b-9148-e3be6c30e623}">
          <xlrd:rvb i="2681"/>
        </ext>
      </extLst>
    </bk>
    <bk>
      <extLst>
        <ext uri="{3e2802c4-a4d2-4d8b-9148-e3be6c30e623}">
          <xlrd:rvb i="2682"/>
        </ext>
      </extLst>
    </bk>
    <bk>
      <extLst>
        <ext uri="{3e2802c4-a4d2-4d8b-9148-e3be6c30e623}">
          <xlrd:rvb i="2683"/>
        </ext>
      </extLst>
    </bk>
    <bk>
      <extLst>
        <ext uri="{3e2802c4-a4d2-4d8b-9148-e3be6c30e623}">
          <xlrd:rvb i="2684"/>
        </ext>
      </extLst>
    </bk>
    <bk>
      <extLst>
        <ext uri="{3e2802c4-a4d2-4d8b-9148-e3be6c30e623}">
          <xlrd:rvb i="2685"/>
        </ext>
      </extLst>
    </bk>
    <bk>
      <extLst>
        <ext uri="{3e2802c4-a4d2-4d8b-9148-e3be6c30e623}">
          <xlrd:rvb i="2686"/>
        </ext>
      </extLst>
    </bk>
    <bk>
      <extLst>
        <ext uri="{3e2802c4-a4d2-4d8b-9148-e3be6c30e623}">
          <xlrd:rvb i="2687"/>
        </ext>
      </extLst>
    </bk>
    <bk>
      <extLst>
        <ext uri="{3e2802c4-a4d2-4d8b-9148-e3be6c30e623}">
          <xlrd:rvb i="2688"/>
        </ext>
      </extLst>
    </bk>
    <bk>
      <extLst>
        <ext uri="{3e2802c4-a4d2-4d8b-9148-e3be6c30e623}">
          <xlrd:rvb i="2689"/>
        </ext>
      </extLst>
    </bk>
    <bk>
      <extLst>
        <ext uri="{3e2802c4-a4d2-4d8b-9148-e3be6c30e623}">
          <xlrd:rvb i="2690"/>
        </ext>
      </extLst>
    </bk>
    <bk>
      <extLst>
        <ext uri="{3e2802c4-a4d2-4d8b-9148-e3be6c30e623}">
          <xlrd:rvb i="2691"/>
        </ext>
      </extLst>
    </bk>
    <bk>
      <extLst>
        <ext uri="{3e2802c4-a4d2-4d8b-9148-e3be6c30e623}">
          <xlrd:rvb i="2692"/>
        </ext>
      </extLst>
    </bk>
    <bk>
      <extLst>
        <ext uri="{3e2802c4-a4d2-4d8b-9148-e3be6c30e623}">
          <xlrd:rvb i="2693"/>
        </ext>
      </extLst>
    </bk>
    <bk>
      <extLst>
        <ext uri="{3e2802c4-a4d2-4d8b-9148-e3be6c30e623}">
          <xlrd:rvb i="2694"/>
        </ext>
      </extLst>
    </bk>
    <bk>
      <extLst>
        <ext uri="{3e2802c4-a4d2-4d8b-9148-e3be6c30e623}">
          <xlrd:rvb i="2695"/>
        </ext>
      </extLst>
    </bk>
    <bk>
      <extLst>
        <ext uri="{3e2802c4-a4d2-4d8b-9148-e3be6c30e623}">
          <xlrd:rvb i="2696"/>
        </ext>
      </extLst>
    </bk>
    <bk>
      <extLst>
        <ext uri="{3e2802c4-a4d2-4d8b-9148-e3be6c30e623}">
          <xlrd:rvb i="2697"/>
        </ext>
      </extLst>
    </bk>
    <bk>
      <extLst>
        <ext uri="{3e2802c4-a4d2-4d8b-9148-e3be6c30e623}">
          <xlrd:rvb i="2698"/>
        </ext>
      </extLst>
    </bk>
    <bk>
      <extLst>
        <ext uri="{3e2802c4-a4d2-4d8b-9148-e3be6c30e623}">
          <xlrd:rvb i="2699"/>
        </ext>
      </extLst>
    </bk>
    <bk>
      <extLst>
        <ext uri="{3e2802c4-a4d2-4d8b-9148-e3be6c30e623}">
          <xlrd:rvb i="2700"/>
        </ext>
      </extLst>
    </bk>
    <bk>
      <extLst>
        <ext uri="{3e2802c4-a4d2-4d8b-9148-e3be6c30e623}">
          <xlrd:rvb i="2701"/>
        </ext>
      </extLst>
    </bk>
    <bk>
      <extLst>
        <ext uri="{3e2802c4-a4d2-4d8b-9148-e3be6c30e623}">
          <xlrd:rvb i="2702"/>
        </ext>
      </extLst>
    </bk>
    <bk>
      <extLst>
        <ext uri="{3e2802c4-a4d2-4d8b-9148-e3be6c30e623}">
          <xlrd:rvb i="2703"/>
        </ext>
      </extLst>
    </bk>
    <bk>
      <extLst>
        <ext uri="{3e2802c4-a4d2-4d8b-9148-e3be6c30e623}">
          <xlrd:rvb i="2704"/>
        </ext>
      </extLst>
    </bk>
    <bk>
      <extLst>
        <ext uri="{3e2802c4-a4d2-4d8b-9148-e3be6c30e623}">
          <xlrd:rvb i="2705"/>
        </ext>
      </extLst>
    </bk>
    <bk>
      <extLst>
        <ext uri="{3e2802c4-a4d2-4d8b-9148-e3be6c30e623}">
          <xlrd:rvb i="2706"/>
        </ext>
      </extLst>
    </bk>
    <bk>
      <extLst>
        <ext uri="{3e2802c4-a4d2-4d8b-9148-e3be6c30e623}">
          <xlrd:rvb i="2707"/>
        </ext>
      </extLst>
    </bk>
    <bk>
      <extLst>
        <ext uri="{3e2802c4-a4d2-4d8b-9148-e3be6c30e623}">
          <xlrd:rvb i="2708"/>
        </ext>
      </extLst>
    </bk>
    <bk>
      <extLst>
        <ext uri="{3e2802c4-a4d2-4d8b-9148-e3be6c30e623}">
          <xlrd:rvb i="2709"/>
        </ext>
      </extLst>
    </bk>
    <bk>
      <extLst>
        <ext uri="{3e2802c4-a4d2-4d8b-9148-e3be6c30e623}">
          <xlrd:rvb i="2710"/>
        </ext>
      </extLst>
    </bk>
    <bk>
      <extLst>
        <ext uri="{3e2802c4-a4d2-4d8b-9148-e3be6c30e623}">
          <xlrd:rvb i="2711"/>
        </ext>
      </extLst>
    </bk>
    <bk>
      <extLst>
        <ext uri="{3e2802c4-a4d2-4d8b-9148-e3be6c30e623}">
          <xlrd:rvb i="2712"/>
        </ext>
      </extLst>
    </bk>
    <bk>
      <extLst>
        <ext uri="{3e2802c4-a4d2-4d8b-9148-e3be6c30e623}">
          <xlrd:rvb i="2713"/>
        </ext>
      </extLst>
    </bk>
    <bk>
      <extLst>
        <ext uri="{3e2802c4-a4d2-4d8b-9148-e3be6c30e623}">
          <xlrd:rvb i="2714"/>
        </ext>
      </extLst>
    </bk>
    <bk>
      <extLst>
        <ext uri="{3e2802c4-a4d2-4d8b-9148-e3be6c30e623}">
          <xlrd:rvb i="2715"/>
        </ext>
      </extLst>
    </bk>
    <bk>
      <extLst>
        <ext uri="{3e2802c4-a4d2-4d8b-9148-e3be6c30e623}">
          <xlrd:rvb i="2716"/>
        </ext>
      </extLst>
    </bk>
    <bk>
      <extLst>
        <ext uri="{3e2802c4-a4d2-4d8b-9148-e3be6c30e623}">
          <xlrd:rvb i="2717"/>
        </ext>
      </extLst>
    </bk>
    <bk>
      <extLst>
        <ext uri="{3e2802c4-a4d2-4d8b-9148-e3be6c30e623}">
          <xlrd:rvb i="2718"/>
        </ext>
      </extLst>
    </bk>
    <bk>
      <extLst>
        <ext uri="{3e2802c4-a4d2-4d8b-9148-e3be6c30e623}">
          <xlrd:rvb i="2719"/>
        </ext>
      </extLst>
    </bk>
    <bk>
      <extLst>
        <ext uri="{3e2802c4-a4d2-4d8b-9148-e3be6c30e623}">
          <xlrd:rvb i="2720"/>
        </ext>
      </extLst>
    </bk>
    <bk>
      <extLst>
        <ext uri="{3e2802c4-a4d2-4d8b-9148-e3be6c30e623}">
          <xlrd:rvb i="2721"/>
        </ext>
      </extLst>
    </bk>
    <bk>
      <extLst>
        <ext uri="{3e2802c4-a4d2-4d8b-9148-e3be6c30e623}">
          <xlrd:rvb i="2722"/>
        </ext>
      </extLst>
    </bk>
    <bk>
      <extLst>
        <ext uri="{3e2802c4-a4d2-4d8b-9148-e3be6c30e623}">
          <xlrd:rvb i="2723"/>
        </ext>
      </extLst>
    </bk>
    <bk>
      <extLst>
        <ext uri="{3e2802c4-a4d2-4d8b-9148-e3be6c30e623}">
          <xlrd:rvb i="2724"/>
        </ext>
      </extLst>
    </bk>
    <bk>
      <extLst>
        <ext uri="{3e2802c4-a4d2-4d8b-9148-e3be6c30e623}">
          <xlrd:rvb i="2725"/>
        </ext>
      </extLst>
    </bk>
    <bk>
      <extLst>
        <ext uri="{3e2802c4-a4d2-4d8b-9148-e3be6c30e623}">
          <xlrd:rvb i="2726"/>
        </ext>
      </extLst>
    </bk>
    <bk>
      <extLst>
        <ext uri="{3e2802c4-a4d2-4d8b-9148-e3be6c30e623}">
          <xlrd:rvb i="2727"/>
        </ext>
      </extLst>
    </bk>
    <bk>
      <extLst>
        <ext uri="{3e2802c4-a4d2-4d8b-9148-e3be6c30e623}">
          <xlrd:rvb i="2728"/>
        </ext>
      </extLst>
    </bk>
    <bk>
      <extLst>
        <ext uri="{3e2802c4-a4d2-4d8b-9148-e3be6c30e623}">
          <xlrd:rvb i="2729"/>
        </ext>
      </extLst>
    </bk>
    <bk>
      <extLst>
        <ext uri="{3e2802c4-a4d2-4d8b-9148-e3be6c30e623}">
          <xlrd:rvb i="2730"/>
        </ext>
      </extLst>
    </bk>
    <bk>
      <extLst>
        <ext uri="{3e2802c4-a4d2-4d8b-9148-e3be6c30e623}">
          <xlrd:rvb i="2731"/>
        </ext>
      </extLst>
    </bk>
    <bk>
      <extLst>
        <ext uri="{3e2802c4-a4d2-4d8b-9148-e3be6c30e623}">
          <xlrd:rvb i="2732"/>
        </ext>
      </extLst>
    </bk>
    <bk>
      <extLst>
        <ext uri="{3e2802c4-a4d2-4d8b-9148-e3be6c30e623}">
          <xlrd:rvb i="2733"/>
        </ext>
      </extLst>
    </bk>
    <bk>
      <extLst>
        <ext uri="{3e2802c4-a4d2-4d8b-9148-e3be6c30e623}">
          <xlrd:rvb i="2734"/>
        </ext>
      </extLst>
    </bk>
    <bk>
      <extLst>
        <ext uri="{3e2802c4-a4d2-4d8b-9148-e3be6c30e623}">
          <xlrd:rvb i="2735"/>
        </ext>
      </extLst>
    </bk>
    <bk>
      <extLst>
        <ext uri="{3e2802c4-a4d2-4d8b-9148-e3be6c30e623}">
          <xlrd:rvb i="2736"/>
        </ext>
      </extLst>
    </bk>
    <bk>
      <extLst>
        <ext uri="{3e2802c4-a4d2-4d8b-9148-e3be6c30e623}">
          <xlrd:rvb i="2737"/>
        </ext>
      </extLst>
    </bk>
    <bk>
      <extLst>
        <ext uri="{3e2802c4-a4d2-4d8b-9148-e3be6c30e623}">
          <xlrd:rvb i="2738"/>
        </ext>
      </extLst>
    </bk>
    <bk>
      <extLst>
        <ext uri="{3e2802c4-a4d2-4d8b-9148-e3be6c30e623}">
          <xlrd:rvb i="2739"/>
        </ext>
      </extLst>
    </bk>
    <bk>
      <extLst>
        <ext uri="{3e2802c4-a4d2-4d8b-9148-e3be6c30e623}">
          <xlrd:rvb i="2740"/>
        </ext>
      </extLst>
    </bk>
    <bk>
      <extLst>
        <ext uri="{3e2802c4-a4d2-4d8b-9148-e3be6c30e623}">
          <xlrd:rvb i="2741"/>
        </ext>
      </extLst>
    </bk>
    <bk>
      <extLst>
        <ext uri="{3e2802c4-a4d2-4d8b-9148-e3be6c30e623}">
          <xlrd:rvb i="2742"/>
        </ext>
      </extLst>
    </bk>
    <bk>
      <extLst>
        <ext uri="{3e2802c4-a4d2-4d8b-9148-e3be6c30e623}">
          <xlrd:rvb i="2743"/>
        </ext>
      </extLst>
    </bk>
    <bk>
      <extLst>
        <ext uri="{3e2802c4-a4d2-4d8b-9148-e3be6c30e623}">
          <xlrd:rvb i="2744"/>
        </ext>
      </extLst>
    </bk>
    <bk>
      <extLst>
        <ext uri="{3e2802c4-a4d2-4d8b-9148-e3be6c30e623}">
          <xlrd:rvb i="2745"/>
        </ext>
      </extLst>
    </bk>
    <bk>
      <extLst>
        <ext uri="{3e2802c4-a4d2-4d8b-9148-e3be6c30e623}">
          <xlrd:rvb i="2746"/>
        </ext>
      </extLst>
    </bk>
    <bk>
      <extLst>
        <ext uri="{3e2802c4-a4d2-4d8b-9148-e3be6c30e623}">
          <xlrd:rvb i="2747"/>
        </ext>
      </extLst>
    </bk>
    <bk>
      <extLst>
        <ext uri="{3e2802c4-a4d2-4d8b-9148-e3be6c30e623}">
          <xlrd:rvb i="2748"/>
        </ext>
      </extLst>
    </bk>
    <bk>
      <extLst>
        <ext uri="{3e2802c4-a4d2-4d8b-9148-e3be6c30e623}">
          <xlrd:rvb i="2749"/>
        </ext>
      </extLst>
    </bk>
    <bk>
      <extLst>
        <ext uri="{3e2802c4-a4d2-4d8b-9148-e3be6c30e623}">
          <xlrd:rvb i="2750"/>
        </ext>
      </extLst>
    </bk>
    <bk>
      <extLst>
        <ext uri="{3e2802c4-a4d2-4d8b-9148-e3be6c30e623}">
          <xlrd:rvb i="2751"/>
        </ext>
      </extLst>
    </bk>
    <bk>
      <extLst>
        <ext uri="{3e2802c4-a4d2-4d8b-9148-e3be6c30e623}">
          <xlrd:rvb i="2752"/>
        </ext>
      </extLst>
    </bk>
    <bk>
      <extLst>
        <ext uri="{3e2802c4-a4d2-4d8b-9148-e3be6c30e623}">
          <xlrd:rvb i="2753"/>
        </ext>
      </extLst>
    </bk>
    <bk>
      <extLst>
        <ext uri="{3e2802c4-a4d2-4d8b-9148-e3be6c30e623}">
          <xlrd:rvb i="2754"/>
        </ext>
      </extLst>
    </bk>
    <bk>
      <extLst>
        <ext uri="{3e2802c4-a4d2-4d8b-9148-e3be6c30e623}">
          <xlrd:rvb i="2755"/>
        </ext>
      </extLst>
    </bk>
    <bk>
      <extLst>
        <ext uri="{3e2802c4-a4d2-4d8b-9148-e3be6c30e623}">
          <xlrd:rvb i="2756"/>
        </ext>
      </extLst>
    </bk>
    <bk>
      <extLst>
        <ext uri="{3e2802c4-a4d2-4d8b-9148-e3be6c30e623}">
          <xlrd:rvb i="2757"/>
        </ext>
      </extLst>
    </bk>
    <bk>
      <extLst>
        <ext uri="{3e2802c4-a4d2-4d8b-9148-e3be6c30e623}">
          <xlrd:rvb i="2758"/>
        </ext>
      </extLst>
    </bk>
    <bk>
      <extLst>
        <ext uri="{3e2802c4-a4d2-4d8b-9148-e3be6c30e623}">
          <xlrd:rvb i="2759"/>
        </ext>
      </extLst>
    </bk>
    <bk>
      <extLst>
        <ext uri="{3e2802c4-a4d2-4d8b-9148-e3be6c30e623}">
          <xlrd:rvb i="2760"/>
        </ext>
      </extLst>
    </bk>
    <bk>
      <extLst>
        <ext uri="{3e2802c4-a4d2-4d8b-9148-e3be6c30e623}">
          <xlrd:rvb i="2761"/>
        </ext>
      </extLst>
    </bk>
    <bk>
      <extLst>
        <ext uri="{3e2802c4-a4d2-4d8b-9148-e3be6c30e623}">
          <xlrd:rvb i="2762"/>
        </ext>
      </extLst>
    </bk>
    <bk>
      <extLst>
        <ext uri="{3e2802c4-a4d2-4d8b-9148-e3be6c30e623}">
          <xlrd:rvb i="2763"/>
        </ext>
      </extLst>
    </bk>
    <bk>
      <extLst>
        <ext uri="{3e2802c4-a4d2-4d8b-9148-e3be6c30e623}">
          <xlrd:rvb i="2764"/>
        </ext>
      </extLst>
    </bk>
    <bk>
      <extLst>
        <ext uri="{3e2802c4-a4d2-4d8b-9148-e3be6c30e623}">
          <xlrd:rvb i="2765"/>
        </ext>
      </extLst>
    </bk>
    <bk>
      <extLst>
        <ext uri="{3e2802c4-a4d2-4d8b-9148-e3be6c30e623}">
          <xlrd:rvb i="2766"/>
        </ext>
      </extLst>
    </bk>
    <bk>
      <extLst>
        <ext uri="{3e2802c4-a4d2-4d8b-9148-e3be6c30e623}">
          <xlrd:rvb i="2767"/>
        </ext>
      </extLst>
    </bk>
    <bk>
      <extLst>
        <ext uri="{3e2802c4-a4d2-4d8b-9148-e3be6c30e623}">
          <xlrd:rvb i="2768"/>
        </ext>
      </extLst>
    </bk>
    <bk>
      <extLst>
        <ext uri="{3e2802c4-a4d2-4d8b-9148-e3be6c30e623}">
          <xlrd:rvb i="2769"/>
        </ext>
      </extLst>
    </bk>
    <bk>
      <extLst>
        <ext uri="{3e2802c4-a4d2-4d8b-9148-e3be6c30e623}">
          <xlrd:rvb i="2770"/>
        </ext>
      </extLst>
    </bk>
    <bk>
      <extLst>
        <ext uri="{3e2802c4-a4d2-4d8b-9148-e3be6c30e623}">
          <xlrd:rvb i="2771"/>
        </ext>
      </extLst>
    </bk>
    <bk>
      <extLst>
        <ext uri="{3e2802c4-a4d2-4d8b-9148-e3be6c30e623}">
          <xlrd:rvb i="2772"/>
        </ext>
      </extLst>
    </bk>
    <bk>
      <extLst>
        <ext uri="{3e2802c4-a4d2-4d8b-9148-e3be6c30e623}">
          <xlrd:rvb i="2773"/>
        </ext>
      </extLst>
    </bk>
    <bk>
      <extLst>
        <ext uri="{3e2802c4-a4d2-4d8b-9148-e3be6c30e623}">
          <xlrd:rvb i="2774"/>
        </ext>
      </extLst>
    </bk>
    <bk>
      <extLst>
        <ext uri="{3e2802c4-a4d2-4d8b-9148-e3be6c30e623}">
          <xlrd:rvb i="2775"/>
        </ext>
      </extLst>
    </bk>
    <bk>
      <extLst>
        <ext uri="{3e2802c4-a4d2-4d8b-9148-e3be6c30e623}">
          <xlrd:rvb i="2776"/>
        </ext>
      </extLst>
    </bk>
    <bk>
      <extLst>
        <ext uri="{3e2802c4-a4d2-4d8b-9148-e3be6c30e623}">
          <xlrd:rvb i="2777"/>
        </ext>
      </extLst>
    </bk>
    <bk>
      <extLst>
        <ext uri="{3e2802c4-a4d2-4d8b-9148-e3be6c30e623}">
          <xlrd:rvb i="2778"/>
        </ext>
      </extLst>
    </bk>
    <bk>
      <extLst>
        <ext uri="{3e2802c4-a4d2-4d8b-9148-e3be6c30e623}">
          <xlrd:rvb i="2779"/>
        </ext>
      </extLst>
    </bk>
    <bk>
      <extLst>
        <ext uri="{3e2802c4-a4d2-4d8b-9148-e3be6c30e623}">
          <xlrd:rvb i="2780"/>
        </ext>
      </extLst>
    </bk>
    <bk>
      <extLst>
        <ext uri="{3e2802c4-a4d2-4d8b-9148-e3be6c30e623}">
          <xlrd:rvb i="2781"/>
        </ext>
      </extLst>
    </bk>
    <bk>
      <extLst>
        <ext uri="{3e2802c4-a4d2-4d8b-9148-e3be6c30e623}">
          <xlrd:rvb i="2782"/>
        </ext>
      </extLst>
    </bk>
    <bk>
      <extLst>
        <ext uri="{3e2802c4-a4d2-4d8b-9148-e3be6c30e623}">
          <xlrd:rvb i="2783"/>
        </ext>
      </extLst>
    </bk>
    <bk>
      <extLst>
        <ext uri="{3e2802c4-a4d2-4d8b-9148-e3be6c30e623}">
          <xlrd:rvb i="2784"/>
        </ext>
      </extLst>
    </bk>
    <bk>
      <extLst>
        <ext uri="{3e2802c4-a4d2-4d8b-9148-e3be6c30e623}">
          <xlrd:rvb i="2785"/>
        </ext>
      </extLst>
    </bk>
    <bk>
      <extLst>
        <ext uri="{3e2802c4-a4d2-4d8b-9148-e3be6c30e623}">
          <xlrd:rvb i="2786"/>
        </ext>
      </extLst>
    </bk>
    <bk>
      <extLst>
        <ext uri="{3e2802c4-a4d2-4d8b-9148-e3be6c30e623}">
          <xlrd:rvb i="2787"/>
        </ext>
      </extLst>
    </bk>
    <bk>
      <extLst>
        <ext uri="{3e2802c4-a4d2-4d8b-9148-e3be6c30e623}">
          <xlrd:rvb i="2788"/>
        </ext>
      </extLst>
    </bk>
    <bk>
      <extLst>
        <ext uri="{3e2802c4-a4d2-4d8b-9148-e3be6c30e623}">
          <xlrd:rvb i="2789"/>
        </ext>
      </extLst>
    </bk>
    <bk>
      <extLst>
        <ext uri="{3e2802c4-a4d2-4d8b-9148-e3be6c30e623}">
          <xlrd:rvb i="2790"/>
        </ext>
      </extLst>
    </bk>
    <bk>
      <extLst>
        <ext uri="{3e2802c4-a4d2-4d8b-9148-e3be6c30e623}">
          <xlrd:rvb i="2791"/>
        </ext>
      </extLst>
    </bk>
    <bk>
      <extLst>
        <ext uri="{3e2802c4-a4d2-4d8b-9148-e3be6c30e623}">
          <xlrd:rvb i="2792"/>
        </ext>
      </extLst>
    </bk>
    <bk>
      <extLst>
        <ext uri="{3e2802c4-a4d2-4d8b-9148-e3be6c30e623}">
          <xlrd:rvb i="2793"/>
        </ext>
      </extLst>
    </bk>
    <bk>
      <extLst>
        <ext uri="{3e2802c4-a4d2-4d8b-9148-e3be6c30e623}">
          <xlrd:rvb i="2794"/>
        </ext>
      </extLst>
    </bk>
    <bk>
      <extLst>
        <ext uri="{3e2802c4-a4d2-4d8b-9148-e3be6c30e623}">
          <xlrd:rvb i="2795"/>
        </ext>
      </extLst>
    </bk>
    <bk>
      <extLst>
        <ext uri="{3e2802c4-a4d2-4d8b-9148-e3be6c30e623}">
          <xlrd:rvb i="2796"/>
        </ext>
      </extLst>
    </bk>
    <bk>
      <extLst>
        <ext uri="{3e2802c4-a4d2-4d8b-9148-e3be6c30e623}">
          <xlrd:rvb i="2797"/>
        </ext>
      </extLst>
    </bk>
    <bk>
      <extLst>
        <ext uri="{3e2802c4-a4d2-4d8b-9148-e3be6c30e623}">
          <xlrd:rvb i="2798"/>
        </ext>
      </extLst>
    </bk>
    <bk>
      <extLst>
        <ext uri="{3e2802c4-a4d2-4d8b-9148-e3be6c30e623}">
          <xlrd:rvb i="2799"/>
        </ext>
      </extLst>
    </bk>
    <bk>
      <extLst>
        <ext uri="{3e2802c4-a4d2-4d8b-9148-e3be6c30e623}">
          <xlrd:rvb i="2800"/>
        </ext>
      </extLst>
    </bk>
    <bk>
      <extLst>
        <ext uri="{3e2802c4-a4d2-4d8b-9148-e3be6c30e623}">
          <xlrd:rvb i="2801"/>
        </ext>
      </extLst>
    </bk>
    <bk>
      <extLst>
        <ext uri="{3e2802c4-a4d2-4d8b-9148-e3be6c30e623}">
          <xlrd:rvb i="2802"/>
        </ext>
      </extLst>
    </bk>
    <bk>
      <extLst>
        <ext uri="{3e2802c4-a4d2-4d8b-9148-e3be6c30e623}">
          <xlrd:rvb i="2803"/>
        </ext>
      </extLst>
    </bk>
    <bk>
      <extLst>
        <ext uri="{3e2802c4-a4d2-4d8b-9148-e3be6c30e623}">
          <xlrd:rvb i="2804"/>
        </ext>
      </extLst>
    </bk>
    <bk>
      <extLst>
        <ext uri="{3e2802c4-a4d2-4d8b-9148-e3be6c30e623}">
          <xlrd:rvb i="2805"/>
        </ext>
      </extLst>
    </bk>
    <bk>
      <extLst>
        <ext uri="{3e2802c4-a4d2-4d8b-9148-e3be6c30e623}">
          <xlrd:rvb i="2806"/>
        </ext>
      </extLst>
    </bk>
    <bk>
      <extLst>
        <ext uri="{3e2802c4-a4d2-4d8b-9148-e3be6c30e623}">
          <xlrd:rvb i="2807"/>
        </ext>
      </extLst>
    </bk>
    <bk>
      <extLst>
        <ext uri="{3e2802c4-a4d2-4d8b-9148-e3be6c30e623}">
          <xlrd:rvb i="2808"/>
        </ext>
      </extLst>
    </bk>
    <bk>
      <extLst>
        <ext uri="{3e2802c4-a4d2-4d8b-9148-e3be6c30e623}">
          <xlrd:rvb i="2809"/>
        </ext>
      </extLst>
    </bk>
    <bk>
      <extLst>
        <ext uri="{3e2802c4-a4d2-4d8b-9148-e3be6c30e623}">
          <xlrd:rvb i="2810"/>
        </ext>
      </extLst>
    </bk>
    <bk>
      <extLst>
        <ext uri="{3e2802c4-a4d2-4d8b-9148-e3be6c30e623}">
          <xlrd:rvb i="2811"/>
        </ext>
      </extLst>
    </bk>
    <bk>
      <extLst>
        <ext uri="{3e2802c4-a4d2-4d8b-9148-e3be6c30e623}">
          <xlrd:rvb i="2812"/>
        </ext>
      </extLst>
    </bk>
    <bk>
      <extLst>
        <ext uri="{3e2802c4-a4d2-4d8b-9148-e3be6c30e623}">
          <xlrd:rvb i="2813"/>
        </ext>
      </extLst>
    </bk>
    <bk>
      <extLst>
        <ext uri="{3e2802c4-a4d2-4d8b-9148-e3be6c30e623}">
          <xlrd:rvb i="2814"/>
        </ext>
      </extLst>
    </bk>
    <bk>
      <extLst>
        <ext uri="{3e2802c4-a4d2-4d8b-9148-e3be6c30e623}">
          <xlrd:rvb i="2815"/>
        </ext>
      </extLst>
    </bk>
    <bk>
      <extLst>
        <ext uri="{3e2802c4-a4d2-4d8b-9148-e3be6c30e623}">
          <xlrd:rvb i="2816"/>
        </ext>
      </extLst>
    </bk>
    <bk>
      <extLst>
        <ext uri="{3e2802c4-a4d2-4d8b-9148-e3be6c30e623}">
          <xlrd:rvb i="2817"/>
        </ext>
      </extLst>
    </bk>
    <bk>
      <extLst>
        <ext uri="{3e2802c4-a4d2-4d8b-9148-e3be6c30e623}">
          <xlrd:rvb i="2818"/>
        </ext>
      </extLst>
    </bk>
    <bk>
      <extLst>
        <ext uri="{3e2802c4-a4d2-4d8b-9148-e3be6c30e623}">
          <xlrd:rvb i="2819"/>
        </ext>
      </extLst>
    </bk>
    <bk>
      <extLst>
        <ext uri="{3e2802c4-a4d2-4d8b-9148-e3be6c30e623}">
          <xlrd:rvb i="2820"/>
        </ext>
      </extLst>
    </bk>
    <bk>
      <extLst>
        <ext uri="{3e2802c4-a4d2-4d8b-9148-e3be6c30e623}">
          <xlrd:rvb i="2821"/>
        </ext>
      </extLst>
    </bk>
    <bk>
      <extLst>
        <ext uri="{3e2802c4-a4d2-4d8b-9148-e3be6c30e623}">
          <xlrd:rvb i="2822"/>
        </ext>
      </extLst>
    </bk>
    <bk>
      <extLst>
        <ext uri="{3e2802c4-a4d2-4d8b-9148-e3be6c30e623}">
          <xlrd:rvb i="2823"/>
        </ext>
      </extLst>
    </bk>
    <bk>
      <extLst>
        <ext uri="{3e2802c4-a4d2-4d8b-9148-e3be6c30e623}">
          <xlrd:rvb i="2824"/>
        </ext>
      </extLst>
    </bk>
    <bk>
      <extLst>
        <ext uri="{3e2802c4-a4d2-4d8b-9148-e3be6c30e623}">
          <xlrd:rvb i="2825"/>
        </ext>
      </extLst>
    </bk>
    <bk>
      <extLst>
        <ext uri="{3e2802c4-a4d2-4d8b-9148-e3be6c30e623}">
          <xlrd:rvb i="2826"/>
        </ext>
      </extLst>
    </bk>
    <bk>
      <extLst>
        <ext uri="{3e2802c4-a4d2-4d8b-9148-e3be6c30e623}">
          <xlrd:rvb i="2827"/>
        </ext>
      </extLst>
    </bk>
    <bk>
      <extLst>
        <ext uri="{3e2802c4-a4d2-4d8b-9148-e3be6c30e623}">
          <xlrd:rvb i="2828"/>
        </ext>
      </extLst>
    </bk>
    <bk>
      <extLst>
        <ext uri="{3e2802c4-a4d2-4d8b-9148-e3be6c30e623}">
          <xlrd:rvb i="2829"/>
        </ext>
      </extLst>
    </bk>
    <bk>
      <extLst>
        <ext uri="{3e2802c4-a4d2-4d8b-9148-e3be6c30e623}">
          <xlrd:rvb i="2830"/>
        </ext>
      </extLst>
    </bk>
    <bk>
      <extLst>
        <ext uri="{3e2802c4-a4d2-4d8b-9148-e3be6c30e623}">
          <xlrd:rvb i="2831"/>
        </ext>
      </extLst>
    </bk>
    <bk>
      <extLst>
        <ext uri="{3e2802c4-a4d2-4d8b-9148-e3be6c30e623}">
          <xlrd:rvb i="2832"/>
        </ext>
      </extLst>
    </bk>
    <bk>
      <extLst>
        <ext uri="{3e2802c4-a4d2-4d8b-9148-e3be6c30e623}">
          <xlrd:rvb i="2833"/>
        </ext>
      </extLst>
    </bk>
    <bk>
      <extLst>
        <ext uri="{3e2802c4-a4d2-4d8b-9148-e3be6c30e623}">
          <xlrd:rvb i="2834"/>
        </ext>
      </extLst>
    </bk>
    <bk>
      <extLst>
        <ext uri="{3e2802c4-a4d2-4d8b-9148-e3be6c30e623}">
          <xlrd:rvb i="2835"/>
        </ext>
      </extLst>
    </bk>
    <bk>
      <extLst>
        <ext uri="{3e2802c4-a4d2-4d8b-9148-e3be6c30e623}">
          <xlrd:rvb i="2836"/>
        </ext>
      </extLst>
    </bk>
    <bk>
      <extLst>
        <ext uri="{3e2802c4-a4d2-4d8b-9148-e3be6c30e623}">
          <xlrd:rvb i="2837"/>
        </ext>
      </extLst>
    </bk>
    <bk>
      <extLst>
        <ext uri="{3e2802c4-a4d2-4d8b-9148-e3be6c30e623}">
          <xlrd:rvb i="2838"/>
        </ext>
      </extLst>
    </bk>
    <bk>
      <extLst>
        <ext uri="{3e2802c4-a4d2-4d8b-9148-e3be6c30e623}">
          <xlrd:rvb i="2839"/>
        </ext>
      </extLst>
    </bk>
    <bk>
      <extLst>
        <ext uri="{3e2802c4-a4d2-4d8b-9148-e3be6c30e623}">
          <xlrd:rvb i="2840"/>
        </ext>
      </extLst>
    </bk>
    <bk>
      <extLst>
        <ext uri="{3e2802c4-a4d2-4d8b-9148-e3be6c30e623}">
          <xlrd:rvb i="2841"/>
        </ext>
      </extLst>
    </bk>
    <bk>
      <extLst>
        <ext uri="{3e2802c4-a4d2-4d8b-9148-e3be6c30e623}">
          <xlrd:rvb i="2842"/>
        </ext>
      </extLst>
    </bk>
    <bk>
      <extLst>
        <ext uri="{3e2802c4-a4d2-4d8b-9148-e3be6c30e623}">
          <xlrd:rvb i="2843"/>
        </ext>
      </extLst>
    </bk>
    <bk>
      <extLst>
        <ext uri="{3e2802c4-a4d2-4d8b-9148-e3be6c30e623}">
          <xlrd:rvb i="2844"/>
        </ext>
      </extLst>
    </bk>
    <bk>
      <extLst>
        <ext uri="{3e2802c4-a4d2-4d8b-9148-e3be6c30e623}">
          <xlrd:rvb i="2845"/>
        </ext>
      </extLst>
    </bk>
    <bk>
      <extLst>
        <ext uri="{3e2802c4-a4d2-4d8b-9148-e3be6c30e623}">
          <xlrd:rvb i="2846"/>
        </ext>
      </extLst>
    </bk>
    <bk>
      <extLst>
        <ext uri="{3e2802c4-a4d2-4d8b-9148-e3be6c30e623}">
          <xlrd:rvb i="2847"/>
        </ext>
      </extLst>
    </bk>
    <bk>
      <extLst>
        <ext uri="{3e2802c4-a4d2-4d8b-9148-e3be6c30e623}">
          <xlrd:rvb i="2848"/>
        </ext>
      </extLst>
    </bk>
    <bk>
      <extLst>
        <ext uri="{3e2802c4-a4d2-4d8b-9148-e3be6c30e623}">
          <xlrd:rvb i="2849"/>
        </ext>
      </extLst>
    </bk>
    <bk>
      <extLst>
        <ext uri="{3e2802c4-a4d2-4d8b-9148-e3be6c30e623}">
          <xlrd:rvb i="2850"/>
        </ext>
      </extLst>
    </bk>
    <bk>
      <extLst>
        <ext uri="{3e2802c4-a4d2-4d8b-9148-e3be6c30e623}">
          <xlrd:rvb i="2851"/>
        </ext>
      </extLst>
    </bk>
    <bk>
      <extLst>
        <ext uri="{3e2802c4-a4d2-4d8b-9148-e3be6c30e623}">
          <xlrd:rvb i="2852"/>
        </ext>
      </extLst>
    </bk>
    <bk>
      <extLst>
        <ext uri="{3e2802c4-a4d2-4d8b-9148-e3be6c30e623}">
          <xlrd:rvb i="2853"/>
        </ext>
      </extLst>
    </bk>
    <bk>
      <extLst>
        <ext uri="{3e2802c4-a4d2-4d8b-9148-e3be6c30e623}">
          <xlrd:rvb i="2854"/>
        </ext>
      </extLst>
    </bk>
    <bk>
      <extLst>
        <ext uri="{3e2802c4-a4d2-4d8b-9148-e3be6c30e623}">
          <xlrd:rvb i="2855"/>
        </ext>
      </extLst>
    </bk>
    <bk>
      <extLst>
        <ext uri="{3e2802c4-a4d2-4d8b-9148-e3be6c30e623}">
          <xlrd:rvb i="2856"/>
        </ext>
      </extLst>
    </bk>
    <bk>
      <extLst>
        <ext uri="{3e2802c4-a4d2-4d8b-9148-e3be6c30e623}">
          <xlrd:rvb i="2857"/>
        </ext>
      </extLst>
    </bk>
    <bk>
      <extLst>
        <ext uri="{3e2802c4-a4d2-4d8b-9148-e3be6c30e623}">
          <xlrd:rvb i="2858"/>
        </ext>
      </extLst>
    </bk>
    <bk>
      <extLst>
        <ext uri="{3e2802c4-a4d2-4d8b-9148-e3be6c30e623}">
          <xlrd:rvb i="2859"/>
        </ext>
      </extLst>
    </bk>
    <bk>
      <extLst>
        <ext uri="{3e2802c4-a4d2-4d8b-9148-e3be6c30e623}">
          <xlrd:rvb i="2860"/>
        </ext>
      </extLst>
    </bk>
    <bk>
      <extLst>
        <ext uri="{3e2802c4-a4d2-4d8b-9148-e3be6c30e623}">
          <xlrd:rvb i="2861"/>
        </ext>
      </extLst>
    </bk>
    <bk>
      <extLst>
        <ext uri="{3e2802c4-a4d2-4d8b-9148-e3be6c30e623}">
          <xlrd:rvb i="2862"/>
        </ext>
      </extLst>
    </bk>
    <bk>
      <extLst>
        <ext uri="{3e2802c4-a4d2-4d8b-9148-e3be6c30e623}">
          <xlrd:rvb i="2863"/>
        </ext>
      </extLst>
    </bk>
    <bk>
      <extLst>
        <ext uri="{3e2802c4-a4d2-4d8b-9148-e3be6c30e623}">
          <xlrd:rvb i="2864"/>
        </ext>
      </extLst>
    </bk>
    <bk>
      <extLst>
        <ext uri="{3e2802c4-a4d2-4d8b-9148-e3be6c30e623}">
          <xlrd:rvb i="2865"/>
        </ext>
      </extLst>
    </bk>
    <bk>
      <extLst>
        <ext uri="{3e2802c4-a4d2-4d8b-9148-e3be6c30e623}">
          <xlrd:rvb i="2866"/>
        </ext>
      </extLst>
    </bk>
    <bk>
      <extLst>
        <ext uri="{3e2802c4-a4d2-4d8b-9148-e3be6c30e623}">
          <xlrd:rvb i="2867"/>
        </ext>
      </extLst>
    </bk>
    <bk>
      <extLst>
        <ext uri="{3e2802c4-a4d2-4d8b-9148-e3be6c30e623}">
          <xlrd:rvb i="2868"/>
        </ext>
      </extLst>
    </bk>
    <bk>
      <extLst>
        <ext uri="{3e2802c4-a4d2-4d8b-9148-e3be6c30e623}">
          <xlrd:rvb i="2869"/>
        </ext>
      </extLst>
    </bk>
    <bk>
      <extLst>
        <ext uri="{3e2802c4-a4d2-4d8b-9148-e3be6c30e623}">
          <xlrd:rvb i="2870"/>
        </ext>
      </extLst>
    </bk>
    <bk>
      <extLst>
        <ext uri="{3e2802c4-a4d2-4d8b-9148-e3be6c30e623}">
          <xlrd:rvb i="2871"/>
        </ext>
      </extLst>
    </bk>
    <bk>
      <extLst>
        <ext uri="{3e2802c4-a4d2-4d8b-9148-e3be6c30e623}">
          <xlrd:rvb i="2872"/>
        </ext>
      </extLst>
    </bk>
    <bk>
      <extLst>
        <ext uri="{3e2802c4-a4d2-4d8b-9148-e3be6c30e623}">
          <xlrd:rvb i="2873"/>
        </ext>
      </extLst>
    </bk>
    <bk>
      <extLst>
        <ext uri="{3e2802c4-a4d2-4d8b-9148-e3be6c30e623}">
          <xlrd:rvb i="2874"/>
        </ext>
      </extLst>
    </bk>
    <bk>
      <extLst>
        <ext uri="{3e2802c4-a4d2-4d8b-9148-e3be6c30e623}">
          <xlrd:rvb i="2875"/>
        </ext>
      </extLst>
    </bk>
    <bk>
      <extLst>
        <ext uri="{3e2802c4-a4d2-4d8b-9148-e3be6c30e623}">
          <xlrd:rvb i="2876"/>
        </ext>
      </extLst>
    </bk>
    <bk>
      <extLst>
        <ext uri="{3e2802c4-a4d2-4d8b-9148-e3be6c30e623}">
          <xlrd:rvb i="2877"/>
        </ext>
      </extLst>
    </bk>
    <bk>
      <extLst>
        <ext uri="{3e2802c4-a4d2-4d8b-9148-e3be6c30e623}">
          <xlrd:rvb i="2878"/>
        </ext>
      </extLst>
    </bk>
    <bk>
      <extLst>
        <ext uri="{3e2802c4-a4d2-4d8b-9148-e3be6c30e623}">
          <xlrd:rvb i="2879"/>
        </ext>
      </extLst>
    </bk>
    <bk>
      <extLst>
        <ext uri="{3e2802c4-a4d2-4d8b-9148-e3be6c30e623}">
          <xlrd:rvb i="2880"/>
        </ext>
      </extLst>
    </bk>
    <bk>
      <extLst>
        <ext uri="{3e2802c4-a4d2-4d8b-9148-e3be6c30e623}">
          <xlrd:rvb i="2881"/>
        </ext>
      </extLst>
    </bk>
    <bk>
      <extLst>
        <ext uri="{3e2802c4-a4d2-4d8b-9148-e3be6c30e623}">
          <xlrd:rvb i="2882"/>
        </ext>
      </extLst>
    </bk>
    <bk>
      <extLst>
        <ext uri="{3e2802c4-a4d2-4d8b-9148-e3be6c30e623}">
          <xlrd:rvb i="2883"/>
        </ext>
      </extLst>
    </bk>
    <bk>
      <extLst>
        <ext uri="{3e2802c4-a4d2-4d8b-9148-e3be6c30e623}">
          <xlrd:rvb i="2884"/>
        </ext>
      </extLst>
    </bk>
    <bk>
      <extLst>
        <ext uri="{3e2802c4-a4d2-4d8b-9148-e3be6c30e623}">
          <xlrd:rvb i="2885"/>
        </ext>
      </extLst>
    </bk>
    <bk>
      <extLst>
        <ext uri="{3e2802c4-a4d2-4d8b-9148-e3be6c30e623}">
          <xlrd:rvb i="2886"/>
        </ext>
      </extLst>
    </bk>
    <bk>
      <extLst>
        <ext uri="{3e2802c4-a4d2-4d8b-9148-e3be6c30e623}">
          <xlrd:rvb i="2887"/>
        </ext>
      </extLst>
    </bk>
    <bk>
      <extLst>
        <ext uri="{3e2802c4-a4d2-4d8b-9148-e3be6c30e623}">
          <xlrd:rvb i="2888"/>
        </ext>
      </extLst>
    </bk>
    <bk>
      <extLst>
        <ext uri="{3e2802c4-a4d2-4d8b-9148-e3be6c30e623}">
          <xlrd:rvb i="2889"/>
        </ext>
      </extLst>
    </bk>
    <bk>
      <extLst>
        <ext uri="{3e2802c4-a4d2-4d8b-9148-e3be6c30e623}">
          <xlrd:rvb i="2890"/>
        </ext>
      </extLst>
    </bk>
    <bk>
      <extLst>
        <ext uri="{3e2802c4-a4d2-4d8b-9148-e3be6c30e623}">
          <xlrd:rvb i="2891"/>
        </ext>
      </extLst>
    </bk>
    <bk>
      <extLst>
        <ext uri="{3e2802c4-a4d2-4d8b-9148-e3be6c30e623}">
          <xlrd:rvb i="2892"/>
        </ext>
      </extLst>
    </bk>
    <bk>
      <extLst>
        <ext uri="{3e2802c4-a4d2-4d8b-9148-e3be6c30e623}">
          <xlrd:rvb i="2893"/>
        </ext>
      </extLst>
    </bk>
    <bk>
      <extLst>
        <ext uri="{3e2802c4-a4d2-4d8b-9148-e3be6c30e623}">
          <xlrd:rvb i="2894"/>
        </ext>
      </extLst>
    </bk>
    <bk>
      <extLst>
        <ext uri="{3e2802c4-a4d2-4d8b-9148-e3be6c30e623}">
          <xlrd:rvb i="2895"/>
        </ext>
      </extLst>
    </bk>
    <bk>
      <extLst>
        <ext uri="{3e2802c4-a4d2-4d8b-9148-e3be6c30e623}">
          <xlrd:rvb i="2896"/>
        </ext>
      </extLst>
    </bk>
    <bk>
      <extLst>
        <ext uri="{3e2802c4-a4d2-4d8b-9148-e3be6c30e623}">
          <xlrd:rvb i="2897"/>
        </ext>
      </extLst>
    </bk>
    <bk>
      <extLst>
        <ext uri="{3e2802c4-a4d2-4d8b-9148-e3be6c30e623}">
          <xlrd:rvb i="2898"/>
        </ext>
      </extLst>
    </bk>
    <bk>
      <extLst>
        <ext uri="{3e2802c4-a4d2-4d8b-9148-e3be6c30e623}">
          <xlrd:rvb i="2899"/>
        </ext>
      </extLst>
    </bk>
    <bk>
      <extLst>
        <ext uri="{3e2802c4-a4d2-4d8b-9148-e3be6c30e623}">
          <xlrd:rvb i="2900"/>
        </ext>
      </extLst>
    </bk>
    <bk>
      <extLst>
        <ext uri="{3e2802c4-a4d2-4d8b-9148-e3be6c30e623}">
          <xlrd:rvb i="2901"/>
        </ext>
      </extLst>
    </bk>
    <bk>
      <extLst>
        <ext uri="{3e2802c4-a4d2-4d8b-9148-e3be6c30e623}">
          <xlrd:rvb i="2902"/>
        </ext>
      </extLst>
    </bk>
    <bk>
      <extLst>
        <ext uri="{3e2802c4-a4d2-4d8b-9148-e3be6c30e623}">
          <xlrd:rvb i="2903"/>
        </ext>
      </extLst>
    </bk>
    <bk>
      <extLst>
        <ext uri="{3e2802c4-a4d2-4d8b-9148-e3be6c30e623}">
          <xlrd:rvb i="2904"/>
        </ext>
      </extLst>
    </bk>
    <bk>
      <extLst>
        <ext uri="{3e2802c4-a4d2-4d8b-9148-e3be6c30e623}">
          <xlrd:rvb i="2905"/>
        </ext>
      </extLst>
    </bk>
    <bk>
      <extLst>
        <ext uri="{3e2802c4-a4d2-4d8b-9148-e3be6c30e623}">
          <xlrd:rvb i="2906"/>
        </ext>
      </extLst>
    </bk>
    <bk>
      <extLst>
        <ext uri="{3e2802c4-a4d2-4d8b-9148-e3be6c30e623}">
          <xlrd:rvb i="2907"/>
        </ext>
      </extLst>
    </bk>
    <bk>
      <extLst>
        <ext uri="{3e2802c4-a4d2-4d8b-9148-e3be6c30e623}">
          <xlrd:rvb i="2908"/>
        </ext>
      </extLst>
    </bk>
    <bk>
      <extLst>
        <ext uri="{3e2802c4-a4d2-4d8b-9148-e3be6c30e623}">
          <xlrd:rvb i="2909"/>
        </ext>
      </extLst>
    </bk>
    <bk>
      <extLst>
        <ext uri="{3e2802c4-a4d2-4d8b-9148-e3be6c30e623}">
          <xlrd:rvb i="2910"/>
        </ext>
      </extLst>
    </bk>
    <bk>
      <extLst>
        <ext uri="{3e2802c4-a4d2-4d8b-9148-e3be6c30e623}">
          <xlrd:rvb i="2911"/>
        </ext>
      </extLst>
    </bk>
    <bk>
      <extLst>
        <ext uri="{3e2802c4-a4d2-4d8b-9148-e3be6c30e623}">
          <xlrd:rvb i="2912"/>
        </ext>
      </extLst>
    </bk>
    <bk>
      <extLst>
        <ext uri="{3e2802c4-a4d2-4d8b-9148-e3be6c30e623}">
          <xlrd:rvb i="2913"/>
        </ext>
      </extLst>
    </bk>
    <bk>
      <extLst>
        <ext uri="{3e2802c4-a4d2-4d8b-9148-e3be6c30e623}">
          <xlrd:rvb i="2914"/>
        </ext>
      </extLst>
    </bk>
    <bk>
      <extLst>
        <ext uri="{3e2802c4-a4d2-4d8b-9148-e3be6c30e623}">
          <xlrd:rvb i="2915"/>
        </ext>
      </extLst>
    </bk>
    <bk>
      <extLst>
        <ext uri="{3e2802c4-a4d2-4d8b-9148-e3be6c30e623}">
          <xlrd:rvb i="2916"/>
        </ext>
      </extLst>
    </bk>
    <bk>
      <extLst>
        <ext uri="{3e2802c4-a4d2-4d8b-9148-e3be6c30e623}">
          <xlrd:rvb i="2917"/>
        </ext>
      </extLst>
    </bk>
    <bk>
      <extLst>
        <ext uri="{3e2802c4-a4d2-4d8b-9148-e3be6c30e623}">
          <xlrd:rvb i="2918"/>
        </ext>
      </extLst>
    </bk>
    <bk>
      <extLst>
        <ext uri="{3e2802c4-a4d2-4d8b-9148-e3be6c30e623}">
          <xlrd:rvb i="2919"/>
        </ext>
      </extLst>
    </bk>
    <bk>
      <extLst>
        <ext uri="{3e2802c4-a4d2-4d8b-9148-e3be6c30e623}">
          <xlrd:rvb i="2920"/>
        </ext>
      </extLst>
    </bk>
    <bk>
      <extLst>
        <ext uri="{3e2802c4-a4d2-4d8b-9148-e3be6c30e623}">
          <xlrd:rvb i="2921"/>
        </ext>
      </extLst>
    </bk>
    <bk>
      <extLst>
        <ext uri="{3e2802c4-a4d2-4d8b-9148-e3be6c30e623}">
          <xlrd:rvb i="2922"/>
        </ext>
      </extLst>
    </bk>
    <bk>
      <extLst>
        <ext uri="{3e2802c4-a4d2-4d8b-9148-e3be6c30e623}">
          <xlrd:rvb i="2923"/>
        </ext>
      </extLst>
    </bk>
    <bk>
      <extLst>
        <ext uri="{3e2802c4-a4d2-4d8b-9148-e3be6c30e623}">
          <xlrd:rvb i="2924"/>
        </ext>
      </extLst>
    </bk>
    <bk>
      <extLst>
        <ext uri="{3e2802c4-a4d2-4d8b-9148-e3be6c30e623}">
          <xlrd:rvb i="2925"/>
        </ext>
      </extLst>
    </bk>
    <bk>
      <extLst>
        <ext uri="{3e2802c4-a4d2-4d8b-9148-e3be6c30e623}">
          <xlrd:rvb i="2926"/>
        </ext>
      </extLst>
    </bk>
    <bk>
      <extLst>
        <ext uri="{3e2802c4-a4d2-4d8b-9148-e3be6c30e623}">
          <xlrd:rvb i="2927"/>
        </ext>
      </extLst>
    </bk>
    <bk>
      <extLst>
        <ext uri="{3e2802c4-a4d2-4d8b-9148-e3be6c30e623}">
          <xlrd:rvb i="2928"/>
        </ext>
      </extLst>
    </bk>
    <bk>
      <extLst>
        <ext uri="{3e2802c4-a4d2-4d8b-9148-e3be6c30e623}">
          <xlrd:rvb i="2929"/>
        </ext>
      </extLst>
    </bk>
    <bk>
      <extLst>
        <ext uri="{3e2802c4-a4d2-4d8b-9148-e3be6c30e623}">
          <xlrd:rvb i="2930"/>
        </ext>
      </extLst>
    </bk>
    <bk>
      <extLst>
        <ext uri="{3e2802c4-a4d2-4d8b-9148-e3be6c30e623}">
          <xlrd:rvb i="2931"/>
        </ext>
      </extLst>
    </bk>
    <bk>
      <extLst>
        <ext uri="{3e2802c4-a4d2-4d8b-9148-e3be6c30e623}">
          <xlrd:rvb i="2932"/>
        </ext>
      </extLst>
    </bk>
    <bk>
      <extLst>
        <ext uri="{3e2802c4-a4d2-4d8b-9148-e3be6c30e623}">
          <xlrd:rvb i="2933"/>
        </ext>
      </extLst>
    </bk>
    <bk>
      <extLst>
        <ext uri="{3e2802c4-a4d2-4d8b-9148-e3be6c30e623}">
          <xlrd:rvb i="2934"/>
        </ext>
      </extLst>
    </bk>
    <bk>
      <extLst>
        <ext uri="{3e2802c4-a4d2-4d8b-9148-e3be6c30e623}">
          <xlrd:rvb i="2935"/>
        </ext>
      </extLst>
    </bk>
    <bk>
      <extLst>
        <ext uri="{3e2802c4-a4d2-4d8b-9148-e3be6c30e623}">
          <xlrd:rvb i="2936"/>
        </ext>
      </extLst>
    </bk>
    <bk>
      <extLst>
        <ext uri="{3e2802c4-a4d2-4d8b-9148-e3be6c30e623}">
          <xlrd:rvb i="2937"/>
        </ext>
      </extLst>
    </bk>
    <bk>
      <extLst>
        <ext uri="{3e2802c4-a4d2-4d8b-9148-e3be6c30e623}">
          <xlrd:rvb i="2938"/>
        </ext>
      </extLst>
    </bk>
    <bk>
      <extLst>
        <ext uri="{3e2802c4-a4d2-4d8b-9148-e3be6c30e623}">
          <xlrd:rvb i="2939"/>
        </ext>
      </extLst>
    </bk>
    <bk>
      <extLst>
        <ext uri="{3e2802c4-a4d2-4d8b-9148-e3be6c30e623}">
          <xlrd:rvb i="2940"/>
        </ext>
      </extLst>
    </bk>
    <bk>
      <extLst>
        <ext uri="{3e2802c4-a4d2-4d8b-9148-e3be6c30e623}">
          <xlrd:rvb i="2941"/>
        </ext>
      </extLst>
    </bk>
    <bk>
      <extLst>
        <ext uri="{3e2802c4-a4d2-4d8b-9148-e3be6c30e623}">
          <xlrd:rvb i="2942"/>
        </ext>
      </extLst>
    </bk>
    <bk>
      <extLst>
        <ext uri="{3e2802c4-a4d2-4d8b-9148-e3be6c30e623}">
          <xlrd:rvb i="2943"/>
        </ext>
      </extLst>
    </bk>
    <bk>
      <extLst>
        <ext uri="{3e2802c4-a4d2-4d8b-9148-e3be6c30e623}">
          <xlrd:rvb i="2944"/>
        </ext>
      </extLst>
    </bk>
    <bk>
      <extLst>
        <ext uri="{3e2802c4-a4d2-4d8b-9148-e3be6c30e623}">
          <xlrd:rvb i="2945"/>
        </ext>
      </extLst>
    </bk>
    <bk>
      <extLst>
        <ext uri="{3e2802c4-a4d2-4d8b-9148-e3be6c30e623}">
          <xlrd:rvb i="2946"/>
        </ext>
      </extLst>
    </bk>
    <bk>
      <extLst>
        <ext uri="{3e2802c4-a4d2-4d8b-9148-e3be6c30e623}">
          <xlrd:rvb i="2947"/>
        </ext>
      </extLst>
    </bk>
    <bk>
      <extLst>
        <ext uri="{3e2802c4-a4d2-4d8b-9148-e3be6c30e623}">
          <xlrd:rvb i="2948"/>
        </ext>
      </extLst>
    </bk>
    <bk>
      <extLst>
        <ext uri="{3e2802c4-a4d2-4d8b-9148-e3be6c30e623}">
          <xlrd:rvb i="2949"/>
        </ext>
      </extLst>
    </bk>
    <bk>
      <extLst>
        <ext uri="{3e2802c4-a4d2-4d8b-9148-e3be6c30e623}">
          <xlrd:rvb i="2950"/>
        </ext>
      </extLst>
    </bk>
    <bk>
      <extLst>
        <ext uri="{3e2802c4-a4d2-4d8b-9148-e3be6c30e623}">
          <xlrd:rvb i="2951"/>
        </ext>
      </extLst>
    </bk>
    <bk>
      <extLst>
        <ext uri="{3e2802c4-a4d2-4d8b-9148-e3be6c30e623}">
          <xlrd:rvb i="2952"/>
        </ext>
      </extLst>
    </bk>
    <bk>
      <extLst>
        <ext uri="{3e2802c4-a4d2-4d8b-9148-e3be6c30e623}">
          <xlrd:rvb i="2953"/>
        </ext>
      </extLst>
    </bk>
    <bk>
      <extLst>
        <ext uri="{3e2802c4-a4d2-4d8b-9148-e3be6c30e623}">
          <xlrd:rvb i="2954"/>
        </ext>
      </extLst>
    </bk>
    <bk>
      <extLst>
        <ext uri="{3e2802c4-a4d2-4d8b-9148-e3be6c30e623}">
          <xlrd:rvb i="2955"/>
        </ext>
      </extLst>
    </bk>
    <bk>
      <extLst>
        <ext uri="{3e2802c4-a4d2-4d8b-9148-e3be6c30e623}">
          <xlrd:rvb i="2956"/>
        </ext>
      </extLst>
    </bk>
    <bk>
      <extLst>
        <ext uri="{3e2802c4-a4d2-4d8b-9148-e3be6c30e623}">
          <xlrd:rvb i="2957"/>
        </ext>
      </extLst>
    </bk>
    <bk>
      <extLst>
        <ext uri="{3e2802c4-a4d2-4d8b-9148-e3be6c30e623}">
          <xlrd:rvb i="2958"/>
        </ext>
      </extLst>
    </bk>
    <bk>
      <extLst>
        <ext uri="{3e2802c4-a4d2-4d8b-9148-e3be6c30e623}">
          <xlrd:rvb i="2959"/>
        </ext>
      </extLst>
    </bk>
    <bk>
      <extLst>
        <ext uri="{3e2802c4-a4d2-4d8b-9148-e3be6c30e623}">
          <xlrd:rvb i="2960"/>
        </ext>
      </extLst>
    </bk>
    <bk>
      <extLst>
        <ext uri="{3e2802c4-a4d2-4d8b-9148-e3be6c30e623}">
          <xlrd:rvb i="2961"/>
        </ext>
      </extLst>
    </bk>
    <bk>
      <extLst>
        <ext uri="{3e2802c4-a4d2-4d8b-9148-e3be6c30e623}">
          <xlrd:rvb i="2962"/>
        </ext>
      </extLst>
    </bk>
    <bk>
      <extLst>
        <ext uri="{3e2802c4-a4d2-4d8b-9148-e3be6c30e623}">
          <xlrd:rvb i="2963"/>
        </ext>
      </extLst>
    </bk>
    <bk>
      <extLst>
        <ext uri="{3e2802c4-a4d2-4d8b-9148-e3be6c30e623}">
          <xlrd:rvb i="2964"/>
        </ext>
      </extLst>
    </bk>
    <bk>
      <extLst>
        <ext uri="{3e2802c4-a4d2-4d8b-9148-e3be6c30e623}">
          <xlrd:rvb i="2965"/>
        </ext>
      </extLst>
    </bk>
    <bk>
      <extLst>
        <ext uri="{3e2802c4-a4d2-4d8b-9148-e3be6c30e623}">
          <xlrd:rvb i="2966"/>
        </ext>
      </extLst>
    </bk>
    <bk>
      <extLst>
        <ext uri="{3e2802c4-a4d2-4d8b-9148-e3be6c30e623}">
          <xlrd:rvb i="2967"/>
        </ext>
      </extLst>
    </bk>
    <bk>
      <extLst>
        <ext uri="{3e2802c4-a4d2-4d8b-9148-e3be6c30e623}">
          <xlrd:rvb i="2968"/>
        </ext>
      </extLst>
    </bk>
    <bk>
      <extLst>
        <ext uri="{3e2802c4-a4d2-4d8b-9148-e3be6c30e623}">
          <xlrd:rvb i="2969"/>
        </ext>
      </extLst>
    </bk>
    <bk>
      <extLst>
        <ext uri="{3e2802c4-a4d2-4d8b-9148-e3be6c30e623}">
          <xlrd:rvb i="2970"/>
        </ext>
      </extLst>
    </bk>
    <bk>
      <extLst>
        <ext uri="{3e2802c4-a4d2-4d8b-9148-e3be6c30e623}">
          <xlrd:rvb i="2971"/>
        </ext>
      </extLst>
    </bk>
    <bk>
      <extLst>
        <ext uri="{3e2802c4-a4d2-4d8b-9148-e3be6c30e623}">
          <xlrd:rvb i="2972"/>
        </ext>
      </extLst>
    </bk>
    <bk>
      <extLst>
        <ext uri="{3e2802c4-a4d2-4d8b-9148-e3be6c30e623}">
          <xlrd:rvb i="2973"/>
        </ext>
      </extLst>
    </bk>
    <bk>
      <extLst>
        <ext uri="{3e2802c4-a4d2-4d8b-9148-e3be6c30e623}">
          <xlrd:rvb i="2974"/>
        </ext>
      </extLst>
    </bk>
    <bk>
      <extLst>
        <ext uri="{3e2802c4-a4d2-4d8b-9148-e3be6c30e623}">
          <xlrd:rvb i="2975"/>
        </ext>
      </extLst>
    </bk>
    <bk>
      <extLst>
        <ext uri="{3e2802c4-a4d2-4d8b-9148-e3be6c30e623}">
          <xlrd:rvb i="2976"/>
        </ext>
      </extLst>
    </bk>
    <bk>
      <extLst>
        <ext uri="{3e2802c4-a4d2-4d8b-9148-e3be6c30e623}">
          <xlrd:rvb i="2977"/>
        </ext>
      </extLst>
    </bk>
    <bk>
      <extLst>
        <ext uri="{3e2802c4-a4d2-4d8b-9148-e3be6c30e623}">
          <xlrd:rvb i="2978"/>
        </ext>
      </extLst>
    </bk>
    <bk>
      <extLst>
        <ext uri="{3e2802c4-a4d2-4d8b-9148-e3be6c30e623}">
          <xlrd:rvb i="2979"/>
        </ext>
      </extLst>
    </bk>
    <bk>
      <extLst>
        <ext uri="{3e2802c4-a4d2-4d8b-9148-e3be6c30e623}">
          <xlrd:rvb i="2980"/>
        </ext>
      </extLst>
    </bk>
    <bk>
      <extLst>
        <ext uri="{3e2802c4-a4d2-4d8b-9148-e3be6c30e623}">
          <xlrd:rvb i="2981"/>
        </ext>
      </extLst>
    </bk>
    <bk>
      <extLst>
        <ext uri="{3e2802c4-a4d2-4d8b-9148-e3be6c30e623}">
          <xlrd:rvb i="2982"/>
        </ext>
      </extLst>
    </bk>
    <bk>
      <extLst>
        <ext uri="{3e2802c4-a4d2-4d8b-9148-e3be6c30e623}">
          <xlrd:rvb i="2983"/>
        </ext>
      </extLst>
    </bk>
    <bk>
      <extLst>
        <ext uri="{3e2802c4-a4d2-4d8b-9148-e3be6c30e623}">
          <xlrd:rvb i="2984"/>
        </ext>
      </extLst>
    </bk>
    <bk>
      <extLst>
        <ext uri="{3e2802c4-a4d2-4d8b-9148-e3be6c30e623}">
          <xlrd:rvb i="2985"/>
        </ext>
      </extLst>
    </bk>
    <bk>
      <extLst>
        <ext uri="{3e2802c4-a4d2-4d8b-9148-e3be6c30e623}">
          <xlrd:rvb i="2986"/>
        </ext>
      </extLst>
    </bk>
    <bk>
      <extLst>
        <ext uri="{3e2802c4-a4d2-4d8b-9148-e3be6c30e623}">
          <xlrd:rvb i="2987"/>
        </ext>
      </extLst>
    </bk>
    <bk>
      <extLst>
        <ext uri="{3e2802c4-a4d2-4d8b-9148-e3be6c30e623}">
          <xlrd:rvb i="2988"/>
        </ext>
      </extLst>
    </bk>
    <bk>
      <extLst>
        <ext uri="{3e2802c4-a4d2-4d8b-9148-e3be6c30e623}">
          <xlrd:rvb i="2989"/>
        </ext>
      </extLst>
    </bk>
    <bk>
      <extLst>
        <ext uri="{3e2802c4-a4d2-4d8b-9148-e3be6c30e623}">
          <xlrd:rvb i="2990"/>
        </ext>
      </extLst>
    </bk>
    <bk>
      <extLst>
        <ext uri="{3e2802c4-a4d2-4d8b-9148-e3be6c30e623}">
          <xlrd:rvb i="2991"/>
        </ext>
      </extLst>
    </bk>
    <bk>
      <extLst>
        <ext uri="{3e2802c4-a4d2-4d8b-9148-e3be6c30e623}">
          <xlrd:rvb i="2992"/>
        </ext>
      </extLst>
    </bk>
    <bk>
      <extLst>
        <ext uri="{3e2802c4-a4d2-4d8b-9148-e3be6c30e623}">
          <xlrd:rvb i="2993"/>
        </ext>
      </extLst>
    </bk>
    <bk>
      <extLst>
        <ext uri="{3e2802c4-a4d2-4d8b-9148-e3be6c30e623}">
          <xlrd:rvb i="2994"/>
        </ext>
      </extLst>
    </bk>
    <bk>
      <extLst>
        <ext uri="{3e2802c4-a4d2-4d8b-9148-e3be6c30e623}">
          <xlrd:rvb i="2995"/>
        </ext>
      </extLst>
    </bk>
    <bk>
      <extLst>
        <ext uri="{3e2802c4-a4d2-4d8b-9148-e3be6c30e623}">
          <xlrd:rvb i="2996"/>
        </ext>
      </extLst>
    </bk>
    <bk>
      <extLst>
        <ext uri="{3e2802c4-a4d2-4d8b-9148-e3be6c30e623}">
          <xlrd:rvb i="2997"/>
        </ext>
      </extLst>
    </bk>
    <bk>
      <extLst>
        <ext uri="{3e2802c4-a4d2-4d8b-9148-e3be6c30e623}">
          <xlrd:rvb i="2998"/>
        </ext>
      </extLst>
    </bk>
    <bk>
      <extLst>
        <ext uri="{3e2802c4-a4d2-4d8b-9148-e3be6c30e623}">
          <xlrd:rvb i="2999"/>
        </ext>
      </extLst>
    </bk>
    <bk>
      <extLst>
        <ext uri="{3e2802c4-a4d2-4d8b-9148-e3be6c30e623}">
          <xlrd:rvb i="3000"/>
        </ext>
      </extLst>
    </bk>
    <bk>
      <extLst>
        <ext uri="{3e2802c4-a4d2-4d8b-9148-e3be6c30e623}">
          <xlrd:rvb i="3001"/>
        </ext>
      </extLst>
    </bk>
    <bk>
      <extLst>
        <ext uri="{3e2802c4-a4d2-4d8b-9148-e3be6c30e623}">
          <xlrd:rvb i="3002"/>
        </ext>
      </extLst>
    </bk>
    <bk>
      <extLst>
        <ext uri="{3e2802c4-a4d2-4d8b-9148-e3be6c30e623}">
          <xlrd:rvb i="3003"/>
        </ext>
      </extLst>
    </bk>
    <bk>
      <extLst>
        <ext uri="{3e2802c4-a4d2-4d8b-9148-e3be6c30e623}">
          <xlrd:rvb i="3004"/>
        </ext>
      </extLst>
    </bk>
    <bk>
      <extLst>
        <ext uri="{3e2802c4-a4d2-4d8b-9148-e3be6c30e623}">
          <xlrd:rvb i="3005"/>
        </ext>
      </extLst>
    </bk>
    <bk>
      <extLst>
        <ext uri="{3e2802c4-a4d2-4d8b-9148-e3be6c30e623}">
          <xlrd:rvb i="3006"/>
        </ext>
      </extLst>
    </bk>
    <bk>
      <extLst>
        <ext uri="{3e2802c4-a4d2-4d8b-9148-e3be6c30e623}">
          <xlrd:rvb i="3007"/>
        </ext>
      </extLst>
    </bk>
    <bk>
      <extLst>
        <ext uri="{3e2802c4-a4d2-4d8b-9148-e3be6c30e623}">
          <xlrd:rvb i="3008"/>
        </ext>
      </extLst>
    </bk>
    <bk>
      <extLst>
        <ext uri="{3e2802c4-a4d2-4d8b-9148-e3be6c30e623}">
          <xlrd:rvb i="3009"/>
        </ext>
      </extLst>
    </bk>
    <bk>
      <extLst>
        <ext uri="{3e2802c4-a4d2-4d8b-9148-e3be6c30e623}">
          <xlrd:rvb i="3010"/>
        </ext>
      </extLst>
    </bk>
    <bk>
      <extLst>
        <ext uri="{3e2802c4-a4d2-4d8b-9148-e3be6c30e623}">
          <xlrd:rvb i="3011"/>
        </ext>
      </extLst>
    </bk>
    <bk>
      <extLst>
        <ext uri="{3e2802c4-a4d2-4d8b-9148-e3be6c30e623}">
          <xlrd:rvb i="3012"/>
        </ext>
      </extLst>
    </bk>
    <bk>
      <extLst>
        <ext uri="{3e2802c4-a4d2-4d8b-9148-e3be6c30e623}">
          <xlrd:rvb i="3013"/>
        </ext>
      </extLst>
    </bk>
    <bk>
      <extLst>
        <ext uri="{3e2802c4-a4d2-4d8b-9148-e3be6c30e623}">
          <xlrd:rvb i="3014"/>
        </ext>
      </extLst>
    </bk>
    <bk>
      <extLst>
        <ext uri="{3e2802c4-a4d2-4d8b-9148-e3be6c30e623}">
          <xlrd:rvb i="3015"/>
        </ext>
      </extLst>
    </bk>
    <bk>
      <extLst>
        <ext uri="{3e2802c4-a4d2-4d8b-9148-e3be6c30e623}">
          <xlrd:rvb i="3016"/>
        </ext>
      </extLst>
    </bk>
    <bk>
      <extLst>
        <ext uri="{3e2802c4-a4d2-4d8b-9148-e3be6c30e623}">
          <xlrd:rvb i="3017"/>
        </ext>
      </extLst>
    </bk>
    <bk>
      <extLst>
        <ext uri="{3e2802c4-a4d2-4d8b-9148-e3be6c30e623}">
          <xlrd:rvb i="3018"/>
        </ext>
      </extLst>
    </bk>
    <bk>
      <extLst>
        <ext uri="{3e2802c4-a4d2-4d8b-9148-e3be6c30e623}">
          <xlrd:rvb i="3019"/>
        </ext>
      </extLst>
    </bk>
    <bk>
      <extLst>
        <ext uri="{3e2802c4-a4d2-4d8b-9148-e3be6c30e623}">
          <xlrd:rvb i="3020"/>
        </ext>
      </extLst>
    </bk>
    <bk>
      <extLst>
        <ext uri="{3e2802c4-a4d2-4d8b-9148-e3be6c30e623}">
          <xlrd:rvb i="3021"/>
        </ext>
      </extLst>
    </bk>
    <bk>
      <extLst>
        <ext uri="{3e2802c4-a4d2-4d8b-9148-e3be6c30e623}">
          <xlrd:rvb i="3022"/>
        </ext>
      </extLst>
    </bk>
    <bk>
      <extLst>
        <ext uri="{3e2802c4-a4d2-4d8b-9148-e3be6c30e623}">
          <xlrd:rvb i="3023"/>
        </ext>
      </extLst>
    </bk>
    <bk>
      <extLst>
        <ext uri="{3e2802c4-a4d2-4d8b-9148-e3be6c30e623}">
          <xlrd:rvb i="3024"/>
        </ext>
      </extLst>
    </bk>
    <bk>
      <extLst>
        <ext uri="{3e2802c4-a4d2-4d8b-9148-e3be6c30e623}">
          <xlrd:rvb i="3025"/>
        </ext>
      </extLst>
    </bk>
    <bk>
      <extLst>
        <ext uri="{3e2802c4-a4d2-4d8b-9148-e3be6c30e623}">
          <xlrd:rvb i="3026"/>
        </ext>
      </extLst>
    </bk>
    <bk>
      <extLst>
        <ext uri="{3e2802c4-a4d2-4d8b-9148-e3be6c30e623}">
          <xlrd:rvb i="3027"/>
        </ext>
      </extLst>
    </bk>
    <bk>
      <extLst>
        <ext uri="{3e2802c4-a4d2-4d8b-9148-e3be6c30e623}">
          <xlrd:rvb i="3028"/>
        </ext>
      </extLst>
    </bk>
    <bk>
      <extLst>
        <ext uri="{3e2802c4-a4d2-4d8b-9148-e3be6c30e623}">
          <xlrd:rvb i="3029"/>
        </ext>
      </extLst>
    </bk>
    <bk>
      <extLst>
        <ext uri="{3e2802c4-a4d2-4d8b-9148-e3be6c30e623}">
          <xlrd:rvb i="3030"/>
        </ext>
      </extLst>
    </bk>
    <bk>
      <extLst>
        <ext uri="{3e2802c4-a4d2-4d8b-9148-e3be6c30e623}">
          <xlrd:rvb i="3031"/>
        </ext>
      </extLst>
    </bk>
    <bk>
      <extLst>
        <ext uri="{3e2802c4-a4d2-4d8b-9148-e3be6c30e623}">
          <xlrd:rvb i="3032"/>
        </ext>
      </extLst>
    </bk>
    <bk>
      <extLst>
        <ext uri="{3e2802c4-a4d2-4d8b-9148-e3be6c30e623}">
          <xlrd:rvb i="3033"/>
        </ext>
      </extLst>
    </bk>
    <bk>
      <extLst>
        <ext uri="{3e2802c4-a4d2-4d8b-9148-e3be6c30e623}">
          <xlrd:rvb i="3034"/>
        </ext>
      </extLst>
    </bk>
    <bk>
      <extLst>
        <ext uri="{3e2802c4-a4d2-4d8b-9148-e3be6c30e623}">
          <xlrd:rvb i="3035"/>
        </ext>
      </extLst>
    </bk>
    <bk>
      <extLst>
        <ext uri="{3e2802c4-a4d2-4d8b-9148-e3be6c30e623}">
          <xlrd:rvb i="3036"/>
        </ext>
      </extLst>
    </bk>
    <bk>
      <extLst>
        <ext uri="{3e2802c4-a4d2-4d8b-9148-e3be6c30e623}">
          <xlrd:rvb i="3037"/>
        </ext>
      </extLst>
    </bk>
    <bk>
      <extLst>
        <ext uri="{3e2802c4-a4d2-4d8b-9148-e3be6c30e623}">
          <xlrd:rvb i="3038"/>
        </ext>
      </extLst>
    </bk>
    <bk>
      <extLst>
        <ext uri="{3e2802c4-a4d2-4d8b-9148-e3be6c30e623}">
          <xlrd:rvb i="3039"/>
        </ext>
      </extLst>
    </bk>
    <bk>
      <extLst>
        <ext uri="{3e2802c4-a4d2-4d8b-9148-e3be6c30e623}">
          <xlrd:rvb i="3040"/>
        </ext>
      </extLst>
    </bk>
    <bk>
      <extLst>
        <ext uri="{3e2802c4-a4d2-4d8b-9148-e3be6c30e623}">
          <xlrd:rvb i="3041"/>
        </ext>
      </extLst>
    </bk>
    <bk>
      <extLst>
        <ext uri="{3e2802c4-a4d2-4d8b-9148-e3be6c30e623}">
          <xlrd:rvb i="3042"/>
        </ext>
      </extLst>
    </bk>
    <bk>
      <extLst>
        <ext uri="{3e2802c4-a4d2-4d8b-9148-e3be6c30e623}">
          <xlrd:rvb i="3043"/>
        </ext>
      </extLst>
    </bk>
    <bk>
      <extLst>
        <ext uri="{3e2802c4-a4d2-4d8b-9148-e3be6c30e623}">
          <xlrd:rvb i="3044"/>
        </ext>
      </extLst>
    </bk>
    <bk>
      <extLst>
        <ext uri="{3e2802c4-a4d2-4d8b-9148-e3be6c30e623}">
          <xlrd:rvb i="3045"/>
        </ext>
      </extLst>
    </bk>
    <bk>
      <extLst>
        <ext uri="{3e2802c4-a4d2-4d8b-9148-e3be6c30e623}">
          <xlrd:rvb i="3046"/>
        </ext>
      </extLst>
    </bk>
    <bk>
      <extLst>
        <ext uri="{3e2802c4-a4d2-4d8b-9148-e3be6c30e623}">
          <xlrd:rvb i="3047"/>
        </ext>
      </extLst>
    </bk>
    <bk>
      <extLst>
        <ext uri="{3e2802c4-a4d2-4d8b-9148-e3be6c30e623}">
          <xlrd:rvb i="3048"/>
        </ext>
      </extLst>
    </bk>
    <bk>
      <extLst>
        <ext uri="{3e2802c4-a4d2-4d8b-9148-e3be6c30e623}">
          <xlrd:rvb i="3049"/>
        </ext>
      </extLst>
    </bk>
    <bk>
      <extLst>
        <ext uri="{3e2802c4-a4d2-4d8b-9148-e3be6c30e623}">
          <xlrd:rvb i="3050"/>
        </ext>
      </extLst>
    </bk>
    <bk>
      <extLst>
        <ext uri="{3e2802c4-a4d2-4d8b-9148-e3be6c30e623}">
          <xlrd:rvb i="3051"/>
        </ext>
      </extLst>
    </bk>
    <bk>
      <extLst>
        <ext uri="{3e2802c4-a4d2-4d8b-9148-e3be6c30e623}">
          <xlrd:rvb i="3052"/>
        </ext>
      </extLst>
    </bk>
    <bk>
      <extLst>
        <ext uri="{3e2802c4-a4d2-4d8b-9148-e3be6c30e623}">
          <xlrd:rvb i="3053"/>
        </ext>
      </extLst>
    </bk>
    <bk>
      <extLst>
        <ext uri="{3e2802c4-a4d2-4d8b-9148-e3be6c30e623}">
          <xlrd:rvb i="3054"/>
        </ext>
      </extLst>
    </bk>
    <bk>
      <extLst>
        <ext uri="{3e2802c4-a4d2-4d8b-9148-e3be6c30e623}">
          <xlrd:rvb i="3055"/>
        </ext>
      </extLst>
    </bk>
    <bk>
      <extLst>
        <ext uri="{3e2802c4-a4d2-4d8b-9148-e3be6c30e623}">
          <xlrd:rvb i="3056"/>
        </ext>
      </extLst>
    </bk>
    <bk>
      <extLst>
        <ext uri="{3e2802c4-a4d2-4d8b-9148-e3be6c30e623}">
          <xlrd:rvb i="3057"/>
        </ext>
      </extLst>
    </bk>
    <bk>
      <extLst>
        <ext uri="{3e2802c4-a4d2-4d8b-9148-e3be6c30e623}">
          <xlrd:rvb i="3058"/>
        </ext>
      </extLst>
    </bk>
    <bk>
      <extLst>
        <ext uri="{3e2802c4-a4d2-4d8b-9148-e3be6c30e623}">
          <xlrd:rvb i="3059"/>
        </ext>
      </extLst>
    </bk>
    <bk>
      <extLst>
        <ext uri="{3e2802c4-a4d2-4d8b-9148-e3be6c30e623}">
          <xlrd:rvb i="3060"/>
        </ext>
      </extLst>
    </bk>
    <bk>
      <extLst>
        <ext uri="{3e2802c4-a4d2-4d8b-9148-e3be6c30e623}">
          <xlrd:rvb i="3061"/>
        </ext>
      </extLst>
    </bk>
    <bk>
      <extLst>
        <ext uri="{3e2802c4-a4d2-4d8b-9148-e3be6c30e623}">
          <xlrd:rvb i="3062"/>
        </ext>
      </extLst>
    </bk>
    <bk>
      <extLst>
        <ext uri="{3e2802c4-a4d2-4d8b-9148-e3be6c30e623}">
          <xlrd:rvb i="3063"/>
        </ext>
      </extLst>
    </bk>
    <bk>
      <extLst>
        <ext uri="{3e2802c4-a4d2-4d8b-9148-e3be6c30e623}">
          <xlrd:rvb i="3064"/>
        </ext>
      </extLst>
    </bk>
    <bk>
      <extLst>
        <ext uri="{3e2802c4-a4d2-4d8b-9148-e3be6c30e623}">
          <xlrd:rvb i="3065"/>
        </ext>
      </extLst>
    </bk>
    <bk>
      <extLst>
        <ext uri="{3e2802c4-a4d2-4d8b-9148-e3be6c30e623}">
          <xlrd:rvb i="3066"/>
        </ext>
      </extLst>
    </bk>
    <bk>
      <extLst>
        <ext uri="{3e2802c4-a4d2-4d8b-9148-e3be6c30e623}">
          <xlrd:rvb i="3067"/>
        </ext>
      </extLst>
    </bk>
    <bk>
      <extLst>
        <ext uri="{3e2802c4-a4d2-4d8b-9148-e3be6c30e623}">
          <xlrd:rvb i="3068"/>
        </ext>
      </extLst>
    </bk>
    <bk>
      <extLst>
        <ext uri="{3e2802c4-a4d2-4d8b-9148-e3be6c30e623}">
          <xlrd:rvb i="3069"/>
        </ext>
      </extLst>
    </bk>
    <bk>
      <extLst>
        <ext uri="{3e2802c4-a4d2-4d8b-9148-e3be6c30e623}">
          <xlrd:rvb i="3070"/>
        </ext>
      </extLst>
    </bk>
    <bk>
      <extLst>
        <ext uri="{3e2802c4-a4d2-4d8b-9148-e3be6c30e623}">
          <xlrd:rvb i="3071"/>
        </ext>
      </extLst>
    </bk>
    <bk>
      <extLst>
        <ext uri="{3e2802c4-a4d2-4d8b-9148-e3be6c30e623}">
          <xlrd:rvb i="3072"/>
        </ext>
      </extLst>
    </bk>
    <bk>
      <extLst>
        <ext uri="{3e2802c4-a4d2-4d8b-9148-e3be6c30e623}">
          <xlrd:rvb i="3073"/>
        </ext>
      </extLst>
    </bk>
    <bk>
      <extLst>
        <ext uri="{3e2802c4-a4d2-4d8b-9148-e3be6c30e623}">
          <xlrd:rvb i="3074"/>
        </ext>
      </extLst>
    </bk>
    <bk>
      <extLst>
        <ext uri="{3e2802c4-a4d2-4d8b-9148-e3be6c30e623}">
          <xlrd:rvb i="3075"/>
        </ext>
      </extLst>
    </bk>
    <bk>
      <extLst>
        <ext uri="{3e2802c4-a4d2-4d8b-9148-e3be6c30e623}">
          <xlrd:rvb i="3076"/>
        </ext>
      </extLst>
    </bk>
    <bk>
      <extLst>
        <ext uri="{3e2802c4-a4d2-4d8b-9148-e3be6c30e623}">
          <xlrd:rvb i="3077"/>
        </ext>
      </extLst>
    </bk>
    <bk>
      <extLst>
        <ext uri="{3e2802c4-a4d2-4d8b-9148-e3be6c30e623}">
          <xlrd:rvb i="3078"/>
        </ext>
      </extLst>
    </bk>
    <bk>
      <extLst>
        <ext uri="{3e2802c4-a4d2-4d8b-9148-e3be6c30e623}">
          <xlrd:rvb i="3079"/>
        </ext>
      </extLst>
    </bk>
    <bk>
      <extLst>
        <ext uri="{3e2802c4-a4d2-4d8b-9148-e3be6c30e623}">
          <xlrd:rvb i="3080"/>
        </ext>
      </extLst>
    </bk>
    <bk>
      <extLst>
        <ext uri="{3e2802c4-a4d2-4d8b-9148-e3be6c30e623}">
          <xlrd:rvb i="3081"/>
        </ext>
      </extLst>
    </bk>
    <bk>
      <extLst>
        <ext uri="{3e2802c4-a4d2-4d8b-9148-e3be6c30e623}">
          <xlrd:rvb i="3082"/>
        </ext>
      </extLst>
    </bk>
    <bk>
      <extLst>
        <ext uri="{3e2802c4-a4d2-4d8b-9148-e3be6c30e623}">
          <xlrd:rvb i="3083"/>
        </ext>
      </extLst>
    </bk>
    <bk>
      <extLst>
        <ext uri="{3e2802c4-a4d2-4d8b-9148-e3be6c30e623}">
          <xlrd:rvb i="3084"/>
        </ext>
      </extLst>
    </bk>
    <bk>
      <extLst>
        <ext uri="{3e2802c4-a4d2-4d8b-9148-e3be6c30e623}">
          <xlrd:rvb i="3085"/>
        </ext>
      </extLst>
    </bk>
    <bk>
      <extLst>
        <ext uri="{3e2802c4-a4d2-4d8b-9148-e3be6c30e623}">
          <xlrd:rvb i="3086"/>
        </ext>
      </extLst>
    </bk>
    <bk>
      <extLst>
        <ext uri="{3e2802c4-a4d2-4d8b-9148-e3be6c30e623}">
          <xlrd:rvb i="3087"/>
        </ext>
      </extLst>
    </bk>
    <bk>
      <extLst>
        <ext uri="{3e2802c4-a4d2-4d8b-9148-e3be6c30e623}">
          <xlrd:rvb i="3088"/>
        </ext>
      </extLst>
    </bk>
    <bk>
      <extLst>
        <ext uri="{3e2802c4-a4d2-4d8b-9148-e3be6c30e623}">
          <xlrd:rvb i="3089"/>
        </ext>
      </extLst>
    </bk>
    <bk>
      <extLst>
        <ext uri="{3e2802c4-a4d2-4d8b-9148-e3be6c30e623}">
          <xlrd:rvb i="3090"/>
        </ext>
      </extLst>
    </bk>
    <bk>
      <extLst>
        <ext uri="{3e2802c4-a4d2-4d8b-9148-e3be6c30e623}">
          <xlrd:rvb i="3091"/>
        </ext>
      </extLst>
    </bk>
    <bk>
      <extLst>
        <ext uri="{3e2802c4-a4d2-4d8b-9148-e3be6c30e623}">
          <xlrd:rvb i="3092"/>
        </ext>
      </extLst>
    </bk>
    <bk>
      <extLst>
        <ext uri="{3e2802c4-a4d2-4d8b-9148-e3be6c30e623}">
          <xlrd:rvb i="3093"/>
        </ext>
      </extLst>
    </bk>
    <bk>
      <extLst>
        <ext uri="{3e2802c4-a4d2-4d8b-9148-e3be6c30e623}">
          <xlrd:rvb i="3094"/>
        </ext>
      </extLst>
    </bk>
    <bk>
      <extLst>
        <ext uri="{3e2802c4-a4d2-4d8b-9148-e3be6c30e623}">
          <xlrd:rvb i="3095"/>
        </ext>
      </extLst>
    </bk>
    <bk>
      <extLst>
        <ext uri="{3e2802c4-a4d2-4d8b-9148-e3be6c30e623}">
          <xlrd:rvb i="3096"/>
        </ext>
      </extLst>
    </bk>
    <bk>
      <extLst>
        <ext uri="{3e2802c4-a4d2-4d8b-9148-e3be6c30e623}">
          <xlrd:rvb i="3097"/>
        </ext>
      </extLst>
    </bk>
    <bk>
      <extLst>
        <ext uri="{3e2802c4-a4d2-4d8b-9148-e3be6c30e623}">
          <xlrd:rvb i="3098"/>
        </ext>
      </extLst>
    </bk>
    <bk>
      <extLst>
        <ext uri="{3e2802c4-a4d2-4d8b-9148-e3be6c30e623}">
          <xlrd:rvb i="3099"/>
        </ext>
      </extLst>
    </bk>
    <bk>
      <extLst>
        <ext uri="{3e2802c4-a4d2-4d8b-9148-e3be6c30e623}">
          <xlrd:rvb i="3100"/>
        </ext>
      </extLst>
    </bk>
    <bk>
      <extLst>
        <ext uri="{3e2802c4-a4d2-4d8b-9148-e3be6c30e623}">
          <xlrd:rvb i="3101"/>
        </ext>
      </extLst>
    </bk>
    <bk>
      <extLst>
        <ext uri="{3e2802c4-a4d2-4d8b-9148-e3be6c30e623}">
          <xlrd:rvb i="3102"/>
        </ext>
      </extLst>
    </bk>
    <bk>
      <extLst>
        <ext uri="{3e2802c4-a4d2-4d8b-9148-e3be6c30e623}">
          <xlrd:rvb i="3103"/>
        </ext>
      </extLst>
    </bk>
    <bk>
      <extLst>
        <ext uri="{3e2802c4-a4d2-4d8b-9148-e3be6c30e623}">
          <xlrd:rvb i="3104"/>
        </ext>
      </extLst>
    </bk>
    <bk>
      <extLst>
        <ext uri="{3e2802c4-a4d2-4d8b-9148-e3be6c30e623}">
          <xlrd:rvb i="3105"/>
        </ext>
      </extLst>
    </bk>
    <bk>
      <extLst>
        <ext uri="{3e2802c4-a4d2-4d8b-9148-e3be6c30e623}">
          <xlrd:rvb i="3106"/>
        </ext>
      </extLst>
    </bk>
    <bk>
      <extLst>
        <ext uri="{3e2802c4-a4d2-4d8b-9148-e3be6c30e623}">
          <xlrd:rvb i="3107"/>
        </ext>
      </extLst>
    </bk>
    <bk>
      <extLst>
        <ext uri="{3e2802c4-a4d2-4d8b-9148-e3be6c30e623}">
          <xlrd:rvb i="3108"/>
        </ext>
      </extLst>
    </bk>
    <bk>
      <extLst>
        <ext uri="{3e2802c4-a4d2-4d8b-9148-e3be6c30e623}">
          <xlrd:rvb i="3109"/>
        </ext>
      </extLst>
    </bk>
    <bk>
      <extLst>
        <ext uri="{3e2802c4-a4d2-4d8b-9148-e3be6c30e623}">
          <xlrd:rvb i="3110"/>
        </ext>
      </extLst>
    </bk>
    <bk>
      <extLst>
        <ext uri="{3e2802c4-a4d2-4d8b-9148-e3be6c30e623}">
          <xlrd:rvb i="3111"/>
        </ext>
      </extLst>
    </bk>
    <bk>
      <extLst>
        <ext uri="{3e2802c4-a4d2-4d8b-9148-e3be6c30e623}">
          <xlrd:rvb i="3112"/>
        </ext>
      </extLst>
    </bk>
    <bk>
      <extLst>
        <ext uri="{3e2802c4-a4d2-4d8b-9148-e3be6c30e623}">
          <xlrd:rvb i="3113"/>
        </ext>
      </extLst>
    </bk>
    <bk>
      <extLst>
        <ext uri="{3e2802c4-a4d2-4d8b-9148-e3be6c30e623}">
          <xlrd:rvb i="3114"/>
        </ext>
      </extLst>
    </bk>
    <bk>
      <extLst>
        <ext uri="{3e2802c4-a4d2-4d8b-9148-e3be6c30e623}">
          <xlrd:rvb i="3115"/>
        </ext>
      </extLst>
    </bk>
    <bk>
      <extLst>
        <ext uri="{3e2802c4-a4d2-4d8b-9148-e3be6c30e623}">
          <xlrd:rvb i="3116"/>
        </ext>
      </extLst>
    </bk>
    <bk>
      <extLst>
        <ext uri="{3e2802c4-a4d2-4d8b-9148-e3be6c30e623}">
          <xlrd:rvb i="3117"/>
        </ext>
      </extLst>
    </bk>
    <bk>
      <extLst>
        <ext uri="{3e2802c4-a4d2-4d8b-9148-e3be6c30e623}">
          <xlrd:rvb i="3118"/>
        </ext>
      </extLst>
    </bk>
    <bk>
      <extLst>
        <ext uri="{3e2802c4-a4d2-4d8b-9148-e3be6c30e623}">
          <xlrd:rvb i="3119"/>
        </ext>
      </extLst>
    </bk>
    <bk>
      <extLst>
        <ext uri="{3e2802c4-a4d2-4d8b-9148-e3be6c30e623}">
          <xlrd:rvb i="3120"/>
        </ext>
      </extLst>
    </bk>
    <bk>
      <extLst>
        <ext uri="{3e2802c4-a4d2-4d8b-9148-e3be6c30e623}">
          <xlrd:rvb i="3121"/>
        </ext>
      </extLst>
    </bk>
    <bk>
      <extLst>
        <ext uri="{3e2802c4-a4d2-4d8b-9148-e3be6c30e623}">
          <xlrd:rvb i="3122"/>
        </ext>
      </extLst>
    </bk>
    <bk>
      <extLst>
        <ext uri="{3e2802c4-a4d2-4d8b-9148-e3be6c30e623}">
          <xlrd:rvb i="3123"/>
        </ext>
      </extLst>
    </bk>
    <bk>
      <extLst>
        <ext uri="{3e2802c4-a4d2-4d8b-9148-e3be6c30e623}">
          <xlrd:rvb i="3124"/>
        </ext>
      </extLst>
    </bk>
    <bk>
      <extLst>
        <ext uri="{3e2802c4-a4d2-4d8b-9148-e3be6c30e623}">
          <xlrd:rvb i="3125"/>
        </ext>
      </extLst>
    </bk>
    <bk>
      <extLst>
        <ext uri="{3e2802c4-a4d2-4d8b-9148-e3be6c30e623}">
          <xlrd:rvb i="3126"/>
        </ext>
      </extLst>
    </bk>
    <bk>
      <extLst>
        <ext uri="{3e2802c4-a4d2-4d8b-9148-e3be6c30e623}">
          <xlrd:rvb i="3127"/>
        </ext>
      </extLst>
    </bk>
    <bk>
      <extLst>
        <ext uri="{3e2802c4-a4d2-4d8b-9148-e3be6c30e623}">
          <xlrd:rvb i="3128"/>
        </ext>
      </extLst>
    </bk>
    <bk>
      <extLst>
        <ext uri="{3e2802c4-a4d2-4d8b-9148-e3be6c30e623}">
          <xlrd:rvb i="3129"/>
        </ext>
      </extLst>
    </bk>
    <bk>
      <extLst>
        <ext uri="{3e2802c4-a4d2-4d8b-9148-e3be6c30e623}">
          <xlrd:rvb i="3130"/>
        </ext>
      </extLst>
    </bk>
    <bk>
      <extLst>
        <ext uri="{3e2802c4-a4d2-4d8b-9148-e3be6c30e623}">
          <xlrd:rvb i="3131"/>
        </ext>
      </extLst>
    </bk>
    <bk>
      <extLst>
        <ext uri="{3e2802c4-a4d2-4d8b-9148-e3be6c30e623}">
          <xlrd:rvb i="3132"/>
        </ext>
      </extLst>
    </bk>
    <bk>
      <extLst>
        <ext uri="{3e2802c4-a4d2-4d8b-9148-e3be6c30e623}">
          <xlrd:rvb i="3133"/>
        </ext>
      </extLst>
    </bk>
    <bk>
      <extLst>
        <ext uri="{3e2802c4-a4d2-4d8b-9148-e3be6c30e623}">
          <xlrd:rvb i="3134"/>
        </ext>
      </extLst>
    </bk>
    <bk>
      <extLst>
        <ext uri="{3e2802c4-a4d2-4d8b-9148-e3be6c30e623}">
          <xlrd:rvb i="3135"/>
        </ext>
      </extLst>
    </bk>
    <bk>
      <extLst>
        <ext uri="{3e2802c4-a4d2-4d8b-9148-e3be6c30e623}">
          <xlrd:rvb i="3136"/>
        </ext>
      </extLst>
    </bk>
    <bk>
      <extLst>
        <ext uri="{3e2802c4-a4d2-4d8b-9148-e3be6c30e623}">
          <xlrd:rvb i="3137"/>
        </ext>
      </extLst>
    </bk>
    <bk>
      <extLst>
        <ext uri="{3e2802c4-a4d2-4d8b-9148-e3be6c30e623}">
          <xlrd:rvb i="3138"/>
        </ext>
      </extLst>
    </bk>
    <bk>
      <extLst>
        <ext uri="{3e2802c4-a4d2-4d8b-9148-e3be6c30e623}">
          <xlrd:rvb i="3139"/>
        </ext>
      </extLst>
    </bk>
    <bk>
      <extLst>
        <ext uri="{3e2802c4-a4d2-4d8b-9148-e3be6c30e623}">
          <xlrd:rvb i="3140"/>
        </ext>
      </extLst>
    </bk>
    <bk>
      <extLst>
        <ext uri="{3e2802c4-a4d2-4d8b-9148-e3be6c30e623}">
          <xlrd:rvb i="3141"/>
        </ext>
      </extLst>
    </bk>
    <bk>
      <extLst>
        <ext uri="{3e2802c4-a4d2-4d8b-9148-e3be6c30e623}">
          <xlrd:rvb i="3142"/>
        </ext>
      </extLst>
    </bk>
    <bk>
      <extLst>
        <ext uri="{3e2802c4-a4d2-4d8b-9148-e3be6c30e623}">
          <xlrd:rvb i="3143"/>
        </ext>
      </extLst>
    </bk>
    <bk>
      <extLst>
        <ext uri="{3e2802c4-a4d2-4d8b-9148-e3be6c30e623}">
          <xlrd:rvb i="3144"/>
        </ext>
      </extLst>
    </bk>
    <bk>
      <extLst>
        <ext uri="{3e2802c4-a4d2-4d8b-9148-e3be6c30e623}">
          <xlrd:rvb i="3145"/>
        </ext>
      </extLst>
    </bk>
    <bk>
      <extLst>
        <ext uri="{3e2802c4-a4d2-4d8b-9148-e3be6c30e623}">
          <xlrd:rvb i="3146"/>
        </ext>
      </extLst>
    </bk>
    <bk>
      <extLst>
        <ext uri="{3e2802c4-a4d2-4d8b-9148-e3be6c30e623}">
          <xlrd:rvb i="3147"/>
        </ext>
      </extLst>
    </bk>
    <bk>
      <extLst>
        <ext uri="{3e2802c4-a4d2-4d8b-9148-e3be6c30e623}">
          <xlrd:rvb i="3148"/>
        </ext>
      </extLst>
    </bk>
    <bk>
      <extLst>
        <ext uri="{3e2802c4-a4d2-4d8b-9148-e3be6c30e623}">
          <xlrd:rvb i="3149"/>
        </ext>
      </extLst>
    </bk>
    <bk>
      <extLst>
        <ext uri="{3e2802c4-a4d2-4d8b-9148-e3be6c30e623}">
          <xlrd:rvb i="3150"/>
        </ext>
      </extLst>
    </bk>
    <bk>
      <extLst>
        <ext uri="{3e2802c4-a4d2-4d8b-9148-e3be6c30e623}">
          <xlrd:rvb i="3151"/>
        </ext>
      </extLst>
    </bk>
    <bk>
      <extLst>
        <ext uri="{3e2802c4-a4d2-4d8b-9148-e3be6c30e623}">
          <xlrd:rvb i="3152"/>
        </ext>
      </extLst>
    </bk>
    <bk>
      <extLst>
        <ext uri="{3e2802c4-a4d2-4d8b-9148-e3be6c30e623}">
          <xlrd:rvb i="3153"/>
        </ext>
      </extLst>
    </bk>
    <bk>
      <extLst>
        <ext uri="{3e2802c4-a4d2-4d8b-9148-e3be6c30e623}">
          <xlrd:rvb i="3154"/>
        </ext>
      </extLst>
    </bk>
    <bk>
      <extLst>
        <ext uri="{3e2802c4-a4d2-4d8b-9148-e3be6c30e623}">
          <xlrd:rvb i="3155"/>
        </ext>
      </extLst>
    </bk>
    <bk>
      <extLst>
        <ext uri="{3e2802c4-a4d2-4d8b-9148-e3be6c30e623}">
          <xlrd:rvb i="3156"/>
        </ext>
      </extLst>
    </bk>
    <bk>
      <extLst>
        <ext uri="{3e2802c4-a4d2-4d8b-9148-e3be6c30e623}">
          <xlrd:rvb i="3157"/>
        </ext>
      </extLst>
    </bk>
    <bk>
      <extLst>
        <ext uri="{3e2802c4-a4d2-4d8b-9148-e3be6c30e623}">
          <xlrd:rvb i="3158"/>
        </ext>
      </extLst>
    </bk>
    <bk>
      <extLst>
        <ext uri="{3e2802c4-a4d2-4d8b-9148-e3be6c30e623}">
          <xlrd:rvb i="3159"/>
        </ext>
      </extLst>
    </bk>
    <bk>
      <extLst>
        <ext uri="{3e2802c4-a4d2-4d8b-9148-e3be6c30e623}">
          <xlrd:rvb i="3160"/>
        </ext>
      </extLst>
    </bk>
    <bk>
      <extLst>
        <ext uri="{3e2802c4-a4d2-4d8b-9148-e3be6c30e623}">
          <xlrd:rvb i="3161"/>
        </ext>
      </extLst>
    </bk>
    <bk>
      <extLst>
        <ext uri="{3e2802c4-a4d2-4d8b-9148-e3be6c30e623}">
          <xlrd:rvb i="3162"/>
        </ext>
      </extLst>
    </bk>
    <bk>
      <extLst>
        <ext uri="{3e2802c4-a4d2-4d8b-9148-e3be6c30e623}">
          <xlrd:rvb i="3163"/>
        </ext>
      </extLst>
    </bk>
    <bk>
      <extLst>
        <ext uri="{3e2802c4-a4d2-4d8b-9148-e3be6c30e623}">
          <xlrd:rvb i="3164"/>
        </ext>
      </extLst>
    </bk>
    <bk>
      <extLst>
        <ext uri="{3e2802c4-a4d2-4d8b-9148-e3be6c30e623}">
          <xlrd:rvb i="3165"/>
        </ext>
      </extLst>
    </bk>
    <bk>
      <extLst>
        <ext uri="{3e2802c4-a4d2-4d8b-9148-e3be6c30e623}">
          <xlrd:rvb i="3166"/>
        </ext>
      </extLst>
    </bk>
    <bk>
      <extLst>
        <ext uri="{3e2802c4-a4d2-4d8b-9148-e3be6c30e623}">
          <xlrd:rvb i="3167"/>
        </ext>
      </extLst>
    </bk>
    <bk>
      <extLst>
        <ext uri="{3e2802c4-a4d2-4d8b-9148-e3be6c30e623}">
          <xlrd:rvb i="3168"/>
        </ext>
      </extLst>
    </bk>
    <bk>
      <extLst>
        <ext uri="{3e2802c4-a4d2-4d8b-9148-e3be6c30e623}">
          <xlrd:rvb i="3169"/>
        </ext>
      </extLst>
    </bk>
    <bk>
      <extLst>
        <ext uri="{3e2802c4-a4d2-4d8b-9148-e3be6c30e623}">
          <xlrd:rvb i="3170"/>
        </ext>
      </extLst>
    </bk>
    <bk>
      <extLst>
        <ext uri="{3e2802c4-a4d2-4d8b-9148-e3be6c30e623}">
          <xlrd:rvb i="3171"/>
        </ext>
      </extLst>
    </bk>
    <bk>
      <extLst>
        <ext uri="{3e2802c4-a4d2-4d8b-9148-e3be6c30e623}">
          <xlrd:rvb i="3172"/>
        </ext>
      </extLst>
    </bk>
    <bk>
      <extLst>
        <ext uri="{3e2802c4-a4d2-4d8b-9148-e3be6c30e623}">
          <xlrd:rvb i="3173"/>
        </ext>
      </extLst>
    </bk>
    <bk>
      <extLst>
        <ext uri="{3e2802c4-a4d2-4d8b-9148-e3be6c30e623}">
          <xlrd:rvb i="3174"/>
        </ext>
      </extLst>
    </bk>
    <bk>
      <extLst>
        <ext uri="{3e2802c4-a4d2-4d8b-9148-e3be6c30e623}">
          <xlrd:rvb i="3175"/>
        </ext>
      </extLst>
    </bk>
    <bk>
      <extLst>
        <ext uri="{3e2802c4-a4d2-4d8b-9148-e3be6c30e623}">
          <xlrd:rvb i="3176"/>
        </ext>
      </extLst>
    </bk>
    <bk>
      <extLst>
        <ext uri="{3e2802c4-a4d2-4d8b-9148-e3be6c30e623}">
          <xlrd:rvb i="3177"/>
        </ext>
      </extLst>
    </bk>
    <bk>
      <extLst>
        <ext uri="{3e2802c4-a4d2-4d8b-9148-e3be6c30e623}">
          <xlrd:rvb i="3178"/>
        </ext>
      </extLst>
    </bk>
    <bk>
      <extLst>
        <ext uri="{3e2802c4-a4d2-4d8b-9148-e3be6c30e623}">
          <xlrd:rvb i="3179"/>
        </ext>
      </extLst>
    </bk>
    <bk>
      <extLst>
        <ext uri="{3e2802c4-a4d2-4d8b-9148-e3be6c30e623}">
          <xlrd:rvb i="3180"/>
        </ext>
      </extLst>
    </bk>
    <bk>
      <extLst>
        <ext uri="{3e2802c4-a4d2-4d8b-9148-e3be6c30e623}">
          <xlrd:rvb i="3181"/>
        </ext>
      </extLst>
    </bk>
    <bk>
      <extLst>
        <ext uri="{3e2802c4-a4d2-4d8b-9148-e3be6c30e623}">
          <xlrd:rvb i="3182"/>
        </ext>
      </extLst>
    </bk>
    <bk>
      <extLst>
        <ext uri="{3e2802c4-a4d2-4d8b-9148-e3be6c30e623}">
          <xlrd:rvb i="3183"/>
        </ext>
      </extLst>
    </bk>
    <bk>
      <extLst>
        <ext uri="{3e2802c4-a4d2-4d8b-9148-e3be6c30e623}">
          <xlrd:rvb i="3184"/>
        </ext>
      </extLst>
    </bk>
    <bk>
      <extLst>
        <ext uri="{3e2802c4-a4d2-4d8b-9148-e3be6c30e623}">
          <xlrd:rvb i="3185"/>
        </ext>
      </extLst>
    </bk>
    <bk>
      <extLst>
        <ext uri="{3e2802c4-a4d2-4d8b-9148-e3be6c30e623}">
          <xlrd:rvb i="3186"/>
        </ext>
      </extLst>
    </bk>
    <bk>
      <extLst>
        <ext uri="{3e2802c4-a4d2-4d8b-9148-e3be6c30e623}">
          <xlrd:rvb i="3187"/>
        </ext>
      </extLst>
    </bk>
    <bk>
      <extLst>
        <ext uri="{3e2802c4-a4d2-4d8b-9148-e3be6c30e623}">
          <xlrd:rvb i="3188"/>
        </ext>
      </extLst>
    </bk>
    <bk>
      <extLst>
        <ext uri="{3e2802c4-a4d2-4d8b-9148-e3be6c30e623}">
          <xlrd:rvb i="3189"/>
        </ext>
      </extLst>
    </bk>
    <bk>
      <extLst>
        <ext uri="{3e2802c4-a4d2-4d8b-9148-e3be6c30e623}">
          <xlrd:rvb i="3190"/>
        </ext>
      </extLst>
    </bk>
    <bk>
      <extLst>
        <ext uri="{3e2802c4-a4d2-4d8b-9148-e3be6c30e623}">
          <xlrd:rvb i="3191"/>
        </ext>
      </extLst>
    </bk>
    <bk>
      <extLst>
        <ext uri="{3e2802c4-a4d2-4d8b-9148-e3be6c30e623}">
          <xlrd:rvb i="3192"/>
        </ext>
      </extLst>
    </bk>
    <bk>
      <extLst>
        <ext uri="{3e2802c4-a4d2-4d8b-9148-e3be6c30e623}">
          <xlrd:rvb i="3193"/>
        </ext>
      </extLst>
    </bk>
    <bk>
      <extLst>
        <ext uri="{3e2802c4-a4d2-4d8b-9148-e3be6c30e623}">
          <xlrd:rvb i="3194"/>
        </ext>
      </extLst>
    </bk>
    <bk>
      <extLst>
        <ext uri="{3e2802c4-a4d2-4d8b-9148-e3be6c30e623}">
          <xlrd:rvb i="3195"/>
        </ext>
      </extLst>
    </bk>
    <bk>
      <extLst>
        <ext uri="{3e2802c4-a4d2-4d8b-9148-e3be6c30e623}">
          <xlrd:rvb i="3196"/>
        </ext>
      </extLst>
    </bk>
    <bk>
      <extLst>
        <ext uri="{3e2802c4-a4d2-4d8b-9148-e3be6c30e623}">
          <xlrd:rvb i="3197"/>
        </ext>
      </extLst>
    </bk>
    <bk>
      <extLst>
        <ext uri="{3e2802c4-a4d2-4d8b-9148-e3be6c30e623}">
          <xlrd:rvb i="3198"/>
        </ext>
      </extLst>
    </bk>
    <bk>
      <extLst>
        <ext uri="{3e2802c4-a4d2-4d8b-9148-e3be6c30e623}">
          <xlrd:rvb i="3199"/>
        </ext>
      </extLst>
    </bk>
    <bk>
      <extLst>
        <ext uri="{3e2802c4-a4d2-4d8b-9148-e3be6c30e623}">
          <xlrd:rvb i="3200"/>
        </ext>
      </extLst>
    </bk>
    <bk>
      <extLst>
        <ext uri="{3e2802c4-a4d2-4d8b-9148-e3be6c30e623}">
          <xlrd:rvb i="3201"/>
        </ext>
      </extLst>
    </bk>
    <bk>
      <extLst>
        <ext uri="{3e2802c4-a4d2-4d8b-9148-e3be6c30e623}">
          <xlrd:rvb i="3202"/>
        </ext>
      </extLst>
    </bk>
    <bk>
      <extLst>
        <ext uri="{3e2802c4-a4d2-4d8b-9148-e3be6c30e623}">
          <xlrd:rvb i="3203"/>
        </ext>
      </extLst>
    </bk>
    <bk>
      <extLst>
        <ext uri="{3e2802c4-a4d2-4d8b-9148-e3be6c30e623}">
          <xlrd:rvb i="3204"/>
        </ext>
      </extLst>
    </bk>
    <bk>
      <extLst>
        <ext uri="{3e2802c4-a4d2-4d8b-9148-e3be6c30e623}">
          <xlrd:rvb i="3205"/>
        </ext>
      </extLst>
    </bk>
    <bk>
      <extLst>
        <ext uri="{3e2802c4-a4d2-4d8b-9148-e3be6c30e623}">
          <xlrd:rvb i="3206"/>
        </ext>
      </extLst>
    </bk>
    <bk>
      <extLst>
        <ext uri="{3e2802c4-a4d2-4d8b-9148-e3be6c30e623}">
          <xlrd:rvb i="3207"/>
        </ext>
      </extLst>
    </bk>
    <bk>
      <extLst>
        <ext uri="{3e2802c4-a4d2-4d8b-9148-e3be6c30e623}">
          <xlrd:rvb i="3208"/>
        </ext>
      </extLst>
    </bk>
    <bk>
      <extLst>
        <ext uri="{3e2802c4-a4d2-4d8b-9148-e3be6c30e623}">
          <xlrd:rvb i="3209"/>
        </ext>
      </extLst>
    </bk>
    <bk>
      <extLst>
        <ext uri="{3e2802c4-a4d2-4d8b-9148-e3be6c30e623}">
          <xlrd:rvb i="3210"/>
        </ext>
      </extLst>
    </bk>
    <bk>
      <extLst>
        <ext uri="{3e2802c4-a4d2-4d8b-9148-e3be6c30e623}">
          <xlrd:rvb i="3211"/>
        </ext>
      </extLst>
    </bk>
    <bk>
      <extLst>
        <ext uri="{3e2802c4-a4d2-4d8b-9148-e3be6c30e623}">
          <xlrd:rvb i="3212"/>
        </ext>
      </extLst>
    </bk>
    <bk>
      <extLst>
        <ext uri="{3e2802c4-a4d2-4d8b-9148-e3be6c30e623}">
          <xlrd:rvb i="3213"/>
        </ext>
      </extLst>
    </bk>
    <bk>
      <extLst>
        <ext uri="{3e2802c4-a4d2-4d8b-9148-e3be6c30e623}">
          <xlrd:rvb i="3214"/>
        </ext>
      </extLst>
    </bk>
    <bk>
      <extLst>
        <ext uri="{3e2802c4-a4d2-4d8b-9148-e3be6c30e623}">
          <xlrd:rvb i="3215"/>
        </ext>
      </extLst>
    </bk>
    <bk>
      <extLst>
        <ext uri="{3e2802c4-a4d2-4d8b-9148-e3be6c30e623}">
          <xlrd:rvb i="3216"/>
        </ext>
      </extLst>
    </bk>
    <bk>
      <extLst>
        <ext uri="{3e2802c4-a4d2-4d8b-9148-e3be6c30e623}">
          <xlrd:rvb i="3217"/>
        </ext>
      </extLst>
    </bk>
    <bk>
      <extLst>
        <ext uri="{3e2802c4-a4d2-4d8b-9148-e3be6c30e623}">
          <xlrd:rvb i="3218"/>
        </ext>
      </extLst>
    </bk>
    <bk>
      <extLst>
        <ext uri="{3e2802c4-a4d2-4d8b-9148-e3be6c30e623}">
          <xlrd:rvb i="3219"/>
        </ext>
      </extLst>
    </bk>
    <bk>
      <extLst>
        <ext uri="{3e2802c4-a4d2-4d8b-9148-e3be6c30e623}">
          <xlrd:rvb i="3220"/>
        </ext>
      </extLst>
    </bk>
    <bk>
      <extLst>
        <ext uri="{3e2802c4-a4d2-4d8b-9148-e3be6c30e623}">
          <xlrd:rvb i="3221"/>
        </ext>
      </extLst>
    </bk>
    <bk>
      <extLst>
        <ext uri="{3e2802c4-a4d2-4d8b-9148-e3be6c30e623}">
          <xlrd:rvb i="3222"/>
        </ext>
      </extLst>
    </bk>
    <bk>
      <extLst>
        <ext uri="{3e2802c4-a4d2-4d8b-9148-e3be6c30e623}">
          <xlrd:rvb i="3223"/>
        </ext>
      </extLst>
    </bk>
    <bk>
      <extLst>
        <ext uri="{3e2802c4-a4d2-4d8b-9148-e3be6c30e623}">
          <xlrd:rvb i="3224"/>
        </ext>
      </extLst>
    </bk>
    <bk>
      <extLst>
        <ext uri="{3e2802c4-a4d2-4d8b-9148-e3be6c30e623}">
          <xlrd:rvb i="3225"/>
        </ext>
      </extLst>
    </bk>
    <bk>
      <extLst>
        <ext uri="{3e2802c4-a4d2-4d8b-9148-e3be6c30e623}">
          <xlrd:rvb i="3226"/>
        </ext>
      </extLst>
    </bk>
    <bk>
      <extLst>
        <ext uri="{3e2802c4-a4d2-4d8b-9148-e3be6c30e623}">
          <xlrd:rvb i="3227"/>
        </ext>
      </extLst>
    </bk>
    <bk>
      <extLst>
        <ext uri="{3e2802c4-a4d2-4d8b-9148-e3be6c30e623}">
          <xlrd:rvb i="3228"/>
        </ext>
      </extLst>
    </bk>
    <bk>
      <extLst>
        <ext uri="{3e2802c4-a4d2-4d8b-9148-e3be6c30e623}">
          <xlrd:rvb i="3229"/>
        </ext>
      </extLst>
    </bk>
    <bk>
      <extLst>
        <ext uri="{3e2802c4-a4d2-4d8b-9148-e3be6c30e623}">
          <xlrd:rvb i="3230"/>
        </ext>
      </extLst>
    </bk>
    <bk>
      <extLst>
        <ext uri="{3e2802c4-a4d2-4d8b-9148-e3be6c30e623}">
          <xlrd:rvb i="3231"/>
        </ext>
      </extLst>
    </bk>
    <bk>
      <extLst>
        <ext uri="{3e2802c4-a4d2-4d8b-9148-e3be6c30e623}">
          <xlrd:rvb i="3232"/>
        </ext>
      </extLst>
    </bk>
    <bk>
      <extLst>
        <ext uri="{3e2802c4-a4d2-4d8b-9148-e3be6c30e623}">
          <xlrd:rvb i="3233"/>
        </ext>
      </extLst>
    </bk>
    <bk>
      <extLst>
        <ext uri="{3e2802c4-a4d2-4d8b-9148-e3be6c30e623}">
          <xlrd:rvb i="3234"/>
        </ext>
      </extLst>
    </bk>
    <bk>
      <extLst>
        <ext uri="{3e2802c4-a4d2-4d8b-9148-e3be6c30e623}">
          <xlrd:rvb i="3235"/>
        </ext>
      </extLst>
    </bk>
    <bk>
      <extLst>
        <ext uri="{3e2802c4-a4d2-4d8b-9148-e3be6c30e623}">
          <xlrd:rvb i="3236"/>
        </ext>
      </extLst>
    </bk>
    <bk>
      <extLst>
        <ext uri="{3e2802c4-a4d2-4d8b-9148-e3be6c30e623}">
          <xlrd:rvb i="3237"/>
        </ext>
      </extLst>
    </bk>
    <bk>
      <extLst>
        <ext uri="{3e2802c4-a4d2-4d8b-9148-e3be6c30e623}">
          <xlrd:rvb i="3238"/>
        </ext>
      </extLst>
    </bk>
    <bk>
      <extLst>
        <ext uri="{3e2802c4-a4d2-4d8b-9148-e3be6c30e623}">
          <xlrd:rvb i="3239"/>
        </ext>
      </extLst>
    </bk>
    <bk>
      <extLst>
        <ext uri="{3e2802c4-a4d2-4d8b-9148-e3be6c30e623}">
          <xlrd:rvb i="3240"/>
        </ext>
      </extLst>
    </bk>
    <bk>
      <extLst>
        <ext uri="{3e2802c4-a4d2-4d8b-9148-e3be6c30e623}">
          <xlrd:rvb i="3241"/>
        </ext>
      </extLst>
    </bk>
    <bk>
      <extLst>
        <ext uri="{3e2802c4-a4d2-4d8b-9148-e3be6c30e623}">
          <xlrd:rvb i="3242"/>
        </ext>
      </extLst>
    </bk>
    <bk>
      <extLst>
        <ext uri="{3e2802c4-a4d2-4d8b-9148-e3be6c30e623}">
          <xlrd:rvb i="3243"/>
        </ext>
      </extLst>
    </bk>
    <bk>
      <extLst>
        <ext uri="{3e2802c4-a4d2-4d8b-9148-e3be6c30e623}">
          <xlrd:rvb i="3244"/>
        </ext>
      </extLst>
    </bk>
    <bk>
      <extLst>
        <ext uri="{3e2802c4-a4d2-4d8b-9148-e3be6c30e623}">
          <xlrd:rvb i="3245"/>
        </ext>
      </extLst>
    </bk>
    <bk>
      <extLst>
        <ext uri="{3e2802c4-a4d2-4d8b-9148-e3be6c30e623}">
          <xlrd:rvb i="3246"/>
        </ext>
      </extLst>
    </bk>
    <bk>
      <extLst>
        <ext uri="{3e2802c4-a4d2-4d8b-9148-e3be6c30e623}">
          <xlrd:rvb i="3247"/>
        </ext>
      </extLst>
    </bk>
    <bk>
      <extLst>
        <ext uri="{3e2802c4-a4d2-4d8b-9148-e3be6c30e623}">
          <xlrd:rvb i="3248"/>
        </ext>
      </extLst>
    </bk>
    <bk>
      <extLst>
        <ext uri="{3e2802c4-a4d2-4d8b-9148-e3be6c30e623}">
          <xlrd:rvb i="3249"/>
        </ext>
      </extLst>
    </bk>
    <bk>
      <extLst>
        <ext uri="{3e2802c4-a4d2-4d8b-9148-e3be6c30e623}">
          <xlrd:rvb i="3250"/>
        </ext>
      </extLst>
    </bk>
    <bk>
      <extLst>
        <ext uri="{3e2802c4-a4d2-4d8b-9148-e3be6c30e623}">
          <xlrd:rvb i="3251"/>
        </ext>
      </extLst>
    </bk>
    <bk>
      <extLst>
        <ext uri="{3e2802c4-a4d2-4d8b-9148-e3be6c30e623}">
          <xlrd:rvb i="3252"/>
        </ext>
      </extLst>
    </bk>
    <bk>
      <extLst>
        <ext uri="{3e2802c4-a4d2-4d8b-9148-e3be6c30e623}">
          <xlrd:rvb i="3253"/>
        </ext>
      </extLst>
    </bk>
    <bk>
      <extLst>
        <ext uri="{3e2802c4-a4d2-4d8b-9148-e3be6c30e623}">
          <xlrd:rvb i="3254"/>
        </ext>
      </extLst>
    </bk>
    <bk>
      <extLst>
        <ext uri="{3e2802c4-a4d2-4d8b-9148-e3be6c30e623}">
          <xlrd:rvb i="3255"/>
        </ext>
      </extLst>
    </bk>
    <bk>
      <extLst>
        <ext uri="{3e2802c4-a4d2-4d8b-9148-e3be6c30e623}">
          <xlrd:rvb i="3256"/>
        </ext>
      </extLst>
    </bk>
    <bk>
      <extLst>
        <ext uri="{3e2802c4-a4d2-4d8b-9148-e3be6c30e623}">
          <xlrd:rvb i="3257"/>
        </ext>
      </extLst>
    </bk>
    <bk>
      <extLst>
        <ext uri="{3e2802c4-a4d2-4d8b-9148-e3be6c30e623}">
          <xlrd:rvb i="3258"/>
        </ext>
      </extLst>
    </bk>
    <bk>
      <extLst>
        <ext uri="{3e2802c4-a4d2-4d8b-9148-e3be6c30e623}">
          <xlrd:rvb i="3259"/>
        </ext>
      </extLst>
    </bk>
    <bk>
      <extLst>
        <ext uri="{3e2802c4-a4d2-4d8b-9148-e3be6c30e623}">
          <xlrd:rvb i="3260"/>
        </ext>
      </extLst>
    </bk>
    <bk>
      <extLst>
        <ext uri="{3e2802c4-a4d2-4d8b-9148-e3be6c30e623}">
          <xlrd:rvb i="3261"/>
        </ext>
      </extLst>
    </bk>
    <bk>
      <extLst>
        <ext uri="{3e2802c4-a4d2-4d8b-9148-e3be6c30e623}">
          <xlrd:rvb i="3262"/>
        </ext>
      </extLst>
    </bk>
    <bk>
      <extLst>
        <ext uri="{3e2802c4-a4d2-4d8b-9148-e3be6c30e623}">
          <xlrd:rvb i="3263"/>
        </ext>
      </extLst>
    </bk>
    <bk>
      <extLst>
        <ext uri="{3e2802c4-a4d2-4d8b-9148-e3be6c30e623}">
          <xlrd:rvb i="3264"/>
        </ext>
      </extLst>
    </bk>
    <bk>
      <extLst>
        <ext uri="{3e2802c4-a4d2-4d8b-9148-e3be6c30e623}">
          <xlrd:rvb i="3265"/>
        </ext>
      </extLst>
    </bk>
    <bk>
      <extLst>
        <ext uri="{3e2802c4-a4d2-4d8b-9148-e3be6c30e623}">
          <xlrd:rvb i="3266"/>
        </ext>
      </extLst>
    </bk>
    <bk>
      <extLst>
        <ext uri="{3e2802c4-a4d2-4d8b-9148-e3be6c30e623}">
          <xlrd:rvb i="3267"/>
        </ext>
      </extLst>
    </bk>
    <bk>
      <extLst>
        <ext uri="{3e2802c4-a4d2-4d8b-9148-e3be6c30e623}">
          <xlrd:rvb i="3268"/>
        </ext>
      </extLst>
    </bk>
    <bk>
      <extLst>
        <ext uri="{3e2802c4-a4d2-4d8b-9148-e3be6c30e623}">
          <xlrd:rvb i="3269"/>
        </ext>
      </extLst>
    </bk>
    <bk>
      <extLst>
        <ext uri="{3e2802c4-a4d2-4d8b-9148-e3be6c30e623}">
          <xlrd:rvb i="3270"/>
        </ext>
      </extLst>
    </bk>
    <bk>
      <extLst>
        <ext uri="{3e2802c4-a4d2-4d8b-9148-e3be6c30e623}">
          <xlrd:rvb i="3271"/>
        </ext>
      </extLst>
    </bk>
    <bk>
      <extLst>
        <ext uri="{3e2802c4-a4d2-4d8b-9148-e3be6c30e623}">
          <xlrd:rvb i="3272"/>
        </ext>
      </extLst>
    </bk>
    <bk>
      <extLst>
        <ext uri="{3e2802c4-a4d2-4d8b-9148-e3be6c30e623}">
          <xlrd:rvb i="3273"/>
        </ext>
      </extLst>
    </bk>
    <bk>
      <extLst>
        <ext uri="{3e2802c4-a4d2-4d8b-9148-e3be6c30e623}">
          <xlrd:rvb i="3274"/>
        </ext>
      </extLst>
    </bk>
    <bk>
      <extLst>
        <ext uri="{3e2802c4-a4d2-4d8b-9148-e3be6c30e623}">
          <xlrd:rvb i="3275"/>
        </ext>
      </extLst>
    </bk>
    <bk>
      <extLst>
        <ext uri="{3e2802c4-a4d2-4d8b-9148-e3be6c30e623}">
          <xlrd:rvb i="3276"/>
        </ext>
      </extLst>
    </bk>
    <bk>
      <extLst>
        <ext uri="{3e2802c4-a4d2-4d8b-9148-e3be6c30e623}">
          <xlrd:rvb i="3277"/>
        </ext>
      </extLst>
    </bk>
    <bk>
      <extLst>
        <ext uri="{3e2802c4-a4d2-4d8b-9148-e3be6c30e623}">
          <xlrd:rvb i="3278"/>
        </ext>
      </extLst>
    </bk>
    <bk>
      <extLst>
        <ext uri="{3e2802c4-a4d2-4d8b-9148-e3be6c30e623}">
          <xlrd:rvb i="3279"/>
        </ext>
      </extLst>
    </bk>
    <bk>
      <extLst>
        <ext uri="{3e2802c4-a4d2-4d8b-9148-e3be6c30e623}">
          <xlrd:rvb i="3280"/>
        </ext>
      </extLst>
    </bk>
    <bk>
      <extLst>
        <ext uri="{3e2802c4-a4d2-4d8b-9148-e3be6c30e623}">
          <xlrd:rvb i="3281"/>
        </ext>
      </extLst>
    </bk>
    <bk>
      <extLst>
        <ext uri="{3e2802c4-a4d2-4d8b-9148-e3be6c30e623}">
          <xlrd:rvb i="3282"/>
        </ext>
      </extLst>
    </bk>
    <bk>
      <extLst>
        <ext uri="{3e2802c4-a4d2-4d8b-9148-e3be6c30e623}">
          <xlrd:rvb i="3283"/>
        </ext>
      </extLst>
    </bk>
    <bk>
      <extLst>
        <ext uri="{3e2802c4-a4d2-4d8b-9148-e3be6c30e623}">
          <xlrd:rvb i="3284"/>
        </ext>
      </extLst>
    </bk>
    <bk>
      <extLst>
        <ext uri="{3e2802c4-a4d2-4d8b-9148-e3be6c30e623}">
          <xlrd:rvb i="3285"/>
        </ext>
      </extLst>
    </bk>
    <bk>
      <extLst>
        <ext uri="{3e2802c4-a4d2-4d8b-9148-e3be6c30e623}">
          <xlrd:rvb i="3286"/>
        </ext>
      </extLst>
    </bk>
    <bk>
      <extLst>
        <ext uri="{3e2802c4-a4d2-4d8b-9148-e3be6c30e623}">
          <xlrd:rvb i="3287"/>
        </ext>
      </extLst>
    </bk>
    <bk>
      <extLst>
        <ext uri="{3e2802c4-a4d2-4d8b-9148-e3be6c30e623}">
          <xlrd:rvb i="3288"/>
        </ext>
      </extLst>
    </bk>
    <bk>
      <extLst>
        <ext uri="{3e2802c4-a4d2-4d8b-9148-e3be6c30e623}">
          <xlrd:rvb i="3289"/>
        </ext>
      </extLst>
    </bk>
    <bk>
      <extLst>
        <ext uri="{3e2802c4-a4d2-4d8b-9148-e3be6c30e623}">
          <xlrd:rvb i="3290"/>
        </ext>
      </extLst>
    </bk>
    <bk>
      <extLst>
        <ext uri="{3e2802c4-a4d2-4d8b-9148-e3be6c30e623}">
          <xlrd:rvb i="3291"/>
        </ext>
      </extLst>
    </bk>
    <bk>
      <extLst>
        <ext uri="{3e2802c4-a4d2-4d8b-9148-e3be6c30e623}">
          <xlrd:rvb i="3292"/>
        </ext>
      </extLst>
    </bk>
    <bk>
      <extLst>
        <ext uri="{3e2802c4-a4d2-4d8b-9148-e3be6c30e623}">
          <xlrd:rvb i="3293"/>
        </ext>
      </extLst>
    </bk>
    <bk>
      <extLst>
        <ext uri="{3e2802c4-a4d2-4d8b-9148-e3be6c30e623}">
          <xlrd:rvb i="3294"/>
        </ext>
      </extLst>
    </bk>
    <bk>
      <extLst>
        <ext uri="{3e2802c4-a4d2-4d8b-9148-e3be6c30e623}">
          <xlrd:rvb i="3295"/>
        </ext>
      </extLst>
    </bk>
    <bk>
      <extLst>
        <ext uri="{3e2802c4-a4d2-4d8b-9148-e3be6c30e623}">
          <xlrd:rvb i="3296"/>
        </ext>
      </extLst>
    </bk>
    <bk>
      <extLst>
        <ext uri="{3e2802c4-a4d2-4d8b-9148-e3be6c30e623}">
          <xlrd:rvb i="3297"/>
        </ext>
      </extLst>
    </bk>
    <bk>
      <extLst>
        <ext uri="{3e2802c4-a4d2-4d8b-9148-e3be6c30e623}">
          <xlrd:rvb i="3298"/>
        </ext>
      </extLst>
    </bk>
    <bk>
      <extLst>
        <ext uri="{3e2802c4-a4d2-4d8b-9148-e3be6c30e623}">
          <xlrd:rvb i="3299"/>
        </ext>
      </extLst>
    </bk>
    <bk>
      <extLst>
        <ext uri="{3e2802c4-a4d2-4d8b-9148-e3be6c30e623}">
          <xlrd:rvb i="3300"/>
        </ext>
      </extLst>
    </bk>
    <bk>
      <extLst>
        <ext uri="{3e2802c4-a4d2-4d8b-9148-e3be6c30e623}">
          <xlrd:rvb i="3301"/>
        </ext>
      </extLst>
    </bk>
    <bk>
      <extLst>
        <ext uri="{3e2802c4-a4d2-4d8b-9148-e3be6c30e623}">
          <xlrd:rvb i="3302"/>
        </ext>
      </extLst>
    </bk>
    <bk>
      <extLst>
        <ext uri="{3e2802c4-a4d2-4d8b-9148-e3be6c30e623}">
          <xlrd:rvb i="3303"/>
        </ext>
      </extLst>
    </bk>
    <bk>
      <extLst>
        <ext uri="{3e2802c4-a4d2-4d8b-9148-e3be6c30e623}">
          <xlrd:rvb i="3304"/>
        </ext>
      </extLst>
    </bk>
    <bk>
      <extLst>
        <ext uri="{3e2802c4-a4d2-4d8b-9148-e3be6c30e623}">
          <xlrd:rvb i="3305"/>
        </ext>
      </extLst>
    </bk>
    <bk>
      <extLst>
        <ext uri="{3e2802c4-a4d2-4d8b-9148-e3be6c30e623}">
          <xlrd:rvb i="3306"/>
        </ext>
      </extLst>
    </bk>
    <bk>
      <extLst>
        <ext uri="{3e2802c4-a4d2-4d8b-9148-e3be6c30e623}">
          <xlrd:rvb i="3307"/>
        </ext>
      </extLst>
    </bk>
    <bk>
      <extLst>
        <ext uri="{3e2802c4-a4d2-4d8b-9148-e3be6c30e623}">
          <xlrd:rvb i="3308"/>
        </ext>
      </extLst>
    </bk>
    <bk>
      <extLst>
        <ext uri="{3e2802c4-a4d2-4d8b-9148-e3be6c30e623}">
          <xlrd:rvb i="3309"/>
        </ext>
      </extLst>
    </bk>
    <bk>
      <extLst>
        <ext uri="{3e2802c4-a4d2-4d8b-9148-e3be6c30e623}">
          <xlrd:rvb i="3310"/>
        </ext>
      </extLst>
    </bk>
    <bk>
      <extLst>
        <ext uri="{3e2802c4-a4d2-4d8b-9148-e3be6c30e623}">
          <xlrd:rvb i="3311"/>
        </ext>
      </extLst>
    </bk>
    <bk>
      <extLst>
        <ext uri="{3e2802c4-a4d2-4d8b-9148-e3be6c30e623}">
          <xlrd:rvb i="3312"/>
        </ext>
      </extLst>
    </bk>
    <bk>
      <extLst>
        <ext uri="{3e2802c4-a4d2-4d8b-9148-e3be6c30e623}">
          <xlrd:rvb i="3313"/>
        </ext>
      </extLst>
    </bk>
    <bk>
      <extLst>
        <ext uri="{3e2802c4-a4d2-4d8b-9148-e3be6c30e623}">
          <xlrd:rvb i="3314"/>
        </ext>
      </extLst>
    </bk>
    <bk>
      <extLst>
        <ext uri="{3e2802c4-a4d2-4d8b-9148-e3be6c30e623}">
          <xlrd:rvb i="3315"/>
        </ext>
      </extLst>
    </bk>
    <bk>
      <extLst>
        <ext uri="{3e2802c4-a4d2-4d8b-9148-e3be6c30e623}">
          <xlrd:rvb i="3316"/>
        </ext>
      </extLst>
    </bk>
    <bk>
      <extLst>
        <ext uri="{3e2802c4-a4d2-4d8b-9148-e3be6c30e623}">
          <xlrd:rvb i="3317"/>
        </ext>
      </extLst>
    </bk>
    <bk>
      <extLst>
        <ext uri="{3e2802c4-a4d2-4d8b-9148-e3be6c30e623}">
          <xlrd:rvb i="3318"/>
        </ext>
      </extLst>
    </bk>
    <bk>
      <extLst>
        <ext uri="{3e2802c4-a4d2-4d8b-9148-e3be6c30e623}">
          <xlrd:rvb i="3319"/>
        </ext>
      </extLst>
    </bk>
    <bk>
      <extLst>
        <ext uri="{3e2802c4-a4d2-4d8b-9148-e3be6c30e623}">
          <xlrd:rvb i="3320"/>
        </ext>
      </extLst>
    </bk>
    <bk>
      <extLst>
        <ext uri="{3e2802c4-a4d2-4d8b-9148-e3be6c30e623}">
          <xlrd:rvb i="3321"/>
        </ext>
      </extLst>
    </bk>
    <bk>
      <extLst>
        <ext uri="{3e2802c4-a4d2-4d8b-9148-e3be6c30e623}">
          <xlrd:rvb i="3322"/>
        </ext>
      </extLst>
    </bk>
    <bk>
      <extLst>
        <ext uri="{3e2802c4-a4d2-4d8b-9148-e3be6c30e623}">
          <xlrd:rvb i="3323"/>
        </ext>
      </extLst>
    </bk>
    <bk>
      <extLst>
        <ext uri="{3e2802c4-a4d2-4d8b-9148-e3be6c30e623}">
          <xlrd:rvb i="3324"/>
        </ext>
      </extLst>
    </bk>
    <bk>
      <extLst>
        <ext uri="{3e2802c4-a4d2-4d8b-9148-e3be6c30e623}">
          <xlrd:rvb i="3325"/>
        </ext>
      </extLst>
    </bk>
    <bk>
      <extLst>
        <ext uri="{3e2802c4-a4d2-4d8b-9148-e3be6c30e623}">
          <xlrd:rvb i="3326"/>
        </ext>
      </extLst>
    </bk>
    <bk>
      <extLst>
        <ext uri="{3e2802c4-a4d2-4d8b-9148-e3be6c30e623}">
          <xlrd:rvb i="3327"/>
        </ext>
      </extLst>
    </bk>
    <bk>
      <extLst>
        <ext uri="{3e2802c4-a4d2-4d8b-9148-e3be6c30e623}">
          <xlrd:rvb i="3328"/>
        </ext>
      </extLst>
    </bk>
    <bk>
      <extLst>
        <ext uri="{3e2802c4-a4d2-4d8b-9148-e3be6c30e623}">
          <xlrd:rvb i="3329"/>
        </ext>
      </extLst>
    </bk>
    <bk>
      <extLst>
        <ext uri="{3e2802c4-a4d2-4d8b-9148-e3be6c30e623}">
          <xlrd:rvb i="3330"/>
        </ext>
      </extLst>
    </bk>
    <bk>
      <extLst>
        <ext uri="{3e2802c4-a4d2-4d8b-9148-e3be6c30e623}">
          <xlrd:rvb i="3331"/>
        </ext>
      </extLst>
    </bk>
    <bk>
      <extLst>
        <ext uri="{3e2802c4-a4d2-4d8b-9148-e3be6c30e623}">
          <xlrd:rvb i="3332"/>
        </ext>
      </extLst>
    </bk>
    <bk>
      <extLst>
        <ext uri="{3e2802c4-a4d2-4d8b-9148-e3be6c30e623}">
          <xlrd:rvb i="3333"/>
        </ext>
      </extLst>
    </bk>
    <bk>
      <extLst>
        <ext uri="{3e2802c4-a4d2-4d8b-9148-e3be6c30e623}">
          <xlrd:rvb i="3334"/>
        </ext>
      </extLst>
    </bk>
    <bk>
      <extLst>
        <ext uri="{3e2802c4-a4d2-4d8b-9148-e3be6c30e623}">
          <xlrd:rvb i="3335"/>
        </ext>
      </extLst>
    </bk>
    <bk>
      <extLst>
        <ext uri="{3e2802c4-a4d2-4d8b-9148-e3be6c30e623}">
          <xlrd:rvb i="3336"/>
        </ext>
      </extLst>
    </bk>
    <bk>
      <extLst>
        <ext uri="{3e2802c4-a4d2-4d8b-9148-e3be6c30e623}">
          <xlrd:rvb i="3337"/>
        </ext>
      </extLst>
    </bk>
    <bk>
      <extLst>
        <ext uri="{3e2802c4-a4d2-4d8b-9148-e3be6c30e623}">
          <xlrd:rvb i="3338"/>
        </ext>
      </extLst>
    </bk>
    <bk>
      <extLst>
        <ext uri="{3e2802c4-a4d2-4d8b-9148-e3be6c30e623}">
          <xlrd:rvb i="3339"/>
        </ext>
      </extLst>
    </bk>
    <bk>
      <extLst>
        <ext uri="{3e2802c4-a4d2-4d8b-9148-e3be6c30e623}">
          <xlrd:rvb i="3340"/>
        </ext>
      </extLst>
    </bk>
    <bk>
      <extLst>
        <ext uri="{3e2802c4-a4d2-4d8b-9148-e3be6c30e623}">
          <xlrd:rvb i="3341"/>
        </ext>
      </extLst>
    </bk>
    <bk>
      <extLst>
        <ext uri="{3e2802c4-a4d2-4d8b-9148-e3be6c30e623}">
          <xlrd:rvb i="3342"/>
        </ext>
      </extLst>
    </bk>
    <bk>
      <extLst>
        <ext uri="{3e2802c4-a4d2-4d8b-9148-e3be6c30e623}">
          <xlrd:rvb i="3343"/>
        </ext>
      </extLst>
    </bk>
    <bk>
      <extLst>
        <ext uri="{3e2802c4-a4d2-4d8b-9148-e3be6c30e623}">
          <xlrd:rvb i="3344"/>
        </ext>
      </extLst>
    </bk>
    <bk>
      <extLst>
        <ext uri="{3e2802c4-a4d2-4d8b-9148-e3be6c30e623}">
          <xlrd:rvb i="3345"/>
        </ext>
      </extLst>
    </bk>
    <bk>
      <extLst>
        <ext uri="{3e2802c4-a4d2-4d8b-9148-e3be6c30e623}">
          <xlrd:rvb i="3346"/>
        </ext>
      </extLst>
    </bk>
    <bk>
      <extLst>
        <ext uri="{3e2802c4-a4d2-4d8b-9148-e3be6c30e623}">
          <xlrd:rvb i="3347"/>
        </ext>
      </extLst>
    </bk>
    <bk>
      <extLst>
        <ext uri="{3e2802c4-a4d2-4d8b-9148-e3be6c30e623}">
          <xlrd:rvb i="3348"/>
        </ext>
      </extLst>
    </bk>
    <bk>
      <extLst>
        <ext uri="{3e2802c4-a4d2-4d8b-9148-e3be6c30e623}">
          <xlrd:rvb i="3349"/>
        </ext>
      </extLst>
    </bk>
    <bk>
      <extLst>
        <ext uri="{3e2802c4-a4d2-4d8b-9148-e3be6c30e623}">
          <xlrd:rvb i="3350"/>
        </ext>
      </extLst>
    </bk>
    <bk>
      <extLst>
        <ext uri="{3e2802c4-a4d2-4d8b-9148-e3be6c30e623}">
          <xlrd:rvb i="3351"/>
        </ext>
      </extLst>
    </bk>
    <bk>
      <extLst>
        <ext uri="{3e2802c4-a4d2-4d8b-9148-e3be6c30e623}">
          <xlrd:rvb i="3352"/>
        </ext>
      </extLst>
    </bk>
    <bk>
      <extLst>
        <ext uri="{3e2802c4-a4d2-4d8b-9148-e3be6c30e623}">
          <xlrd:rvb i="3353"/>
        </ext>
      </extLst>
    </bk>
    <bk>
      <extLst>
        <ext uri="{3e2802c4-a4d2-4d8b-9148-e3be6c30e623}">
          <xlrd:rvb i="3354"/>
        </ext>
      </extLst>
    </bk>
    <bk>
      <extLst>
        <ext uri="{3e2802c4-a4d2-4d8b-9148-e3be6c30e623}">
          <xlrd:rvb i="3355"/>
        </ext>
      </extLst>
    </bk>
    <bk>
      <extLst>
        <ext uri="{3e2802c4-a4d2-4d8b-9148-e3be6c30e623}">
          <xlrd:rvb i="3356"/>
        </ext>
      </extLst>
    </bk>
    <bk>
      <extLst>
        <ext uri="{3e2802c4-a4d2-4d8b-9148-e3be6c30e623}">
          <xlrd:rvb i="3357"/>
        </ext>
      </extLst>
    </bk>
    <bk>
      <extLst>
        <ext uri="{3e2802c4-a4d2-4d8b-9148-e3be6c30e623}">
          <xlrd:rvb i="3358"/>
        </ext>
      </extLst>
    </bk>
    <bk>
      <extLst>
        <ext uri="{3e2802c4-a4d2-4d8b-9148-e3be6c30e623}">
          <xlrd:rvb i="3359"/>
        </ext>
      </extLst>
    </bk>
    <bk>
      <extLst>
        <ext uri="{3e2802c4-a4d2-4d8b-9148-e3be6c30e623}">
          <xlrd:rvb i="3360"/>
        </ext>
      </extLst>
    </bk>
    <bk>
      <extLst>
        <ext uri="{3e2802c4-a4d2-4d8b-9148-e3be6c30e623}">
          <xlrd:rvb i="3361"/>
        </ext>
      </extLst>
    </bk>
    <bk>
      <extLst>
        <ext uri="{3e2802c4-a4d2-4d8b-9148-e3be6c30e623}">
          <xlrd:rvb i="3362"/>
        </ext>
      </extLst>
    </bk>
    <bk>
      <extLst>
        <ext uri="{3e2802c4-a4d2-4d8b-9148-e3be6c30e623}">
          <xlrd:rvb i="3363"/>
        </ext>
      </extLst>
    </bk>
    <bk>
      <extLst>
        <ext uri="{3e2802c4-a4d2-4d8b-9148-e3be6c30e623}">
          <xlrd:rvb i="3364"/>
        </ext>
      </extLst>
    </bk>
    <bk>
      <extLst>
        <ext uri="{3e2802c4-a4d2-4d8b-9148-e3be6c30e623}">
          <xlrd:rvb i="3365"/>
        </ext>
      </extLst>
    </bk>
    <bk>
      <extLst>
        <ext uri="{3e2802c4-a4d2-4d8b-9148-e3be6c30e623}">
          <xlrd:rvb i="3366"/>
        </ext>
      </extLst>
    </bk>
    <bk>
      <extLst>
        <ext uri="{3e2802c4-a4d2-4d8b-9148-e3be6c30e623}">
          <xlrd:rvb i="3367"/>
        </ext>
      </extLst>
    </bk>
    <bk>
      <extLst>
        <ext uri="{3e2802c4-a4d2-4d8b-9148-e3be6c30e623}">
          <xlrd:rvb i="3368"/>
        </ext>
      </extLst>
    </bk>
    <bk>
      <extLst>
        <ext uri="{3e2802c4-a4d2-4d8b-9148-e3be6c30e623}">
          <xlrd:rvb i="3369"/>
        </ext>
      </extLst>
    </bk>
    <bk>
      <extLst>
        <ext uri="{3e2802c4-a4d2-4d8b-9148-e3be6c30e623}">
          <xlrd:rvb i="3370"/>
        </ext>
      </extLst>
    </bk>
    <bk>
      <extLst>
        <ext uri="{3e2802c4-a4d2-4d8b-9148-e3be6c30e623}">
          <xlrd:rvb i="3371"/>
        </ext>
      </extLst>
    </bk>
    <bk>
      <extLst>
        <ext uri="{3e2802c4-a4d2-4d8b-9148-e3be6c30e623}">
          <xlrd:rvb i="3372"/>
        </ext>
      </extLst>
    </bk>
    <bk>
      <extLst>
        <ext uri="{3e2802c4-a4d2-4d8b-9148-e3be6c30e623}">
          <xlrd:rvb i="3373"/>
        </ext>
      </extLst>
    </bk>
    <bk>
      <extLst>
        <ext uri="{3e2802c4-a4d2-4d8b-9148-e3be6c30e623}">
          <xlrd:rvb i="3374"/>
        </ext>
      </extLst>
    </bk>
    <bk>
      <extLst>
        <ext uri="{3e2802c4-a4d2-4d8b-9148-e3be6c30e623}">
          <xlrd:rvb i="3375"/>
        </ext>
      </extLst>
    </bk>
    <bk>
      <extLst>
        <ext uri="{3e2802c4-a4d2-4d8b-9148-e3be6c30e623}">
          <xlrd:rvb i="3376"/>
        </ext>
      </extLst>
    </bk>
    <bk>
      <extLst>
        <ext uri="{3e2802c4-a4d2-4d8b-9148-e3be6c30e623}">
          <xlrd:rvb i="3377"/>
        </ext>
      </extLst>
    </bk>
    <bk>
      <extLst>
        <ext uri="{3e2802c4-a4d2-4d8b-9148-e3be6c30e623}">
          <xlrd:rvb i="3378"/>
        </ext>
      </extLst>
    </bk>
    <bk>
      <extLst>
        <ext uri="{3e2802c4-a4d2-4d8b-9148-e3be6c30e623}">
          <xlrd:rvb i="3379"/>
        </ext>
      </extLst>
    </bk>
    <bk>
      <extLst>
        <ext uri="{3e2802c4-a4d2-4d8b-9148-e3be6c30e623}">
          <xlrd:rvb i="3380"/>
        </ext>
      </extLst>
    </bk>
    <bk>
      <extLst>
        <ext uri="{3e2802c4-a4d2-4d8b-9148-e3be6c30e623}">
          <xlrd:rvb i="3381"/>
        </ext>
      </extLst>
    </bk>
    <bk>
      <extLst>
        <ext uri="{3e2802c4-a4d2-4d8b-9148-e3be6c30e623}">
          <xlrd:rvb i="3382"/>
        </ext>
      </extLst>
    </bk>
    <bk>
      <extLst>
        <ext uri="{3e2802c4-a4d2-4d8b-9148-e3be6c30e623}">
          <xlrd:rvb i="3383"/>
        </ext>
      </extLst>
    </bk>
    <bk>
      <extLst>
        <ext uri="{3e2802c4-a4d2-4d8b-9148-e3be6c30e623}">
          <xlrd:rvb i="3384"/>
        </ext>
      </extLst>
    </bk>
    <bk>
      <extLst>
        <ext uri="{3e2802c4-a4d2-4d8b-9148-e3be6c30e623}">
          <xlrd:rvb i="3385"/>
        </ext>
      </extLst>
    </bk>
    <bk>
      <extLst>
        <ext uri="{3e2802c4-a4d2-4d8b-9148-e3be6c30e623}">
          <xlrd:rvb i="3386"/>
        </ext>
      </extLst>
    </bk>
    <bk>
      <extLst>
        <ext uri="{3e2802c4-a4d2-4d8b-9148-e3be6c30e623}">
          <xlrd:rvb i="3387"/>
        </ext>
      </extLst>
    </bk>
    <bk>
      <extLst>
        <ext uri="{3e2802c4-a4d2-4d8b-9148-e3be6c30e623}">
          <xlrd:rvb i="3388"/>
        </ext>
      </extLst>
    </bk>
    <bk>
      <extLst>
        <ext uri="{3e2802c4-a4d2-4d8b-9148-e3be6c30e623}">
          <xlrd:rvb i="3389"/>
        </ext>
      </extLst>
    </bk>
    <bk>
      <extLst>
        <ext uri="{3e2802c4-a4d2-4d8b-9148-e3be6c30e623}">
          <xlrd:rvb i="3390"/>
        </ext>
      </extLst>
    </bk>
    <bk>
      <extLst>
        <ext uri="{3e2802c4-a4d2-4d8b-9148-e3be6c30e623}">
          <xlrd:rvb i="3391"/>
        </ext>
      </extLst>
    </bk>
    <bk>
      <extLst>
        <ext uri="{3e2802c4-a4d2-4d8b-9148-e3be6c30e623}">
          <xlrd:rvb i="3392"/>
        </ext>
      </extLst>
    </bk>
    <bk>
      <extLst>
        <ext uri="{3e2802c4-a4d2-4d8b-9148-e3be6c30e623}">
          <xlrd:rvb i="3393"/>
        </ext>
      </extLst>
    </bk>
    <bk>
      <extLst>
        <ext uri="{3e2802c4-a4d2-4d8b-9148-e3be6c30e623}">
          <xlrd:rvb i="3394"/>
        </ext>
      </extLst>
    </bk>
    <bk>
      <extLst>
        <ext uri="{3e2802c4-a4d2-4d8b-9148-e3be6c30e623}">
          <xlrd:rvb i="3395"/>
        </ext>
      </extLst>
    </bk>
    <bk>
      <extLst>
        <ext uri="{3e2802c4-a4d2-4d8b-9148-e3be6c30e623}">
          <xlrd:rvb i="3396"/>
        </ext>
      </extLst>
    </bk>
    <bk>
      <extLst>
        <ext uri="{3e2802c4-a4d2-4d8b-9148-e3be6c30e623}">
          <xlrd:rvb i="3397"/>
        </ext>
      </extLst>
    </bk>
    <bk>
      <extLst>
        <ext uri="{3e2802c4-a4d2-4d8b-9148-e3be6c30e623}">
          <xlrd:rvb i="3398"/>
        </ext>
      </extLst>
    </bk>
    <bk>
      <extLst>
        <ext uri="{3e2802c4-a4d2-4d8b-9148-e3be6c30e623}">
          <xlrd:rvb i="3399"/>
        </ext>
      </extLst>
    </bk>
    <bk>
      <extLst>
        <ext uri="{3e2802c4-a4d2-4d8b-9148-e3be6c30e623}">
          <xlrd:rvb i="3400"/>
        </ext>
      </extLst>
    </bk>
    <bk>
      <extLst>
        <ext uri="{3e2802c4-a4d2-4d8b-9148-e3be6c30e623}">
          <xlrd:rvb i="3401"/>
        </ext>
      </extLst>
    </bk>
    <bk>
      <extLst>
        <ext uri="{3e2802c4-a4d2-4d8b-9148-e3be6c30e623}">
          <xlrd:rvb i="3402"/>
        </ext>
      </extLst>
    </bk>
    <bk>
      <extLst>
        <ext uri="{3e2802c4-a4d2-4d8b-9148-e3be6c30e623}">
          <xlrd:rvb i="3403"/>
        </ext>
      </extLst>
    </bk>
    <bk>
      <extLst>
        <ext uri="{3e2802c4-a4d2-4d8b-9148-e3be6c30e623}">
          <xlrd:rvb i="3404"/>
        </ext>
      </extLst>
    </bk>
    <bk>
      <extLst>
        <ext uri="{3e2802c4-a4d2-4d8b-9148-e3be6c30e623}">
          <xlrd:rvb i="3405"/>
        </ext>
      </extLst>
    </bk>
    <bk>
      <extLst>
        <ext uri="{3e2802c4-a4d2-4d8b-9148-e3be6c30e623}">
          <xlrd:rvb i="3406"/>
        </ext>
      </extLst>
    </bk>
    <bk>
      <extLst>
        <ext uri="{3e2802c4-a4d2-4d8b-9148-e3be6c30e623}">
          <xlrd:rvb i="3407"/>
        </ext>
      </extLst>
    </bk>
    <bk>
      <extLst>
        <ext uri="{3e2802c4-a4d2-4d8b-9148-e3be6c30e623}">
          <xlrd:rvb i="3408"/>
        </ext>
      </extLst>
    </bk>
    <bk>
      <extLst>
        <ext uri="{3e2802c4-a4d2-4d8b-9148-e3be6c30e623}">
          <xlrd:rvb i="3409"/>
        </ext>
      </extLst>
    </bk>
    <bk>
      <extLst>
        <ext uri="{3e2802c4-a4d2-4d8b-9148-e3be6c30e623}">
          <xlrd:rvb i="3410"/>
        </ext>
      </extLst>
    </bk>
    <bk>
      <extLst>
        <ext uri="{3e2802c4-a4d2-4d8b-9148-e3be6c30e623}">
          <xlrd:rvb i="3411"/>
        </ext>
      </extLst>
    </bk>
    <bk>
      <extLst>
        <ext uri="{3e2802c4-a4d2-4d8b-9148-e3be6c30e623}">
          <xlrd:rvb i="3412"/>
        </ext>
      </extLst>
    </bk>
    <bk>
      <extLst>
        <ext uri="{3e2802c4-a4d2-4d8b-9148-e3be6c30e623}">
          <xlrd:rvb i="3413"/>
        </ext>
      </extLst>
    </bk>
    <bk>
      <extLst>
        <ext uri="{3e2802c4-a4d2-4d8b-9148-e3be6c30e623}">
          <xlrd:rvb i="3414"/>
        </ext>
      </extLst>
    </bk>
    <bk>
      <extLst>
        <ext uri="{3e2802c4-a4d2-4d8b-9148-e3be6c30e623}">
          <xlrd:rvb i="3415"/>
        </ext>
      </extLst>
    </bk>
    <bk>
      <extLst>
        <ext uri="{3e2802c4-a4d2-4d8b-9148-e3be6c30e623}">
          <xlrd:rvb i="3416"/>
        </ext>
      </extLst>
    </bk>
    <bk>
      <extLst>
        <ext uri="{3e2802c4-a4d2-4d8b-9148-e3be6c30e623}">
          <xlrd:rvb i="3417"/>
        </ext>
      </extLst>
    </bk>
    <bk>
      <extLst>
        <ext uri="{3e2802c4-a4d2-4d8b-9148-e3be6c30e623}">
          <xlrd:rvb i="3418"/>
        </ext>
      </extLst>
    </bk>
    <bk>
      <extLst>
        <ext uri="{3e2802c4-a4d2-4d8b-9148-e3be6c30e623}">
          <xlrd:rvb i="3419"/>
        </ext>
      </extLst>
    </bk>
    <bk>
      <extLst>
        <ext uri="{3e2802c4-a4d2-4d8b-9148-e3be6c30e623}">
          <xlrd:rvb i="3420"/>
        </ext>
      </extLst>
    </bk>
    <bk>
      <extLst>
        <ext uri="{3e2802c4-a4d2-4d8b-9148-e3be6c30e623}">
          <xlrd:rvb i="3421"/>
        </ext>
      </extLst>
    </bk>
    <bk>
      <extLst>
        <ext uri="{3e2802c4-a4d2-4d8b-9148-e3be6c30e623}">
          <xlrd:rvb i="3422"/>
        </ext>
      </extLst>
    </bk>
    <bk>
      <extLst>
        <ext uri="{3e2802c4-a4d2-4d8b-9148-e3be6c30e623}">
          <xlrd:rvb i="3423"/>
        </ext>
      </extLst>
    </bk>
    <bk>
      <extLst>
        <ext uri="{3e2802c4-a4d2-4d8b-9148-e3be6c30e623}">
          <xlrd:rvb i="3424"/>
        </ext>
      </extLst>
    </bk>
    <bk>
      <extLst>
        <ext uri="{3e2802c4-a4d2-4d8b-9148-e3be6c30e623}">
          <xlrd:rvb i="3425"/>
        </ext>
      </extLst>
    </bk>
    <bk>
      <extLst>
        <ext uri="{3e2802c4-a4d2-4d8b-9148-e3be6c30e623}">
          <xlrd:rvb i="3426"/>
        </ext>
      </extLst>
    </bk>
    <bk>
      <extLst>
        <ext uri="{3e2802c4-a4d2-4d8b-9148-e3be6c30e623}">
          <xlrd:rvb i="3427"/>
        </ext>
      </extLst>
    </bk>
    <bk>
      <extLst>
        <ext uri="{3e2802c4-a4d2-4d8b-9148-e3be6c30e623}">
          <xlrd:rvb i="3428"/>
        </ext>
      </extLst>
    </bk>
    <bk>
      <extLst>
        <ext uri="{3e2802c4-a4d2-4d8b-9148-e3be6c30e623}">
          <xlrd:rvb i="3429"/>
        </ext>
      </extLst>
    </bk>
    <bk>
      <extLst>
        <ext uri="{3e2802c4-a4d2-4d8b-9148-e3be6c30e623}">
          <xlrd:rvb i="3430"/>
        </ext>
      </extLst>
    </bk>
    <bk>
      <extLst>
        <ext uri="{3e2802c4-a4d2-4d8b-9148-e3be6c30e623}">
          <xlrd:rvb i="3431"/>
        </ext>
      </extLst>
    </bk>
    <bk>
      <extLst>
        <ext uri="{3e2802c4-a4d2-4d8b-9148-e3be6c30e623}">
          <xlrd:rvb i="3432"/>
        </ext>
      </extLst>
    </bk>
    <bk>
      <extLst>
        <ext uri="{3e2802c4-a4d2-4d8b-9148-e3be6c30e623}">
          <xlrd:rvb i="3433"/>
        </ext>
      </extLst>
    </bk>
    <bk>
      <extLst>
        <ext uri="{3e2802c4-a4d2-4d8b-9148-e3be6c30e623}">
          <xlrd:rvb i="3434"/>
        </ext>
      </extLst>
    </bk>
    <bk>
      <extLst>
        <ext uri="{3e2802c4-a4d2-4d8b-9148-e3be6c30e623}">
          <xlrd:rvb i="3435"/>
        </ext>
      </extLst>
    </bk>
    <bk>
      <extLst>
        <ext uri="{3e2802c4-a4d2-4d8b-9148-e3be6c30e623}">
          <xlrd:rvb i="3436"/>
        </ext>
      </extLst>
    </bk>
    <bk>
      <extLst>
        <ext uri="{3e2802c4-a4d2-4d8b-9148-e3be6c30e623}">
          <xlrd:rvb i="3437"/>
        </ext>
      </extLst>
    </bk>
    <bk>
      <extLst>
        <ext uri="{3e2802c4-a4d2-4d8b-9148-e3be6c30e623}">
          <xlrd:rvb i="3438"/>
        </ext>
      </extLst>
    </bk>
    <bk>
      <extLst>
        <ext uri="{3e2802c4-a4d2-4d8b-9148-e3be6c30e623}">
          <xlrd:rvb i="3439"/>
        </ext>
      </extLst>
    </bk>
    <bk>
      <extLst>
        <ext uri="{3e2802c4-a4d2-4d8b-9148-e3be6c30e623}">
          <xlrd:rvb i="3440"/>
        </ext>
      </extLst>
    </bk>
    <bk>
      <extLst>
        <ext uri="{3e2802c4-a4d2-4d8b-9148-e3be6c30e623}">
          <xlrd:rvb i="3441"/>
        </ext>
      </extLst>
    </bk>
    <bk>
      <extLst>
        <ext uri="{3e2802c4-a4d2-4d8b-9148-e3be6c30e623}">
          <xlrd:rvb i="3442"/>
        </ext>
      </extLst>
    </bk>
    <bk>
      <extLst>
        <ext uri="{3e2802c4-a4d2-4d8b-9148-e3be6c30e623}">
          <xlrd:rvb i="3443"/>
        </ext>
      </extLst>
    </bk>
    <bk>
      <extLst>
        <ext uri="{3e2802c4-a4d2-4d8b-9148-e3be6c30e623}">
          <xlrd:rvb i="3444"/>
        </ext>
      </extLst>
    </bk>
    <bk>
      <extLst>
        <ext uri="{3e2802c4-a4d2-4d8b-9148-e3be6c30e623}">
          <xlrd:rvb i="3445"/>
        </ext>
      </extLst>
    </bk>
    <bk>
      <extLst>
        <ext uri="{3e2802c4-a4d2-4d8b-9148-e3be6c30e623}">
          <xlrd:rvb i="3446"/>
        </ext>
      </extLst>
    </bk>
    <bk>
      <extLst>
        <ext uri="{3e2802c4-a4d2-4d8b-9148-e3be6c30e623}">
          <xlrd:rvb i="3447"/>
        </ext>
      </extLst>
    </bk>
    <bk>
      <extLst>
        <ext uri="{3e2802c4-a4d2-4d8b-9148-e3be6c30e623}">
          <xlrd:rvb i="3448"/>
        </ext>
      </extLst>
    </bk>
    <bk>
      <extLst>
        <ext uri="{3e2802c4-a4d2-4d8b-9148-e3be6c30e623}">
          <xlrd:rvb i="3449"/>
        </ext>
      </extLst>
    </bk>
    <bk>
      <extLst>
        <ext uri="{3e2802c4-a4d2-4d8b-9148-e3be6c30e623}">
          <xlrd:rvb i="3450"/>
        </ext>
      </extLst>
    </bk>
    <bk>
      <extLst>
        <ext uri="{3e2802c4-a4d2-4d8b-9148-e3be6c30e623}">
          <xlrd:rvb i="3451"/>
        </ext>
      </extLst>
    </bk>
    <bk>
      <extLst>
        <ext uri="{3e2802c4-a4d2-4d8b-9148-e3be6c30e623}">
          <xlrd:rvb i="3452"/>
        </ext>
      </extLst>
    </bk>
    <bk>
      <extLst>
        <ext uri="{3e2802c4-a4d2-4d8b-9148-e3be6c30e623}">
          <xlrd:rvb i="3453"/>
        </ext>
      </extLst>
    </bk>
    <bk>
      <extLst>
        <ext uri="{3e2802c4-a4d2-4d8b-9148-e3be6c30e623}">
          <xlrd:rvb i="3454"/>
        </ext>
      </extLst>
    </bk>
    <bk>
      <extLst>
        <ext uri="{3e2802c4-a4d2-4d8b-9148-e3be6c30e623}">
          <xlrd:rvb i="3455"/>
        </ext>
      </extLst>
    </bk>
    <bk>
      <extLst>
        <ext uri="{3e2802c4-a4d2-4d8b-9148-e3be6c30e623}">
          <xlrd:rvb i="3456"/>
        </ext>
      </extLst>
    </bk>
    <bk>
      <extLst>
        <ext uri="{3e2802c4-a4d2-4d8b-9148-e3be6c30e623}">
          <xlrd:rvb i="3457"/>
        </ext>
      </extLst>
    </bk>
    <bk>
      <extLst>
        <ext uri="{3e2802c4-a4d2-4d8b-9148-e3be6c30e623}">
          <xlrd:rvb i="3458"/>
        </ext>
      </extLst>
    </bk>
    <bk>
      <extLst>
        <ext uri="{3e2802c4-a4d2-4d8b-9148-e3be6c30e623}">
          <xlrd:rvb i="3459"/>
        </ext>
      </extLst>
    </bk>
    <bk>
      <extLst>
        <ext uri="{3e2802c4-a4d2-4d8b-9148-e3be6c30e623}">
          <xlrd:rvb i="3460"/>
        </ext>
      </extLst>
    </bk>
    <bk>
      <extLst>
        <ext uri="{3e2802c4-a4d2-4d8b-9148-e3be6c30e623}">
          <xlrd:rvb i="3461"/>
        </ext>
      </extLst>
    </bk>
    <bk>
      <extLst>
        <ext uri="{3e2802c4-a4d2-4d8b-9148-e3be6c30e623}">
          <xlrd:rvb i="3462"/>
        </ext>
      </extLst>
    </bk>
    <bk>
      <extLst>
        <ext uri="{3e2802c4-a4d2-4d8b-9148-e3be6c30e623}">
          <xlrd:rvb i="3463"/>
        </ext>
      </extLst>
    </bk>
    <bk>
      <extLst>
        <ext uri="{3e2802c4-a4d2-4d8b-9148-e3be6c30e623}">
          <xlrd:rvb i="3464"/>
        </ext>
      </extLst>
    </bk>
    <bk>
      <extLst>
        <ext uri="{3e2802c4-a4d2-4d8b-9148-e3be6c30e623}">
          <xlrd:rvb i="3465"/>
        </ext>
      </extLst>
    </bk>
    <bk>
      <extLst>
        <ext uri="{3e2802c4-a4d2-4d8b-9148-e3be6c30e623}">
          <xlrd:rvb i="3466"/>
        </ext>
      </extLst>
    </bk>
    <bk>
      <extLst>
        <ext uri="{3e2802c4-a4d2-4d8b-9148-e3be6c30e623}">
          <xlrd:rvb i="3467"/>
        </ext>
      </extLst>
    </bk>
    <bk>
      <extLst>
        <ext uri="{3e2802c4-a4d2-4d8b-9148-e3be6c30e623}">
          <xlrd:rvb i="3468"/>
        </ext>
      </extLst>
    </bk>
    <bk>
      <extLst>
        <ext uri="{3e2802c4-a4d2-4d8b-9148-e3be6c30e623}">
          <xlrd:rvb i="3469"/>
        </ext>
      </extLst>
    </bk>
    <bk>
      <extLst>
        <ext uri="{3e2802c4-a4d2-4d8b-9148-e3be6c30e623}">
          <xlrd:rvb i="3470"/>
        </ext>
      </extLst>
    </bk>
    <bk>
      <extLst>
        <ext uri="{3e2802c4-a4d2-4d8b-9148-e3be6c30e623}">
          <xlrd:rvb i="3471"/>
        </ext>
      </extLst>
    </bk>
    <bk>
      <extLst>
        <ext uri="{3e2802c4-a4d2-4d8b-9148-e3be6c30e623}">
          <xlrd:rvb i="3472"/>
        </ext>
      </extLst>
    </bk>
    <bk>
      <extLst>
        <ext uri="{3e2802c4-a4d2-4d8b-9148-e3be6c30e623}">
          <xlrd:rvb i="3473"/>
        </ext>
      </extLst>
    </bk>
    <bk>
      <extLst>
        <ext uri="{3e2802c4-a4d2-4d8b-9148-e3be6c30e623}">
          <xlrd:rvb i="3474"/>
        </ext>
      </extLst>
    </bk>
    <bk>
      <extLst>
        <ext uri="{3e2802c4-a4d2-4d8b-9148-e3be6c30e623}">
          <xlrd:rvb i="3475"/>
        </ext>
      </extLst>
    </bk>
    <bk>
      <extLst>
        <ext uri="{3e2802c4-a4d2-4d8b-9148-e3be6c30e623}">
          <xlrd:rvb i="3476"/>
        </ext>
      </extLst>
    </bk>
    <bk>
      <extLst>
        <ext uri="{3e2802c4-a4d2-4d8b-9148-e3be6c30e623}">
          <xlrd:rvb i="3477"/>
        </ext>
      </extLst>
    </bk>
    <bk>
      <extLst>
        <ext uri="{3e2802c4-a4d2-4d8b-9148-e3be6c30e623}">
          <xlrd:rvb i="3478"/>
        </ext>
      </extLst>
    </bk>
    <bk>
      <extLst>
        <ext uri="{3e2802c4-a4d2-4d8b-9148-e3be6c30e623}">
          <xlrd:rvb i="3479"/>
        </ext>
      </extLst>
    </bk>
    <bk>
      <extLst>
        <ext uri="{3e2802c4-a4d2-4d8b-9148-e3be6c30e623}">
          <xlrd:rvb i="3480"/>
        </ext>
      </extLst>
    </bk>
    <bk>
      <extLst>
        <ext uri="{3e2802c4-a4d2-4d8b-9148-e3be6c30e623}">
          <xlrd:rvb i="3481"/>
        </ext>
      </extLst>
    </bk>
    <bk>
      <extLst>
        <ext uri="{3e2802c4-a4d2-4d8b-9148-e3be6c30e623}">
          <xlrd:rvb i="3482"/>
        </ext>
      </extLst>
    </bk>
    <bk>
      <extLst>
        <ext uri="{3e2802c4-a4d2-4d8b-9148-e3be6c30e623}">
          <xlrd:rvb i="3483"/>
        </ext>
      </extLst>
    </bk>
    <bk>
      <extLst>
        <ext uri="{3e2802c4-a4d2-4d8b-9148-e3be6c30e623}">
          <xlrd:rvb i="3484"/>
        </ext>
      </extLst>
    </bk>
    <bk>
      <extLst>
        <ext uri="{3e2802c4-a4d2-4d8b-9148-e3be6c30e623}">
          <xlrd:rvb i="3485"/>
        </ext>
      </extLst>
    </bk>
    <bk>
      <extLst>
        <ext uri="{3e2802c4-a4d2-4d8b-9148-e3be6c30e623}">
          <xlrd:rvb i="3486"/>
        </ext>
      </extLst>
    </bk>
    <bk>
      <extLst>
        <ext uri="{3e2802c4-a4d2-4d8b-9148-e3be6c30e623}">
          <xlrd:rvb i="3487"/>
        </ext>
      </extLst>
    </bk>
    <bk>
      <extLst>
        <ext uri="{3e2802c4-a4d2-4d8b-9148-e3be6c30e623}">
          <xlrd:rvb i="3488"/>
        </ext>
      </extLst>
    </bk>
    <bk>
      <extLst>
        <ext uri="{3e2802c4-a4d2-4d8b-9148-e3be6c30e623}">
          <xlrd:rvb i="3489"/>
        </ext>
      </extLst>
    </bk>
    <bk>
      <extLst>
        <ext uri="{3e2802c4-a4d2-4d8b-9148-e3be6c30e623}">
          <xlrd:rvb i="3490"/>
        </ext>
      </extLst>
    </bk>
    <bk>
      <extLst>
        <ext uri="{3e2802c4-a4d2-4d8b-9148-e3be6c30e623}">
          <xlrd:rvb i="3491"/>
        </ext>
      </extLst>
    </bk>
    <bk>
      <extLst>
        <ext uri="{3e2802c4-a4d2-4d8b-9148-e3be6c30e623}">
          <xlrd:rvb i="3492"/>
        </ext>
      </extLst>
    </bk>
    <bk>
      <extLst>
        <ext uri="{3e2802c4-a4d2-4d8b-9148-e3be6c30e623}">
          <xlrd:rvb i="3493"/>
        </ext>
      </extLst>
    </bk>
    <bk>
      <extLst>
        <ext uri="{3e2802c4-a4d2-4d8b-9148-e3be6c30e623}">
          <xlrd:rvb i="3494"/>
        </ext>
      </extLst>
    </bk>
    <bk>
      <extLst>
        <ext uri="{3e2802c4-a4d2-4d8b-9148-e3be6c30e623}">
          <xlrd:rvb i="3495"/>
        </ext>
      </extLst>
    </bk>
    <bk>
      <extLst>
        <ext uri="{3e2802c4-a4d2-4d8b-9148-e3be6c30e623}">
          <xlrd:rvb i="3496"/>
        </ext>
      </extLst>
    </bk>
    <bk>
      <extLst>
        <ext uri="{3e2802c4-a4d2-4d8b-9148-e3be6c30e623}">
          <xlrd:rvb i="3497"/>
        </ext>
      </extLst>
    </bk>
    <bk>
      <extLst>
        <ext uri="{3e2802c4-a4d2-4d8b-9148-e3be6c30e623}">
          <xlrd:rvb i="3498"/>
        </ext>
      </extLst>
    </bk>
    <bk>
      <extLst>
        <ext uri="{3e2802c4-a4d2-4d8b-9148-e3be6c30e623}">
          <xlrd:rvb i="3499"/>
        </ext>
      </extLst>
    </bk>
    <bk>
      <extLst>
        <ext uri="{3e2802c4-a4d2-4d8b-9148-e3be6c30e623}">
          <xlrd:rvb i="3500"/>
        </ext>
      </extLst>
    </bk>
    <bk>
      <extLst>
        <ext uri="{3e2802c4-a4d2-4d8b-9148-e3be6c30e623}">
          <xlrd:rvb i="3501"/>
        </ext>
      </extLst>
    </bk>
    <bk>
      <extLst>
        <ext uri="{3e2802c4-a4d2-4d8b-9148-e3be6c30e623}">
          <xlrd:rvb i="3502"/>
        </ext>
      </extLst>
    </bk>
    <bk>
      <extLst>
        <ext uri="{3e2802c4-a4d2-4d8b-9148-e3be6c30e623}">
          <xlrd:rvb i="3503"/>
        </ext>
      </extLst>
    </bk>
    <bk>
      <extLst>
        <ext uri="{3e2802c4-a4d2-4d8b-9148-e3be6c30e623}">
          <xlrd:rvb i="3504"/>
        </ext>
      </extLst>
    </bk>
    <bk>
      <extLst>
        <ext uri="{3e2802c4-a4d2-4d8b-9148-e3be6c30e623}">
          <xlrd:rvb i="3505"/>
        </ext>
      </extLst>
    </bk>
    <bk>
      <extLst>
        <ext uri="{3e2802c4-a4d2-4d8b-9148-e3be6c30e623}">
          <xlrd:rvb i="3506"/>
        </ext>
      </extLst>
    </bk>
    <bk>
      <extLst>
        <ext uri="{3e2802c4-a4d2-4d8b-9148-e3be6c30e623}">
          <xlrd:rvb i="3507"/>
        </ext>
      </extLst>
    </bk>
    <bk>
      <extLst>
        <ext uri="{3e2802c4-a4d2-4d8b-9148-e3be6c30e623}">
          <xlrd:rvb i="3508"/>
        </ext>
      </extLst>
    </bk>
    <bk>
      <extLst>
        <ext uri="{3e2802c4-a4d2-4d8b-9148-e3be6c30e623}">
          <xlrd:rvb i="3509"/>
        </ext>
      </extLst>
    </bk>
    <bk>
      <extLst>
        <ext uri="{3e2802c4-a4d2-4d8b-9148-e3be6c30e623}">
          <xlrd:rvb i="3510"/>
        </ext>
      </extLst>
    </bk>
    <bk>
      <extLst>
        <ext uri="{3e2802c4-a4d2-4d8b-9148-e3be6c30e623}">
          <xlrd:rvb i="3511"/>
        </ext>
      </extLst>
    </bk>
    <bk>
      <extLst>
        <ext uri="{3e2802c4-a4d2-4d8b-9148-e3be6c30e623}">
          <xlrd:rvb i="3512"/>
        </ext>
      </extLst>
    </bk>
    <bk>
      <extLst>
        <ext uri="{3e2802c4-a4d2-4d8b-9148-e3be6c30e623}">
          <xlrd:rvb i="3513"/>
        </ext>
      </extLst>
    </bk>
    <bk>
      <extLst>
        <ext uri="{3e2802c4-a4d2-4d8b-9148-e3be6c30e623}">
          <xlrd:rvb i="3514"/>
        </ext>
      </extLst>
    </bk>
    <bk>
      <extLst>
        <ext uri="{3e2802c4-a4d2-4d8b-9148-e3be6c30e623}">
          <xlrd:rvb i="3515"/>
        </ext>
      </extLst>
    </bk>
    <bk>
      <extLst>
        <ext uri="{3e2802c4-a4d2-4d8b-9148-e3be6c30e623}">
          <xlrd:rvb i="3516"/>
        </ext>
      </extLst>
    </bk>
    <bk>
      <extLst>
        <ext uri="{3e2802c4-a4d2-4d8b-9148-e3be6c30e623}">
          <xlrd:rvb i="3517"/>
        </ext>
      </extLst>
    </bk>
    <bk>
      <extLst>
        <ext uri="{3e2802c4-a4d2-4d8b-9148-e3be6c30e623}">
          <xlrd:rvb i="3518"/>
        </ext>
      </extLst>
    </bk>
    <bk>
      <extLst>
        <ext uri="{3e2802c4-a4d2-4d8b-9148-e3be6c30e623}">
          <xlrd:rvb i="3519"/>
        </ext>
      </extLst>
    </bk>
    <bk>
      <extLst>
        <ext uri="{3e2802c4-a4d2-4d8b-9148-e3be6c30e623}">
          <xlrd:rvb i="3520"/>
        </ext>
      </extLst>
    </bk>
    <bk>
      <extLst>
        <ext uri="{3e2802c4-a4d2-4d8b-9148-e3be6c30e623}">
          <xlrd:rvb i="3521"/>
        </ext>
      </extLst>
    </bk>
    <bk>
      <extLst>
        <ext uri="{3e2802c4-a4d2-4d8b-9148-e3be6c30e623}">
          <xlrd:rvb i="3522"/>
        </ext>
      </extLst>
    </bk>
    <bk>
      <extLst>
        <ext uri="{3e2802c4-a4d2-4d8b-9148-e3be6c30e623}">
          <xlrd:rvb i="3523"/>
        </ext>
      </extLst>
    </bk>
    <bk>
      <extLst>
        <ext uri="{3e2802c4-a4d2-4d8b-9148-e3be6c30e623}">
          <xlrd:rvb i="3524"/>
        </ext>
      </extLst>
    </bk>
    <bk>
      <extLst>
        <ext uri="{3e2802c4-a4d2-4d8b-9148-e3be6c30e623}">
          <xlrd:rvb i="3525"/>
        </ext>
      </extLst>
    </bk>
    <bk>
      <extLst>
        <ext uri="{3e2802c4-a4d2-4d8b-9148-e3be6c30e623}">
          <xlrd:rvb i="3526"/>
        </ext>
      </extLst>
    </bk>
    <bk>
      <extLst>
        <ext uri="{3e2802c4-a4d2-4d8b-9148-e3be6c30e623}">
          <xlrd:rvb i="3527"/>
        </ext>
      </extLst>
    </bk>
    <bk>
      <extLst>
        <ext uri="{3e2802c4-a4d2-4d8b-9148-e3be6c30e623}">
          <xlrd:rvb i="3528"/>
        </ext>
      </extLst>
    </bk>
    <bk>
      <extLst>
        <ext uri="{3e2802c4-a4d2-4d8b-9148-e3be6c30e623}">
          <xlrd:rvb i="3529"/>
        </ext>
      </extLst>
    </bk>
    <bk>
      <extLst>
        <ext uri="{3e2802c4-a4d2-4d8b-9148-e3be6c30e623}">
          <xlrd:rvb i="3530"/>
        </ext>
      </extLst>
    </bk>
    <bk>
      <extLst>
        <ext uri="{3e2802c4-a4d2-4d8b-9148-e3be6c30e623}">
          <xlrd:rvb i="3531"/>
        </ext>
      </extLst>
    </bk>
    <bk>
      <extLst>
        <ext uri="{3e2802c4-a4d2-4d8b-9148-e3be6c30e623}">
          <xlrd:rvb i="3532"/>
        </ext>
      </extLst>
    </bk>
    <bk>
      <extLst>
        <ext uri="{3e2802c4-a4d2-4d8b-9148-e3be6c30e623}">
          <xlrd:rvb i="3533"/>
        </ext>
      </extLst>
    </bk>
    <bk>
      <extLst>
        <ext uri="{3e2802c4-a4d2-4d8b-9148-e3be6c30e623}">
          <xlrd:rvb i="3534"/>
        </ext>
      </extLst>
    </bk>
    <bk>
      <extLst>
        <ext uri="{3e2802c4-a4d2-4d8b-9148-e3be6c30e623}">
          <xlrd:rvb i="3535"/>
        </ext>
      </extLst>
    </bk>
    <bk>
      <extLst>
        <ext uri="{3e2802c4-a4d2-4d8b-9148-e3be6c30e623}">
          <xlrd:rvb i="3536"/>
        </ext>
      </extLst>
    </bk>
    <bk>
      <extLst>
        <ext uri="{3e2802c4-a4d2-4d8b-9148-e3be6c30e623}">
          <xlrd:rvb i="3537"/>
        </ext>
      </extLst>
    </bk>
    <bk>
      <extLst>
        <ext uri="{3e2802c4-a4d2-4d8b-9148-e3be6c30e623}">
          <xlrd:rvb i="3538"/>
        </ext>
      </extLst>
    </bk>
    <bk>
      <extLst>
        <ext uri="{3e2802c4-a4d2-4d8b-9148-e3be6c30e623}">
          <xlrd:rvb i="3539"/>
        </ext>
      </extLst>
    </bk>
    <bk>
      <extLst>
        <ext uri="{3e2802c4-a4d2-4d8b-9148-e3be6c30e623}">
          <xlrd:rvb i="3540"/>
        </ext>
      </extLst>
    </bk>
    <bk>
      <extLst>
        <ext uri="{3e2802c4-a4d2-4d8b-9148-e3be6c30e623}">
          <xlrd:rvb i="3541"/>
        </ext>
      </extLst>
    </bk>
    <bk>
      <extLst>
        <ext uri="{3e2802c4-a4d2-4d8b-9148-e3be6c30e623}">
          <xlrd:rvb i="3542"/>
        </ext>
      </extLst>
    </bk>
    <bk>
      <extLst>
        <ext uri="{3e2802c4-a4d2-4d8b-9148-e3be6c30e623}">
          <xlrd:rvb i="3543"/>
        </ext>
      </extLst>
    </bk>
    <bk>
      <extLst>
        <ext uri="{3e2802c4-a4d2-4d8b-9148-e3be6c30e623}">
          <xlrd:rvb i="3544"/>
        </ext>
      </extLst>
    </bk>
    <bk>
      <extLst>
        <ext uri="{3e2802c4-a4d2-4d8b-9148-e3be6c30e623}">
          <xlrd:rvb i="3545"/>
        </ext>
      </extLst>
    </bk>
    <bk>
      <extLst>
        <ext uri="{3e2802c4-a4d2-4d8b-9148-e3be6c30e623}">
          <xlrd:rvb i="3546"/>
        </ext>
      </extLst>
    </bk>
    <bk>
      <extLst>
        <ext uri="{3e2802c4-a4d2-4d8b-9148-e3be6c30e623}">
          <xlrd:rvb i="3547"/>
        </ext>
      </extLst>
    </bk>
    <bk>
      <extLst>
        <ext uri="{3e2802c4-a4d2-4d8b-9148-e3be6c30e623}">
          <xlrd:rvb i="3548"/>
        </ext>
      </extLst>
    </bk>
    <bk>
      <extLst>
        <ext uri="{3e2802c4-a4d2-4d8b-9148-e3be6c30e623}">
          <xlrd:rvb i="3549"/>
        </ext>
      </extLst>
    </bk>
    <bk>
      <extLst>
        <ext uri="{3e2802c4-a4d2-4d8b-9148-e3be6c30e623}">
          <xlrd:rvb i="3550"/>
        </ext>
      </extLst>
    </bk>
    <bk>
      <extLst>
        <ext uri="{3e2802c4-a4d2-4d8b-9148-e3be6c30e623}">
          <xlrd:rvb i="3551"/>
        </ext>
      </extLst>
    </bk>
    <bk>
      <extLst>
        <ext uri="{3e2802c4-a4d2-4d8b-9148-e3be6c30e623}">
          <xlrd:rvb i="3552"/>
        </ext>
      </extLst>
    </bk>
    <bk>
      <extLst>
        <ext uri="{3e2802c4-a4d2-4d8b-9148-e3be6c30e623}">
          <xlrd:rvb i="3553"/>
        </ext>
      </extLst>
    </bk>
    <bk>
      <extLst>
        <ext uri="{3e2802c4-a4d2-4d8b-9148-e3be6c30e623}">
          <xlrd:rvb i="3554"/>
        </ext>
      </extLst>
    </bk>
    <bk>
      <extLst>
        <ext uri="{3e2802c4-a4d2-4d8b-9148-e3be6c30e623}">
          <xlrd:rvb i="3555"/>
        </ext>
      </extLst>
    </bk>
    <bk>
      <extLst>
        <ext uri="{3e2802c4-a4d2-4d8b-9148-e3be6c30e623}">
          <xlrd:rvb i="3556"/>
        </ext>
      </extLst>
    </bk>
    <bk>
      <extLst>
        <ext uri="{3e2802c4-a4d2-4d8b-9148-e3be6c30e623}">
          <xlrd:rvb i="3557"/>
        </ext>
      </extLst>
    </bk>
    <bk>
      <extLst>
        <ext uri="{3e2802c4-a4d2-4d8b-9148-e3be6c30e623}">
          <xlrd:rvb i="3558"/>
        </ext>
      </extLst>
    </bk>
    <bk>
      <extLst>
        <ext uri="{3e2802c4-a4d2-4d8b-9148-e3be6c30e623}">
          <xlrd:rvb i="3559"/>
        </ext>
      </extLst>
    </bk>
    <bk>
      <extLst>
        <ext uri="{3e2802c4-a4d2-4d8b-9148-e3be6c30e623}">
          <xlrd:rvb i="3560"/>
        </ext>
      </extLst>
    </bk>
    <bk>
      <extLst>
        <ext uri="{3e2802c4-a4d2-4d8b-9148-e3be6c30e623}">
          <xlrd:rvb i="3561"/>
        </ext>
      </extLst>
    </bk>
    <bk>
      <extLst>
        <ext uri="{3e2802c4-a4d2-4d8b-9148-e3be6c30e623}">
          <xlrd:rvb i="3562"/>
        </ext>
      </extLst>
    </bk>
    <bk>
      <extLst>
        <ext uri="{3e2802c4-a4d2-4d8b-9148-e3be6c30e623}">
          <xlrd:rvb i="3563"/>
        </ext>
      </extLst>
    </bk>
    <bk>
      <extLst>
        <ext uri="{3e2802c4-a4d2-4d8b-9148-e3be6c30e623}">
          <xlrd:rvb i="3564"/>
        </ext>
      </extLst>
    </bk>
    <bk>
      <extLst>
        <ext uri="{3e2802c4-a4d2-4d8b-9148-e3be6c30e623}">
          <xlrd:rvb i="3565"/>
        </ext>
      </extLst>
    </bk>
    <bk>
      <extLst>
        <ext uri="{3e2802c4-a4d2-4d8b-9148-e3be6c30e623}">
          <xlrd:rvb i="3566"/>
        </ext>
      </extLst>
    </bk>
    <bk>
      <extLst>
        <ext uri="{3e2802c4-a4d2-4d8b-9148-e3be6c30e623}">
          <xlrd:rvb i="3567"/>
        </ext>
      </extLst>
    </bk>
    <bk>
      <extLst>
        <ext uri="{3e2802c4-a4d2-4d8b-9148-e3be6c30e623}">
          <xlrd:rvb i="3568"/>
        </ext>
      </extLst>
    </bk>
    <bk>
      <extLst>
        <ext uri="{3e2802c4-a4d2-4d8b-9148-e3be6c30e623}">
          <xlrd:rvb i="3569"/>
        </ext>
      </extLst>
    </bk>
    <bk>
      <extLst>
        <ext uri="{3e2802c4-a4d2-4d8b-9148-e3be6c30e623}">
          <xlrd:rvb i="3570"/>
        </ext>
      </extLst>
    </bk>
    <bk>
      <extLst>
        <ext uri="{3e2802c4-a4d2-4d8b-9148-e3be6c30e623}">
          <xlrd:rvb i="3571"/>
        </ext>
      </extLst>
    </bk>
    <bk>
      <extLst>
        <ext uri="{3e2802c4-a4d2-4d8b-9148-e3be6c30e623}">
          <xlrd:rvb i="3572"/>
        </ext>
      </extLst>
    </bk>
    <bk>
      <extLst>
        <ext uri="{3e2802c4-a4d2-4d8b-9148-e3be6c30e623}">
          <xlrd:rvb i="3573"/>
        </ext>
      </extLst>
    </bk>
    <bk>
      <extLst>
        <ext uri="{3e2802c4-a4d2-4d8b-9148-e3be6c30e623}">
          <xlrd:rvb i="3574"/>
        </ext>
      </extLst>
    </bk>
    <bk>
      <extLst>
        <ext uri="{3e2802c4-a4d2-4d8b-9148-e3be6c30e623}">
          <xlrd:rvb i="3575"/>
        </ext>
      </extLst>
    </bk>
    <bk>
      <extLst>
        <ext uri="{3e2802c4-a4d2-4d8b-9148-e3be6c30e623}">
          <xlrd:rvb i="3576"/>
        </ext>
      </extLst>
    </bk>
    <bk>
      <extLst>
        <ext uri="{3e2802c4-a4d2-4d8b-9148-e3be6c30e623}">
          <xlrd:rvb i="3577"/>
        </ext>
      </extLst>
    </bk>
    <bk>
      <extLst>
        <ext uri="{3e2802c4-a4d2-4d8b-9148-e3be6c30e623}">
          <xlrd:rvb i="3578"/>
        </ext>
      </extLst>
    </bk>
    <bk>
      <extLst>
        <ext uri="{3e2802c4-a4d2-4d8b-9148-e3be6c30e623}">
          <xlrd:rvb i="3579"/>
        </ext>
      </extLst>
    </bk>
    <bk>
      <extLst>
        <ext uri="{3e2802c4-a4d2-4d8b-9148-e3be6c30e623}">
          <xlrd:rvb i="3580"/>
        </ext>
      </extLst>
    </bk>
    <bk>
      <extLst>
        <ext uri="{3e2802c4-a4d2-4d8b-9148-e3be6c30e623}">
          <xlrd:rvb i="3581"/>
        </ext>
      </extLst>
    </bk>
    <bk>
      <extLst>
        <ext uri="{3e2802c4-a4d2-4d8b-9148-e3be6c30e623}">
          <xlrd:rvb i="3582"/>
        </ext>
      </extLst>
    </bk>
    <bk>
      <extLst>
        <ext uri="{3e2802c4-a4d2-4d8b-9148-e3be6c30e623}">
          <xlrd:rvb i="3583"/>
        </ext>
      </extLst>
    </bk>
    <bk>
      <extLst>
        <ext uri="{3e2802c4-a4d2-4d8b-9148-e3be6c30e623}">
          <xlrd:rvb i="3584"/>
        </ext>
      </extLst>
    </bk>
    <bk>
      <extLst>
        <ext uri="{3e2802c4-a4d2-4d8b-9148-e3be6c30e623}">
          <xlrd:rvb i="3585"/>
        </ext>
      </extLst>
    </bk>
    <bk>
      <extLst>
        <ext uri="{3e2802c4-a4d2-4d8b-9148-e3be6c30e623}">
          <xlrd:rvb i="3586"/>
        </ext>
      </extLst>
    </bk>
    <bk>
      <extLst>
        <ext uri="{3e2802c4-a4d2-4d8b-9148-e3be6c30e623}">
          <xlrd:rvb i="3587"/>
        </ext>
      </extLst>
    </bk>
    <bk>
      <extLst>
        <ext uri="{3e2802c4-a4d2-4d8b-9148-e3be6c30e623}">
          <xlrd:rvb i="3588"/>
        </ext>
      </extLst>
    </bk>
    <bk>
      <extLst>
        <ext uri="{3e2802c4-a4d2-4d8b-9148-e3be6c30e623}">
          <xlrd:rvb i="3589"/>
        </ext>
      </extLst>
    </bk>
    <bk>
      <extLst>
        <ext uri="{3e2802c4-a4d2-4d8b-9148-e3be6c30e623}">
          <xlrd:rvb i="3590"/>
        </ext>
      </extLst>
    </bk>
    <bk>
      <extLst>
        <ext uri="{3e2802c4-a4d2-4d8b-9148-e3be6c30e623}">
          <xlrd:rvb i="3591"/>
        </ext>
      </extLst>
    </bk>
    <bk>
      <extLst>
        <ext uri="{3e2802c4-a4d2-4d8b-9148-e3be6c30e623}">
          <xlrd:rvb i="3592"/>
        </ext>
      </extLst>
    </bk>
    <bk>
      <extLst>
        <ext uri="{3e2802c4-a4d2-4d8b-9148-e3be6c30e623}">
          <xlrd:rvb i="3593"/>
        </ext>
      </extLst>
    </bk>
    <bk>
      <extLst>
        <ext uri="{3e2802c4-a4d2-4d8b-9148-e3be6c30e623}">
          <xlrd:rvb i="3594"/>
        </ext>
      </extLst>
    </bk>
    <bk>
      <extLst>
        <ext uri="{3e2802c4-a4d2-4d8b-9148-e3be6c30e623}">
          <xlrd:rvb i="3595"/>
        </ext>
      </extLst>
    </bk>
    <bk>
      <extLst>
        <ext uri="{3e2802c4-a4d2-4d8b-9148-e3be6c30e623}">
          <xlrd:rvb i="3596"/>
        </ext>
      </extLst>
    </bk>
    <bk>
      <extLst>
        <ext uri="{3e2802c4-a4d2-4d8b-9148-e3be6c30e623}">
          <xlrd:rvb i="3597"/>
        </ext>
      </extLst>
    </bk>
    <bk>
      <extLst>
        <ext uri="{3e2802c4-a4d2-4d8b-9148-e3be6c30e623}">
          <xlrd:rvb i="3598"/>
        </ext>
      </extLst>
    </bk>
    <bk>
      <extLst>
        <ext uri="{3e2802c4-a4d2-4d8b-9148-e3be6c30e623}">
          <xlrd:rvb i="3599"/>
        </ext>
      </extLst>
    </bk>
    <bk>
      <extLst>
        <ext uri="{3e2802c4-a4d2-4d8b-9148-e3be6c30e623}">
          <xlrd:rvb i="3600"/>
        </ext>
      </extLst>
    </bk>
    <bk>
      <extLst>
        <ext uri="{3e2802c4-a4d2-4d8b-9148-e3be6c30e623}">
          <xlrd:rvb i="3601"/>
        </ext>
      </extLst>
    </bk>
    <bk>
      <extLst>
        <ext uri="{3e2802c4-a4d2-4d8b-9148-e3be6c30e623}">
          <xlrd:rvb i="3602"/>
        </ext>
      </extLst>
    </bk>
    <bk>
      <extLst>
        <ext uri="{3e2802c4-a4d2-4d8b-9148-e3be6c30e623}">
          <xlrd:rvb i="3603"/>
        </ext>
      </extLst>
    </bk>
    <bk>
      <extLst>
        <ext uri="{3e2802c4-a4d2-4d8b-9148-e3be6c30e623}">
          <xlrd:rvb i="3604"/>
        </ext>
      </extLst>
    </bk>
    <bk>
      <extLst>
        <ext uri="{3e2802c4-a4d2-4d8b-9148-e3be6c30e623}">
          <xlrd:rvb i="3605"/>
        </ext>
      </extLst>
    </bk>
    <bk>
      <extLst>
        <ext uri="{3e2802c4-a4d2-4d8b-9148-e3be6c30e623}">
          <xlrd:rvb i="3606"/>
        </ext>
      </extLst>
    </bk>
    <bk>
      <extLst>
        <ext uri="{3e2802c4-a4d2-4d8b-9148-e3be6c30e623}">
          <xlrd:rvb i="3607"/>
        </ext>
      </extLst>
    </bk>
    <bk>
      <extLst>
        <ext uri="{3e2802c4-a4d2-4d8b-9148-e3be6c30e623}">
          <xlrd:rvb i="3608"/>
        </ext>
      </extLst>
    </bk>
    <bk>
      <extLst>
        <ext uri="{3e2802c4-a4d2-4d8b-9148-e3be6c30e623}">
          <xlrd:rvb i="3609"/>
        </ext>
      </extLst>
    </bk>
    <bk>
      <extLst>
        <ext uri="{3e2802c4-a4d2-4d8b-9148-e3be6c30e623}">
          <xlrd:rvb i="3610"/>
        </ext>
      </extLst>
    </bk>
    <bk>
      <extLst>
        <ext uri="{3e2802c4-a4d2-4d8b-9148-e3be6c30e623}">
          <xlrd:rvb i="3611"/>
        </ext>
      </extLst>
    </bk>
    <bk>
      <extLst>
        <ext uri="{3e2802c4-a4d2-4d8b-9148-e3be6c30e623}">
          <xlrd:rvb i="3612"/>
        </ext>
      </extLst>
    </bk>
    <bk>
      <extLst>
        <ext uri="{3e2802c4-a4d2-4d8b-9148-e3be6c30e623}">
          <xlrd:rvb i="3613"/>
        </ext>
      </extLst>
    </bk>
    <bk>
      <extLst>
        <ext uri="{3e2802c4-a4d2-4d8b-9148-e3be6c30e623}">
          <xlrd:rvb i="3614"/>
        </ext>
      </extLst>
    </bk>
    <bk>
      <extLst>
        <ext uri="{3e2802c4-a4d2-4d8b-9148-e3be6c30e623}">
          <xlrd:rvb i="3615"/>
        </ext>
      </extLst>
    </bk>
    <bk>
      <extLst>
        <ext uri="{3e2802c4-a4d2-4d8b-9148-e3be6c30e623}">
          <xlrd:rvb i="3616"/>
        </ext>
      </extLst>
    </bk>
    <bk>
      <extLst>
        <ext uri="{3e2802c4-a4d2-4d8b-9148-e3be6c30e623}">
          <xlrd:rvb i="3617"/>
        </ext>
      </extLst>
    </bk>
    <bk>
      <extLst>
        <ext uri="{3e2802c4-a4d2-4d8b-9148-e3be6c30e623}">
          <xlrd:rvb i="3618"/>
        </ext>
      </extLst>
    </bk>
    <bk>
      <extLst>
        <ext uri="{3e2802c4-a4d2-4d8b-9148-e3be6c30e623}">
          <xlrd:rvb i="3619"/>
        </ext>
      </extLst>
    </bk>
    <bk>
      <extLst>
        <ext uri="{3e2802c4-a4d2-4d8b-9148-e3be6c30e623}">
          <xlrd:rvb i="3620"/>
        </ext>
      </extLst>
    </bk>
    <bk>
      <extLst>
        <ext uri="{3e2802c4-a4d2-4d8b-9148-e3be6c30e623}">
          <xlrd:rvb i="3621"/>
        </ext>
      </extLst>
    </bk>
    <bk>
      <extLst>
        <ext uri="{3e2802c4-a4d2-4d8b-9148-e3be6c30e623}">
          <xlrd:rvb i="3622"/>
        </ext>
      </extLst>
    </bk>
    <bk>
      <extLst>
        <ext uri="{3e2802c4-a4d2-4d8b-9148-e3be6c30e623}">
          <xlrd:rvb i="3623"/>
        </ext>
      </extLst>
    </bk>
    <bk>
      <extLst>
        <ext uri="{3e2802c4-a4d2-4d8b-9148-e3be6c30e623}">
          <xlrd:rvb i="3624"/>
        </ext>
      </extLst>
    </bk>
    <bk>
      <extLst>
        <ext uri="{3e2802c4-a4d2-4d8b-9148-e3be6c30e623}">
          <xlrd:rvb i="3625"/>
        </ext>
      </extLst>
    </bk>
    <bk>
      <extLst>
        <ext uri="{3e2802c4-a4d2-4d8b-9148-e3be6c30e623}">
          <xlrd:rvb i="3626"/>
        </ext>
      </extLst>
    </bk>
    <bk>
      <extLst>
        <ext uri="{3e2802c4-a4d2-4d8b-9148-e3be6c30e623}">
          <xlrd:rvb i="3627"/>
        </ext>
      </extLst>
    </bk>
    <bk>
      <extLst>
        <ext uri="{3e2802c4-a4d2-4d8b-9148-e3be6c30e623}">
          <xlrd:rvb i="3628"/>
        </ext>
      </extLst>
    </bk>
    <bk>
      <extLst>
        <ext uri="{3e2802c4-a4d2-4d8b-9148-e3be6c30e623}">
          <xlrd:rvb i="3629"/>
        </ext>
      </extLst>
    </bk>
    <bk>
      <extLst>
        <ext uri="{3e2802c4-a4d2-4d8b-9148-e3be6c30e623}">
          <xlrd:rvb i="3630"/>
        </ext>
      </extLst>
    </bk>
    <bk>
      <extLst>
        <ext uri="{3e2802c4-a4d2-4d8b-9148-e3be6c30e623}">
          <xlrd:rvb i="3631"/>
        </ext>
      </extLst>
    </bk>
    <bk>
      <extLst>
        <ext uri="{3e2802c4-a4d2-4d8b-9148-e3be6c30e623}">
          <xlrd:rvb i="3632"/>
        </ext>
      </extLst>
    </bk>
    <bk>
      <extLst>
        <ext uri="{3e2802c4-a4d2-4d8b-9148-e3be6c30e623}">
          <xlrd:rvb i="3633"/>
        </ext>
      </extLst>
    </bk>
    <bk>
      <extLst>
        <ext uri="{3e2802c4-a4d2-4d8b-9148-e3be6c30e623}">
          <xlrd:rvb i="3634"/>
        </ext>
      </extLst>
    </bk>
    <bk>
      <extLst>
        <ext uri="{3e2802c4-a4d2-4d8b-9148-e3be6c30e623}">
          <xlrd:rvb i="3635"/>
        </ext>
      </extLst>
    </bk>
    <bk>
      <extLst>
        <ext uri="{3e2802c4-a4d2-4d8b-9148-e3be6c30e623}">
          <xlrd:rvb i="3636"/>
        </ext>
      </extLst>
    </bk>
    <bk>
      <extLst>
        <ext uri="{3e2802c4-a4d2-4d8b-9148-e3be6c30e623}">
          <xlrd:rvb i="3637"/>
        </ext>
      </extLst>
    </bk>
    <bk>
      <extLst>
        <ext uri="{3e2802c4-a4d2-4d8b-9148-e3be6c30e623}">
          <xlrd:rvb i="3638"/>
        </ext>
      </extLst>
    </bk>
    <bk>
      <extLst>
        <ext uri="{3e2802c4-a4d2-4d8b-9148-e3be6c30e623}">
          <xlrd:rvb i="3639"/>
        </ext>
      </extLst>
    </bk>
    <bk>
      <extLst>
        <ext uri="{3e2802c4-a4d2-4d8b-9148-e3be6c30e623}">
          <xlrd:rvb i="3640"/>
        </ext>
      </extLst>
    </bk>
    <bk>
      <extLst>
        <ext uri="{3e2802c4-a4d2-4d8b-9148-e3be6c30e623}">
          <xlrd:rvb i="3641"/>
        </ext>
      </extLst>
    </bk>
    <bk>
      <extLst>
        <ext uri="{3e2802c4-a4d2-4d8b-9148-e3be6c30e623}">
          <xlrd:rvb i="3642"/>
        </ext>
      </extLst>
    </bk>
    <bk>
      <extLst>
        <ext uri="{3e2802c4-a4d2-4d8b-9148-e3be6c30e623}">
          <xlrd:rvb i="3643"/>
        </ext>
      </extLst>
    </bk>
    <bk>
      <extLst>
        <ext uri="{3e2802c4-a4d2-4d8b-9148-e3be6c30e623}">
          <xlrd:rvb i="3644"/>
        </ext>
      </extLst>
    </bk>
    <bk>
      <extLst>
        <ext uri="{3e2802c4-a4d2-4d8b-9148-e3be6c30e623}">
          <xlrd:rvb i="3645"/>
        </ext>
      </extLst>
    </bk>
    <bk>
      <extLst>
        <ext uri="{3e2802c4-a4d2-4d8b-9148-e3be6c30e623}">
          <xlrd:rvb i="3646"/>
        </ext>
      </extLst>
    </bk>
    <bk>
      <extLst>
        <ext uri="{3e2802c4-a4d2-4d8b-9148-e3be6c30e623}">
          <xlrd:rvb i="3647"/>
        </ext>
      </extLst>
    </bk>
    <bk>
      <extLst>
        <ext uri="{3e2802c4-a4d2-4d8b-9148-e3be6c30e623}">
          <xlrd:rvb i="3648"/>
        </ext>
      </extLst>
    </bk>
    <bk>
      <extLst>
        <ext uri="{3e2802c4-a4d2-4d8b-9148-e3be6c30e623}">
          <xlrd:rvb i="3649"/>
        </ext>
      </extLst>
    </bk>
    <bk>
      <extLst>
        <ext uri="{3e2802c4-a4d2-4d8b-9148-e3be6c30e623}">
          <xlrd:rvb i="3650"/>
        </ext>
      </extLst>
    </bk>
    <bk>
      <extLst>
        <ext uri="{3e2802c4-a4d2-4d8b-9148-e3be6c30e623}">
          <xlrd:rvb i="3651"/>
        </ext>
      </extLst>
    </bk>
    <bk>
      <extLst>
        <ext uri="{3e2802c4-a4d2-4d8b-9148-e3be6c30e623}">
          <xlrd:rvb i="3652"/>
        </ext>
      </extLst>
    </bk>
    <bk>
      <extLst>
        <ext uri="{3e2802c4-a4d2-4d8b-9148-e3be6c30e623}">
          <xlrd:rvb i="3653"/>
        </ext>
      </extLst>
    </bk>
    <bk>
      <extLst>
        <ext uri="{3e2802c4-a4d2-4d8b-9148-e3be6c30e623}">
          <xlrd:rvb i="3654"/>
        </ext>
      </extLst>
    </bk>
    <bk>
      <extLst>
        <ext uri="{3e2802c4-a4d2-4d8b-9148-e3be6c30e623}">
          <xlrd:rvb i="3655"/>
        </ext>
      </extLst>
    </bk>
    <bk>
      <extLst>
        <ext uri="{3e2802c4-a4d2-4d8b-9148-e3be6c30e623}">
          <xlrd:rvb i="3656"/>
        </ext>
      </extLst>
    </bk>
    <bk>
      <extLst>
        <ext uri="{3e2802c4-a4d2-4d8b-9148-e3be6c30e623}">
          <xlrd:rvb i="3657"/>
        </ext>
      </extLst>
    </bk>
    <bk>
      <extLst>
        <ext uri="{3e2802c4-a4d2-4d8b-9148-e3be6c30e623}">
          <xlrd:rvb i="3658"/>
        </ext>
      </extLst>
    </bk>
    <bk>
      <extLst>
        <ext uri="{3e2802c4-a4d2-4d8b-9148-e3be6c30e623}">
          <xlrd:rvb i="3659"/>
        </ext>
      </extLst>
    </bk>
    <bk>
      <extLst>
        <ext uri="{3e2802c4-a4d2-4d8b-9148-e3be6c30e623}">
          <xlrd:rvb i="3660"/>
        </ext>
      </extLst>
    </bk>
    <bk>
      <extLst>
        <ext uri="{3e2802c4-a4d2-4d8b-9148-e3be6c30e623}">
          <xlrd:rvb i="3661"/>
        </ext>
      </extLst>
    </bk>
    <bk>
      <extLst>
        <ext uri="{3e2802c4-a4d2-4d8b-9148-e3be6c30e623}">
          <xlrd:rvb i="3662"/>
        </ext>
      </extLst>
    </bk>
    <bk>
      <extLst>
        <ext uri="{3e2802c4-a4d2-4d8b-9148-e3be6c30e623}">
          <xlrd:rvb i="3663"/>
        </ext>
      </extLst>
    </bk>
    <bk>
      <extLst>
        <ext uri="{3e2802c4-a4d2-4d8b-9148-e3be6c30e623}">
          <xlrd:rvb i="3664"/>
        </ext>
      </extLst>
    </bk>
    <bk>
      <extLst>
        <ext uri="{3e2802c4-a4d2-4d8b-9148-e3be6c30e623}">
          <xlrd:rvb i="3665"/>
        </ext>
      </extLst>
    </bk>
    <bk>
      <extLst>
        <ext uri="{3e2802c4-a4d2-4d8b-9148-e3be6c30e623}">
          <xlrd:rvb i="3666"/>
        </ext>
      </extLst>
    </bk>
    <bk>
      <extLst>
        <ext uri="{3e2802c4-a4d2-4d8b-9148-e3be6c30e623}">
          <xlrd:rvb i="3667"/>
        </ext>
      </extLst>
    </bk>
    <bk>
      <extLst>
        <ext uri="{3e2802c4-a4d2-4d8b-9148-e3be6c30e623}">
          <xlrd:rvb i="3668"/>
        </ext>
      </extLst>
    </bk>
    <bk>
      <extLst>
        <ext uri="{3e2802c4-a4d2-4d8b-9148-e3be6c30e623}">
          <xlrd:rvb i="3669"/>
        </ext>
      </extLst>
    </bk>
    <bk>
      <extLst>
        <ext uri="{3e2802c4-a4d2-4d8b-9148-e3be6c30e623}">
          <xlrd:rvb i="3670"/>
        </ext>
      </extLst>
    </bk>
    <bk>
      <extLst>
        <ext uri="{3e2802c4-a4d2-4d8b-9148-e3be6c30e623}">
          <xlrd:rvb i="3671"/>
        </ext>
      </extLst>
    </bk>
    <bk>
      <extLst>
        <ext uri="{3e2802c4-a4d2-4d8b-9148-e3be6c30e623}">
          <xlrd:rvb i="3672"/>
        </ext>
      </extLst>
    </bk>
    <bk>
      <extLst>
        <ext uri="{3e2802c4-a4d2-4d8b-9148-e3be6c30e623}">
          <xlrd:rvb i="3673"/>
        </ext>
      </extLst>
    </bk>
    <bk>
      <extLst>
        <ext uri="{3e2802c4-a4d2-4d8b-9148-e3be6c30e623}">
          <xlrd:rvb i="3674"/>
        </ext>
      </extLst>
    </bk>
    <bk>
      <extLst>
        <ext uri="{3e2802c4-a4d2-4d8b-9148-e3be6c30e623}">
          <xlrd:rvb i="3675"/>
        </ext>
      </extLst>
    </bk>
    <bk>
      <extLst>
        <ext uri="{3e2802c4-a4d2-4d8b-9148-e3be6c30e623}">
          <xlrd:rvb i="3676"/>
        </ext>
      </extLst>
    </bk>
    <bk>
      <extLst>
        <ext uri="{3e2802c4-a4d2-4d8b-9148-e3be6c30e623}">
          <xlrd:rvb i="3677"/>
        </ext>
      </extLst>
    </bk>
    <bk>
      <extLst>
        <ext uri="{3e2802c4-a4d2-4d8b-9148-e3be6c30e623}">
          <xlrd:rvb i="3678"/>
        </ext>
      </extLst>
    </bk>
    <bk>
      <extLst>
        <ext uri="{3e2802c4-a4d2-4d8b-9148-e3be6c30e623}">
          <xlrd:rvb i="3679"/>
        </ext>
      </extLst>
    </bk>
    <bk>
      <extLst>
        <ext uri="{3e2802c4-a4d2-4d8b-9148-e3be6c30e623}">
          <xlrd:rvb i="3680"/>
        </ext>
      </extLst>
    </bk>
    <bk>
      <extLst>
        <ext uri="{3e2802c4-a4d2-4d8b-9148-e3be6c30e623}">
          <xlrd:rvb i="3681"/>
        </ext>
      </extLst>
    </bk>
    <bk>
      <extLst>
        <ext uri="{3e2802c4-a4d2-4d8b-9148-e3be6c30e623}">
          <xlrd:rvb i="3682"/>
        </ext>
      </extLst>
    </bk>
    <bk>
      <extLst>
        <ext uri="{3e2802c4-a4d2-4d8b-9148-e3be6c30e623}">
          <xlrd:rvb i="3683"/>
        </ext>
      </extLst>
    </bk>
    <bk>
      <extLst>
        <ext uri="{3e2802c4-a4d2-4d8b-9148-e3be6c30e623}">
          <xlrd:rvb i="3684"/>
        </ext>
      </extLst>
    </bk>
    <bk>
      <extLst>
        <ext uri="{3e2802c4-a4d2-4d8b-9148-e3be6c30e623}">
          <xlrd:rvb i="3685"/>
        </ext>
      </extLst>
    </bk>
    <bk>
      <extLst>
        <ext uri="{3e2802c4-a4d2-4d8b-9148-e3be6c30e623}">
          <xlrd:rvb i="3686"/>
        </ext>
      </extLst>
    </bk>
    <bk>
      <extLst>
        <ext uri="{3e2802c4-a4d2-4d8b-9148-e3be6c30e623}">
          <xlrd:rvb i="3687"/>
        </ext>
      </extLst>
    </bk>
    <bk>
      <extLst>
        <ext uri="{3e2802c4-a4d2-4d8b-9148-e3be6c30e623}">
          <xlrd:rvb i="3688"/>
        </ext>
      </extLst>
    </bk>
    <bk>
      <extLst>
        <ext uri="{3e2802c4-a4d2-4d8b-9148-e3be6c30e623}">
          <xlrd:rvb i="3689"/>
        </ext>
      </extLst>
    </bk>
    <bk>
      <extLst>
        <ext uri="{3e2802c4-a4d2-4d8b-9148-e3be6c30e623}">
          <xlrd:rvb i="3690"/>
        </ext>
      </extLst>
    </bk>
    <bk>
      <extLst>
        <ext uri="{3e2802c4-a4d2-4d8b-9148-e3be6c30e623}">
          <xlrd:rvb i="3691"/>
        </ext>
      </extLst>
    </bk>
    <bk>
      <extLst>
        <ext uri="{3e2802c4-a4d2-4d8b-9148-e3be6c30e623}">
          <xlrd:rvb i="3692"/>
        </ext>
      </extLst>
    </bk>
    <bk>
      <extLst>
        <ext uri="{3e2802c4-a4d2-4d8b-9148-e3be6c30e623}">
          <xlrd:rvb i="3693"/>
        </ext>
      </extLst>
    </bk>
    <bk>
      <extLst>
        <ext uri="{3e2802c4-a4d2-4d8b-9148-e3be6c30e623}">
          <xlrd:rvb i="3694"/>
        </ext>
      </extLst>
    </bk>
    <bk>
      <extLst>
        <ext uri="{3e2802c4-a4d2-4d8b-9148-e3be6c30e623}">
          <xlrd:rvb i="3695"/>
        </ext>
      </extLst>
    </bk>
    <bk>
      <extLst>
        <ext uri="{3e2802c4-a4d2-4d8b-9148-e3be6c30e623}">
          <xlrd:rvb i="3696"/>
        </ext>
      </extLst>
    </bk>
    <bk>
      <extLst>
        <ext uri="{3e2802c4-a4d2-4d8b-9148-e3be6c30e623}">
          <xlrd:rvb i="3697"/>
        </ext>
      </extLst>
    </bk>
    <bk>
      <extLst>
        <ext uri="{3e2802c4-a4d2-4d8b-9148-e3be6c30e623}">
          <xlrd:rvb i="3698"/>
        </ext>
      </extLst>
    </bk>
    <bk>
      <extLst>
        <ext uri="{3e2802c4-a4d2-4d8b-9148-e3be6c30e623}">
          <xlrd:rvb i="3699"/>
        </ext>
      </extLst>
    </bk>
    <bk>
      <extLst>
        <ext uri="{3e2802c4-a4d2-4d8b-9148-e3be6c30e623}">
          <xlrd:rvb i="3700"/>
        </ext>
      </extLst>
    </bk>
    <bk>
      <extLst>
        <ext uri="{3e2802c4-a4d2-4d8b-9148-e3be6c30e623}">
          <xlrd:rvb i="3701"/>
        </ext>
      </extLst>
    </bk>
    <bk>
      <extLst>
        <ext uri="{3e2802c4-a4d2-4d8b-9148-e3be6c30e623}">
          <xlrd:rvb i="3702"/>
        </ext>
      </extLst>
    </bk>
    <bk>
      <extLst>
        <ext uri="{3e2802c4-a4d2-4d8b-9148-e3be6c30e623}">
          <xlrd:rvb i="3703"/>
        </ext>
      </extLst>
    </bk>
    <bk>
      <extLst>
        <ext uri="{3e2802c4-a4d2-4d8b-9148-e3be6c30e623}">
          <xlrd:rvb i="3704"/>
        </ext>
      </extLst>
    </bk>
    <bk>
      <extLst>
        <ext uri="{3e2802c4-a4d2-4d8b-9148-e3be6c30e623}">
          <xlrd:rvb i="3705"/>
        </ext>
      </extLst>
    </bk>
    <bk>
      <extLst>
        <ext uri="{3e2802c4-a4d2-4d8b-9148-e3be6c30e623}">
          <xlrd:rvb i="3706"/>
        </ext>
      </extLst>
    </bk>
    <bk>
      <extLst>
        <ext uri="{3e2802c4-a4d2-4d8b-9148-e3be6c30e623}">
          <xlrd:rvb i="3707"/>
        </ext>
      </extLst>
    </bk>
    <bk>
      <extLst>
        <ext uri="{3e2802c4-a4d2-4d8b-9148-e3be6c30e623}">
          <xlrd:rvb i="3708"/>
        </ext>
      </extLst>
    </bk>
    <bk>
      <extLst>
        <ext uri="{3e2802c4-a4d2-4d8b-9148-e3be6c30e623}">
          <xlrd:rvb i="3709"/>
        </ext>
      </extLst>
    </bk>
    <bk>
      <extLst>
        <ext uri="{3e2802c4-a4d2-4d8b-9148-e3be6c30e623}">
          <xlrd:rvb i="3710"/>
        </ext>
      </extLst>
    </bk>
    <bk>
      <extLst>
        <ext uri="{3e2802c4-a4d2-4d8b-9148-e3be6c30e623}">
          <xlrd:rvb i="3711"/>
        </ext>
      </extLst>
    </bk>
    <bk>
      <extLst>
        <ext uri="{3e2802c4-a4d2-4d8b-9148-e3be6c30e623}">
          <xlrd:rvb i="3712"/>
        </ext>
      </extLst>
    </bk>
    <bk>
      <extLst>
        <ext uri="{3e2802c4-a4d2-4d8b-9148-e3be6c30e623}">
          <xlrd:rvb i="3713"/>
        </ext>
      </extLst>
    </bk>
    <bk>
      <extLst>
        <ext uri="{3e2802c4-a4d2-4d8b-9148-e3be6c30e623}">
          <xlrd:rvb i="3714"/>
        </ext>
      </extLst>
    </bk>
    <bk>
      <extLst>
        <ext uri="{3e2802c4-a4d2-4d8b-9148-e3be6c30e623}">
          <xlrd:rvb i="3715"/>
        </ext>
      </extLst>
    </bk>
    <bk>
      <extLst>
        <ext uri="{3e2802c4-a4d2-4d8b-9148-e3be6c30e623}">
          <xlrd:rvb i="3716"/>
        </ext>
      </extLst>
    </bk>
    <bk>
      <extLst>
        <ext uri="{3e2802c4-a4d2-4d8b-9148-e3be6c30e623}">
          <xlrd:rvb i="3717"/>
        </ext>
      </extLst>
    </bk>
    <bk>
      <extLst>
        <ext uri="{3e2802c4-a4d2-4d8b-9148-e3be6c30e623}">
          <xlrd:rvb i="3718"/>
        </ext>
      </extLst>
    </bk>
    <bk>
      <extLst>
        <ext uri="{3e2802c4-a4d2-4d8b-9148-e3be6c30e623}">
          <xlrd:rvb i="3719"/>
        </ext>
      </extLst>
    </bk>
    <bk>
      <extLst>
        <ext uri="{3e2802c4-a4d2-4d8b-9148-e3be6c30e623}">
          <xlrd:rvb i="3720"/>
        </ext>
      </extLst>
    </bk>
    <bk>
      <extLst>
        <ext uri="{3e2802c4-a4d2-4d8b-9148-e3be6c30e623}">
          <xlrd:rvb i="3721"/>
        </ext>
      </extLst>
    </bk>
    <bk>
      <extLst>
        <ext uri="{3e2802c4-a4d2-4d8b-9148-e3be6c30e623}">
          <xlrd:rvb i="3722"/>
        </ext>
      </extLst>
    </bk>
    <bk>
      <extLst>
        <ext uri="{3e2802c4-a4d2-4d8b-9148-e3be6c30e623}">
          <xlrd:rvb i="3723"/>
        </ext>
      </extLst>
    </bk>
    <bk>
      <extLst>
        <ext uri="{3e2802c4-a4d2-4d8b-9148-e3be6c30e623}">
          <xlrd:rvb i="3724"/>
        </ext>
      </extLst>
    </bk>
    <bk>
      <extLst>
        <ext uri="{3e2802c4-a4d2-4d8b-9148-e3be6c30e623}">
          <xlrd:rvb i="3725"/>
        </ext>
      </extLst>
    </bk>
    <bk>
      <extLst>
        <ext uri="{3e2802c4-a4d2-4d8b-9148-e3be6c30e623}">
          <xlrd:rvb i="3726"/>
        </ext>
      </extLst>
    </bk>
    <bk>
      <extLst>
        <ext uri="{3e2802c4-a4d2-4d8b-9148-e3be6c30e623}">
          <xlrd:rvb i="3727"/>
        </ext>
      </extLst>
    </bk>
    <bk>
      <extLst>
        <ext uri="{3e2802c4-a4d2-4d8b-9148-e3be6c30e623}">
          <xlrd:rvb i="3728"/>
        </ext>
      </extLst>
    </bk>
    <bk>
      <extLst>
        <ext uri="{3e2802c4-a4d2-4d8b-9148-e3be6c30e623}">
          <xlrd:rvb i="3729"/>
        </ext>
      </extLst>
    </bk>
    <bk>
      <extLst>
        <ext uri="{3e2802c4-a4d2-4d8b-9148-e3be6c30e623}">
          <xlrd:rvb i="3730"/>
        </ext>
      </extLst>
    </bk>
    <bk>
      <extLst>
        <ext uri="{3e2802c4-a4d2-4d8b-9148-e3be6c30e623}">
          <xlrd:rvb i="3731"/>
        </ext>
      </extLst>
    </bk>
    <bk>
      <extLst>
        <ext uri="{3e2802c4-a4d2-4d8b-9148-e3be6c30e623}">
          <xlrd:rvb i="3732"/>
        </ext>
      </extLst>
    </bk>
    <bk>
      <extLst>
        <ext uri="{3e2802c4-a4d2-4d8b-9148-e3be6c30e623}">
          <xlrd:rvb i="3733"/>
        </ext>
      </extLst>
    </bk>
    <bk>
      <extLst>
        <ext uri="{3e2802c4-a4d2-4d8b-9148-e3be6c30e623}">
          <xlrd:rvb i="3734"/>
        </ext>
      </extLst>
    </bk>
    <bk>
      <extLst>
        <ext uri="{3e2802c4-a4d2-4d8b-9148-e3be6c30e623}">
          <xlrd:rvb i="3735"/>
        </ext>
      </extLst>
    </bk>
    <bk>
      <extLst>
        <ext uri="{3e2802c4-a4d2-4d8b-9148-e3be6c30e623}">
          <xlrd:rvb i="3736"/>
        </ext>
      </extLst>
    </bk>
    <bk>
      <extLst>
        <ext uri="{3e2802c4-a4d2-4d8b-9148-e3be6c30e623}">
          <xlrd:rvb i="3737"/>
        </ext>
      </extLst>
    </bk>
    <bk>
      <extLst>
        <ext uri="{3e2802c4-a4d2-4d8b-9148-e3be6c30e623}">
          <xlrd:rvb i="3738"/>
        </ext>
      </extLst>
    </bk>
    <bk>
      <extLst>
        <ext uri="{3e2802c4-a4d2-4d8b-9148-e3be6c30e623}">
          <xlrd:rvb i="3739"/>
        </ext>
      </extLst>
    </bk>
    <bk>
      <extLst>
        <ext uri="{3e2802c4-a4d2-4d8b-9148-e3be6c30e623}">
          <xlrd:rvb i="3740"/>
        </ext>
      </extLst>
    </bk>
    <bk>
      <extLst>
        <ext uri="{3e2802c4-a4d2-4d8b-9148-e3be6c30e623}">
          <xlrd:rvb i="3741"/>
        </ext>
      </extLst>
    </bk>
    <bk>
      <extLst>
        <ext uri="{3e2802c4-a4d2-4d8b-9148-e3be6c30e623}">
          <xlrd:rvb i="3742"/>
        </ext>
      </extLst>
    </bk>
    <bk>
      <extLst>
        <ext uri="{3e2802c4-a4d2-4d8b-9148-e3be6c30e623}">
          <xlrd:rvb i="3743"/>
        </ext>
      </extLst>
    </bk>
    <bk>
      <extLst>
        <ext uri="{3e2802c4-a4d2-4d8b-9148-e3be6c30e623}">
          <xlrd:rvb i="3744"/>
        </ext>
      </extLst>
    </bk>
    <bk>
      <extLst>
        <ext uri="{3e2802c4-a4d2-4d8b-9148-e3be6c30e623}">
          <xlrd:rvb i="3745"/>
        </ext>
      </extLst>
    </bk>
    <bk>
      <extLst>
        <ext uri="{3e2802c4-a4d2-4d8b-9148-e3be6c30e623}">
          <xlrd:rvb i="3746"/>
        </ext>
      </extLst>
    </bk>
    <bk>
      <extLst>
        <ext uri="{3e2802c4-a4d2-4d8b-9148-e3be6c30e623}">
          <xlrd:rvb i="3747"/>
        </ext>
      </extLst>
    </bk>
    <bk>
      <extLst>
        <ext uri="{3e2802c4-a4d2-4d8b-9148-e3be6c30e623}">
          <xlrd:rvb i="3748"/>
        </ext>
      </extLst>
    </bk>
    <bk>
      <extLst>
        <ext uri="{3e2802c4-a4d2-4d8b-9148-e3be6c30e623}">
          <xlrd:rvb i="3749"/>
        </ext>
      </extLst>
    </bk>
    <bk>
      <extLst>
        <ext uri="{3e2802c4-a4d2-4d8b-9148-e3be6c30e623}">
          <xlrd:rvb i="3750"/>
        </ext>
      </extLst>
    </bk>
    <bk>
      <extLst>
        <ext uri="{3e2802c4-a4d2-4d8b-9148-e3be6c30e623}">
          <xlrd:rvb i="3751"/>
        </ext>
      </extLst>
    </bk>
    <bk>
      <extLst>
        <ext uri="{3e2802c4-a4d2-4d8b-9148-e3be6c30e623}">
          <xlrd:rvb i="3752"/>
        </ext>
      </extLst>
    </bk>
    <bk>
      <extLst>
        <ext uri="{3e2802c4-a4d2-4d8b-9148-e3be6c30e623}">
          <xlrd:rvb i="3753"/>
        </ext>
      </extLst>
    </bk>
    <bk>
      <extLst>
        <ext uri="{3e2802c4-a4d2-4d8b-9148-e3be6c30e623}">
          <xlrd:rvb i="3754"/>
        </ext>
      </extLst>
    </bk>
    <bk>
      <extLst>
        <ext uri="{3e2802c4-a4d2-4d8b-9148-e3be6c30e623}">
          <xlrd:rvb i="3755"/>
        </ext>
      </extLst>
    </bk>
    <bk>
      <extLst>
        <ext uri="{3e2802c4-a4d2-4d8b-9148-e3be6c30e623}">
          <xlrd:rvb i="3756"/>
        </ext>
      </extLst>
    </bk>
    <bk>
      <extLst>
        <ext uri="{3e2802c4-a4d2-4d8b-9148-e3be6c30e623}">
          <xlrd:rvb i="3757"/>
        </ext>
      </extLst>
    </bk>
    <bk>
      <extLst>
        <ext uri="{3e2802c4-a4d2-4d8b-9148-e3be6c30e623}">
          <xlrd:rvb i="3758"/>
        </ext>
      </extLst>
    </bk>
    <bk>
      <extLst>
        <ext uri="{3e2802c4-a4d2-4d8b-9148-e3be6c30e623}">
          <xlrd:rvb i="3759"/>
        </ext>
      </extLst>
    </bk>
    <bk>
      <extLst>
        <ext uri="{3e2802c4-a4d2-4d8b-9148-e3be6c30e623}">
          <xlrd:rvb i="3760"/>
        </ext>
      </extLst>
    </bk>
    <bk>
      <extLst>
        <ext uri="{3e2802c4-a4d2-4d8b-9148-e3be6c30e623}">
          <xlrd:rvb i="3761"/>
        </ext>
      </extLst>
    </bk>
    <bk>
      <extLst>
        <ext uri="{3e2802c4-a4d2-4d8b-9148-e3be6c30e623}">
          <xlrd:rvb i="3762"/>
        </ext>
      </extLst>
    </bk>
    <bk>
      <extLst>
        <ext uri="{3e2802c4-a4d2-4d8b-9148-e3be6c30e623}">
          <xlrd:rvb i="3763"/>
        </ext>
      </extLst>
    </bk>
    <bk>
      <extLst>
        <ext uri="{3e2802c4-a4d2-4d8b-9148-e3be6c30e623}">
          <xlrd:rvb i="3764"/>
        </ext>
      </extLst>
    </bk>
    <bk>
      <extLst>
        <ext uri="{3e2802c4-a4d2-4d8b-9148-e3be6c30e623}">
          <xlrd:rvb i="3765"/>
        </ext>
      </extLst>
    </bk>
    <bk>
      <extLst>
        <ext uri="{3e2802c4-a4d2-4d8b-9148-e3be6c30e623}">
          <xlrd:rvb i="3766"/>
        </ext>
      </extLst>
    </bk>
    <bk>
      <extLst>
        <ext uri="{3e2802c4-a4d2-4d8b-9148-e3be6c30e623}">
          <xlrd:rvb i="3767"/>
        </ext>
      </extLst>
    </bk>
    <bk>
      <extLst>
        <ext uri="{3e2802c4-a4d2-4d8b-9148-e3be6c30e623}">
          <xlrd:rvb i="3768"/>
        </ext>
      </extLst>
    </bk>
    <bk>
      <extLst>
        <ext uri="{3e2802c4-a4d2-4d8b-9148-e3be6c30e623}">
          <xlrd:rvb i="3769"/>
        </ext>
      </extLst>
    </bk>
    <bk>
      <extLst>
        <ext uri="{3e2802c4-a4d2-4d8b-9148-e3be6c30e623}">
          <xlrd:rvb i="3770"/>
        </ext>
      </extLst>
    </bk>
    <bk>
      <extLst>
        <ext uri="{3e2802c4-a4d2-4d8b-9148-e3be6c30e623}">
          <xlrd:rvb i="3771"/>
        </ext>
      </extLst>
    </bk>
    <bk>
      <extLst>
        <ext uri="{3e2802c4-a4d2-4d8b-9148-e3be6c30e623}">
          <xlrd:rvb i="3772"/>
        </ext>
      </extLst>
    </bk>
    <bk>
      <extLst>
        <ext uri="{3e2802c4-a4d2-4d8b-9148-e3be6c30e623}">
          <xlrd:rvb i="3773"/>
        </ext>
      </extLst>
    </bk>
    <bk>
      <extLst>
        <ext uri="{3e2802c4-a4d2-4d8b-9148-e3be6c30e623}">
          <xlrd:rvb i="3774"/>
        </ext>
      </extLst>
    </bk>
    <bk>
      <extLst>
        <ext uri="{3e2802c4-a4d2-4d8b-9148-e3be6c30e623}">
          <xlrd:rvb i="3775"/>
        </ext>
      </extLst>
    </bk>
    <bk>
      <extLst>
        <ext uri="{3e2802c4-a4d2-4d8b-9148-e3be6c30e623}">
          <xlrd:rvb i="3776"/>
        </ext>
      </extLst>
    </bk>
    <bk>
      <extLst>
        <ext uri="{3e2802c4-a4d2-4d8b-9148-e3be6c30e623}">
          <xlrd:rvb i="3777"/>
        </ext>
      </extLst>
    </bk>
    <bk>
      <extLst>
        <ext uri="{3e2802c4-a4d2-4d8b-9148-e3be6c30e623}">
          <xlrd:rvb i="3778"/>
        </ext>
      </extLst>
    </bk>
    <bk>
      <extLst>
        <ext uri="{3e2802c4-a4d2-4d8b-9148-e3be6c30e623}">
          <xlrd:rvb i="3779"/>
        </ext>
      </extLst>
    </bk>
    <bk>
      <extLst>
        <ext uri="{3e2802c4-a4d2-4d8b-9148-e3be6c30e623}">
          <xlrd:rvb i="3780"/>
        </ext>
      </extLst>
    </bk>
    <bk>
      <extLst>
        <ext uri="{3e2802c4-a4d2-4d8b-9148-e3be6c30e623}">
          <xlrd:rvb i="3781"/>
        </ext>
      </extLst>
    </bk>
    <bk>
      <extLst>
        <ext uri="{3e2802c4-a4d2-4d8b-9148-e3be6c30e623}">
          <xlrd:rvb i="3782"/>
        </ext>
      </extLst>
    </bk>
    <bk>
      <extLst>
        <ext uri="{3e2802c4-a4d2-4d8b-9148-e3be6c30e623}">
          <xlrd:rvb i="3783"/>
        </ext>
      </extLst>
    </bk>
    <bk>
      <extLst>
        <ext uri="{3e2802c4-a4d2-4d8b-9148-e3be6c30e623}">
          <xlrd:rvb i="3784"/>
        </ext>
      </extLst>
    </bk>
    <bk>
      <extLst>
        <ext uri="{3e2802c4-a4d2-4d8b-9148-e3be6c30e623}">
          <xlrd:rvb i="3785"/>
        </ext>
      </extLst>
    </bk>
    <bk>
      <extLst>
        <ext uri="{3e2802c4-a4d2-4d8b-9148-e3be6c30e623}">
          <xlrd:rvb i="3786"/>
        </ext>
      </extLst>
    </bk>
    <bk>
      <extLst>
        <ext uri="{3e2802c4-a4d2-4d8b-9148-e3be6c30e623}">
          <xlrd:rvb i="3787"/>
        </ext>
      </extLst>
    </bk>
    <bk>
      <extLst>
        <ext uri="{3e2802c4-a4d2-4d8b-9148-e3be6c30e623}">
          <xlrd:rvb i="3788"/>
        </ext>
      </extLst>
    </bk>
    <bk>
      <extLst>
        <ext uri="{3e2802c4-a4d2-4d8b-9148-e3be6c30e623}">
          <xlrd:rvb i="3789"/>
        </ext>
      </extLst>
    </bk>
    <bk>
      <extLst>
        <ext uri="{3e2802c4-a4d2-4d8b-9148-e3be6c30e623}">
          <xlrd:rvb i="3790"/>
        </ext>
      </extLst>
    </bk>
    <bk>
      <extLst>
        <ext uri="{3e2802c4-a4d2-4d8b-9148-e3be6c30e623}">
          <xlrd:rvb i="3791"/>
        </ext>
      </extLst>
    </bk>
    <bk>
      <extLst>
        <ext uri="{3e2802c4-a4d2-4d8b-9148-e3be6c30e623}">
          <xlrd:rvb i="3792"/>
        </ext>
      </extLst>
    </bk>
    <bk>
      <extLst>
        <ext uri="{3e2802c4-a4d2-4d8b-9148-e3be6c30e623}">
          <xlrd:rvb i="3793"/>
        </ext>
      </extLst>
    </bk>
    <bk>
      <extLst>
        <ext uri="{3e2802c4-a4d2-4d8b-9148-e3be6c30e623}">
          <xlrd:rvb i="3794"/>
        </ext>
      </extLst>
    </bk>
    <bk>
      <extLst>
        <ext uri="{3e2802c4-a4d2-4d8b-9148-e3be6c30e623}">
          <xlrd:rvb i="3795"/>
        </ext>
      </extLst>
    </bk>
    <bk>
      <extLst>
        <ext uri="{3e2802c4-a4d2-4d8b-9148-e3be6c30e623}">
          <xlrd:rvb i="3796"/>
        </ext>
      </extLst>
    </bk>
    <bk>
      <extLst>
        <ext uri="{3e2802c4-a4d2-4d8b-9148-e3be6c30e623}">
          <xlrd:rvb i="3797"/>
        </ext>
      </extLst>
    </bk>
    <bk>
      <extLst>
        <ext uri="{3e2802c4-a4d2-4d8b-9148-e3be6c30e623}">
          <xlrd:rvb i="3798"/>
        </ext>
      </extLst>
    </bk>
    <bk>
      <extLst>
        <ext uri="{3e2802c4-a4d2-4d8b-9148-e3be6c30e623}">
          <xlrd:rvb i="3799"/>
        </ext>
      </extLst>
    </bk>
    <bk>
      <extLst>
        <ext uri="{3e2802c4-a4d2-4d8b-9148-e3be6c30e623}">
          <xlrd:rvb i="3800"/>
        </ext>
      </extLst>
    </bk>
    <bk>
      <extLst>
        <ext uri="{3e2802c4-a4d2-4d8b-9148-e3be6c30e623}">
          <xlrd:rvb i="3801"/>
        </ext>
      </extLst>
    </bk>
    <bk>
      <extLst>
        <ext uri="{3e2802c4-a4d2-4d8b-9148-e3be6c30e623}">
          <xlrd:rvb i="3802"/>
        </ext>
      </extLst>
    </bk>
    <bk>
      <extLst>
        <ext uri="{3e2802c4-a4d2-4d8b-9148-e3be6c30e623}">
          <xlrd:rvb i="3803"/>
        </ext>
      </extLst>
    </bk>
    <bk>
      <extLst>
        <ext uri="{3e2802c4-a4d2-4d8b-9148-e3be6c30e623}">
          <xlrd:rvb i="3804"/>
        </ext>
      </extLst>
    </bk>
    <bk>
      <extLst>
        <ext uri="{3e2802c4-a4d2-4d8b-9148-e3be6c30e623}">
          <xlrd:rvb i="3805"/>
        </ext>
      </extLst>
    </bk>
    <bk>
      <extLst>
        <ext uri="{3e2802c4-a4d2-4d8b-9148-e3be6c30e623}">
          <xlrd:rvb i="3806"/>
        </ext>
      </extLst>
    </bk>
    <bk>
      <extLst>
        <ext uri="{3e2802c4-a4d2-4d8b-9148-e3be6c30e623}">
          <xlrd:rvb i="3807"/>
        </ext>
      </extLst>
    </bk>
    <bk>
      <extLst>
        <ext uri="{3e2802c4-a4d2-4d8b-9148-e3be6c30e623}">
          <xlrd:rvb i="3808"/>
        </ext>
      </extLst>
    </bk>
    <bk>
      <extLst>
        <ext uri="{3e2802c4-a4d2-4d8b-9148-e3be6c30e623}">
          <xlrd:rvb i="3809"/>
        </ext>
      </extLst>
    </bk>
    <bk>
      <extLst>
        <ext uri="{3e2802c4-a4d2-4d8b-9148-e3be6c30e623}">
          <xlrd:rvb i="3810"/>
        </ext>
      </extLst>
    </bk>
    <bk>
      <extLst>
        <ext uri="{3e2802c4-a4d2-4d8b-9148-e3be6c30e623}">
          <xlrd:rvb i="3811"/>
        </ext>
      </extLst>
    </bk>
    <bk>
      <extLst>
        <ext uri="{3e2802c4-a4d2-4d8b-9148-e3be6c30e623}">
          <xlrd:rvb i="3812"/>
        </ext>
      </extLst>
    </bk>
    <bk>
      <extLst>
        <ext uri="{3e2802c4-a4d2-4d8b-9148-e3be6c30e623}">
          <xlrd:rvb i="3813"/>
        </ext>
      </extLst>
    </bk>
    <bk>
      <extLst>
        <ext uri="{3e2802c4-a4d2-4d8b-9148-e3be6c30e623}">
          <xlrd:rvb i="3814"/>
        </ext>
      </extLst>
    </bk>
    <bk>
      <extLst>
        <ext uri="{3e2802c4-a4d2-4d8b-9148-e3be6c30e623}">
          <xlrd:rvb i="3815"/>
        </ext>
      </extLst>
    </bk>
    <bk>
      <extLst>
        <ext uri="{3e2802c4-a4d2-4d8b-9148-e3be6c30e623}">
          <xlrd:rvb i="3816"/>
        </ext>
      </extLst>
    </bk>
    <bk>
      <extLst>
        <ext uri="{3e2802c4-a4d2-4d8b-9148-e3be6c30e623}">
          <xlrd:rvb i="3817"/>
        </ext>
      </extLst>
    </bk>
    <bk>
      <extLst>
        <ext uri="{3e2802c4-a4d2-4d8b-9148-e3be6c30e623}">
          <xlrd:rvb i="3818"/>
        </ext>
      </extLst>
    </bk>
    <bk>
      <extLst>
        <ext uri="{3e2802c4-a4d2-4d8b-9148-e3be6c30e623}">
          <xlrd:rvb i="3819"/>
        </ext>
      </extLst>
    </bk>
    <bk>
      <extLst>
        <ext uri="{3e2802c4-a4d2-4d8b-9148-e3be6c30e623}">
          <xlrd:rvb i="3820"/>
        </ext>
      </extLst>
    </bk>
    <bk>
      <extLst>
        <ext uri="{3e2802c4-a4d2-4d8b-9148-e3be6c30e623}">
          <xlrd:rvb i="3821"/>
        </ext>
      </extLst>
    </bk>
    <bk>
      <extLst>
        <ext uri="{3e2802c4-a4d2-4d8b-9148-e3be6c30e623}">
          <xlrd:rvb i="3822"/>
        </ext>
      </extLst>
    </bk>
    <bk>
      <extLst>
        <ext uri="{3e2802c4-a4d2-4d8b-9148-e3be6c30e623}">
          <xlrd:rvb i="3823"/>
        </ext>
      </extLst>
    </bk>
    <bk>
      <extLst>
        <ext uri="{3e2802c4-a4d2-4d8b-9148-e3be6c30e623}">
          <xlrd:rvb i="3824"/>
        </ext>
      </extLst>
    </bk>
    <bk>
      <extLst>
        <ext uri="{3e2802c4-a4d2-4d8b-9148-e3be6c30e623}">
          <xlrd:rvb i="3825"/>
        </ext>
      </extLst>
    </bk>
    <bk>
      <extLst>
        <ext uri="{3e2802c4-a4d2-4d8b-9148-e3be6c30e623}">
          <xlrd:rvb i="3826"/>
        </ext>
      </extLst>
    </bk>
    <bk>
      <extLst>
        <ext uri="{3e2802c4-a4d2-4d8b-9148-e3be6c30e623}">
          <xlrd:rvb i="3827"/>
        </ext>
      </extLst>
    </bk>
    <bk>
      <extLst>
        <ext uri="{3e2802c4-a4d2-4d8b-9148-e3be6c30e623}">
          <xlrd:rvb i="3828"/>
        </ext>
      </extLst>
    </bk>
    <bk>
      <extLst>
        <ext uri="{3e2802c4-a4d2-4d8b-9148-e3be6c30e623}">
          <xlrd:rvb i="3829"/>
        </ext>
      </extLst>
    </bk>
    <bk>
      <extLst>
        <ext uri="{3e2802c4-a4d2-4d8b-9148-e3be6c30e623}">
          <xlrd:rvb i="3830"/>
        </ext>
      </extLst>
    </bk>
    <bk>
      <extLst>
        <ext uri="{3e2802c4-a4d2-4d8b-9148-e3be6c30e623}">
          <xlrd:rvb i="3831"/>
        </ext>
      </extLst>
    </bk>
    <bk>
      <extLst>
        <ext uri="{3e2802c4-a4d2-4d8b-9148-e3be6c30e623}">
          <xlrd:rvb i="3832"/>
        </ext>
      </extLst>
    </bk>
    <bk>
      <extLst>
        <ext uri="{3e2802c4-a4d2-4d8b-9148-e3be6c30e623}">
          <xlrd:rvb i="3833"/>
        </ext>
      </extLst>
    </bk>
    <bk>
      <extLst>
        <ext uri="{3e2802c4-a4d2-4d8b-9148-e3be6c30e623}">
          <xlrd:rvb i="3834"/>
        </ext>
      </extLst>
    </bk>
    <bk>
      <extLst>
        <ext uri="{3e2802c4-a4d2-4d8b-9148-e3be6c30e623}">
          <xlrd:rvb i="3835"/>
        </ext>
      </extLst>
    </bk>
    <bk>
      <extLst>
        <ext uri="{3e2802c4-a4d2-4d8b-9148-e3be6c30e623}">
          <xlrd:rvb i="3836"/>
        </ext>
      </extLst>
    </bk>
    <bk>
      <extLst>
        <ext uri="{3e2802c4-a4d2-4d8b-9148-e3be6c30e623}">
          <xlrd:rvb i="3837"/>
        </ext>
      </extLst>
    </bk>
    <bk>
      <extLst>
        <ext uri="{3e2802c4-a4d2-4d8b-9148-e3be6c30e623}">
          <xlrd:rvb i="3838"/>
        </ext>
      </extLst>
    </bk>
    <bk>
      <extLst>
        <ext uri="{3e2802c4-a4d2-4d8b-9148-e3be6c30e623}">
          <xlrd:rvb i="3839"/>
        </ext>
      </extLst>
    </bk>
    <bk>
      <extLst>
        <ext uri="{3e2802c4-a4d2-4d8b-9148-e3be6c30e623}">
          <xlrd:rvb i="3840"/>
        </ext>
      </extLst>
    </bk>
    <bk>
      <extLst>
        <ext uri="{3e2802c4-a4d2-4d8b-9148-e3be6c30e623}">
          <xlrd:rvb i="3841"/>
        </ext>
      </extLst>
    </bk>
    <bk>
      <extLst>
        <ext uri="{3e2802c4-a4d2-4d8b-9148-e3be6c30e623}">
          <xlrd:rvb i="3842"/>
        </ext>
      </extLst>
    </bk>
    <bk>
      <extLst>
        <ext uri="{3e2802c4-a4d2-4d8b-9148-e3be6c30e623}">
          <xlrd:rvb i="3843"/>
        </ext>
      </extLst>
    </bk>
    <bk>
      <extLst>
        <ext uri="{3e2802c4-a4d2-4d8b-9148-e3be6c30e623}">
          <xlrd:rvb i="3844"/>
        </ext>
      </extLst>
    </bk>
    <bk>
      <extLst>
        <ext uri="{3e2802c4-a4d2-4d8b-9148-e3be6c30e623}">
          <xlrd:rvb i="3845"/>
        </ext>
      </extLst>
    </bk>
    <bk>
      <extLst>
        <ext uri="{3e2802c4-a4d2-4d8b-9148-e3be6c30e623}">
          <xlrd:rvb i="3846"/>
        </ext>
      </extLst>
    </bk>
    <bk>
      <extLst>
        <ext uri="{3e2802c4-a4d2-4d8b-9148-e3be6c30e623}">
          <xlrd:rvb i="3847"/>
        </ext>
      </extLst>
    </bk>
    <bk>
      <extLst>
        <ext uri="{3e2802c4-a4d2-4d8b-9148-e3be6c30e623}">
          <xlrd:rvb i="3848"/>
        </ext>
      </extLst>
    </bk>
    <bk>
      <extLst>
        <ext uri="{3e2802c4-a4d2-4d8b-9148-e3be6c30e623}">
          <xlrd:rvb i="3849"/>
        </ext>
      </extLst>
    </bk>
    <bk>
      <extLst>
        <ext uri="{3e2802c4-a4d2-4d8b-9148-e3be6c30e623}">
          <xlrd:rvb i="3850"/>
        </ext>
      </extLst>
    </bk>
    <bk>
      <extLst>
        <ext uri="{3e2802c4-a4d2-4d8b-9148-e3be6c30e623}">
          <xlrd:rvb i="3851"/>
        </ext>
      </extLst>
    </bk>
    <bk>
      <extLst>
        <ext uri="{3e2802c4-a4d2-4d8b-9148-e3be6c30e623}">
          <xlrd:rvb i="3852"/>
        </ext>
      </extLst>
    </bk>
    <bk>
      <extLst>
        <ext uri="{3e2802c4-a4d2-4d8b-9148-e3be6c30e623}">
          <xlrd:rvb i="3853"/>
        </ext>
      </extLst>
    </bk>
    <bk>
      <extLst>
        <ext uri="{3e2802c4-a4d2-4d8b-9148-e3be6c30e623}">
          <xlrd:rvb i="3854"/>
        </ext>
      </extLst>
    </bk>
    <bk>
      <extLst>
        <ext uri="{3e2802c4-a4d2-4d8b-9148-e3be6c30e623}">
          <xlrd:rvb i="3855"/>
        </ext>
      </extLst>
    </bk>
    <bk>
      <extLst>
        <ext uri="{3e2802c4-a4d2-4d8b-9148-e3be6c30e623}">
          <xlrd:rvb i="3856"/>
        </ext>
      </extLst>
    </bk>
    <bk>
      <extLst>
        <ext uri="{3e2802c4-a4d2-4d8b-9148-e3be6c30e623}">
          <xlrd:rvb i="3857"/>
        </ext>
      </extLst>
    </bk>
    <bk>
      <extLst>
        <ext uri="{3e2802c4-a4d2-4d8b-9148-e3be6c30e623}">
          <xlrd:rvb i="3858"/>
        </ext>
      </extLst>
    </bk>
    <bk>
      <extLst>
        <ext uri="{3e2802c4-a4d2-4d8b-9148-e3be6c30e623}">
          <xlrd:rvb i="3859"/>
        </ext>
      </extLst>
    </bk>
    <bk>
      <extLst>
        <ext uri="{3e2802c4-a4d2-4d8b-9148-e3be6c30e623}">
          <xlrd:rvb i="3860"/>
        </ext>
      </extLst>
    </bk>
    <bk>
      <extLst>
        <ext uri="{3e2802c4-a4d2-4d8b-9148-e3be6c30e623}">
          <xlrd:rvb i="3861"/>
        </ext>
      </extLst>
    </bk>
    <bk>
      <extLst>
        <ext uri="{3e2802c4-a4d2-4d8b-9148-e3be6c30e623}">
          <xlrd:rvb i="3862"/>
        </ext>
      </extLst>
    </bk>
    <bk>
      <extLst>
        <ext uri="{3e2802c4-a4d2-4d8b-9148-e3be6c30e623}">
          <xlrd:rvb i="3863"/>
        </ext>
      </extLst>
    </bk>
    <bk>
      <extLst>
        <ext uri="{3e2802c4-a4d2-4d8b-9148-e3be6c30e623}">
          <xlrd:rvb i="3864"/>
        </ext>
      </extLst>
    </bk>
    <bk>
      <extLst>
        <ext uri="{3e2802c4-a4d2-4d8b-9148-e3be6c30e623}">
          <xlrd:rvb i="3865"/>
        </ext>
      </extLst>
    </bk>
    <bk>
      <extLst>
        <ext uri="{3e2802c4-a4d2-4d8b-9148-e3be6c30e623}">
          <xlrd:rvb i="3866"/>
        </ext>
      </extLst>
    </bk>
    <bk>
      <extLst>
        <ext uri="{3e2802c4-a4d2-4d8b-9148-e3be6c30e623}">
          <xlrd:rvb i="3867"/>
        </ext>
      </extLst>
    </bk>
    <bk>
      <extLst>
        <ext uri="{3e2802c4-a4d2-4d8b-9148-e3be6c30e623}">
          <xlrd:rvb i="3868"/>
        </ext>
      </extLst>
    </bk>
    <bk>
      <extLst>
        <ext uri="{3e2802c4-a4d2-4d8b-9148-e3be6c30e623}">
          <xlrd:rvb i="3869"/>
        </ext>
      </extLst>
    </bk>
    <bk>
      <extLst>
        <ext uri="{3e2802c4-a4d2-4d8b-9148-e3be6c30e623}">
          <xlrd:rvb i="3870"/>
        </ext>
      </extLst>
    </bk>
    <bk>
      <extLst>
        <ext uri="{3e2802c4-a4d2-4d8b-9148-e3be6c30e623}">
          <xlrd:rvb i="3871"/>
        </ext>
      </extLst>
    </bk>
    <bk>
      <extLst>
        <ext uri="{3e2802c4-a4d2-4d8b-9148-e3be6c30e623}">
          <xlrd:rvb i="3872"/>
        </ext>
      </extLst>
    </bk>
    <bk>
      <extLst>
        <ext uri="{3e2802c4-a4d2-4d8b-9148-e3be6c30e623}">
          <xlrd:rvb i="3873"/>
        </ext>
      </extLst>
    </bk>
    <bk>
      <extLst>
        <ext uri="{3e2802c4-a4d2-4d8b-9148-e3be6c30e623}">
          <xlrd:rvb i="3874"/>
        </ext>
      </extLst>
    </bk>
    <bk>
      <extLst>
        <ext uri="{3e2802c4-a4d2-4d8b-9148-e3be6c30e623}">
          <xlrd:rvb i="3875"/>
        </ext>
      </extLst>
    </bk>
    <bk>
      <extLst>
        <ext uri="{3e2802c4-a4d2-4d8b-9148-e3be6c30e623}">
          <xlrd:rvb i="3876"/>
        </ext>
      </extLst>
    </bk>
    <bk>
      <extLst>
        <ext uri="{3e2802c4-a4d2-4d8b-9148-e3be6c30e623}">
          <xlrd:rvb i="3877"/>
        </ext>
      </extLst>
    </bk>
    <bk>
      <extLst>
        <ext uri="{3e2802c4-a4d2-4d8b-9148-e3be6c30e623}">
          <xlrd:rvb i="3878"/>
        </ext>
      </extLst>
    </bk>
    <bk>
      <extLst>
        <ext uri="{3e2802c4-a4d2-4d8b-9148-e3be6c30e623}">
          <xlrd:rvb i="3879"/>
        </ext>
      </extLst>
    </bk>
    <bk>
      <extLst>
        <ext uri="{3e2802c4-a4d2-4d8b-9148-e3be6c30e623}">
          <xlrd:rvb i="3880"/>
        </ext>
      </extLst>
    </bk>
    <bk>
      <extLst>
        <ext uri="{3e2802c4-a4d2-4d8b-9148-e3be6c30e623}">
          <xlrd:rvb i="3881"/>
        </ext>
      </extLst>
    </bk>
    <bk>
      <extLst>
        <ext uri="{3e2802c4-a4d2-4d8b-9148-e3be6c30e623}">
          <xlrd:rvb i="3882"/>
        </ext>
      </extLst>
    </bk>
    <bk>
      <extLst>
        <ext uri="{3e2802c4-a4d2-4d8b-9148-e3be6c30e623}">
          <xlrd:rvb i="3883"/>
        </ext>
      </extLst>
    </bk>
    <bk>
      <extLst>
        <ext uri="{3e2802c4-a4d2-4d8b-9148-e3be6c30e623}">
          <xlrd:rvb i="3884"/>
        </ext>
      </extLst>
    </bk>
    <bk>
      <extLst>
        <ext uri="{3e2802c4-a4d2-4d8b-9148-e3be6c30e623}">
          <xlrd:rvb i="3885"/>
        </ext>
      </extLst>
    </bk>
    <bk>
      <extLst>
        <ext uri="{3e2802c4-a4d2-4d8b-9148-e3be6c30e623}">
          <xlrd:rvb i="3886"/>
        </ext>
      </extLst>
    </bk>
    <bk>
      <extLst>
        <ext uri="{3e2802c4-a4d2-4d8b-9148-e3be6c30e623}">
          <xlrd:rvb i="3887"/>
        </ext>
      </extLst>
    </bk>
    <bk>
      <extLst>
        <ext uri="{3e2802c4-a4d2-4d8b-9148-e3be6c30e623}">
          <xlrd:rvb i="3888"/>
        </ext>
      </extLst>
    </bk>
    <bk>
      <extLst>
        <ext uri="{3e2802c4-a4d2-4d8b-9148-e3be6c30e623}">
          <xlrd:rvb i="3889"/>
        </ext>
      </extLst>
    </bk>
    <bk>
      <extLst>
        <ext uri="{3e2802c4-a4d2-4d8b-9148-e3be6c30e623}">
          <xlrd:rvb i="3890"/>
        </ext>
      </extLst>
    </bk>
    <bk>
      <extLst>
        <ext uri="{3e2802c4-a4d2-4d8b-9148-e3be6c30e623}">
          <xlrd:rvb i="3891"/>
        </ext>
      </extLst>
    </bk>
    <bk>
      <extLst>
        <ext uri="{3e2802c4-a4d2-4d8b-9148-e3be6c30e623}">
          <xlrd:rvb i="3892"/>
        </ext>
      </extLst>
    </bk>
    <bk>
      <extLst>
        <ext uri="{3e2802c4-a4d2-4d8b-9148-e3be6c30e623}">
          <xlrd:rvb i="3893"/>
        </ext>
      </extLst>
    </bk>
    <bk>
      <extLst>
        <ext uri="{3e2802c4-a4d2-4d8b-9148-e3be6c30e623}">
          <xlrd:rvb i="3894"/>
        </ext>
      </extLst>
    </bk>
    <bk>
      <extLst>
        <ext uri="{3e2802c4-a4d2-4d8b-9148-e3be6c30e623}">
          <xlrd:rvb i="3895"/>
        </ext>
      </extLst>
    </bk>
    <bk>
      <extLst>
        <ext uri="{3e2802c4-a4d2-4d8b-9148-e3be6c30e623}">
          <xlrd:rvb i="3896"/>
        </ext>
      </extLst>
    </bk>
    <bk>
      <extLst>
        <ext uri="{3e2802c4-a4d2-4d8b-9148-e3be6c30e623}">
          <xlrd:rvb i="3897"/>
        </ext>
      </extLst>
    </bk>
    <bk>
      <extLst>
        <ext uri="{3e2802c4-a4d2-4d8b-9148-e3be6c30e623}">
          <xlrd:rvb i="3898"/>
        </ext>
      </extLst>
    </bk>
    <bk>
      <extLst>
        <ext uri="{3e2802c4-a4d2-4d8b-9148-e3be6c30e623}">
          <xlrd:rvb i="3899"/>
        </ext>
      </extLst>
    </bk>
    <bk>
      <extLst>
        <ext uri="{3e2802c4-a4d2-4d8b-9148-e3be6c30e623}">
          <xlrd:rvb i="3900"/>
        </ext>
      </extLst>
    </bk>
    <bk>
      <extLst>
        <ext uri="{3e2802c4-a4d2-4d8b-9148-e3be6c30e623}">
          <xlrd:rvb i="3901"/>
        </ext>
      </extLst>
    </bk>
    <bk>
      <extLst>
        <ext uri="{3e2802c4-a4d2-4d8b-9148-e3be6c30e623}">
          <xlrd:rvb i="3902"/>
        </ext>
      </extLst>
    </bk>
    <bk>
      <extLst>
        <ext uri="{3e2802c4-a4d2-4d8b-9148-e3be6c30e623}">
          <xlrd:rvb i="3903"/>
        </ext>
      </extLst>
    </bk>
    <bk>
      <extLst>
        <ext uri="{3e2802c4-a4d2-4d8b-9148-e3be6c30e623}">
          <xlrd:rvb i="3904"/>
        </ext>
      </extLst>
    </bk>
    <bk>
      <extLst>
        <ext uri="{3e2802c4-a4d2-4d8b-9148-e3be6c30e623}">
          <xlrd:rvb i="3905"/>
        </ext>
      </extLst>
    </bk>
    <bk>
      <extLst>
        <ext uri="{3e2802c4-a4d2-4d8b-9148-e3be6c30e623}">
          <xlrd:rvb i="3906"/>
        </ext>
      </extLst>
    </bk>
    <bk>
      <extLst>
        <ext uri="{3e2802c4-a4d2-4d8b-9148-e3be6c30e623}">
          <xlrd:rvb i="3907"/>
        </ext>
      </extLst>
    </bk>
    <bk>
      <extLst>
        <ext uri="{3e2802c4-a4d2-4d8b-9148-e3be6c30e623}">
          <xlrd:rvb i="3908"/>
        </ext>
      </extLst>
    </bk>
    <bk>
      <extLst>
        <ext uri="{3e2802c4-a4d2-4d8b-9148-e3be6c30e623}">
          <xlrd:rvb i="3909"/>
        </ext>
      </extLst>
    </bk>
    <bk>
      <extLst>
        <ext uri="{3e2802c4-a4d2-4d8b-9148-e3be6c30e623}">
          <xlrd:rvb i="3910"/>
        </ext>
      </extLst>
    </bk>
    <bk>
      <extLst>
        <ext uri="{3e2802c4-a4d2-4d8b-9148-e3be6c30e623}">
          <xlrd:rvb i="3911"/>
        </ext>
      </extLst>
    </bk>
    <bk>
      <extLst>
        <ext uri="{3e2802c4-a4d2-4d8b-9148-e3be6c30e623}">
          <xlrd:rvb i="3912"/>
        </ext>
      </extLst>
    </bk>
    <bk>
      <extLst>
        <ext uri="{3e2802c4-a4d2-4d8b-9148-e3be6c30e623}">
          <xlrd:rvb i="3913"/>
        </ext>
      </extLst>
    </bk>
    <bk>
      <extLst>
        <ext uri="{3e2802c4-a4d2-4d8b-9148-e3be6c30e623}">
          <xlrd:rvb i="3914"/>
        </ext>
      </extLst>
    </bk>
    <bk>
      <extLst>
        <ext uri="{3e2802c4-a4d2-4d8b-9148-e3be6c30e623}">
          <xlrd:rvb i="3915"/>
        </ext>
      </extLst>
    </bk>
    <bk>
      <extLst>
        <ext uri="{3e2802c4-a4d2-4d8b-9148-e3be6c30e623}">
          <xlrd:rvb i="3916"/>
        </ext>
      </extLst>
    </bk>
    <bk>
      <extLst>
        <ext uri="{3e2802c4-a4d2-4d8b-9148-e3be6c30e623}">
          <xlrd:rvb i="3917"/>
        </ext>
      </extLst>
    </bk>
    <bk>
      <extLst>
        <ext uri="{3e2802c4-a4d2-4d8b-9148-e3be6c30e623}">
          <xlrd:rvb i="3918"/>
        </ext>
      </extLst>
    </bk>
    <bk>
      <extLst>
        <ext uri="{3e2802c4-a4d2-4d8b-9148-e3be6c30e623}">
          <xlrd:rvb i="3919"/>
        </ext>
      </extLst>
    </bk>
    <bk>
      <extLst>
        <ext uri="{3e2802c4-a4d2-4d8b-9148-e3be6c30e623}">
          <xlrd:rvb i="3920"/>
        </ext>
      </extLst>
    </bk>
    <bk>
      <extLst>
        <ext uri="{3e2802c4-a4d2-4d8b-9148-e3be6c30e623}">
          <xlrd:rvb i="3921"/>
        </ext>
      </extLst>
    </bk>
    <bk>
      <extLst>
        <ext uri="{3e2802c4-a4d2-4d8b-9148-e3be6c30e623}">
          <xlrd:rvb i="3922"/>
        </ext>
      </extLst>
    </bk>
    <bk>
      <extLst>
        <ext uri="{3e2802c4-a4d2-4d8b-9148-e3be6c30e623}">
          <xlrd:rvb i="3923"/>
        </ext>
      </extLst>
    </bk>
    <bk>
      <extLst>
        <ext uri="{3e2802c4-a4d2-4d8b-9148-e3be6c30e623}">
          <xlrd:rvb i="3924"/>
        </ext>
      </extLst>
    </bk>
    <bk>
      <extLst>
        <ext uri="{3e2802c4-a4d2-4d8b-9148-e3be6c30e623}">
          <xlrd:rvb i="3925"/>
        </ext>
      </extLst>
    </bk>
    <bk>
      <extLst>
        <ext uri="{3e2802c4-a4d2-4d8b-9148-e3be6c30e623}">
          <xlrd:rvb i="3926"/>
        </ext>
      </extLst>
    </bk>
    <bk>
      <extLst>
        <ext uri="{3e2802c4-a4d2-4d8b-9148-e3be6c30e623}">
          <xlrd:rvb i="3927"/>
        </ext>
      </extLst>
    </bk>
    <bk>
      <extLst>
        <ext uri="{3e2802c4-a4d2-4d8b-9148-e3be6c30e623}">
          <xlrd:rvb i="3928"/>
        </ext>
      </extLst>
    </bk>
    <bk>
      <extLst>
        <ext uri="{3e2802c4-a4d2-4d8b-9148-e3be6c30e623}">
          <xlrd:rvb i="3929"/>
        </ext>
      </extLst>
    </bk>
    <bk>
      <extLst>
        <ext uri="{3e2802c4-a4d2-4d8b-9148-e3be6c30e623}">
          <xlrd:rvb i="3930"/>
        </ext>
      </extLst>
    </bk>
    <bk>
      <extLst>
        <ext uri="{3e2802c4-a4d2-4d8b-9148-e3be6c30e623}">
          <xlrd:rvb i="3931"/>
        </ext>
      </extLst>
    </bk>
    <bk>
      <extLst>
        <ext uri="{3e2802c4-a4d2-4d8b-9148-e3be6c30e623}">
          <xlrd:rvb i="3932"/>
        </ext>
      </extLst>
    </bk>
    <bk>
      <extLst>
        <ext uri="{3e2802c4-a4d2-4d8b-9148-e3be6c30e623}">
          <xlrd:rvb i="3933"/>
        </ext>
      </extLst>
    </bk>
    <bk>
      <extLst>
        <ext uri="{3e2802c4-a4d2-4d8b-9148-e3be6c30e623}">
          <xlrd:rvb i="3934"/>
        </ext>
      </extLst>
    </bk>
    <bk>
      <extLst>
        <ext uri="{3e2802c4-a4d2-4d8b-9148-e3be6c30e623}">
          <xlrd:rvb i="3935"/>
        </ext>
      </extLst>
    </bk>
    <bk>
      <extLst>
        <ext uri="{3e2802c4-a4d2-4d8b-9148-e3be6c30e623}">
          <xlrd:rvb i="3936"/>
        </ext>
      </extLst>
    </bk>
    <bk>
      <extLst>
        <ext uri="{3e2802c4-a4d2-4d8b-9148-e3be6c30e623}">
          <xlrd:rvb i="3937"/>
        </ext>
      </extLst>
    </bk>
    <bk>
      <extLst>
        <ext uri="{3e2802c4-a4d2-4d8b-9148-e3be6c30e623}">
          <xlrd:rvb i="3938"/>
        </ext>
      </extLst>
    </bk>
    <bk>
      <extLst>
        <ext uri="{3e2802c4-a4d2-4d8b-9148-e3be6c30e623}">
          <xlrd:rvb i="3939"/>
        </ext>
      </extLst>
    </bk>
    <bk>
      <extLst>
        <ext uri="{3e2802c4-a4d2-4d8b-9148-e3be6c30e623}">
          <xlrd:rvb i="3940"/>
        </ext>
      </extLst>
    </bk>
    <bk>
      <extLst>
        <ext uri="{3e2802c4-a4d2-4d8b-9148-e3be6c30e623}">
          <xlrd:rvb i="3941"/>
        </ext>
      </extLst>
    </bk>
    <bk>
      <extLst>
        <ext uri="{3e2802c4-a4d2-4d8b-9148-e3be6c30e623}">
          <xlrd:rvb i="3942"/>
        </ext>
      </extLst>
    </bk>
    <bk>
      <extLst>
        <ext uri="{3e2802c4-a4d2-4d8b-9148-e3be6c30e623}">
          <xlrd:rvb i="3943"/>
        </ext>
      </extLst>
    </bk>
    <bk>
      <extLst>
        <ext uri="{3e2802c4-a4d2-4d8b-9148-e3be6c30e623}">
          <xlrd:rvb i="3944"/>
        </ext>
      </extLst>
    </bk>
    <bk>
      <extLst>
        <ext uri="{3e2802c4-a4d2-4d8b-9148-e3be6c30e623}">
          <xlrd:rvb i="3945"/>
        </ext>
      </extLst>
    </bk>
    <bk>
      <extLst>
        <ext uri="{3e2802c4-a4d2-4d8b-9148-e3be6c30e623}">
          <xlrd:rvb i="3946"/>
        </ext>
      </extLst>
    </bk>
    <bk>
      <extLst>
        <ext uri="{3e2802c4-a4d2-4d8b-9148-e3be6c30e623}">
          <xlrd:rvb i="3947"/>
        </ext>
      </extLst>
    </bk>
    <bk>
      <extLst>
        <ext uri="{3e2802c4-a4d2-4d8b-9148-e3be6c30e623}">
          <xlrd:rvb i="3948"/>
        </ext>
      </extLst>
    </bk>
    <bk>
      <extLst>
        <ext uri="{3e2802c4-a4d2-4d8b-9148-e3be6c30e623}">
          <xlrd:rvb i="3949"/>
        </ext>
      </extLst>
    </bk>
    <bk>
      <extLst>
        <ext uri="{3e2802c4-a4d2-4d8b-9148-e3be6c30e623}">
          <xlrd:rvb i="3950"/>
        </ext>
      </extLst>
    </bk>
    <bk>
      <extLst>
        <ext uri="{3e2802c4-a4d2-4d8b-9148-e3be6c30e623}">
          <xlrd:rvb i="3951"/>
        </ext>
      </extLst>
    </bk>
    <bk>
      <extLst>
        <ext uri="{3e2802c4-a4d2-4d8b-9148-e3be6c30e623}">
          <xlrd:rvb i="3952"/>
        </ext>
      </extLst>
    </bk>
    <bk>
      <extLst>
        <ext uri="{3e2802c4-a4d2-4d8b-9148-e3be6c30e623}">
          <xlrd:rvb i="3953"/>
        </ext>
      </extLst>
    </bk>
    <bk>
      <extLst>
        <ext uri="{3e2802c4-a4d2-4d8b-9148-e3be6c30e623}">
          <xlrd:rvb i="3954"/>
        </ext>
      </extLst>
    </bk>
    <bk>
      <extLst>
        <ext uri="{3e2802c4-a4d2-4d8b-9148-e3be6c30e623}">
          <xlrd:rvb i="3955"/>
        </ext>
      </extLst>
    </bk>
    <bk>
      <extLst>
        <ext uri="{3e2802c4-a4d2-4d8b-9148-e3be6c30e623}">
          <xlrd:rvb i="3956"/>
        </ext>
      </extLst>
    </bk>
    <bk>
      <extLst>
        <ext uri="{3e2802c4-a4d2-4d8b-9148-e3be6c30e623}">
          <xlrd:rvb i="3957"/>
        </ext>
      </extLst>
    </bk>
    <bk>
      <extLst>
        <ext uri="{3e2802c4-a4d2-4d8b-9148-e3be6c30e623}">
          <xlrd:rvb i="3958"/>
        </ext>
      </extLst>
    </bk>
    <bk>
      <extLst>
        <ext uri="{3e2802c4-a4d2-4d8b-9148-e3be6c30e623}">
          <xlrd:rvb i="3959"/>
        </ext>
      </extLst>
    </bk>
    <bk>
      <extLst>
        <ext uri="{3e2802c4-a4d2-4d8b-9148-e3be6c30e623}">
          <xlrd:rvb i="3960"/>
        </ext>
      </extLst>
    </bk>
    <bk>
      <extLst>
        <ext uri="{3e2802c4-a4d2-4d8b-9148-e3be6c30e623}">
          <xlrd:rvb i="3961"/>
        </ext>
      </extLst>
    </bk>
    <bk>
      <extLst>
        <ext uri="{3e2802c4-a4d2-4d8b-9148-e3be6c30e623}">
          <xlrd:rvb i="3962"/>
        </ext>
      </extLst>
    </bk>
    <bk>
      <extLst>
        <ext uri="{3e2802c4-a4d2-4d8b-9148-e3be6c30e623}">
          <xlrd:rvb i="3963"/>
        </ext>
      </extLst>
    </bk>
    <bk>
      <extLst>
        <ext uri="{3e2802c4-a4d2-4d8b-9148-e3be6c30e623}">
          <xlrd:rvb i="3964"/>
        </ext>
      </extLst>
    </bk>
    <bk>
      <extLst>
        <ext uri="{3e2802c4-a4d2-4d8b-9148-e3be6c30e623}">
          <xlrd:rvb i="3965"/>
        </ext>
      </extLst>
    </bk>
    <bk>
      <extLst>
        <ext uri="{3e2802c4-a4d2-4d8b-9148-e3be6c30e623}">
          <xlrd:rvb i="3966"/>
        </ext>
      </extLst>
    </bk>
    <bk>
      <extLst>
        <ext uri="{3e2802c4-a4d2-4d8b-9148-e3be6c30e623}">
          <xlrd:rvb i="3967"/>
        </ext>
      </extLst>
    </bk>
    <bk>
      <extLst>
        <ext uri="{3e2802c4-a4d2-4d8b-9148-e3be6c30e623}">
          <xlrd:rvb i="3968"/>
        </ext>
      </extLst>
    </bk>
    <bk>
      <extLst>
        <ext uri="{3e2802c4-a4d2-4d8b-9148-e3be6c30e623}">
          <xlrd:rvb i="3969"/>
        </ext>
      </extLst>
    </bk>
    <bk>
      <extLst>
        <ext uri="{3e2802c4-a4d2-4d8b-9148-e3be6c30e623}">
          <xlrd:rvb i="3970"/>
        </ext>
      </extLst>
    </bk>
    <bk>
      <extLst>
        <ext uri="{3e2802c4-a4d2-4d8b-9148-e3be6c30e623}">
          <xlrd:rvb i="3971"/>
        </ext>
      </extLst>
    </bk>
    <bk>
      <extLst>
        <ext uri="{3e2802c4-a4d2-4d8b-9148-e3be6c30e623}">
          <xlrd:rvb i="3972"/>
        </ext>
      </extLst>
    </bk>
    <bk>
      <extLst>
        <ext uri="{3e2802c4-a4d2-4d8b-9148-e3be6c30e623}">
          <xlrd:rvb i="3973"/>
        </ext>
      </extLst>
    </bk>
    <bk>
      <extLst>
        <ext uri="{3e2802c4-a4d2-4d8b-9148-e3be6c30e623}">
          <xlrd:rvb i="3974"/>
        </ext>
      </extLst>
    </bk>
    <bk>
      <extLst>
        <ext uri="{3e2802c4-a4d2-4d8b-9148-e3be6c30e623}">
          <xlrd:rvb i="3975"/>
        </ext>
      </extLst>
    </bk>
    <bk>
      <extLst>
        <ext uri="{3e2802c4-a4d2-4d8b-9148-e3be6c30e623}">
          <xlrd:rvb i="3976"/>
        </ext>
      </extLst>
    </bk>
    <bk>
      <extLst>
        <ext uri="{3e2802c4-a4d2-4d8b-9148-e3be6c30e623}">
          <xlrd:rvb i="3977"/>
        </ext>
      </extLst>
    </bk>
    <bk>
      <extLst>
        <ext uri="{3e2802c4-a4d2-4d8b-9148-e3be6c30e623}">
          <xlrd:rvb i="3978"/>
        </ext>
      </extLst>
    </bk>
    <bk>
      <extLst>
        <ext uri="{3e2802c4-a4d2-4d8b-9148-e3be6c30e623}">
          <xlrd:rvb i="3979"/>
        </ext>
      </extLst>
    </bk>
    <bk>
      <extLst>
        <ext uri="{3e2802c4-a4d2-4d8b-9148-e3be6c30e623}">
          <xlrd:rvb i="3980"/>
        </ext>
      </extLst>
    </bk>
    <bk>
      <extLst>
        <ext uri="{3e2802c4-a4d2-4d8b-9148-e3be6c30e623}">
          <xlrd:rvb i="3981"/>
        </ext>
      </extLst>
    </bk>
    <bk>
      <extLst>
        <ext uri="{3e2802c4-a4d2-4d8b-9148-e3be6c30e623}">
          <xlrd:rvb i="3982"/>
        </ext>
      </extLst>
    </bk>
    <bk>
      <extLst>
        <ext uri="{3e2802c4-a4d2-4d8b-9148-e3be6c30e623}">
          <xlrd:rvb i="3983"/>
        </ext>
      </extLst>
    </bk>
    <bk>
      <extLst>
        <ext uri="{3e2802c4-a4d2-4d8b-9148-e3be6c30e623}">
          <xlrd:rvb i="3984"/>
        </ext>
      </extLst>
    </bk>
    <bk>
      <extLst>
        <ext uri="{3e2802c4-a4d2-4d8b-9148-e3be6c30e623}">
          <xlrd:rvb i="3985"/>
        </ext>
      </extLst>
    </bk>
    <bk>
      <extLst>
        <ext uri="{3e2802c4-a4d2-4d8b-9148-e3be6c30e623}">
          <xlrd:rvb i="3986"/>
        </ext>
      </extLst>
    </bk>
    <bk>
      <extLst>
        <ext uri="{3e2802c4-a4d2-4d8b-9148-e3be6c30e623}">
          <xlrd:rvb i="3987"/>
        </ext>
      </extLst>
    </bk>
    <bk>
      <extLst>
        <ext uri="{3e2802c4-a4d2-4d8b-9148-e3be6c30e623}">
          <xlrd:rvb i="3988"/>
        </ext>
      </extLst>
    </bk>
    <bk>
      <extLst>
        <ext uri="{3e2802c4-a4d2-4d8b-9148-e3be6c30e623}">
          <xlrd:rvb i="3989"/>
        </ext>
      </extLst>
    </bk>
    <bk>
      <extLst>
        <ext uri="{3e2802c4-a4d2-4d8b-9148-e3be6c30e623}">
          <xlrd:rvb i="3990"/>
        </ext>
      </extLst>
    </bk>
    <bk>
      <extLst>
        <ext uri="{3e2802c4-a4d2-4d8b-9148-e3be6c30e623}">
          <xlrd:rvb i="3991"/>
        </ext>
      </extLst>
    </bk>
    <bk>
      <extLst>
        <ext uri="{3e2802c4-a4d2-4d8b-9148-e3be6c30e623}">
          <xlrd:rvb i="3992"/>
        </ext>
      </extLst>
    </bk>
    <bk>
      <extLst>
        <ext uri="{3e2802c4-a4d2-4d8b-9148-e3be6c30e623}">
          <xlrd:rvb i="3993"/>
        </ext>
      </extLst>
    </bk>
    <bk>
      <extLst>
        <ext uri="{3e2802c4-a4d2-4d8b-9148-e3be6c30e623}">
          <xlrd:rvb i="3994"/>
        </ext>
      </extLst>
    </bk>
    <bk>
      <extLst>
        <ext uri="{3e2802c4-a4d2-4d8b-9148-e3be6c30e623}">
          <xlrd:rvb i="3995"/>
        </ext>
      </extLst>
    </bk>
    <bk>
      <extLst>
        <ext uri="{3e2802c4-a4d2-4d8b-9148-e3be6c30e623}">
          <xlrd:rvb i="3996"/>
        </ext>
      </extLst>
    </bk>
    <bk>
      <extLst>
        <ext uri="{3e2802c4-a4d2-4d8b-9148-e3be6c30e623}">
          <xlrd:rvb i="3997"/>
        </ext>
      </extLst>
    </bk>
    <bk>
      <extLst>
        <ext uri="{3e2802c4-a4d2-4d8b-9148-e3be6c30e623}">
          <xlrd:rvb i="3998"/>
        </ext>
      </extLst>
    </bk>
    <bk>
      <extLst>
        <ext uri="{3e2802c4-a4d2-4d8b-9148-e3be6c30e623}">
          <xlrd:rvb i="3999"/>
        </ext>
      </extLst>
    </bk>
    <bk>
      <extLst>
        <ext uri="{3e2802c4-a4d2-4d8b-9148-e3be6c30e623}">
          <xlrd:rvb i="4000"/>
        </ext>
      </extLst>
    </bk>
    <bk>
      <extLst>
        <ext uri="{3e2802c4-a4d2-4d8b-9148-e3be6c30e623}">
          <xlrd:rvb i="4001"/>
        </ext>
      </extLst>
    </bk>
    <bk>
      <extLst>
        <ext uri="{3e2802c4-a4d2-4d8b-9148-e3be6c30e623}">
          <xlrd:rvb i="4002"/>
        </ext>
      </extLst>
    </bk>
    <bk>
      <extLst>
        <ext uri="{3e2802c4-a4d2-4d8b-9148-e3be6c30e623}">
          <xlrd:rvb i="4003"/>
        </ext>
      </extLst>
    </bk>
    <bk>
      <extLst>
        <ext uri="{3e2802c4-a4d2-4d8b-9148-e3be6c30e623}">
          <xlrd:rvb i="4004"/>
        </ext>
      </extLst>
    </bk>
    <bk>
      <extLst>
        <ext uri="{3e2802c4-a4d2-4d8b-9148-e3be6c30e623}">
          <xlrd:rvb i="4005"/>
        </ext>
      </extLst>
    </bk>
    <bk>
      <extLst>
        <ext uri="{3e2802c4-a4d2-4d8b-9148-e3be6c30e623}">
          <xlrd:rvb i="4006"/>
        </ext>
      </extLst>
    </bk>
    <bk>
      <extLst>
        <ext uri="{3e2802c4-a4d2-4d8b-9148-e3be6c30e623}">
          <xlrd:rvb i="4007"/>
        </ext>
      </extLst>
    </bk>
    <bk>
      <extLst>
        <ext uri="{3e2802c4-a4d2-4d8b-9148-e3be6c30e623}">
          <xlrd:rvb i="4008"/>
        </ext>
      </extLst>
    </bk>
    <bk>
      <extLst>
        <ext uri="{3e2802c4-a4d2-4d8b-9148-e3be6c30e623}">
          <xlrd:rvb i="4009"/>
        </ext>
      </extLst>
    </bk>
    <bk>
      <extLst>
        <ext uri="{3e2802c4-a4d2-4d8b-9148-e3be6c30e623}">
          <xlrd:rvb i="4010"/>
        </ext>
      </extLst>
    </bk>
    <bk>
      <extLst>
        <ext uri="{3e2802c4-a4d2-4d8b-9148-e3be6c30e623}">
          <xlrd:rvb i="4011"/>
        </ext>
      </extLst>
    </bk>
    <bk>
      <extLst>
        <ext uri="{3e2802c4-a4d2-4d8b-9148-e3be6c30e623}">
          <xlrd:rvb i="4012"/>
        </ext>
      </extLst>
    </bk>
    <bk>
      <extLst>
        <ext uri="{3e2802c4-a4d2-4d8b-9148-e3be6c30e623}">
          <xlrd:rvb i="4013"/>
        </ext>
      </extLst>
    </bk>
    <bk>
      <extLst>
        <ext uri="{3e2802c4-a4d2-4d8b-9148-e3be6c30e623}">
          <xlrd:rvb i="4014"/>
        </ext>
      </extLst>
    </bk>
    <bk>
      <extLst>
        <ext uri="{3e2802c4-a4d2-4d8b-9148-e3be6c30e623}">
          <xlrd:rvb i="4015"/>
        </ext>
      </extLst>
    </bk>
    <bk>
      <extLst>
        <ext uri="{3e2802c4-a4d2-4d8b-9148-e3be6c30e623}">
          <xlrd:rvb i="4016"/>
        </ext>
      </extLst>
    </bk>
    <bk>
      <extLst>
        <ext uri="{3e2802c4-a4d2-4d8b-9148-e3be6c30e623}">
          <xlrd:rvb i="4017"/>
        </ext>
      </extLst>
    </bk>
    <bk>
      <extLst>
        <ext uri="{3e2802c4-a4d2-4d8b-9148-e3be6c30e623}">
          <xlrd:rvb i="4018"/>
        </ext>
      </extLst>
    </bk>
    <bk>
      <extLst>
        <ext uri="{3e2802c4-a4d2-4d8b-9148-e3be6c30e623}">
          <xlrd:rvb i="4019"/>
        </ext>
      </extLst>
    </bk>
    <bk>
      <extLst>
        <ext uri="{3e2802c4-a4d2-4d8b-9148-e3be6c30e623}">
          <xlrd:rvb i="4020"/>
        </ext>
      </extLst>
    </bk>
    <bk>
      <extLst>
        <ext uri="{3e2802c4-a4d2-4d8b-9148-e3be6c30e623}">
          <xlrd:rvb i="4021"/>
        </ext>
      </extLst>
    </bk>
    <bk>
      <extLst>
        <ext uri="{3e2802c4-a4d2-4d8b-9148-e3be6c30e623}">
          <xlrd:rvb i="4022"/>
        </ext>
      </extLst>
    </bk>
    <bk>
      <extLst>
        <ext uri="{3e2802c4-a4d2-4d8b-9148-e3be6c30e623}">
          <xlrd:rvb i="4023"/>
        </ext>
      </extLst>
    </bk>
    <bk>
      <extLst>
        <ext uri="{3e2802c4-a4d2-4d8b-9148-e3be6c30e623}">
          <xlrd:rvb i="4024"/>
        </ext>
      </extLst>
    </bk>
    <bk>
      <extLst>
        <ext uri="{3e2802c4-a4d2-4d8b-9148-e3be6c30e623}">
          <xlrd:rvb i="4025"/>
        </ext>
      </extLst>
    </bk>
    <bk>
      <extLst>
        <ext uri="{3e2802c4-a4d2-4d8b-9148-e3be6c30e623}">
          <xlrd:rvb i="4026"/>
        </ext>
      </extLst>
    </bk>
    <bk>
      <extLst>
        <ext uri="{3e2802c4-a4d2-4d8b-9148-e3be6c30e623}">
          <xlrd:rvb i="4027"/>
        </ext>
      </extLst>
    </bk>
    <bk>
      <extLst>
        <ext uri="{3e2802c4-a4d2-4d8b-9148-e3be6c30e623}">
          <xlrd:rvb i="4028"/>
        </ext>
      </extLst>
    </bk>
    <bk>
      <extLst>
        <ext uri="{3e2802c4-a4d2-4d8b-9148-e3be6c30e623}">
          <xlrd:rvb i="4029"/>
        </ext>
      </extLst>
    </bk>
    <bk>
      <extLst>
        <ext uri="{3e2802c4-a4d2-4d8b-9148-e3be6c30e623}">
          <xlrd:rvb i="4030"/>
        </ext>
      </extLst>
    </bk>
    <bk>
      <extLst>
        <ext uri="{3e2802c4-a4d2-4d8b-9148-e3be6c30e623}">
          <xlrd:rvb i="4031"/>
        </ext>
      </extLst>
    </bk>
    <bk>
      <extLst>
        <ext uri="{3e2802c4-a4d2-4d8b-9148-e3be6c30e623}">
          <xlrd:rvb i="4032"/>
        </ext>
      </extLst>
    </bk>
    <bk>
      <extLst>
        <ext uri="{3e2802c4-a4d2-4d8b-9148-e3be6c30e623}">
          <xlrd:rvb i="4033"/>
        </ext>
      </extLst>
    </bk>
    <bk>
      <extLst>
        <ext uri="{3e2802c4-a4d2-4d8b-9148-e3be6c30e623}">
          <xlrd:rvb i="4034"/>
        </ext>
      </extLst>
    </bk>
    <bk>
      <extLst>
        <ext uri="{3e2802c4-a4d2-4d8b-9148-e3be6c30e623}">
          <xlrd:rvb i="4035"/>
        </ext>
      </extLst>
    </bk>
    <bk>
      <extLst>
        <ext uri="{3e2802c4-a4d2-4d8b-9148-e3be6c30e623}">
          <xlrd:rvb i="4036"/>
        </ext>
      </extLst>
    </bk>
    <bk>
      <extLst>
        <ext uri="{3e2802c4-a4d2-4d8b-9148-e3be6c30e623}">
          <xlrd:rvb i="4037"/>
        </ext>
      </extLst>
    </bk>
    <bk>
      <extLst>
        <ext uri="{3e2802c4-a4d2-4d8b-9148-e3be6c30e623}">
          <xlrd:rvb i="4038"/>
        </ext>
      </extLst>
    </bk>
    <bk>
      <extLst>
        <ext uri="{3e2802c4-a4d2-4d8b-9148-e3be6c30e623}">
          <xlrd:rvb i="4039"/>
        </ext>
      </extLst>
    </bk>
    <bk>
      <extLst>
        <ext uri="{3e2802c4-a4d2-4d8b-9148-e3be6c30e623}">
          <xlrd:rvb i="4040"/>
        </ext>
      </extLst>
    </bk>
    <bk>
      <extLst>
        <ext uri="{3e2802c4-a4d2-4d8b-9148-e3be6c30e623}">
          <xlrd:rvb i="4041"/>
        </ext>
      </extLst>
    </bk>
    <bk>
      <extLst>
        <ext uri="{3e2802c4-a4d2-4d8b-9148-e3be6c30e623}">
          <xlrd:rvb i="4042"/>
        </ext>
      </extLst>
    </bk>
    <bk>
      <extLst>
        <ext uri="{3e2802c4-a4d2-4d8b-9148-e3be6c30e623}">
          <xlrd:rvb i="4043"/>
        </ext>
      </extLst>
    </bk>
    <bk>
      <extLst>
        <ext uri="{3e2802c4-a4d2-4d8b-9148-e3be6c30e623}">
          <xlrd:rvb i="4044"/>
        </ext>
      </extLst>
    </bk>
    <bk>
      <extLst>
        <ext uri="{3e2802c4-a4d2-4d8b-9148-e3be6c30e623}">
          <xlrd:rvb i="4045"/>
        </ext>
      </extLst>
    </bk>
    <bk>
      <extLst>
        <ext uri="{3e2802c4-a4d2-4d8b-9148-e3be6c30e623}">
          <xlrd:rvb i="4046"/>
        </ext>
      </extLst>
    </bk>
    <bk>
      <extLst>
        <ext uri="{3e2802c4-a4d2-4d8b-9148-e3be6c30e623}">
          <xlrd:rvb i="4047"/>
        </ext>
      </extLst>
    </bk>
    <bk>
      <extLst>
        <ext uri="{3e2802c4-a4d2-4d8b-9148-e3be6c30e623}">
          <xlrd:rvb i="4048"/>
        </ext>
      </extLst>
    </bk>
    <bk>
      <extLst>
        <ext uri="{3e2802c4-a4d2-4d8b-9148-e3be6c30e623}">
          <xlrd:rvb i="4049"/>
        </ext>
      </extLst>
    </bk>
    <bk>
      <extLst>
        <ext uri="{3e2802c4-a4d2-4d8b-9148-e3be6c30e623}">
          <xlrd:rvb i="4050"/>
        </ext>
      </extLst>
    </bk>
    <bk>
      <extLst>
        <ext uri="{3e2802c4-a4d2-4d8b-9148-e3be6c30e623}">
          <xlrd:rvb i="4051"/>
        </ext>
      </extLst>
    </bk>
    <bk>
      <extLst>
        <ext uri="{3e2802c4-a4d2-4d8b-9148-e3be6c30e623}">
          <xlrd:rvb i="4052"/>
        </ext>
      </extLst>
    </bk>
    <bk>
      <extLst>
        <ext uri="{3e2802c4-a4d2-4d8b-9148-e3be6c30e623}">
          <xlrd:rvb i="4053"/>
        </ext>
      </extLst>
    </bk>
    <bk>
      <extLst>
        <ext uri="{3e2802c4-a4d2-4d8b-9148-e3be6c30e623}">
          <xlrd:rvb i="4054"/>
        </ext>
      </extLst>
    </bk>
    <bk>
      <extLst>
        <ext uri="{3e2802c4-a4d2-4d8b-9148-e3be6c30e623}">
          <xlrd:rvb i="4055"/>
        </ext>
      </extLst>
    </bk>
    <bk>
      <extLst>
        <ext uri="{3e2802c4-a4d2-4d8b-9148-e3be6c30e623}">
          <xlrd:rvb i="4056"/>
        </ext>
      </extLst>
    </bk>
    <bk>
      <extLst>
        <ext uri="{3e2802c4-a4d2-4d8b-9148-e3be6c30e623}">
          <xlrd:rvb i="4057"/>
        </ext>
      </extLst>
    </bk>
    <bk>
      <extLst>
        <ext uri="{3e2802c4-a4d2-4d8b-9148-e3be6c30e623}">
          <xlrd:rvb i="4058"/>
        </ext>
      </extLst>
    </bk>
    <bk>
      <extLst>
        <ext uri="{3e2802c4-a4d2-4d8b-9148-e3be6c30e623}">
          <xlrd:rvb i="4059"/>
        </ext>
      </extLst>
    </bk>
    <bk>
      <extLst>
        <ext uri="{3e2802c4-a4d2-4d8b-9148-e3be6c30e623}">
          <xlrd:rvb i="4060"/>
        </ext>
      </extLst>
    </bk>
    <bk>
      <extLst>
        <ext uri="{3e2802c4-a4d2-4d8b-9148-e3be6c30e623}">
          <xlrd:rvb i="4061"/>
        </ext>
      </extLst>
    </bk>
    <bk>
      <extLst>
        <ext uri="{3e2802c4-a4d2-4d8b-9148-e3be6c30e623}">
          <xlrd:rvb i="4062"/>
        </ext>
      </extLst>
    </bk>
    <bk>
      <extLst>
        <ext uri="{3e2802c4-a4d2-4d8b-9148-e3be6c30e623}">
          <xlrd:rvb i="4063"/>
        </ext>
      </extLst>
    </bk>
    <bk>
      <extLst>
        <ext uri="{3e2802c4-a4d2-4d8b-9148-e3be6c30e623}">
          <xlrd:rvb i="4064"/>
        </ext>
      </extLst>
    </bk>
    <bk>
      <extLst>
        <ext uri="{3e2802c4-a4d2-4d8b-9148-e3be6c30e623}">
          <xlrd:rvb i="4065"/>
        </ext>
      </extLst>
    </bk>
    <bk>
      <extLst>
        <ext uri="{3e2802c4-a4d2-4d8b-9148-e3be6c30e623}">
          <xlrd:rvb i="4066"/>
        </ext>
      </extLst>
    </bk>
    <bk>
      <extLst>
        <ext uri="{3e2802c4-a4d2-4d8b-9148-e3be6c30e623}">
          <xlrd:rvb i="4067"/>
        </ext>
      </extLst>
    </bk>
    <bk>
      <extLst>
        <ext uri="{3e2802c4-a4d2-4d8b-9148-e3be6c30e623}">
          <xlrd:rvb i="4068"/>
        </ext>
      </extLst>
    </bk>
    <bk>
      <extLst>
        <ext uri="{3e2802c4-a4d2-4d8b-9148-e3be6c30e623}">
          <xlrd:rvb i="4069"/>
        </ext>
      </extLst>
    </bk>
    <bk>
      <extLst>
        <ext uri="{3e2802c4-a4d2-4d8b-9148-e3be6c30e623}">
          <xlrd:rvb i="4070"/>
        </ext>
      </extLst>
    </bk>
    <bk>
      <extLst>
        <ext uri="{3e2802c4-a4d2-4d8b-9148-e3be6c30e623}">
          <xlrd:rvb i="4071"/>
        </ext>
      </extLst>
    </bk>
    <bk>
      <extLst>
        <ext uri="{3e2802c4-a4d2-4d8b-9148-e3be6c30e623}">
          <xlrd:rvb i="4072"/>
        </ext>
      </extLst>
    </bk>
    <bk>
      <extLst>
        <ext uri="{3e2802c4-a4d2-4d8b-9148-e3be6c30e623}">
          <xlrd:rvb i="4073"/>
        </ext>
      </extLst>
    </bk>
    <bk>
      <extLst>
        <ext uri="{3e2802c4-a4d2-4d8b-9148-e3be6c30e623}">
          <xlrd:rvb i="4074"/>
        </ext>
      </extLst>
    </bk>
    <bk>
      <extLst>
        <ext uri="{3e2802c4-a4d2-4d8b-9148-e3be6c30e623}">
          <xlrd:rvb i="4075"/>
        </ext>
      </extLst>
    </bk>
    <bk>
      <extLst>
        <ext uri="{3e2802c4-a4d2-4d8b-9148-e3be6c30e623}">
          <xlrd:rvb i="4076"/>
        </ext>
      </extLst>
    </bk>
    <bk>
      <extLst>
        <ext uri="{3e2802c4-a4d2-4d8b-9148-e3be6c30e623}">
          <xlrd:rvb i="4077"/>
        </ext>
      </extLst>
    </bk>
    <bk>
      <extLst>
        <ext uri="{3e2802c4-a4d2-4d8b-9148-e3be6c30e623}">
          <xlrd:rvb i="4078"/>
        </ext>
      </extLst>
    </bk>
    <bk>
      <extLst>
        <ext uri="{3e2802c4-a4d2-4d8b-9148-e3be6c30e623}">
          <xlrd:rvb i="4079"/>
        </ext>
      </extLst>
    </bk>
    <bk>
      <extLst>
        <ext uri="{3e2802c4-a4d2-4d8b-9148-e3be6c30e623}">
          <xlrd:rvb i="4080"/>
        </ext>
      </extLst>
    </bk>
    <bk>
      <extLst>
        <ext uri="{3e2802c4-a4d2-4d8b-9148-e3be6c30e623}">
          <xlrd:rvb i="4081"/>
        </ext>
      </extLst>
    </bk>
    <bk>
      <extLst>
        <ext uri="{3e2802c4-a4d2-4d8b-9148-e3be6c30e623}">
          <xlrd:rvb i="4082"/>
        </ext>
      </extLst>
    </bk>
    <bk>
      <extLst>
        <ext uri="{3e2802c4-a4d2-4d8b-9148-e3be6c30e623}">
          <xlrd:rvb i="4083"/>
        </ext>
      </extLst>
    </bk>
    <bk>
      <extLst>
        <ext uri="{3e2802c4-a4d2-4d8b-9148-e3be6c30e623}">
          <xlrd:rvb i="4084"/>
        </ext>
      </extLst>
    </bk>
    <bk>
      <extLst>
        <ext uri="{3e2802c4-a4d2-4d8b-9148-e3be6c30e623}">
          <xlrd:rvb i="4085"/>
        </ext>
      </extLst>
    </bk>
    <bk>
      <extLst>
        <ext uri="{3e2802c4-a4d2-4d8b-9148-e3be6c30e623}">
          <xlrd:rvb i="4086"/>
        </ext>
      </extLst>
    </bk>
    <bk>
      <extLst>
        <ext uri="{3e2802c4-a4d2-4d8b-9148-e3be6c30e623}">
          <xlrd:rvb i="4087"/>
        </ext>
      </extLst>
    </bk>
    <bk>
      <extLst>
        <ext uri="{3e2802c4-a4d2-4d8b-9148-e3be6c30e623}">
          <xlrd:rvb i="4088"/>
        </ext>
      </extLst>
    </bk>
    <bk>
      <extLst>
        <ext uri="{3e2802c4-a4d2-4d8b-9148-e3be6c30e623}">
          <xlrd:rvb i="4089"/>
        </ext>
      </extLst>
    </bk>
    <bk>
      <extLst>
        <ext uri="{3e2802c4-a4d2-4d8b-9148-e3be6c30e623}">
          <xlrd:rvb i="4090"/>
        </ext>
      </extLst>
    </bk>
    <bk>
      <extLst>
        <ext uri="{3e2802c4-a4d2-4d8b-9148-e3be6c30e623}">
          <xlrd:rvb i="4091"/>
        </ext>
      </extLst>
    </bk>
    <bk>
      <extLst>
        <ext uri="{3e2802c4-a4d2-4d8b-9148-e3be6c30e623}">
          <xlrd:rvb i="4092"/>
        </ext>
      </extLst>
    </bk>
    <bk>
      <extLst>
        <ext uri="{3e2802c4-a4d2-4d8b-9148-e3be6c30e623}">
          <xlrd:rvb i="4093"/>
        </ext>
      </extLst>
    </bk>
    <bk>
      <extLst>
        <ext uri="{3e2802c4-a4d2-4d8b-9148-e3be6c30e623}">
          <xlrd:rvb i="4094"/>
        </ext>
      </extLst>
    </bk>
    <bk>
      <extLst>
        <ext uri="{3e2802c4-a4d2-4d8b-9148-e3be6c30e623}">
          <xlrd:rvb i="4095"/>
        </ext>
      </extLst>
    </bk>
    <bk>
      <extLst>
        <ext uri="{3e2802c4-a4d2-4d8b-9148-e3be6c30e623}">
          <xlrd:rvb i="4096"/>
        </ext>
      </extLst>
    </bk>
    <bk>
      <extLst>
        <ext uri="{3e2802c4-a4d2-4d8b-9148-e3be6c30e623}">
          <xlrd:rvb i="4097"/>
        </ext>
      </extLst>
    </bk>
    <bk>
      <extLst>
        <ext uri="{3e2802c4-a4d2-4d8b-9148-e3be6c30e623}">
          <xlrd:rvb i="4098"/>
        </ext>
      </extLst>
    </bk>
    <bk>
      <extLst>
        <ext uri="{3e2802c4-a4d2-4d8b-9148-e3be6c30e623}">
          <xlrd:rvb i="4099"/>
        </ext>
      </extLst>
    </bk>
    <bk>
      <extLst>
        <ext uri="{3e2802c4-a4d2-4d8b-9148-e3be6c30e623}">
          <xlrd:rvb i="4100"/>
        </ext>
      </extLst>
    </bk>
    <bk>
      <extLst>
        <ext uri="{3e2802c4-a4d2-4d8b-9148-e3be6c30e623}">
          <xlrd:rvb i="4101"/>
        </ext>
      </extLst>
    </bk>
    <bk>
      <extLst>
        <ext uri="{3e2802c4-a4d2-4d8b-9148-e3be6c30e623}">
          <xlrd:rvb i="4102"/>
        </ext>
      </extLst>
    </bk>
    <bk>
      <extLst>
        <ext uri="{3e2802c4-a4d2-4d8b-9148-e3be6c30e623}">
          <xlrd:rvb i="4103"/>
        </ext>
      </extLst>
    </bk>
    <bk>
      <extLst>
        <ext uri="{3e2802c4-a4d2-4d8b-9148-e3be6c30e623}">
          <xlrd:rvb i="4104"/>
        </ext>
      </extLst>
    </bk>
    <bk>
      <extLst>
        <ext uri="{3e2802c4-a4d2-4d8b-9148-e3be6c30e623}">
          <xlrd:rvb i="4105"/>
        </ext>
      </extLst>
    </bk>
    <bk>
      <extLst>
        <ext uri="{3e2802c4-a4d2-4d8b-9148-e3be6c30e623}">
          <xlrd:rvb i="4106"/>
        </ext>
      </extLst>
    </bk>
    <bk>
      <extLst>
        <ext uri="{3e2802c4-a4d2-4d8b-9148-e3be6c30e623}">
          <xlrd:rvb i="4107"/>
        </ext>
      </extLst>
    </bk>
    <bk>
      <extLst>
        <ext uri="{3e2802c4-a4d2-4d8b-9148-e3be6c30e623}">
          <xlrd:rvb i="4108"/>
        </ext>
      </extLst>
    </bk>
    <bk>
      <extLst>
        <ext uri="{3e2802c4-a4d2-4d8b-9148-e3be6c30e623}">
          <xlrd:rvb i="4109"/>
        </ext>
      </extLst>
    </bk>
    <bk>
      <extLst>
        <ext uri="{3e2802c4-a4d2-4d8b-9148-e3be6c30e623}">
          <xlrd:rvb i="4110"/>
        </ext>
      </extLst>
    </bk>
    <bk>
      <extLst>
        <ext uri="{3e2802c4-a4d2-4d8b-9148-e3be6c30e623}">
          <xlrd:rvb i="4111"/>
        </ext>
      </extLst>
    </bk>
    <bk>
      <extLst>
        <ext uri="{3e2802c4-a4d2-4d8b-9148-e3be6c30e623}">
          <xlrd:rvb i="4112"/>
        </ext>
      </extLst>
    </bk>
    <bk>
      <extLst>
        <ext uri="{3e2802c4-a4d2-4d8b-9148-e3be6c30e623}">
          <xlrd:rvb i="4113"/>
        </ext>
      </extLst>
    </bk>
    <bk>
      <extLst>
        <ext uri="{3e2802c4-a4d2-4d8b-9148-e3be6c30e623}">
          <xlrd:rvb i="4114"/>
        </ext>
      </extLst>
    </bk>
    <bk>
      <extLst>
        <ext uri="{3e2802c4-a4d2-4d8b-9148-e3be6c30e623}">
          <xlrd:rvb i="4115"/>
        </ext>
      </extLst>
    </bk>
    <bk>
      <extLst>
        <ext uri="{3e2802c4-a4d2-4d8b-9148-e3be6c30e623}">
          <xlrd:rvb i="4116"/>
        </ext>
      </extLst>
    </bk>
    <bk>
      <extLst>
        <ext uri="{3e2802c4-a4d2-4d8b-9148-e3be6c30e623}">
          <xlrd:rvb i="4117"/>
        </ext>
      </extLst>
    </bk>
    <bk>
      <extLst>
        <ext uri="{3e2802c4-a4d2-4d8b-9148-e3be6c30e623}">
          <xlrd:rvb i="4118"/>
        </ext>
      </extLst>
    </bk>
    <bk>
      <extLst>
        <ext uri="{3e2802c4-a4d2-4d8b-9148-e3be6c30e623}">
          <xlrd:rvb i="4119"/>
        </ext>
      </extLst>
    </bk>
    <bk>
      <extLst>
        <ext uri="{3e2802c4-a4d2-4d8b-9148-e3be6c30e623}">
          <xlrd:rvb i="4120"/>
        </ext>
      </extLst>
    </bk>
    <bk>
      <extLst>
        <ext uri="{3e2802c4-a4d2-4d8b-9148-e3be6c30e623}">
          <xlrd:rvb i="4121"/>
        </ext>
      </extLst>
    </bk>
    <bk>
      <extLst>
        <ext uri="{3e2802c4-a4d2-4d8b-9148-e3be6c30e623}">
          <xlrd:rvb i="4122"/>
        </ext>
      </extLst>
    </bk>
    <bk>
      <extLst>
        <ext uri="{3e2802c4-a4d2-4d8b-9148-e3be6c30e623}">
          <xlrd:rvb i="4123"/>
        </ext>
      </extLst>
    </bk>
    <bk>
      <extLst>
        <ext uri="{3e2802c4-a4d2-4d8b-9148-e3be6c30e623}">
          <xlrd:rvb i="4124"/>
        </ext>
      </extLst>
    </bk>
    <bk>
      <extLst>
        <ext uri="{3e2802c4-a4d2-4d8b-9148-e3be6c30e623}">
          <xlrd:rvb i="4125"/>
        </ext>
      </extLst>
    </bk>
    <bk>
      <extLst>
        <ext uri="{3e2802c4-a4d2-4d8b-9148-e3be6c30e623}">
          <xlrd:rvb i="4126"/>
        </ext>
      </extLst>
    </bk>
    <bk>
      <extLst>
        <ext uri="{3e2802c4-a4d2-4d8b-9148-e3be6c30e623}">
          <xlrd:rvb i="4127"/>
        </ext>
      </extLst>
    </bk>
    <bk>
      <extLst>
        <ext uri="{3e2802c4-a4d2-4d8b-9148-e3be6c30e623}">
          <xlrd:rvb i="4128"/>
        </ext>
      </extLst>
    </bk>
    <bk>
      <extLst>
        <ext uri="{3e2802c4-a4d2-4d8b-9148-e3be6c30e623}">
          <xlrd:rvb i="4129"/>
        </ext>
      </extLst>
    </bk>
    <bk>
      <extLst>
        <ext uri="{3e2802c4-a4d2-4d8b-9148-e3be6c30e623}">
          <xlrd:rvb i="4130"/>
        </ext>
      </extLst>
    </bk>
    <bk>
      <extLst>
        <ext uri="{3e2802c4-a4d2-4d8b-9148-e3be6c30e623}">
          <xlrd:rvb i="4131"/>
        </ext>
      </extLst>
    </bk>
    <bk>
      <extLst>
        <ext uri="{3e2802c4-a4d2-4d8b-9148-e3be6c30e623}">
          <xlrd:rvb i="4132"/>
        </ext>
      </extLst>
    </bk>
    <bk>
      <extLst>
        <ext uri="{3e2802c4-a4d2-4d8b-9148-e3be6c30e623}">
          <xlrd:rvb i="4133"/>
        </ext>
      </extLst>
    </bk>
    <bk>
      <extLst>
        <ext uri="{3e2802c4-a4d2-4d8b-9148-e3be6c30e623}">
          <xlrd:rvb i="4134"/>
        </ext>
      </extLst>
    </bk>
    <bk>
      <extLst>
        <ext uri="{3e2802c4-a4d2-4d8b-9148-e3be6c30e623}">
          <xlrd:rvb i="4135"/>
        </ext>
      </extLst>
    </bk>
    <bk>
      <extLst>
        <ext uri="{3e2802c4-a4d2-4d8b-9148-e3be6c30e623}">
          <xlrd:rvb i="4136"/>
        </ext>
      </extLst>
    </bk>
    <bk>
      <extLst>
        <ext uri="{3e2802c4-a4d2-4d8b-9148-e3be6c30e623}">
          <xlrd:rvb i="4137"/>
        </ext>
      </extLst>
    </bk>
    <bk>
      <extLst>
        <ext uri="{3e2802c4-a4d2-4d8b-9148-e3be6c30e623}">
          <xlrd:rvb i="4138"/>
        </ext>
      </extLst>
    </bk>
    <bk>
      <extLst>
        <ext uri="{3e2802c4-a4d2-4d8b-9148-e3be6c30e623}">
          <xlrd:rvb i="4139"/>
        </ext>
      </extLst>
    </bk>
    <bk>
      <extLst>
        <ext uri="{3e2802c4-a4d2-4d8b-9148-e3be6c30e623}">
          <xlrd:rvb i="4140"/>
        </ext>
      </extLst>
    </bk>
    <bk>
      <extLst>
        <ext uri="{3e2802c4-a4d2-4d8b-9148-e3be6c30e623}">
          <xlrd:rvb i="4141"/>
        </ext>
      </extLst>
    </bk>
    <bk>
      <extLst>
        <ext uri="{3e2802c4-a4d2-4d8b-9148-e3be6c30e623}">
          <xlrd:rvb i="4142"/>
        </ext>
      </extLst>
    </bk>
    <bk>
      <extLst>
        <ext uri="{3e2802c4-a4d2-4d8b-9148-e3be6c30e623}">
          <xlrd:rvb i="4143"/>
        </ext>
      </extLst>
    </bk>
    <bk>
      <extLst>
        <ext uri="{3e2802c4-a4d2-4d8b-9148-e3be6c30e623}">
          <xlrd:rvb i="4144"/>
        </ext>
      </extLst>
    </bk>
    <bk>
      <extLst>
        <ext uri="{3e2802c4-a4d2-4d8b-9148-e3be6c30e623}">
          <xlrd:rvb i="4145"/>
        </ext>
      </extLst>
    </bk>
    <bk>
      <extLst>
        <ext uri="{3e2802c4-a4d2-4d8b-9148-e3be6c30e623}">
          <xlrd:rvb i="4146"/>
        </ext>
      </extLst>
    </bk>
    <bk>
      <extLst>
        <ext uri="{3e2802c4-a4d2-4d8b-9148-e3be6c30e623}">
          <xlrd:rvb i="4147"/>
        </ext>
      </extLst>
    </bk>
    <bk>
      <extLst>
        <ext uri="{3e2802c4-a4d2-4d8b-9148-e3be6c30e623}">
          <xlrd:rvb i="4148"/>
        </ext>
      </extLst>
    </bk>
    <bk>
      <extLst>
        <ext uri="{3e2802c4-a4d2-4d8b-9148-e3be6c30e623}">
          <xlrd:rvb i="4149"/>
        </ext>
      </extLst>
    </bk>
    <bk>
      <extLst>
        <ext uri="{3e2802c4-a4d2-4d8b-9148-e3be6c30e623}">
          <xlrd:rvb i="4150"/>
        </ext>
      </extLst>
    </bk>
    <bk>
      <extLst>
        <ext uri="{3e2802c4-a4d2-4d8b-9148-e3be6c30e623}">
          <xlrd:rvb i="4151"/>
        </ext>
      </extLst>
    </bk>
    <bk>
      <extLst>
        <ext uri="{3e2802c4-a4d2-4d8b-9148-e3be6c30e623}">
          <xlrd:rvb i="4152"/>
        </ext>
      </extLst>
    </bk>
    <bk>
      <extLst>
        <ext uri="{3e2802c4-a4d2-4d8b-9148-e3be6c30e623}">
          <xlrd:rvb i="4153"/>
        </ext>
      </extLst>
    </bk>
    <bk>
      <extLst>
        <ext uri="{3e2802c4-a4d2-4d8b-9148-e3be6c30e623}">
          <xlrd:rvb i="4154"/>
        </ext>
      </extLst>
    </bk>
    <bk>
      <extLst>
        <ext uri="{3e2802c4-a4d2-4d8b-9148-e3be6c30e623}">
          <xlrd:rvb i="4155"/>
        </ext>
      </extLst>
    </bk>
    <bk>
      <extLst>
        <ext uri="{3e2802c4-a4d2-4d8b-9148-e3be6c30e623}">
          <xlrd:rvb i="4156"/>
        </ext>
      </extLst>
    </bk>
    <bk>
      <extLst>
        <ext uri="{3e2802c4-a4d2-4d8b-9148-e3be6c30e623}">
          <xlrd:rvb i="4157"/>
        </ext>
      </extLst>
    </bk>
    <bk>
      <extLst>
        <ext uri="{3e2802c4-a4d2-4d8b-9148-e3be6c30e623}">
          <xlrd:rvb i="4158"/>
        </ext>
      </extLst>
    </bk>
    <bk>
      <extLst>
        <ext uri="{3e2802c4-a4d2-4d8b-9148-e3be6c30e623}">
          <xlrd:rvb i="4159"/>
        </ext>
      </extLst>
    </bk>
    <bk>
      <extLst>
        <ext uri="{3e2802c4-a4d2-4d8b-9148-e3be6c30e623}">
          <xlrd:rvb i="4160"/>
        </ext>
      </extLst>
    </bk>
    <bk>
      <extLst>
        <ext uri="{3e2802c4-a4d2-4d8b-9148-e3be6c30e623}">
          <xlrd:rvb i="4161"/>
        </ext>
      </extLst>
    </bk>
    <bk>
      <extLst>
        <ext uri="{3e2802c4-a4d2-4d8b-9148-e3be6c30e623}">
          <xlrd:rvb i="4162"/>
        </ext>
      </extLst>
    </bk>
    <bk>
      <extLst>
        <ext uri="{3e2802c4-a4d2-4d8b-9148-e3be6c30e623}">
          <xlrd:rvb i="4163"/>
        </ext>
      </extLst>
    </bk>
    <bk>
      <extLst>
        <ext uri="{3e2802c4-a4d2-4d8b-9148-e3be6c30e623}">
          <xlrd:rvb i="4164"/>
        </ext>
      </extLst>
    </bk>
    <bk>
      <extLst>
        <ext uri="{3e2802c4-a4d2-4d8b-9148-e3be6c30e623}">
          <xlrd:rvb i="4165"/>
        </ext>
      </extLst>
    </bk>
    <bk>
      <extLst>
        <ext uri="{3e2802c4-a4d2-4d8b-9148-e3be6c30e623}">
          <xlrd:rvb i="4166"/>
        </ext>
      </extLst>
    </bk>
    <bk>
      <extLst>
        <ext uri="{3e2802c4-a4d2-4d8b-9148-e3be6c30e623}">
          <xlrd:rvb i="4167"/>
        </ext>
      </extLst>
    </bk>
    <bk>
      <extLst>
        <ext uri="{3e2802c4-a4d2-4d8b-9148-e3be6c30e623}">
          <xlrd:rvb i="4168"/>
        </ext>
      </extLst>
    </bk>
    <bk>
      <extLst>
        <ext uri="{3e2802c4-a4d2-4d8b-9148-e3be6c30e623}">
          <xlrd:rvb i="4169"/>
        </ext>
      </extLst>
    </bk>
    <bk>
      <extLst>
        <ext uri="{3e2802c4-a4d2-4d8b-9148-e3be6c30e623}">
          <xlrd:rvb i="4170"/>
        </ext>
      </extLst>
    </bk>
    <bk>
      <extLst>
        <ext uri="{3e2802c4-a4d2-4d8b-9148-e3be6c30e623}">
          <xlrd:rvb i="4171"/>
        </ext>
      </extLst>
    </bk>
    <bk>
      <extLst>
        <ext uri="{3e2802c4-a4d2-4d8b-9148-e3be6c30e623}">
          <xlrd:rvb i="4172"/>
        </ext>
      </extLst>
    </bk>
    <bk>
      <extLst>
        <ext uri="{3e2802c4-a4d2-4d8b-9148-e3be6c30e623}">
          <xlrd:rvb i="4173"/>
        </ext>
      </extLst>
    </bk>
    <bk>
      <extLst>
        <ext uri="{3e2802c4-a4d2-4d8b-9148-e3be6c30e623}">
          <xlrd:rvb i="4174"/>
        </ext>
      </extLst>
    </bk>
    <bk>
      <extLst>
        <ext uri="{3e2802c4-a4d2-4d8b-9148-e3be6c30e623}">
          <xlrd:rvb i="4175"/>
        </ext>
      </extLst>
    </bk>
    <bk>
      <extLst>
        <ext uri="{3e2802c4-a4d2-4d8b-9148-e3be6c30e623}">
          <xlrd:rvb i="4176"/>
        </ext>
      </extLst>
    </bk>
    <bk>
      <extLst>
        <ext uri="{3e2802c4-a4d2-4d8b-9148-e3be6c30e623}">
          <xlrd:rvb i="4177"/>
        </ext>
      </extLst>
    </bk>
    <bk>
      <extLst>
        <ext uri="{3e2802c4-a4d2-4d8b-9148-e3be6c30e623}">
          <xlrd:rvb i="4178"/>
        </ext>
      </extLst>
    </bk>
    <bk>
      <extLst>
        <ext uri="{3e2802c4-a4d2-4d8b-9148-e3be6c30e623}">
          <xlrd:rvb i="4179"/>
        </ext>
      </extLst>
    </bk>
    <bk>
      <extLst>
        <ext uri="{3e2802c4-a4d2-4d8b-9148-e3be6c30e623}">
          <xlrd:rvb i="4180"/>
        </ext>
      </extLst>
    </bk>
    <bk>
      <extLst>
        <ext uri="{3e2802c4-a4d2-4d8b-9148-e3be6c30e623}">
          <xlrd:rvb i="4181"/>
        </ext>
      </extLst>
    </bk>
    <bk>
      <extLst>
        <ext uri="{3e2802c4-a4d2-4d8b-9148-e3be6c30e623}">
          <xlrd:rvb i="4182"/>
        </ext>
      </extLst>
    </bk>
    <bk>
      <extLst>
        <ext uri="{3e2802c4-a4d2-4d8b-9148-e3be6c30e623}">
          <xlrd:rvb i="4183"/>
        </ext>
      </extLst>
    </bk>
    <bk>
      <extLst>
        <ext uri="{3e2802c4-a4d2-4d8b-9148-e3be6c30e623}">
          <xlrd:rvb i="4184"/>
        </ext>
      </extLst>
    </bk>
    <bk>
      <extLst>
        <ext uri="{3e2802c4-a4d2-4d8b-9148-e3be6c30e623}">
          <xlrd:rvb i="4185"/>
        </ext>
      </extLst>
    </bk>
    <bk>
      <extLst>
        <ext uri="{3e2802c4-a4d2-4d8b-9148-e3be6c30e623}">
          <xlrd:rvb i="4186"/>
        </ext>
      </extLst>
    </bk>
    <bk>
      <extLst>
        <ext uri="{3e2802c4-a4d2-4d8b-9148-e3be6c30e623}">
          <xlrd:rvb i="4187"/>
        </ext>
      </extLst>
    </bk>
    <bk>
      <extLst>
        <ext uri="{3e2802c4-a4d2-4d8b-9148-e3be6c30e623}">
          <xlrd:rvb i="4188"/>
        </ext>
      </extLst>
    </bk>
    <bk>
      <extLst>
        <ext uri="{3e2802c4-a4d2-4d8b-9148-e3be6c30e623}">
          <xlrd:rvb i="4189"/>
        </ext>
      </extLst>
    </bk>
    <bk>
      <extLst>
        <ext uri="{3e2802c4-a4d2-4d8b-9148-e3be6c30e623}">
          <xlrd:rvb i="4190"/>
        </ext>
      </extLst>
    </bk>
    <bk>
      <extLst>
        <ext uri="{3e2802c4-a4d2-4d8b-9148-e3be6c30e623}">
          <xlrd:rvb i="4191"/>
        </ext>
      </extLst>
    </bk>
    <bk>
      <extLst>
        <ext uri="{3e2802c4-a4d2-4d8b-9148-e3be6c30e623}">
          <xlrd:rvb i="4192"/>
        </ext>
      </extLst>
    </bk>
    <bk>
      <extLst>
        <ext uri="{3e2802c4-a4d2-4d8b-9148-e3be6c30e623}">
          <xlrd:rvb i="4193"/>
        </ext>
      </extLst>
    </bk>
    <bk>
      <extLst>
        <ext uri="{3e2802c4-a4d2-4d8b-9148-e3be6c30e623}">
          <xlrd:rvb i="4194"/>
        </ext>
      </extLst>
    </bk>
    <bk>
      <extLst>
        <ext uri="{3e2802c4-a4d2-4d8b-9148-e3be6c30e623}">
          <xlrd:rvb i="4195"/>
        </ext>
      </extLst>
    </bk>
    <bk>
      <extLst>
        <ext uri="{3e2802c4-a4d2-4d8b-9148-e3be6c30e623}">
          <xlrd:rvb i="4196"/>
        </ext>
      </extLst>
    </bk>
    <bk>
      <extLst>
        <ext uri="{3e2802c4-a4d2-4d8b-9148-e3be6c30e623}">
          <xlrd:rvb i="4197"/>
        </ext>
      </extLst>
    </bk>
    <bk>
      <extLst>
        <ext uri="{3e2802c4-a4d2-4d8b-9148-e3be6c30e623}">
          <xlrd:rvb i="4198"/>
        </ext>
      </extLst>
    </bk>
    <bk>
      <extLst>
        <ext uri="{3e2802c4-a4d2-4d8b-9148-e3be6c30e623}">
          <xlrd:rvb i="4199"/>
        </ext>
      </extLst>
    </bk>
    <bk>
      <extLst>
        <ext uri="{3e2802c4-a4d2-4d8b-9148-e3be6c30e623}">
          <xlrd:rvb i="4200"/>
        </ext>
      </extLst>
    </bk>
    <bk>
      <extLst>
        <ext uri="{3e2802c4-a4d2-4d8b-9148-e3be6c30e623}">
          <xlrd:rvb i="4201"/>
        </ext>
      </extLst>
    </bk>
    <bk>
      <extLst>
        <ext uri="{3e2802c4-a4d2-4d8b-9148-e3be6c30e623}">
          <xlrd:rvb i="4202"/>
        </ext>
      </extLst>
    </bk>
    <bk>
      <extLst>
        <ext uri="{3e2802c4-a4d2-4d8b-9148-e3be6c30e623}">
          <xlrd:rvb i="4203"/>
        </ext>
      </extLst>
    </bk>
    <bk>
      <extLst>
        <ext uri="{3e2802c4-a4d2-4d8b-9148-e3be6c30e623}">
          <xlrd:rvb i="4204"/>
        </ext>
      </extLst>
    </bk>
    <bk>
      <extLst>
        <ext uri="{3e2802c4-a4d2-4d8b-9148-e3be6c30e623}">
          <xlrd:rvb i="4205"/>
        </ext>
      </extLst>
    </bk>
    <bk>
      <extLst>
        <ext uri="{3e2802c4-a4d2-4d8b-9148-e3be6c30e623}">
          <xlrd:rvb i="4206"/>
        </ext>
      </extLst>
    </bk>
    <bk>
      <extLst>
        <ext uri="{3e2802c4-a4d2-4d8b-9148-e3be6c30e623}">
          <xlrd:rvb i="4207"/>
        </ext>
      </extLst>
    </bk>
    <bk>
      <extLst>
        <ext uri="{3e2802c4-a4d2-4d8b-9148-e3be6c30e623}">
          <xlrd:rvb i="4208"/>
        </ext>
      </extLst>
    </bk>
    <bk>
      <extLst>
        <ext uri="{3e2802c4-a4d2-4d8b-9148-e3be6c30e623}">
          <xlrd:rvb i="4209"/>
        </ext>
      </extLst>
    </bk>
    <bk>
      <extLst>
        <ext uri="{3e2802c4-a4d2-4d8b-9148-e3be6c30e623}">
          <xlrd:rvb i="4210"/>
        </ext>
      </extLst>
    </bk>
    <bk>
      <extLst>
        <ext uri="{3e2802c4-a4d2-4d8b-9148-e3be6c30e623}">
          <xlrd:rvb i="4211"/>
        </ext>
      </extLst>
    </bk>
    <bk>
      <extLst>
        <ext uri="{3e2802c4-a4d2-4d8b-9148-e3be6c30e623}">
          <xlrd:rvb i="4212"/>
        </ext>
      </extLst>
    </bk>
    <bk>
      <extLst>
        <ext uri="{3e2802c4-a4d2-4d8b-9148-e3be6c30e623}">
          <xlrd:rvb i="4213"/>
        </ext>
      </extLst>
    </bk>
    <bk>
      <extLst>
        <ext uri="{3e2802c4-a4d2-4d8b-9148-e3be6c30e623}">
          <xlrd:rvb i="4214"/>
        </ext>
      </extLst>
    </bk>
    <bk>
      <extLst>
        <ext uri="{3e2802c4-a4d2-4d8b-9148-e3be6c30e623}">
          <xlrd:rvb i="4215"/>
        </ext>
      </extLst>
    </bk>
    <bk>
      <extLst>
        <ext uri="{3e2802c4-a4d2-4d8b-9148-e3be6c30e623}">
          <xlrd:rvb i="4216"/>
        </ext>
      </extLst>
    </bk>
    <bk>
      <extLst>
        <ext uri="{3e2802c4-a4d2-4d8b-9148-e3be6c30e623}">
          <xlrd:rvb i="4217"/>
        </ext>
      </extLst>
    </bk>
    <bk>
      <extLst>
        <ext uri="{3e2802c4-a4d2-4d8b-9148-e3be6c30e623}">
          <xlrd:rvb i="4218"/>
        </ext>
      </extLst>
    </bk>
    <bk>
      <extLst>
        <ext uri="{3e2802c4-a4d2-4d8b-9148-e3be6c30e623}">
          <xlrd:rvb i="4219"/>
        </ext>
      </extLst>
    </bk>
    <bk>
      <extLst>
        <ext uri="{3e2802c4-a4d2-4d8b-9148-e3be6c30e623}">
          <xlrd:rvb i="4220"/>
        </ext>
      </extLst>
    </bk>
    <bk>
      <extLst>
        <ext uri="{3e2802c4-a4d2-4d8b-9148-e3be6c30e623}">
          <xlrd:rvb i="4221"/>
        </ext>
      </extLst>
    </bk>
    <bk>
      <extLst>
        <ext uri="{3e2802c4-a4d2-4d8b-9148-e3be6c30e623}">
          <xlrd:rvb i="4222"/>
        </ext>
      </extLst>
    </bk>
    <bk>
      <extLst>
        <ext uri="{3e2802c4-a4d2-4d8b-9148-e3be6c30e623}">
          <xlrd:rvb i="4223"/>
        </ext>
      </extLst>
    </bk>
    <bk>
      <extLst>
        <ext uri="{3e2802c4-a4d2-4d8b-9148-e3be6c30e623}">
          <xlrd:rvb i="4224"/>
        </ext>
      </extLst>
    </bk>
    <bk>
      <extLst>
        <ext uri="{3e2802c4-a4d2-4d8b-9148-e3be6c30e623}">
          <xlrd:rvb i="4225"/>
        </ext>
      </extLst>
    </bk>
    <bk>
      <extLst>
        <ext uri="{3e2802c4-a4d2-4d8b-9148-e3be6c30e623}">
          <xlrd:rvb i="4226"/>
        </ext>
      </extLst>
    </bk>
    <bk>
      <extLst>
        <ext uri="{3e2802c4-a4d2-4d8b-9148-e3be6c30e623}">
          <xlrd:rvb i="4227"/>
        </ext>
      </extLst>
    </bk>
    <bk>
      <extLst>
        <ext uri="{3e2802c4-a4d2-4d8b-9148-e3be6c30e623}">
          <xlrd:rvb i="4228"/>
        </ext>
      </extLst>
    </bk>
    <bk>
      <extLst>
        <ext uri="{3e2802c4-a4d2-4d8b-9148-e3be6c30e623}">
          <xlrd:rvb i="4229"/>
        </ext>
      </extLst>
    </bk>
    <bk>
      <extLst>
        <ext uri="{3e2802c4-a4d2-4d8b-9148-e3be6c30e623}">
          <xlrd:rvb i="4230"/>
        </ext>
      </extLst>
    </bk>
    <bk>
      <extLst>
        <ext uri="{3e2802c4-a4d2-4d8b-9148-e3be6c30e623}">
          <xlrd:rvb i="4231"/>
        </ext>
      </extLst>
    </bk>
    <bk>
      <extLst>
        <ext uri="{3e2802c4-a4d2-4d8b-9148-e3be6c30e623}">
          <xlrd:rvb i="4232"/>
        </ext>
      </extLst>
    </bk>
    <bk>
      <extLst>
        <ext uri="{3e2802c4-a4d2-4d8b-9148-e3be6c30e623}">
          <xlrd:rvb i="4233"/>
        </ext>
      </extLst>
    </bk>
    <bk>
      <extLst>
        <ext uri="{3e2802c4-a4d2-4d8b-9148-e3be6c30e623}">
          <xlrd:rvb i="4234"/>
        </ext>
      </extLst>
    </bk>
    <bk>
      <extLst>
        <ext uri="{3e2802c4-a4d2-4d8b-9148-e3be6c30e623}">
          <xlrd:rvb i="4235"/>
        </ext>
      </extLst>
    </bk>
    <bk>
      <extLst>
        <ext uri="{3e2802c4-a4d2-4d8b-9148-e3be6c30e623}">
          <xlrd:rvb i="4236"/>
        </ext>
      </extLst>
    </bk>
    <bk>
      <extLst>
        <ext uri="{3e2802c4-a4d2-4d8b-9148-e3be6c30e623}">
          <xlrd:rvb i="4237"/>
        </ext>
      </extLst>
    </bk>
    <bk>
      <extLst>
        <ext uri="{3e2802c4-a4d2-4d8b-9148-e3be6c30e623}">
          <xlrd:rvb i="4238"/>
        </ext>
      </extLst>
    </bk>
    <bk>
      <extLst>
        <ext uri="{3e2802c4-a4d2-4d8b-9148-e3be6c30e623}">
          <xlrd:rvb i="4239"/>
        </ext>
      </extLst>
    </bk>
    <bk>
      <extLst>
        <ext uri="{3e2802c4-a4d2-4d8b-9148-e3be6c30e623}">
          <xlrd:rvb i="4240"/>
        </ext>
      </extLst>
    </bk>
    <bk>
      <extLst>
        <ext uri="{3e2802c4-a4d2-4d8b-9148-e3be6c30e623}">
          <xlrd:rvb i="4241"/>
        </ext>
      </extLst>
    </bk>
    <bk>
      <extLst>
        <ext uri="{3e2802c4-a4d2-4d8b-9148-e3be6c30e623}">
          <xlrd:rvb i="4242"/>
        </ext>
      </extLst>
    </bk>
    <bk>
      <extLst>
        <ext uri="{3e2802c4-a4d2-4d8b-9148-e3be6c30e623}">
          <xlrd:rvb i="4243"/>
        </ext>
      </extLst>
    </bk>
    <bk>
      <extLst>
        <ext uri="{3e2802c4-a4d2-4d8b-9148-e3be6c30e623}">
          <xlrd:rvb i="4244"/>
        </ext>
      </extLst>
    </bk>
    <bk>
      <extLst>
        <ext uri="{3e2802c4-a4d2-4d8b-9148-e3be6c30e623}">
          <xlrd:rvb i="4245"/>
        </ext>
      </extLst>
    </bk>
    <bk>
      <extLst>
        <ext uri="{3e2802c4-a4d2-4d8b-9148-e3be6c30e623}">
          <xlrd:rvb i="4246"/>
        </ext>
      </extLst>
    </bk>
    <bk>
      <extLst>
        <ext uri="{3e2802c4-a4d2-4d8b-9148-e3be6c30e623}">
          <xlrd:rvb i="4247"/>
        </ext>
      </extLst>
    </bk>
    <bk>
      <extLst>
        <ext uri="{3e2802c4-a4d2-4d8b-9148-e3be6c30e623}">
          <xlrd:rvb i="4248"/>
        </ext>
      </extLst>
    </bk>
    <bk>
      <extLst>
        <ext uri="{3e2802c4-a4d2-4d8b-9148-e3be6c30e623}">
          <xlrd:rvb i="4249"/>
        </ext>
      </extLst>
    </bk>
    <bk>
      <extLst>
        <ext uri="{3e2802c4-a4d2-4d8b-9148-e3be6c30e623}">
          <xlrd:rvb i="4250"/>
        </ext>
      </extLst>
    </bk>
    <bk>
      <extLst>
        <ext uri="{3e2802c4-a4d2-4d8b-9148-e3be6c30e623}">
          <xlrd:rvb i="4251"/>
        </ext>
      </extLst>
    </bk>
    <bk>
      <extLst>
        <ext uri="{3e2802c4-a4d2-4d8b-9148-e3be6c30e623}">
          <xlrd:rvb i="4252"/>
        </ext>
      </extLst>
    </bk>
    <bk>
      <extLst>
        <ext uri="{3e2802c4-a4d2-4d8b-9148-e3be6c30e623}">
          <xlrd:rvb i="4253"/>
        </ext>
      </extLst>
    </bk>
    <bk>
      <extLst>
        <ext uri="{3e2802c4-a4d2-4d8b-9148-e3be6c30e623}">
          <xlrd:rvb i="4254"/>
        </ext>
      </extLst>
    </bk>
    <bk>
      <extLst>
        <ext uri="{3e2802c4-a4d2-4d8b-9148-e3be6c30e623}">
          <xlrd:rvb i="4255"/>
        </ext>
      </extLst>
    </bk>
    <bk>
      <extLst>
        <ext uri="{3e2802c4-a4d2-4d8b-9148-e3be6c30e623}">
          <xlrd:rvb i="4256"/>
        </ext>
      </extLst>
    </bk>
    <bk>
      <extLst>
        <ext uri="{3e2802c4-a4d2-4d8b-9148-e3be6c30e623}">
          <xlrd:rvb i="4257"/>
        </ext>
      </extLst>
    </bk>
    <bk>
      <extLst>
        <ext uri="{3e2802c4-a4d2-4d8b-9148-e3be6c30e623}">
          <xlrd:rvb i="4258"/>
        </ext>
      </extLst>
    </bk>
    <bk>
      <extLst>
        <ext uri="{3e2802c4-a4d2-4d8b-9148-e3be6c30e623}">
          <xlrd:rvb i="4259"/>
        </ext>
      </extLst>
    </bk>
    <bk>
      <extLst>
        <ext uri="{3e2802c4-a4d2-4d8b-9148-e3be6c30e623}">
          <xlrd:rvb i="4260"/>
        </ext>
      </extLst>
    </bk>
    <bk>
      <extLst>
        <ext uri="{3e2802c4-a4d2-4d8b-9148-e3be6c30e623}">
          <xlrd:rvb i="4261"/>
        </ext>
      </extLst>
    </bk>
    <bk>
      <extLst>
        <ext uri="{3e2802c4-a4d2-4d8b-9148-e3be6c30e623}">
          <xlrd:rvb i="4262"/>
        </ext>
      </extLst>
    </bk>
    <bk>
      <extLst>
        <ext uri="{3e2802c4-a4d2-4d8b-9148-e3be6c30e623}">
          <xlrd:rvb i="4263"/>
        </ext>
      </extLst>
    </bk>
    <bk>
      <extLst>
        <ext uri="{3e2802c4-a4d2-4d8b-9148-e3be6c30e623}">
          <xlrd:rvb i="4264"/>
        </ext>
      </extLst>
    </bk>
    <bk>
      <extLst>
        <ext uri="{3e2802c4-a4d2-4d8b-9148-e3be6c30e623}">
          <xlrd:rvb i="4265"/>
        </ext>
      </extLst>
    </bk>
    <bk>
      <extLst>
        <ext uri="{3e2802c4-a4d2-4d8b-9148-e3be6c30e623}">
          <xlrd:rvb i="4266"/>
        </ext>
      </extLst>
    </bk>
    <bk>
      <extLst>
        <ext uri="{3e2802c4-a4d2-4d8b-9148-e3be6c30e623}">
          <xlrd:rvb i="4267"/>
        </ext>
      </extLst>
    </bk>
    <bk>
      <extLst>
        <ext uri="{3e2802c4-a4d2-4d8b-9148-e3be6c30e623}">
          <xlrd:rvb i="4268"/>
        </ext>
      </extLst>
    </bk>
    <bk>
      <extLst>
        <ext uri="{3e2802c4-a4d2-4d8b-9148-e3be6c30e623}">
          <xlrd:rvb i="4269"/>
        </ext>
      </extLst>
    </bk>
    <bk>
      <extLst>
        <ext uri="{3e2802c4-a4d2-4d8b-9148-e3be6c30e623}">
          <xlrd:rvb i="4270"/>
        </ext>
      </extLst>
    </bk>
    <bk>
      <extLst>
        <ext uri="{3e2802c4-a4d2-4d8b-9148-e3be6c30e623}">
          <xlrd:rvb i="4271"/>
        </ext>
      </extLst>
    </bk>
    <bk>
      <extLst>
        <ext uri="{3e2802c4-a4d2-4d8b-9148-e3be6c30e623}">
          <xlrd:rvb i="4272"/>
        </ext>
      </extLst>
    </bk>
    <bk>
      <extLst>
        <ext uri="{3e2802c4-a4d2-4d8b-9148-e3be6c30e623}">
          <xlrd:rvb i="4273"/>
        </ext>
      </extLst>
    </bk>
    <bk>
      <extLst>
        <ext uri="{3e2802c4-a4d2-4d8b-9148-e3be6c30e623}">
          <xlrd:rvb i="4274"/>
        </ext>
      </extLst>
    </bk>
    <bk>
      <extLst>
        <ext uri="{3e2802c4-a4d2-4d8b-9148-e3be6c30e623}">
          <xlrd:rvb i="4275"/>
        </ext>
      </extLst>
    </bk>
    <bk>
      <extLst>
        <ext uri="{3e2802c4-a4d2-4d8b-9148-e3be6c30e623}">
          <xlrd:rvb i="4276"/>
        </ext>
      </extLst>
    </bk>
    <bk>
      <extLst>
        <ext uri="{3e2802c4-a4d2-4d8b-9148-e3be6c30e623}">
          <xlrd:rvb i="4277"/>
        </ext>
      </extLst>
    </bk>
    <bk>
      <extLst>
        <ext uri="{3e2802c4-a4d2-4d8b-9148-e3be6c30e623}">
          <xlrd:rvb i="4278"/>
        </ext>
      </extLst>
    </bk>
    <bk>
      <extLst>
        <ext uri="{3e2802c4-a4d2-4d8b-9148-e3be6c30e623}">
          <xlrd:rvb i="4279"/>
        </ext>
      </extLst>
    </bk>
    <bk>
      <extLst>
        <ext uri="{3e2802c4-a4d2-4d8b-9148-e3be6c30e623}">
          <xlrd:rvb i="4280"/>
        </ext>
      </extLst>
    </bk>
    <bk>
      <extLst>
        <ext uri="{3e2802c4-a4d2-4d8b-9148-e3be6c30e623}">
          <xlrd:rvb i="4281"/>
        </ext>
      </extLst>
    </bk>
    <bk>
      <extLst>
        <ext uri="{3e2802c4-a4d2-4d8b-9148-e3be6c30e623}">
          <xlrd:rvb i="4282"/>
        </ext>
      </extLst>
    </bk>
    <bk>
      <extLst>
        <ext uri="{3e2802c4-a4d2-4d8b-9148-e3be6c30e623}">
          <xlrd:rvb i="4283"/>
        </ext>
      </extLst>
    </bk>
    <bk>
      <extLst>
        <ext uri="{3e2802c4-a4d2-4d8b-9148-e3be6c30e623}">
          <xlrd:rvb i="4284"/>
        </ext>
      </extLst>
    </bk>
    <bk>
      <extLst>
        <ext uri="{3e2802c4-a4d2-4d8b-9148-e3be6c30e623}">
          <xlrd:rvb i="4285"/>
        </ext>
      </extLst>
    </bk>
    <bk>
      <extLst>
        <ext uri="{3e2802c4-a4d2-4d8b-9148-e3be6c30e623}">
          <xlrd:rvb i="4286"/>
        </ext>
      </extLst>
    </bk>
    <bk>
      <extLst>
        <ext uri="{3e2802c4-a4d2-4d8b-9148-e3be6c30e623}">
          <xlrd:rvb i="4287"/>
        </ext>
      </extLst>
    </bk>
    <bk>
      <extLst>
        <ext uri="{3e2802c4-a4d2-4d8b-9148-e3be6c30e623}">
          <xlrd:rvb i="4288"/>
        </ext>
      </extLst>
    </bk>
    <bk>
      <extLst>
        <ext uri="{3e2802c4-a4d2-4d8b-9148-e3be6c30e623}">
          <xlrd:rvb i="4289"/>
        </ext>
      </extLst>
    </bk>
    <bk>
      <extLst>
        <ext uri="{3e2802c4-a4d2-4d8b-9148-e3be6c30e623}">
          <xlrd:rvb i="4290"/>
        </ext>
      </extLst>
    </bk>
    <bk>
      <extLst>
        <ext uri="{3e2802c4-a4d2-4d8b-9148-e3be6c30e623}">
          <xlrd:rvb i="4291"/>
        </ext>
      </extLst>
    </bk>
    <bk>
      <extLst>
        <ext uri="{3e2802c4-a4d2-4d8b-9148-e3be6c30e623}">
          <xlrd:rvb i="4292"/>
        </ext>
      </extLst>
    </bk>
    <bk>
      <extLst>
        <ext uri="{3e2802c4-a4d2-4d8b-9148-e3be6c30e623}">
          <xlrd:rvb i="4293"/>
        </ext>
      </extLst>
    </bk>
    <bk>
      <extLst>
        <ext uri="{3e2802c4-a4d2-4d8b-9148-e3be6c30e623}">
          <xlrd:rvb i="4294"/>
        </ext>
      </extLst>
    </bk>
    <bk>
      <extLst>
        <ext uri="{3e2802c4-a4d2-4d8b-9148-e3be6c30e623}">
          <xlrd:rvb i="4295"/>
        </ext>
      </extLst>
    </bk>
    <bk>
      <extLst>
        <ext uri="{3e2802c4-a4d2-4d8b-9148-e3be6c30e623}">
          <xlrd:rvb i="4296"/>
        </ext>
      </extLst>
    </bk>
    <bk>
      <extLst>
        <ext uri="{3e2802c4-a4d2-4d8b-9148-e3be6c30e623}">
          <xlrd:rvb i="4297"/>
        </ext>
      </extLst>
    </bk>
    <bk>
      <extLst>
        <ext uri="{3e2802c4-a4d2-4d8b-9148-e3be6c30e623}">
          <xlrd:rvb i="4298"/>
        </ext>
      </extLst>
    </bk>
    <bk>
      <extLst>
        <ext uri="{3e2802c4-a4d2-4d8b-9148-e3be6c30e623}">
          <xlrd:rvb i="4299"/>
        </ext>
      </extLst>
    </bk>
    <bk>
      <extLst>
        <ext uri="{3e2802c4-a4d2-4d8b-9148-e3be6c30e623}">
          <xlrd:rvb i="4300"/>
        </ext>
      </extLst>
    </bk>
    <bk>
      <extLst>
        <ext uri="{3e2802c4-a4d2-4d8b-9148-e3be6c30e623}">
          <xlrd:rvb i="4301"/>
        </ext>
      </extLst>
    </bk>
    <bk>
      <extLst>
        <ext uri="{3e2802c4-a4d2-4d8b-9148-e3be6c30e623}">
          <xlrd:rvb i="4302"/>
        </ext>
      </extLst>
    </bk>
    <bk>
      <extLst>
        <ext uri="{3e2802c4-a4d2-4d8b-9148-e3be6c30e623}">
          <xlrd:rvb i="4303"/>
        </ext>
      </extLst>
    </bk>
    <bk>
      <extLst>
        <ext uri="{3e2802c4-a4d2-4d8b-9148-e3be6c30e623}">
          <xlrd:rvb i="4304"/>
        </ext>
      </extLst>
    </bk>
    <bk>
      <extLst>
        <ext uri="{3e2802c4-a4d2-4d8b-9148-e3be6c30e623}">
          <xlrd:rvb i="4305"/>
        </ext>
      </extLst>
    </bk>
    <bk>
      <extLst>
        <ext uri="{3e2802c4-a4d2-4d8b-9148-e3be6c30e623}">
          <xlrd:rvb i="4306"/>
        </ext>
      </extLst>
    </bk>
    <bk>
      <extLst>
        <ext uri="{3e2802c4-a4d2-4d8b-9148-e3be6c30e623}">
          <xlrd:rvb i="4307"/>
        </ext>
      </extLst>
    </bk>
    <bk>
      <extLst>
        <ext uri="{3e2802c4-a4d2-4d8b-9148-e3be6c30e623}">
          <xlrd:rvb i="4308"/>
        </ext>
      </extLst>
    </bk>
    <bk>
      <extLst>
        <ext uri="{3e2802c4-a4d2-4d8b-9148-e3be6c30e623}">
          <xlrd:rvb i="4309"/>
        </ext>
      </extLst>
    </bk>
    <bk>
      <extLst>
        <ext uri="{3e2802c4-a4d2-4d8b-9148-e3be6c30e623}">
          <xlrd:rvb i="4310"/>
        </ext>
      </extLst>
    </bk>
    <bk>
      <extLst>
        <ext uri="{3e2802c4-a4d2-4d8b-9148-e3be6c30e623}">
          <xlrd:rvb i="4311"/>
        </ext>
      </extLst>
    </bk>
    <bk>
      <extLst>
        <ext uri="{3e2802c4-a4d2-4d8b-9148-e3be6c30e623}">
          <xlrd:rvb i="4312"/>
        </ext>
      </extLst>
    </bk>
    <bk>
      <extLst>
        <ext uri="{3e2802c4-a4d2-4d8b-9148-e3be6c30e623}">
          <xlrd:rvb i="4313"/>
        </ext>
      </extLst>
    </bk>
    <bk>
      <extLst>
        <ext uri="{3e2802c4-a4d2-4d8b-9148-e3be6c30e623}">
          <xlrd:rvb i="4314"/>
        </ext>
      </extLst>
    </bk>
    <bk>
      <extLst>
        <ext uri="{3e2802c4-a4d2-4d8b-9148-e3be6c30e623}">
          <xlrd:rvb i="4315"/>
        </ext>
      </extLst>
    </bk>
    <bk>
      <extLst>
        <ext uri="{3e2802c4-a4d2-4d8b-9148-e3be6c30e623}">
          <xlrd:rvb i="4316"/>
        </ext>
      </extLst>
    </bk>
    <bk>
      <extLst>
        <ext uri="{3e2802c4-a4d2-4d8b-9148-e3be6c30e623}">
          <xlrd:rvb i="4317"/>
        </ext>
      </extLst>
    </bk>
    <bk>
      <extLst>
        <ext uri="{3e2802c4-a4d2-4d8b-9148-e3be6c30e623}">
          <xlrd:rvb i="4318"/>
        </ext>
      </extLst>
    </bk>
    <bk>
      <extLst>
        <ext uri="{3e2802c4-a4d2-4d8b-9148-e3be6c30e623}">
          <xlrd:rvb i="4319"/>
        </ext>
      </extLst>
    </bk>
    <bk>
      <extLst>
        <ext uri="{3e2802c4-a4d2-4d8b-9148-e3be6c30e623}">
          <xlrd:rvb i="4320"/>
        </ext>
      </extLst>
    </bk>
    <bk>
      <extLst>
        <ext uri="{3e2802c4-a4d2-4d8b-9148-e3be6c30e623}">
          <xlrd:rvb i="4321"/>
        </ext>
      </extLst>
    </bk>
    <bk>
      <extLst>
        <ext uri="{3e2802c4-a4d2-4d8b-9148-e3be6c30e623}">
          <xlrd:rvb i="4322"/>
        </ext>
      </extLst>
    </bk>
    <bk>
      <extLst>
        <ext uri="{3e2802c4-a4d2-4d8b-9148-e3be6c30e623}">
          <xlrd:rvb i="4323"/>
        </ext>
      </extLst>
    </bk>
    <bk>
      <extLst>
        <ext uri="{3e2802c4-a4d2-4d8b-9148-e3be6c30e623}">
          <xlrd:rvb i="4324"/>
        </ext>
      </extLst>
    </bk>
    <bk>
      <extLst>
        <ext uri="{3e2802c4-a4d2-4d8b-9148-e3be6c30e623}">
          <xlrd:rvb i="4325"/>
        </ext>
      </extLst>
    </bk>
    <bk>
      <extLst>
        <ext uri="{3e2802c4-a4d2-4d8b-9148-e3be6c30e623}">
          <xlrd:rvb i="4326"/>
        </ext>
      </extLst>
    </bk>
    <bk>
      <extLst>
        <ext uri="{3e2802c4-a4d2-4d8b-9148-e3be6c30e623}">
          <xlrd:rvb i="4327"/>
        </ext>
      </extLst>
    </bk>
    <bk>
      <extLst>
        <ext uri="{3e2802c4-a4d2-4d8b-9148-e3be6c30e623}">
          <xlrd:rvb i="4328"/>
        </ext>
      </extLst>
    </bk>
    <bk>
      <extLst>
        <ext uri="{3e2802c4-a4d2-4d8b-9148-e3be6c30e623}">
          <xlrd:rvb i="4329"/>
        </ext>
      </extLst>
    </bk>
    <bk>
      <extLst>
        <ext uri="{3e2802c4-a4d2-4d8b-9148-e3be6c30e623}">
          <xlrd:rvb i="4330"/>
        </ext>
      </extLst>
    </bk>
    <bk>
      <extLst>
        <ext uri="{3e2802c4-a4d2-4d8b-9148-e3be6c30e623}">
          <xlrd:rvb i="4331"/>
        </ext>
      </extLst>
    </bk>
    <bk>
      <extLst>
        <ext uri="{3e2802c4-a4d2-4d8b-9148-e3be6c30e623}">
          <xlrd:rvb i="4332"/>
        </ext>
      </extLst>
    </bk>
    <bk>
      <extLst>
        <ext uri="{3e2802c4-a4d2-4d8b-9148-e3be6c30e623}">
          <xlrd:rvb i="4333"/>
        </ext>
      </extLst>
    </bk>
    <bk>
      <extLst>
        <ext uri="{3e2802c4-a4d2-4d8b-9148-e3be6c30e623}">
          <xlrd:rvb i="4334"/>
        </ext>
      </extLst>
    </bk>
    <bk>
      <extLst>
        <ext uri="{3e2802c4-a4d2-4d8b-9148-e3be6c30e623}">
          <xlrd:rvb i="4335"/>
        </ext>
      </extLst>
    </bk>
    <bk>
      <extLst>
        <ext uri="{3e2802c4-a4d2-4d8b-9148-e3be6c30e623}">
          <xlrd:rvb i="4336"/>
        </ext>
      </extLst>
    </bk>
    <bk>
      <extLst>
        <ext uri="{3e2802c4-a4d2-4d8b-9148-e3be6c30e623}">
          <xlrd:rvb i="4337"/>
        </ext>
      </extLst>
    </bk>
    <bk>
      <extLst>
        <ext uri="{3e2802c4-a4d2-4d8b-9148-e3be6c30e623}">
          <xlrd:rvb i="4338"/>
        </ext>
      </extLst>
    </bk>
    <bk>
      <extLst>
        <ext uri="{3e2802c4-a4d2-4d8b-9148-e3be6c30e623}">
          <xlrd:rvb i="4339"/>
        </ext>
      </extLst>
    </bk>
    <bk>
      <extLst>
        <ext uri="{3e2802c4-a4d2-4d8b-9148-e3be6c30e623}">
          <xlrd:rvb i="4340"/>
        </ext>
      </extLst>
    </bk>
    <bk>
      <extLst>
        <ext uri="{3e2802c4-a4d2-4d8b-9148-e3be6c30e623}">
          <xlrd:rvb i="4341"/>
        </ext>
      </extLst>
    </bk>
    <bk>
      <extLst>
        <ext uri="{3e2802c4-a4d2-4d8b-9148-e3be6c30e623}">
          <xlrd:rvb i="4342"/>
        </ext>
      </extLst>
    </bk>
    <bk>
      <extLst>
        <ext uri="{3e2802c4-a4d2-4d8b-9148-e3be6c30e623}">
          <xlrd:rvb i="4343"/>
        </ext>
      </extLst>
    </bk>
    <bk>
      <extLst>
        <ext uri="{3e2802c4-a4d2-4d8b-9148-e3be6c30e623}">
          <xlrd:rvb i="4344"/>
        </ext>
      </extLst>
    </bk>
    <bk>
      <extLst>
        <ext uri="{3e2802c4-a4d2-4d8b-9148-e3be6c30e623}">
          <xlrd:rvb i="4345"/>
        </ext>
      </extLst>
    </bk>
    <bk>
      <extLst>
        <ext uri="{3e2802c4-a4d2-4d8b-9148-e3be6c30e623}">
          <xlrd:rvb i="4346"/>
        </ext>
      </extLst>
    </bk>
    <bk>
      <extLst>
        <ext uri="{3e2802c4-a4d2-4d8b-9148-e3be6c30e623}">
          <xlrd:rvb i="4347"/>
        </ext>
      </extLst>
    </bk>
    <bk>
      <extLst>
        <ext uri="{3e2802c4-a4d2-4d8b-9148-e3be6c30e623}">
          <xlrd:rvb i="4348"/>
        </ext>
      </extLst>
    </bk>
    <bk>
      <extLst>
        <ext uri="{3e2802c4-a4d2-4d8b-9148-e3be6c30e623}">
          <xlrd:rvb i="4349"/>
        </ext>
      </extLst>
    </bk>
    <bk>
      <extLst>
        <ext uri="{3e2802c4-a4d2-4d8b-9148-e3be6c30e623}">
          <xlrd:rvb i="4350"/>
        </ext>
      </extLst>
    </bk>
    <bk>
      <extLst>
        <ext uri="{3e2802c4-a4d2-4d8b-9148-e3be6c30e623}">
          <xlrd:rvb i="4351"/>
        </ext>
      </extLst>
    </bk>
    <bk>
      <extLst>
        <ext uri="{3e2802c4-a4d2-4d8b-9148-e3be6c30e623}">
          <xlrd:rvb i="4352"/>
        </ext>
      </extLst>
    </bk>
    <bk>
      <extLst>
        <ext uri="{3e2802c4-a4d2-4d8b-9148-e3be6c30e623}">
          <xlrd:rvb i="4353"/>
        </ext>
      </extLst>
    </bk>
    <bk>
      <extLst>
        <ext uri="{3e2802c4-a4d2-4d8b-9148-e3be6c30e623}">
          <xlrd:rvb i="4354"/>
        </ext>
      </extLst>
    </bk>
    <bk>
      <extLst>
        <ext uri="{3e2802c4-a4d2-4d8b-9148-e3be6c30e623}">
          <xlrd:rvb i="4355"/>
        </ext>
      </extLst>
    </bk>
    <bk>
      <extLst>
        <ext uri="{3e2802c4-a4d2-4d8b-9148-e3be6c30e623}">
          <xlrd:rvb i="4356"/>
        </ext>
      </extLst>
    </bk>
    <bk>
      <extLst>
        <ext uri="{3e2802c4-a4d2-4d8b-9148-e3be6c30e623}">
          <xlrd:rvb i="4357"/>
        </ext>
      </extLst>
    </bk>
    <bk>
      <extLst>
        <ext uri="{3e2802c4-a4d2-4d8b-9148-e3be6c30e623}">
          <xlrd:rvb i="4358"/>
        </ext>
      </extLst>
    </bk>
    <bk>
      <extLst>
        <ext uri="{3e2802c4-a4d2-4d8b-9148-e3be6c30e623}">
          <xlrd:rvb i="4359"/>
        </ext>
      </extLst>
    </bk>
    <bk>
      <extLst>
        <ext uri="{3e2802c4-a4d2-4d8b-9148-e3be6c30e623}">
          <xlrd:rvb i="4360"/>
        </ext>
      </extLst>
    </bk>
    <bk>
      <extLst>
        <ext uri="{3e2802c4-a4d2-4d8b-9148-e3be6c30e623}">
          <xlrd:rvb i="4361"/>
        </ext>
      </extLst>
    </bk>
    <bk>
      <extLst>
        <ext uri="{3e2802c4-a4d2-4d8b-9148-e3be6c30e623}">
          <xlrd:rvb i="4362"/>
        </ext>
      </extLst>
    </bk>
    <bk>
      <extLst>
        <ext uri="{3e2802c4-a4d2-4d8b-9148-e3be6c30e623}">
          <xlrd:rvb i="4363"/>
        </ext>
      </extLst>
    </bk>
    <bk>
      <extLst>
        <ext uri="{3e2802c4-a4d2-4d8b-9148-e3be6c30e623}">
          <xlrd:rvb i="4364"/>
        </ext>
      </extLst>
    </bk>
    <bk>
      <extLst>
        <ext uri="{3e2802c4-a4d2-4d8b-9148-e3be6c30e623}">
          <xlrd:rvb i="4365"/>
        </ext>
      </extLst>
    </bk>
    <bk>
      <extLst>
        <ext uri="{3e2802c4-a4d2-4d8b-9148-e3be6c30e623}">
          <xlrd:rvb i="4366"/>
        </ext>
      </extLst>
    </bk>
    <bk>
      <extLst>
        <ext uri="{3e2802c4-a4d2-4d8b-9148-e3be6c30e623}">
          <xlrd:rvb i="4367"/>
        </ext>
      </extLst>
    </bk>
    <bk>
      <extLst>
        <ext uri="{3e2802c4-a4d2-4d8b-9148-e3be6c30e623}">
          <xlrd:rvb i="4368"/>
        </ext>
      </extLst>
    </bk>
    <bk>
      <extLst>
        <ext uri="{3e2802c4-a4d2-4d8b-9148-e3be6c30e623}">
          <xlrd:rvb i="4369"/>
        </ext>
      </extLst>
    </bk>
    <bk>
      <extLst>
        <ext uri="{3e2802c4-a4d2-4d8b-9148-e3be6c30e623}">
          <xlrd:rvb i="4370"/>
        </ext>
      </extLst>
    </bk>
    <bk>
      <extLst>
        <ext uri="{3e2802c4-a4d2-4d8b-9148-e3be6c30e623}">
          <xlrd:rvb i="4371"/>
        </ext>
      </extLst>
    </bk>
    <bk>
      <extLst>
        <ext uri="{3e2802c4-a4d2-4d8b-9148-e3be6c30e623}">
          <xlrd:rvb i="4372"/>
        </ext>
      </extLst>
    </bk>
    <bk>
      <extLst>
        <ext uri="{3e2802c4-a4d2-4d8b-9148-e3be6c30e623}">
          <xlrd:rvb i="4373"/>
        </ext>
      </extLst>
    </bk>
    <bk>
      <extLst>
        <ext uri="{3e2802c4-a4d2-4d8b-9148-e3be6c30e623}">
          <xlrd:rvb i="4374"/>
        </ext>
      </extLst>
    </bk>
    <bk>
      <extLst>
        <ext uri="{3e2802c4-a4d2-4d8b-9148-e3be6c30e623}">
          <xlrd:rvb i="4375"/>
        </ext>
      </extLst>
    </bk>
    <bk>
      <extLst>
        <ext uri="{3e2802c4-a4d2-4d8b-9148-e3be6c30e623}">
          <xlrd:rvb i="4376"/>
        </ext>
      </extLst>
    </bk>
    <bk>
      <extLst>
        <ext uri="{3e2802c4-a4d2-4d8b-9148-e3be6c30e623}">
          <xlrd:rvb i="4377"/>
        </ext>
      </extLst>
    </bk>
    <bk>
      <extLst>
        <ext uri="{3e2802c4-a4d2-4d8b-9148-e3be6c30e623}">
          <xlrd:rvb i="4378"/>
        </ext>
      </extLst>
    </bk>
    <bk>
      <extLst>
        <ext uri="{3e2802c4-a4d2-4d8b-9148-e3be6c30e623}">
          <xlrd:rvb i="4379"/>
        </ext>
      </extLst>
    </bk>
    <bk>
      <extLst>
        <ext uri="{3e2802c4-a4d2-4d8b-9148-e3be6c30e623}">
          <xlrd:rvb i="4380"/>
        </ext>
      </extLst>
    </bk>
    <bk>
      <extLst>
        <ext uri="{3e2802c4-a4d2-4d8b-9148-e3be6c30e623}">
          <xlrd:rvb i="4381"/>
        </ext>
      </extLst>
    </bk>
    <bk>
      <extLst>
        <ext uri="{3e2802c4-a4d2-4d8b-9148-e3be6c30e623}">
          <xlrd:rvb i="4382"/>
        </ext>
      </extLst>
    </bk>
    <bk>
      <extLst>
        <ext uri="{3e2802c4-a4d2-4d8b-9148-e3be6c30e623}">
          <xlrd:rvb i="4383"/>
        </ext>
      </extLst>
    </bk>
    <bk>
      <extLst>
        <ext uri="{3e2802c4-a4d2-4d8b-9148-e3be6c30e623}">
          <xlrd:rvb i="4384"/>
        </ext>
      </extLst>
    </bk>
    <bk>
      <extLst>
        <ext uri="{3e2802c4-a4d2-4d8b-9148-e3be6c30e623}">
          <xlrd:rvb i="4385"/>
        </ext>
      </extLst>
    </bk>
    <bk>
      <extLst>
        <ext uri="{3e2802c4-a4d2-4d8b-9148-e3be6c30e623}">
          <xlrd:rvb i="4386"/>
        </ext>
      </extLst>
    </bk>
    <bk>
      <extLst>
        <ext uri="{3e2802c4-a4d2-4d8b-9148-e3be6c30e623}">
          <xlrd:rvb i="4387"/>
        </ext>
      </extLst>
    </bk>
    <bk>
      <extLst>
        <ext uri="{3e2802c4-a4d2-4d8b-9148-e3be6c30e623}">
          <xlrd:rvb i="4388"/>
        </ext>
      </extLst>
    </bk>
    <bk>
      <extLst>
        <ext uri="{3e2802c4-a4d2-4d8b-9148-e3be6c30e623}">
          <xlrd:rvb i="4389"/>
        </ext>
      </extLst>
    </bk>
    <bk>
      <extLst>
        <ext uri="{3e2802c4-a4d2-4d8b-9148-e3be6c30e623}">
          <xlrd:rvb i="4390"/>
        </ext>
      </extLst>
    </bk>
    <bk>
      <extLst>
        <ext uri="{3e2802c4-a4d2-4d8b-9148-e3be6c30e623}">
          <xlrd:rvb i="4391"/>
        </ext>
      </extLst>
    </bk>
    <bk>
      <extLst>
        <ext uri="{3e2802c4-a4d2-4d8b-9148-e3be6c30e623}">
          <xlrd:rvb i="4392"/>
        </ext>
      </extLst>
    </bk>
    <bk>
      <extLst>
        <ext uri="{3e2802c4-a4d2-4d8b-9148-e3be6c30e623}">
          <xlrd:rvb i="4393"/>
        </ext>
      </extLst>
    </bk>
    <bk>
      <extLst>
        <ext uri="{3e2802c4-a4d2-4d8b-9148-e3be6c30e623}">
          <xlrd:rvb i="4394"/>
        </ext>
      </extLst>
    </bk>
    <bk>
      <extLst>
        <ext uri="{3e2802c4-a4d2-4d8b-9148-e3be6c30e623}">
          <xlrd:rvb i="4395"/>
        </ext>
      </extLst>
    </bk>
    <bk>
      <extLst>
        <ext uri="{3e2802c4-a4d2-4d8b-9148-e3be6c30e623}">
          <xlrd:rvb i="4396"/>
        </ext>
      </extLst>
    </bk>
    <bk>
      <extLst>
        <ext uri="{3e2802c4-a4d2-4d8b-9148-e3be6c30e623}">
          <xlrd:rvb i="4397"/>
        </ext>
      </extLst>
    </bk>
    <bk>
      <extLst>
        <ext uri="{3e2802c4-a4d2-4d8b-9148-e3be6c30e623}">
          <xlrd:rvb i="4398"/>
        </ext>
      </extLst>
    </bk>
    <bk>
      <extLst>
        <ext uri="{3e2802c4-a4d2-4d8b-9148-e3be6c30e623}">
          <xlrd:rvb i="4399"/>
        </ext>
      </extLst>
    </bk>
    <bk>
      <extLst>
        <ext uri="{3e2802c4-a4d2-4d8b-9148-e3be6c30e623}">
          <xlrd:rvb i="4400"/>
        </ext>
      </extLst>
    </bk>
    <bk>
      <extLst>
        <ext uri="{3e2802c4-a4d2-4d8b-9148-e3be6c30e623}">
          <xlrd:rvb i="4401"/>
        </ext>
      </extLst>
    </bk>
    <bk>
      <extLst>
        <ext uri="{3e2802c4-a4d2-4d8b-9148-e3be6c30e623}">
          <xlrd:rvb i="4402"/>
        </ext>
      </extLst>
    </bk>
    <bk>
      <extLst>
        <ext uri="{3e2802c4-a4d2-4d8b-9148-e3be6c30e623}">
          <xlrd:rvb i="4403"/>
        </ext>
      </extLst>
    </bk>
    <bk>
      <extLst>
        <ext uri="{3e2802c4-a4d2-4d8b-9148-e3be6c30e623}">
          <xlrd:rvb i="4404"/>
        </ext>
      </extLst>
    </bk>
    <bk>
      <extLst>
        <ext uri="{3e2802c4-a4d2-4d8b-9148-e3be6c30e623}">
          <xlrd:rvb i="4405"/>
        </ext>
      </extLst>
    </bk>
    <bk>
      <extLst>
        <ext uri="{3e2802c4-a4d2-4d8b-9148-e3be6c30e623}">
          <xlrd:rvb i="4406"/>
        </ext>
      </extLst>
    </bk>
    <bk>
      <extLst>
        <ext uri="{3e2802c4-a4d2-4d8b-9148-e3be6c30e623}">
          <xlrd:rvb i="4407"/>
        </ext>
      </extLst>
    </bk>
    <bk>
      <extLst>
        <ext uri="{3e2802c4-a4d2-4d8b-9148-e3be6c30e623}">
          <xlrd:rvb i="4408"/>
        </ext>
      </extLst>
    </bk>
    <bk>
      <extLst>
        <ext uri="{3e2802c4-a4d2-4d8b-9148-e3be6c30e623}">
          <xlrd:rvb i="4409"/>
        </ext>
      </extLst>
    </bk>
    <bk>
      <extLst>
        <ext uri="{3e2802c4-a4d2-4d8b-9148-e3be6c30e623}">
          <xlrd:rvb i="4410"/>
        </ext>
      </extLst>
    </bk>
    <bk>
      <extLst>
        <ext uri="{3e2802c4-a4d2-4d8b-9148-e3be6c30e623}">
          <xlrd:rvb i="4411"/>
        </ext>
      </extLst>
    </bk>
    <bk>
      <extLst>
        <ext uri="{3e2802c4-a4d2-4d8b-9148-e3be6c30e623}">
          <xlrd:rvb i="4412"/>
        </ext>
      </extLst>
    </bk>
    <bk>
      <extLst>
        <ext uri="{3e2802c4-a4d2-4d8b-9148-e3be6c30e623}">
          <xlrd:rvb i="4413"/>
        </ext>
      </extLst>
    </bk>
    <bk>
      <extLst>
        <ext uri="{3e2802c4-a4d2-4d8b-9148-e3be6c30e623}">
          <xlrd:rvb i="4414"/>
        </ext>
      </extLst>
    </bk>
    <bk>
      <extLst>
        <ext uri="{3e2802c4-a4d2-4d8b-9148-e3be6c30e623}">
          <xlrd:rvb i="4415"/>
        </ext>
      </extLst>
    </bk>
    <bk>
      <extLst>
        <ext uri="{3e2802c4-a4d2-4d8b-9148-e3be6c30e623}">
          <xlrd:rvb i="4416"/>
        </ext>
      </extLst>
    </bk>
    <bk>
      <extLst>
        <ext uri="{3e2802c4-a4d2-4d8b-9148-e3be6c30e623}">
          <xlrd:rvb i="4417"/>
        </ext>
      </extLst>
    </bk>
    <bk>
      <extLst>
        <ext uri="{3e2802c4-a4d2-4d8b-9148-e3be6c30e623}">
          <xlrd:rvb i="4418"/>
        </ext>
      </extLst>
    </bk>
    <bk>
      <extLst>
        <ext uri="{3e2802c4-a4d2-4d8b-9148-e3be6c30e623}">
          <xlrd:rvb i="4419"/>
        </ext>
      </extLst>
    </bk>
    <bk>
      <extLst>
        <ext uri="{3e2802c4-a4d2-4d8b-9148-e3be6c30e623}">
          <xlrd:rvb i="4420"/>
        </ext>
      </extLst>
    </bk>
    <bk>
      <extLst>
        <ext uri="{3e2802c4-a4d2-4d8b-9148-e3be6c30e623}">
          <xlrd:rvb i="4421"/>
        </ext>
      </extLst>
    </bk>
    <bk>
      <extLst>
        <ext uri="{3e2802c4-a4d2-4d8b-9148-e3be6c30e623}">
          <xlrd:rvb i="4422"/>
        </ext>
      </extLst>
    </bk>
    <bk>
      <extLst>
        <ext uri="{3e2802c4-a4d2-4d8b-9148-e3be6c30e623}">
          <xlrd:rvb i="4423"/>
        </ext>
      </extLst>
    </bk>
    <bk>
      <extLst>
        <ext uri="{3e2802c4-a4d2-4d8b-9148-e3be6c30e623}">
          <xlrd:rvb i="4424"/>
        </ext>
      </extLst>
    </bk>
    <bk>
      <extLst>
        <ext uri="{3e2802c4-a4d2-4d8b-9148-e3be6c30e623}">
          <xlrd:rvb i="4425"/>
        </ext>
      </extLst>
    </bk>
    <bk>
      <extLst>
        <ext uri="{3e2802c4-a4d2-4d8b-9148-e3be6c30e623}">
          <xlrd:rvb i="4426"/>
        </ext>
      </extLst>
    </bk>
    <bk>
      <extLst>
        <ext uri="{3e2802c4-a4d2-4d8b-9148-e3be6c30e623}">
          <xlrd:rvb i="4427"/>
        </ext>
      </extLst>
    </bk>
    <bk>
      <extLst>
        <ext uri="{3e2802c4-a4d2-4d8b-9148-e3be6c30e623}">
          <xlrd:rvb i="4428"/>
        </ext>
      </extLst>
    </bk>
    <bk>
      <extLst>
        <ext uri="{3e2802c4-a4d2-4d8b-9148-e3be6c30e623}">
          <xlrd:rvb i="4429"/>
        </ext>
      </extLst>
    </bk>
    <bk>
      <extLst>
        <ext uri="{3e2802c4-a4d2-4d8b-9148-e3be6c30e623}">
          <xlrd:rvb i="4430"/>
        </ext>
      </extLst>
    </bk>
    <bk>
      <extLst>
        <ext uri="{3e2802c4-a4d2-4d8b-9148-e3be6c30e623}">
          <xlrd:rvb i="4431"/>
        </ext>
      </extLst>
    </bk>
    <bk>
      <extLst>
        <ext uri="{3e2802c4-a4d2-4d8b-9148-e3be6c30e623}">
          <xlrd:rvb i="4432"/>
        </ext>
      </extLst>
    </bk>
    <bk>
      <extLst>
        <ext uri="{3e2802c4-a4d2-4d8b-9148-e3be6c30e623}">
          <xlrd:rvb i="4433"/>
        </ext>
      </extLst>
    </bk>
    <bk>
      <extLst>
        <ext uri="{3e2802c4-a4d2-4d8b-9148-e3be6c30e623}">
          <xlrd:rvb i="4434"/>
        </ext>
      </extLst>
    </bk>
    <bk>
      <extLst>
        <ext uri="{3e2802c4-a4d2-4d8b-9148-e3be6c30e623}">
          <xlrd:rvb i="4435"/>
        </ext>
      </extLst>
    </bk>
    <bk>
      <extLst>
        <ext uri="{3e2802c4-a4d2-4d8b-9148-e3be6c30e623}">
          <xlrd:rvb i="4436"/>
        </ext>
      </extLst>
    </bk>
    <bk>
      <extLst>
        <ext uri="{3e2802c4-a4d2-4d8b-9148-e3be6c30e623}">
          <xlrd:rvb i="4437"/>
        </ext>
      </extLst>
    </bk>
    <bk>
      <extLst>
        <ext uri="{3e2802c4-a4d2-4d8b-9148-e3be6c30e623}">
          <xlrd:rvb i="4438"/>
        </ext>
      </extLst>
    </bk>
    <bk>
      <extLst>
        <ext uri="{3e2802c4-a4d2-4d8b-9148-e3be6c30e623}">
          <xlrd:rvb i="4439"/>
        </ext>
      </extLst>
    </bk>
    <bk>
      <extLst>
        <ext uri="{3e2802c4-a4d2-4d8b-9148-e3be6c30e623}">
          <xlrd:rvb i="4440"/>
        </ext>
      </extLst>
    </bk>
    <bk>
      <extLst>
        <ext uri="{3e2802c4-a4d2-4d8b-9148-e3be6c30e623}">
          <xlrd:rvb i="4441"/>
        </ext>
      </extLst>
    </bk>
    <bk>
      <extLst>
        <ext uri="{3e2802c4-a4d2-4d8b-9148-e3be6c30e623}">
          <xlrd:rvb i="4442"/>
        </ext>
      </extLst>
    </bk>
    <bk>
      <extLst>
        <ext uri="{3e2802c4-a4d2-4d8b-9148-e3be6c30e623}">
          <xlrd:rvb i="4443"/>
        </ext>
      </extLst>
    </bk>
    <bk>
      <extLst>
        <ext uri="{3e2802c4-a4d2-4d8b-9148-e3be6c30e623}">
          <xlrd:rvb i="4444"/>
        </ext>
      </extLst>
    </bk>
    <bk>
      <extLst>
        <ext uri="{3e2802c4-a4d2-4d8b-9148-e3be6c30e623}">
          <xlrd:rvb i="4445"/>
        </ext>
      </extLst>
    </bk>
    <bk>
      <extLst>
        <ext uri="{3e2802c4-a4d2-4d8b-9148-e3be6c30e623}">
          <xlrd:rvb i="4446"/>
        </ext>
      </extLst>
    </bk>
    <bk>
      <extLst>
        <ext uri="{3e2802c4-a4d2-4d8b-9148-e3be6c30e623}">
          <xlrd:rvb i="4447"/>
        </ext>
      </extLst>
    </bk>
    <bk>
      <extLst>
        <ext uri="{3e2802c4-a4d2-4d8b-9148-e3be6c30e623}">
          <xlrd:rvb i="4448"/>
        </ext>
      </extLst>
    </bk>
    <bk>
      <extLst>
        <ext uri="{3e2802c4-a4d2-4d8b-9148-e3be6c30e623}">
          <xlrd:rvb i="4449"/>
        </ext>
      </extLst>
    </bk>
    <bk>
      <extLst>
        <ext uri="{3e2802c4-a4d2-4d8b-9148-e3be6c30e623}">
          <xlrd:rvb i="4450"/>
        </ext>
      </extLst>
    </bk>
    <bk>
      <extLst>
        <ext uri="{3e2802c4-a4d2-4d8b-9148-e3be6c30e623}">
          <xlrd:rvb i="4451"/>
        </ext>
      </extLst>
    </bk>
    <bk>
      <extLst>
        <ext uri="{3e2802c4-a4d2-4d8b-9148-e3be6c30e623}">
          <xlrd:rvb i="4452"/>
        </ext>
      </extLst>
    </bk>
    <bk>
      <extLst>
        <ext uri="{3e2802c4-a4d2-4d8b-9148-e3be6c30e623}">
          <xlrd:rvb i="4453"/>
        </ext>
      </extLst>
    </bk>
    <bk>
      <extLst>
        <ext uri="{3e2802c4-a4d2-4d8b-9148-e3be6c30e623}">
          <xlrd:rvb i="4454"/>
        </ext>
      </extLst>
    </bk>
    <bk>
      <extLst>
        <ext uri="{3e2802c4-a4d2-4d8b-9148-e3be6c30e623}">
          <xlrd:rvb i="4455"/>
        </ext>
      </extLst>
    </bk>
    <bk>
      <extLst>
        <ext uri="{3e2802c4-a4d2-4d8b-9148-e3be6c30e623}">
          <xlrd:rvb i="4456"/>
        </ext>
      </extLst>
    </bk>
    <bk>
      <extLst>
        <ext uri="{3e2802c4-a4d2-4d8b-9148-e3be6c30e623}">
          <xlrd:rvb i="4457"/>
        </ext>
      </extLst>
    </bk>
    <bk>
      <extLst>
        <ext uri="{3e2802c4-a4d2-4d8b-9148-e3be6c30e623}">
          <xlrd:rvb i="4458"/>
        </ext>
      </extLst>
    </bk>
    <bk>
      <extLst>
        <ext uri="{3e2802c4-a4d2-4d8b-9148-e3be6c30e623}">
          <xlrd:rvb i="4459"/>
        </ext>
      </extLst>
    </bk>
    <bk>
      <extLst>
        <ext uri="{3e2802c4-a4d2-4d8b-9148-e3be6c30e623}">
          <xlrd:rvb i="4460"/>
        </ext>
      </extLst>
    </bk>
    <bk>
      <extLst>
        <ext uri="{3e2802c4-a4d2-4d8b-9148-e3be6c30e623}">
          <xlrd:rvb i="4461"/>
        </ext>
      </extLst>
    </bk>
    <bk>
      <extLst>
        <ext uri="{3e2802c4-a4d2-4d8b-9148-e3be6c30e623}">
          <xlrd:rvb i="4462"/>
        </ext>
      </extLst>
    </bk>
    <bk>
      <extLst>
        <ext uri="{3e2802c4-a4d2-4d8b-9148-e3be6c30e623}">
          <xlrd:rvb i="4463"/>
        </ext>
      </extLst>
    </bk>
    <bk>
      <extLst>
        <ext uri="{3e2802c4-a4d2-4d8b-9148-e3be6c30e623}">
          <xlrd:rvb i="4464"/>
        </ext>
      </extLst>
    </bk>
    <bk>
      <extLst>
        <ext uri="{3e2802c4-a4d2-4d8b-9148-e3be6c30e623}">
          <xlrd:rvb i="4465"/>
        </ext>
      </extLst>
    </bk>
    <bk>
      <extLst>
        <ext uri="{3e2802c4-a4d2-4d8b-9148-e3be6c30e623}">
          <xlrd:rvb i="4466"/>
        </ext>
      </extLst>
    </bk>
    <bk>
      <extLst>
        <ext uri="{3e2802c4-a4d2-4d8b-9148-e3be6c30e623}">
          <xlrd:rvb i="4467"/>
        </ext>
      </extLst>
    </bk>
    <bk>
      <extLst>
        <ext uri="{3e2802c4-a4d2-4d8b-9148-e3be6c30e623}">
          <xlrd:rvb i="4468"/>
        </ext>
      </extLst>
    </bk>
    <bk>
      <extLst>
        <ext uri="{3e2802c4-a4d2-4d8b-9148-e3be6c30e623}">
          <xlrd:rvb i="4469"/>
        </ext>
      </extLst>
    </bk>
    <bk>
      <extLst>
        <ext uri="{3e2802c4-a4d2-4d8b-9148-e3be6c30e623}">
          <xlrd:rvb i="4470"/>
        </ext>
      </extLst>
    </bk>
    <bk>
      <extLst>
        <ext uri="{3e2802c4-a4d2-4d8b-9148-e3be6c30e623}">
          <xlrd:rvb i="4471"/>
        </ext>
      </extLst>
    </bk>
    <bk>
      <extLst>
        <ext uri="{3e2802c4-a4d2-4d8b-9148-e3be6c30e623}">
          <xlrd:rvb i="4472"/>
        </ext>
      </extLst>
    </bk>
    <bk>
      <extLst>
        <ext uri="{3e2802c4-a4d2-4d8b-9148-e3be6c30e623}">
          <xlrd:rvb i="4473"/>
        </ext>
      </extLst>
    </bk>
    <bk>
      <extLst>
        <ext uri="{3e2802c4-a4d2-4d8b-9148-e3be6c30e623}">
          <xlrd:rvb i="4474"/>
        </ext>
      </extLst>
    </bk>
    <bk>
      <extLst>
        <ext uri="{3e2802c4-a4d2-4d8b-9148-e3be6c30e623}">
          <xlrd:rvb i="4475"/>
        </ext>
      </extLst>
    </bk>
    <bk>
      <extLst>
        <ext uri="{3e2802c4-a4d2-4d8b-9148-e3be6c30e623}">
          <xlrd:rvb i="4476"/>
        </ext>
      </extLst>
    </bk>
    <bk>
      <extLst>
        <ext uri="{3e2802c4-a4d2-4d8b-9148-e3be6c30e623}">
          <xlrd:rvb i="4477"/>
        </ext>
      </extLst>
    </bk>
    <bk>
      <extLst>
        <ext uri="{3e2802c4-a4d2-4d8b-9148-e3be6c30e623}">
          <xlrd:rvb i="4478"/>
        </ext>
      </extLst>
    </bk>
    <bk>
      <extLst>
        <ext uri="{3e2802c4-a4d2-4d8b-9148-e3be6c30e623}">
          <xlrd:rvb i="4479"/>
        </ext>
      </extLst>
    </bk>
    <bk>
      <extLst>
        <ext uri="{3e2802c4-a4d2-4d8b-9148-e3be6c30e623}">
          <xlrd:rvb i="4480"/>
        </ext>
      </extLst>
    </bk>
    <bk>
      <extLst>
        <ext uri="{3e2802c4-a4d2-4d8b-9148-e3be6c30e623}">
          <xlrd:rvb i="4481"/>
        </ext>
      </extLst>
    </bk>
    <bk>
      <extLst>
        <ext uri="{3e2802c4-a4d2-4d8b-9148-e3be6c30e623}">
          <xlrd:rvb i="4482"/>
        </ext>
      </extLst>
    </bk>
    <bk>
      <extLst>
        <ext uri="{3e2802c4-a4d2-4d8b-9148-e3be6c30e623}">
          <xlrd:rvb i="4483"/>
        </ext>
      </extLst>
    </bk>
    <bk>
      <extLst>
        <ext uri="{3e2802c4-a4d2-4d8b-9148-e3be6c30e623}">
          <xlrd:rvb i="4484"/>
        </ext>
      </extLst>
    </bk>
    <bk>
      <extLst>
        <ext uri="{3e2802c4-a4d2-4d8b-9148-e3be6c30e623}">
          <xlrd:rvb i="4485"/>
        </ext>
      </extLst>
    </bk>
    <bk>
      <extLst>
        <ext uri="{3e2802c4-a4d2-4d8b-9148-e3be6c30e623}">
          <xlrd:rvb i="4486"/>
        </ext>
      </extLst>
    </bk>
    <bk>
      <extLst>
        <ext uri="{3e2802c4-a4d2-4d8b-9148-e3be6c30e623}">
          <xlrd:rvb i="4487"/>
        </ext>
      </extLst>
    </bk>
    <bk>
      <extLst>
        <ext uri="{3e2802c4-a4d2-4d8b-9148-e3be6c30e623}">
          <xlrd:rvb i="4488"/>
        </ext>
      </extLst>
    </bk>
    <bk>
      <extLst>
        <ext uri="{3e2802c4-a4d2-4d8b-9148-e3be6c30e623}">
          <xlrd:rvb i="4489"/>
        </ext>
      </extLst>
    </bk>
    <bk>
      <extLst>
        <ext uri="{3e2802c4-a4d2-4d8b-9148-e3be6c30e623}">
          <xlrd:rvb i="4490"/>
        </ext>
      </extLst>
    </bk>
    <bk>
      <extLst>
        <ext uri="{3e2802c4-a4d2-4d8b-9148-e3be6c30e623}">
          <xlrd:rvb i="4491"/>
        </ext>
      </extLst>
    </bk>
    <bk>
      <extLst>
        <ext uri="{3e2802c4-a4d2-4d8b-9148-e3be6c30e623}">
          <xlrd:rvb i="4492"/>
        </ext>
      </extLst>
    </bk>
    <bk>
      <extLst>
        <ext uri="{3e2802c4-a4d2-4d8b-9148-e3be6c30e623}">
          <xlrd:rvb i="4493"/>
        </ext>
      </extLst>
    </bk>
    <bk>
      <extLst>
        <ext uri="{3e2802c4-a4d2-4d8b-9148-e3be6c30e623}">
          <xlrd:rvb i="4494"/>
        </ext>
      </extLst>
    </bk>
    <bk>
      <extLst>
        <ext uri="{3e2802c4-a4d2-4d8b-9148-e3be6c30e623}">
          <xlrd:rvb i="4495"/>
        </ext>
      </extLst>
    </bk>
    <bk>
      <extLst>
        <ext uri="{3e2802c4-a4d2-4d8b-9148-e3be6c30e623}">
          <xlrd:rvb i="4496"/>
        </ext>
      </extLst>
    </bk>
    <bk>
      <extLst>
        <ext uri="{3e2802c4-a4d2-4d8b-9148-e3be6c30e623}">
          <xlrd:rvb i="4497"/>
        </ext>
      </extLst>
    </bk>
    <bk>
      <extLst>
        <ext uri="{3e2802c4-a4d2-4d8b-9148-e3be6c30e623}">
          <xlrd:rvb i="4498"/>
        </ext>
      </extLst>
    </bk>
    <bk>
      <extLst>
        <ext uri="{3e2802c4-a4d2-4d8b-9148-e3be6c30e623}">
          <xlrd:rvb i="4499"/>
        </ext>
      </extLst>
    </bk>
    <bk>
      <extLst>
        <ext uri="{3e2802c4-a4d2-4d8b-9148-e3be6c30e623}">
          <xlrd:rvb i="4500"/>
        </ext>
      </extLst>
    </bk>
    <bk>
      <extLst>
        <ext uri="{3e2802c4-a4d2-4d8b-9148-e3be6c30e623}">
          <xlrd:rvb i="4501"/>
        </ext>
      </extLst>
    </bk>
    <bk>
      <extLst>
        <ext uri="{3e2802c4-a4d2-4d8b-9148-e3be6c30e623}">
          <xlrd:rvb i="4502"/>
        </ext>
      </extLst>
    </bk>
    <bk>
      <extLst>
        <ext uri="{3e2802c4-a4d2-4d8b-9148-e3be6c30e623}">
          <xlrd:rvb i="4503"/>
        </ext>
      </extLst>
    </bk>
    <bk>
      <extLst>
        <ext uri="{3e2802c4-a4d2-4d8b-9148-e3be6c30e623}">
          <xlrd:rvb i="4504"/>
        </ext>
      </extLst>
    </bk>
    <bk>
      <extLst>
        <ext uri="{3e2802c4-a4d2-4d8b-9148-e3be6c30e623}">
          <xlrd:rvb i="4505"/>
        </ext>
      </extLst>
    </bk>
    <bk>
      <extLst>
        <ext uri="{3e2802c4-a4d2-4d8b-9148-e3be6c30e623}">
          <xlrd:rvb i="4506"/>
        </ext>
      </extLst>
    </bk>
    <bk>
      <extLst>
        <ext uri="{3e2802c4-a4d2-4d8b-9148-e3be6c30e623}">
          <xlrd:rvb i="4507"/>
        </ext>
      </extLst>
    </bk>
    <bk>
      <extLst>
        <ext uri="{3e2802c4-a4d2-4d8b-9148-e3be6c30e623}">
          <xlrd:rvb i="4508"/>
        </ext>
      </extLst>
    </bk>
    <bk>
      <extLst>
        <ext uri="{3e2802c4-a4d2-4d8b-9148-e3be6c30e623}">
          <xlrd:rvb i="4509"/>
        </ext>
      </extLst>
    </bk>
    <bk>
      <extLst>
        <ext uri="{3e2802c4-a4d2-4d8b-9148-e3be6c30e623}">
          <xlrd:rvb i="4510"/>
        </ext>
      </extLst>
    </bk>
    <bk>
      <extLst>
        <ext uri="{3e2802c4-a4d2-4d8b-9148-e3be6c30e623}">
          <xlrd:rvb i="4511"/>
        </ext>
      </extLst>
    </bk>
    <bk>
      <extLst>
        <ext uri="{3e2802c4-a4d2-4d8b-9148-e3be6c30e623}">
          <xlrd:rvb i="4512"/>
        </ext>
      </extLst>
    </bk>
    <bk>
      <extLst>
        <ext uri="{3e2802c4-a4d2-4d8b-9148-e3be6c30e623}">
          <xlrd:rvb i="4513"/>
        </ext>
      </extLst>
    </bk>
    <bk>
      <extLst>
        <ext uri="{3e2802c4-a4d2-4d8b-9148-e3be6c30e623}">
          <xlrd:rvb i="4514"/>
        </ext>
      </extLst>
    </bk>
    <bk>
      <extLst>
        <ext uri="{3e2802c4-a4d2-4d8b-9148-e3be6c30e623}">
          <xlrd:rvb i="4515"/>
        </ext>
      </extLst>
    </bk>
    <bk>
      <extLst>
        <ext uri="{3e2802c4-a4d2-4d8b-9148-e3be6c30e623}">
          <xlrd:rvb i="4516"/>
        </ext>
      </extLst>
    </bk>
    <bk>
      <extLst>
        <ext uri="{3e2802c4-a4d2-4d8b-9148-e3be6c30e623}">
          <xlrd:rvb i="4517"/>
        </ext>
      </extLst>
    </bk>
    <bk>
      <extLst>
        <ext uri="{3e2802c4-a4d2-4d8b-9148-e3be6c30e623}">
          <xlrd:rvb i="4518"/>
        </ext>
      </extLst>
    </bk>
    <bk>
      <extLst>
        <ext uri="{3e2802c4-a4d2-4d8b-9148-e3be6c30e623}">
          <xlrd:rvb i="4519"/>
        </ext>
      </extLst>
    </bk>
    <bk>
      <extLst>
        <ext uri="{3e2802c4-a4d2-4d8b-9148-e3be6c30e623}">
          <xlrd:rvb i="4520"/>
        </ext>
      </extLst>
    </bk>
    <bk>
      <extLst>
        <ext uri="{3e2802c4-a4d2-4d8b-9148-e3be6c30e623}">
          <xlrd:rvb i="4521"/>
        </ext>
      </extLst>
    </bk>
    <bk>
      <extLst>
        <ext uri="{3e2802c4-a4d2-4d8b-9148-e3be6c30e623}">
          <xlrd:rvb i="4522"/>
        </ext>
      </extLst>
    </bk>
    <bk>
      <extLst>
        <ext uri="{3e2802c4-a4d2-4d8b-9148-e3be6c30e623}">
          <xlrd:rvb i="4523"/>
        </ext>
      </extLst>
    </bk>
    <bk>
      <extLst>
        <ext uri="{3e2802c4-a4d2-4d8b-9148-e3be6c30e623}">
          <xlrd:rvb i="4524"/>
        </ext>
      </extLst>
    </bk>
    <bk>
      <extLst>
        <ext uri="{3e2802c4-a4d2-4d8b-9148-e3be6c30e623}">
          <xlrd:rvb i="4525"/>
        </ext>
      </extLst>
    </bk>
    <bk>
      <extLst>
        <ext uri="{3e2802c4-a4d2-4d8b-9148-e3be6c30e623}">
          <xlrd:rvb i="4526"/>
        </ext>
      </extLst>
    </bk>
    <bk>
      <extLst>
        <ext uri="{3e2802c4-a4d2-4d8b-9148-e3be6c30e623}">
          <xlrd:rvb i="4527"/>
        </ext>
      </extLst>
    </bk>
    <bk>
      <extLst>
        <ext uri="{3e2802c4-a4d2-4d8b-9148-e3be6c30e623}">
          <xlrd:rvb i="4528"/>
        </ext>
      </extLst>
    </bk>
    <bk>
      <extLst>
        <ext uri="{3e2802c4-a4d2-4d8b-9148-e3be6c30e623}">
          <xlrd:rvb i="4529"/>
        </ext>
      </extLst>
    </bk>
    <bk>
      <extLst>
        <ext uri="{3e2802c4-a4d2-4d8b-9148-e3be6c30e623}">
          <xlrd:rvb i="4530"/>
        </ext>
      </extLst>
    </bk>
    <bk>
      <extLst>
        <ext uri="{3e2802c4-a4d2-4d8b-9148-e3be6c30e623}">
          <xlrd:rvb i="4531"/>
        </ext>
      </extLst>
    </bk>
    <bk>
      <extLst>
        <ext uri="{3e2802c4-a4d2-4d8b-9148-e3be6c30e623}">
          <xlrd:rvb i="4532"/>
        </ext>
      </extLst>
    </bk>
    <bk>
      <extLst>
        <ext uri="{3e2802c4-a4d2-4d8b-9148-e3be6c30e623}">
          <xlrd:rvb i="4533"/>
        </ext>
      </extLst>
    </bk>
    <bk>
      <extLst>
        <ext uri="{3e2802c4-a4d2-4d8b-9148-e3be6c30e623}">
          <xlrd:rvb i="4534"/>
        </ext>
      </extLst>
    </bk>
    <bk>
      <extLst>
        <ext uri="{3e2802c4-a4d2-4d8b-9148-e3be6c30e623}">
          <xlrd:rvb i="4535"/>
        </ext>
      </extLst>
    </bk>
    <bk>
      <extLst>
        <ext uri="{3e2802c4-a4d2-4d8b-9148-e3be6c30e623}">
          <xlrd:rvb i="4536"/>
        </ext>
      </extLst>
    </bk>
    <bk>
      <extLst>
        <ext uri="{3e2802c4-a4d2-4d8b-9148-e3be6c30e623}">
          <xlrd:rvb i="4537"/>
        </ext>
      </extLst>
    </bk>
    <bk>
      <extLst>
        <ext uri="{3e2802c4-a4d2-4d8b-9148-e3be6c30e623}">
          <xlrd:rvb i="4538"/>
        </ext>
      </extLst>
    </bk>
    <bk>
      <extLst>
        <ext uri="{3e2802c4-a4d2-4d8b-9148-e3be6c30e623}">
          <xlrd:rvb i="4539"/>
        </ext>
      </extLst>
    </bk>
    <bk>
      <extLst>
        <ext uri="{3e2802c4-a4d2-4d8b-9148-e3be6c30e623}">
          <xlrd:rvb i="4540"/>
        </ext>
      </extLst>
    </bk>
    <bk>
      <extLst>
        <ext uri="{3e2802c4-a4d2-4d8b-9148-e3be6c30e623}">
          <xlrd:rvb i="4541"/>
        </ext>
      </extLst>
    </bk>
    <bk>
      <extLst>
        <ext uri="{3e2802c4-a4d2-4d8b-9148-e3be6c30e623}">
          <xlrd:rvb i="4542"/>
        </ext>
      </extLst>
    </bk>
    <bk>
      <extLst>
        <ext uri="{3e2802c4-a4d2-4d8b-9148-e3be6c30e623}">
          <xlrd:rvb i="4543"/>
        </ext>
      </extLst>
    </bk>
    <bk>
      <extLst>
        <ext uri="{3e2802c4-a4d2-4d8b-9148-e3be6c30e623}">
          <xlrd:rvb i="4544"/>
        </ext>
      </extLst>
    </bk>
    <bk>
      <extLst>
        <ext uri="{3e2802c4-a4d2-4d8b-9148-e3be6c30e623}">
          <xlrd:rvb i="4545"/>
        </ext>
      </extLst>
    </bk>
    <bk>
      <extLst>
        <ext uri="{3e2802c4-a4d2-4d8b-9148-e3be6c30e623}">
          <xlrd:rvb i="4546"/>
        </ext>
      </extLst>
    </bk>
    <bk>
      <extLst>
        <ext uri="{3e2802c4-a4d2-4d8b-9148-e3be6c30e623}">
          <xlrd:rvb i="4547"/>
        </ext>
      </extLst>
    </bk>
    <bk>
      <extLst>
        <ext uri="{3e2802c4-a4d2-4d8b-9148-e3be6c30e623}">
          <xlrd:rvb i="4548"/>
        </ext>
      </extLst>
    </bk>
    <bk>
      <extLst>
        <ext uri="{3e2802c4-a4d2-4d8b-9148-e3be6c30e623}">
          <xlrd:rvb i="4549"/>
        </ext>
      </extLst>
    </bk>
    <bk>
      <extLst>
        <ext uri="{3e2802c4-a4d2-4d8b-9148-e3be6c30e623}">
          <xlrd:rvb i="4550"/>
        </ext>
      </extLst>
    </bk>
    <bk>
      <extLst>
        <ext uri="{3e2802c4-a4d2-4d8b-9148-e3be6c30e623}">
          <xlrd:rvb i="4551"/>
        </ext>
      </extLst>
    </bk>
    <bk>
      <extLst>
        <ext uri="{3e2802c4-a4d2-4d8b-9148-e3be6c30e623}">
          <xlrd:rvb i="4552"/>
        </ext>
      </extLst>
    </bk>
    <bk>
      <extLst>
        <ext uri="{3e2802c4-a4d2-4d8b-9148-e3be6c30e623}">
          <xlrd:rvb i="4553"/>
        </ext>
      </extLst>
    </bk>
    <bk>
      <extLst>
        <ext uri="{3e2802c4-a4d2-4d8b-9148-e3be6c30e623}">
          <xlrd:rvb i="4554"/>
        </ext>
      </extLst>
    </bk>
    <bk>
      <extLst>
        <ext uri="{3e2802c4-a4d2-4d8b-9148-e3be6c30e623}">
          <xlrd:rvb i="4555"/>
        </ext>
      </extLst>
    </bk>
    <bk>
      <extLst>
        <ext uri="{3e2802c4-a4d2-4d8b-9148-e3be6c30e623}">
          <xlrd:rvb i="4556"/>
        </ext>
      </extLst>
    </bk>
    <bk>
      <extLst>
        <ext uri="{3e2802c4-a4d2-4d8b-9148-e3be6c30e623}">
          <xlrd:rvb i="4557"/>
        </ext>
      </extLst>
    </bk>
    <bk>
      <extLst>
        <ext uri="{3e2802c4-a4d2-4d8b-9148-e3be6c30e623}">
          <xlrd:rvb i="4558"/>
        </ext>
      </extLst>
    </bk>
    <bk>
      <extLst>
        <ext uri="{3e2802c4-a4d2-4d8b-9148-e3be6c30e623}">
          <xlrd:rvb i="4559"/>
        </ext>
      </extLst>
    </bk>
    <bk>
      <extLst>
        <ext uri="{3e2802c4-a4d2-4d8b-9148-e3be6c30e623}">
          <xlrd:rvb i="4560"/>
        </ext>
      </extLst>
    </bk>
    <bk>
      <extLst>
        <ext uri="{3e2802c4-a4d2-4d8b-9148-e3be6c30e623}">
          <xlrd:rvb i="4561"/>
        </ext>
      </extLst>
    </bk>
    <bk>
      <extLst>
        <ext uri="{3e2802c4-a4d2-4d8b-9148-e3be6c30e623}">
          <xlrd:rvb i="4562"/>
        </ext>
      </extLst>
    </bk>
    <bk>
      <extLst>
        <ext uri="{3e2802c4-a4d2-4d8b-9148-e3be6c30e623}">
          <xlrd:rvb i="4563"/>
        </ext>
      </extLst>
    </bk>
    <bk>
      <extLst>
        <ext uri="{3e2802c4-a4d2-4d8b-9148-e3be6c30e623}">
          <xlrd:rvb i="4564"/>
        </ext>
      </extLst>
    </bk>
    <bk>
      <extLst>
        <ext uri="{3e2802c4-a4d2-4d8b-9148-e3be6c30e623}">
          <xlrd:rvb i="4565"/>
        </ext>
      </extLst>
    </bk>
    <bk>
      <extLst>
        <ext uri="{3e2802c4-a4d2-4d8b-9148-e3be6c30e623}">
          <xlrd:rvb i="4566"/>
        </ext>
      </extLst>
    </bk>
    <bk>
      <extLst>
        <ext uri="{3e2802c4-a4d2-4d8b-9148-e3be6c30e623}">
          <xlrd:rvb i="4567"/>
        </ext>
      </extLst>
    </bk>
    <bk>
      <extLst>
        <ext uri="{3e2802c4-a4d2-4d8b-9148-e3be6c30e623}">
          <xlrd:rvb i="4568"/>
        </ext>
      </extLst>
    </bk>
    <bk>
      <extLst>
        <ext uri="{3e2802c4-a4d2-4d8b-9148-e3be6c30e623}">
          <xlrd:rvb i="4569"/>
        </ext>
      </extLst>
    </bk>
    <bk>
      <extLst>
        <ext uri="{3e2802c4-a4d2-4d8b-9148-e3be6c30e623}">
          <xlrd:rvb i="4570"/>
        </ext>
      </extLst>
    </bk>
    <bk>
      <extLst>
        <ext uri="{3e2802c4-a4d2-4d8b-9148-e3be6c30e623}">
          <xlrd:rvb i="4571"/>
        </ext>
      </extLst>
    </bk>
    <bk>
      <extLst>
        <ext uri="{3e2802c4-a4d2-4d8b-9148-e3be6c30e623}">
          <xlrd:rvb i="4572"/>
        </ext>
      </extLst>
    </bk>
    <bk>
      <extLst>
        <ext uri="{3e2802c4-a4d2-4d8b-9148-e3be6c30e623}">
          <xlrd:rvb i="4573"/>
        </ext>
      </extLst>
    </bk>
    <bk>
      <extLst>
        <ext uri="{3e2802c4-a4d2-4d8b-9148-e3be6c30e623}">
          <xlrd:rvb i="4574"/>
        </ext>
      </extLst>
    </bk>
    <bk>
      <extLst>
        <ext uri="{3e2802c4-a4d2-4d8b-9148-e3be6c30e623}">
          <xlrd:rvb i="4575"/>
        </ext>
      </extLst>
    </bk>
    <bk>
      <extLst>
        <ext uri="{3e2802c4-a4d2-4d8b-9148-e3be6c30e623}">
          <xlrd:rvb i="4576"/>
        </ext>
      </extLst>
    </bk>
    <bk>
      <extLst>
        <ext uri="{3e2802c4-a4d2-4d8b-9148-e3be6c30e623}">
          <xlrd:rvb i="4577"/>
        </ext>
      </extLst>
    </bk>
    <bk>
      <extLst>
        <ext uri="{3e2802c4-a4d2-4d8b-9148-e3be6c30e623}">
          <xlrd:rvb i="4578"/>
        </ext>
      </extLst>
    </bk>
    <bk>
      <extLst>
        <ext uri="{3e2802c4-a4d2-4d8b-9148-e3be6c30e623}">
          <xlrd:rvb i="4579"/>
        </ext>
      </extLst>
    </bk>
    <bk>
      <extLst>
        <ext uri="{3e2802c4-a4d2-4d8b-9148-e3be6c30e623}">
          <xlrd:rvb i="4580"/>
        </ext>
      </extLst>
    </bk>
    <bk>
      <extLst>
        <ext uri="{3e2802c4-a4d2-4d8b-9148-e3be6c30e623}">
          <xlrd:rvb i="4581"/>
        </ext>
      </extLst>
    </bk>
    <bk>
      <extLst>
        <ext uri="{3e2802c4-a4d2-4d8b-9148-e3be6c30e623}">
          <xlrd:rvb i="4582"/>
        </ext>
      </extLst>
    </bk>
    <bk>
      <extLst>
        <ext uri="{3e2802c4-a4d2-4d8b-9148-e3be6c30e623}">
          <xlrd:rvb i="4583"/>
        </ext>
      </extLst>
    </bk>
    <bk>
      <extLst>
        <ext uri="{3e2802c4-a4d2-4d8b-9148-e3be6c30e623}">
          <xlrd:rvb i="4584"/>
        </ext>
      </extLst>
    </bk>
    <bk>
      <extLst>
        <ext uri="{3e2802c4-a4d2-4d8b-9148-e3be6c30e623}">
          <xlrd:rvb i="4585"/>
        </ext>
      </extLst>
    </bk>
    <bk>
      <extLst>
        <ext uri="{3e2802c4-a4d2-4d8b-9148-e3be6c30e623}">
          <xlrd:rvb i="4586"/>
        </ext>
      </extLst>
    </bk>
    <bk>
      <extLst>
        <ext uri="{3e2802c4-a4d2-4d8b-9148-e3be6c30e623}">
          <xlrd:rvb i="4587"/>
        </ext>
      </extLst>
    </bk>
    <bk>
      <extLst>
        <ext uri="{3e2802c4-a4d2-4d8b-9148-e3be6c30e623}">
          <xlrd:rvb i="4588"/>
        </ext>
      </extLst>
    </bk>
    <bk>
      <extLst>
        <ext uri="{3e2802c4-a4d2-4d8b-9148-e3be6c30e623}">
          <xlrd:rvb i="4589"/>
        </ext>
      </extLst>
    </bk>
    <bk>
      <extLst>
        <ext uri="{3e2802c4-a4d2-4d8b-9148-e3be6c30e623}">
          <xlrd:rvb i="4590"/>
        </ext>
      </extLst>
    </bk>
    <bk>
      <extLst>
        <ext uri="{3e2802c4-a4d2-4d8b-9148-e3be6c30e623}">
          <xlrd:rvb i="4591"/>
        </ext>
      </extLst>
    </bk>
    <bk>
      <extLst>
        <ext uri="{3e2802c4-a4d2-4d8b-9148-e3be6c30e623}">
          <xlrd:rvb i="4592"/>
        </ext>
      </extLst>
    </bk>
    <bk>
      <extLst>
        <ext uri="{3e2802c4-a4d2-4d8b-9148-e3be6c30e623}">
          <xlrd:rvb i="4593"/>
        </ext>
      </extLst>
    </bk>
    <bk>
      <extLst>
        <ext uri="{3e2802c4-a4d2-4d8b-9148-e3be6c30e623}">
          <xlrd:rvb i="4594"/>
        </ext>
      </extLst>
    </bk>
    <bk>
      <extLst>
        <ext uri="{3e2802c4-a4d2-4d8b-9148-e3be6c30e623}">
          <xlrd:rvb i="4595"/>
        </ext>
      </extLst>
    </bk>
    <bk>
      <extLst>
        <ext uri="{3e2802c4-a4d2-4d8b-9148-e3be6c30e623}">
          <xlrd:rvb i="4596"/>
        </ext>
      </extLst>
    </bk>
    <bk>
      <extLst>
        <ext uri="{3e2802c4-a4d2-4d8b-9148-e3be6c30e623}">
          <xlrd:rvb i="4597"/>
        </ext>
      </extLst>
    </bk>
    <bk>
      <extLst>
        <ext uri="{3e2802c4-a4d2-4d8b-9148-e3be6c30e623}">
          <xlrd:rvb i="4598"/>
        </ext>
      </extLst>
    </bk>
    <bk>
      <extLst>
        <ext uri="{3e2802c4-a4d2-4d8b-9148-e3be6c30e623}">
          <xlrd:rvb i="4599"/>
        </ext>
      </extLst>
    </bk>
    <bk>
      <extLst>
        <ext uri="{3e2802c4-a4d2-4d8b-9148-e3be6c30e623}">
          <xlrd:rvb i="4600"/>
        </ext>
      </extLst>
    </bk>
    <bk>
      <extLst>
        <ext uri="{3e2802c4-a4d2-4d8b-9148-e3be6c30e623}">
          <xlrd:rvb i="4601"/>
        </ext>
      </extLst>
    </bk>
    <bk>
      <extLst>
        <ext uri="{3e2802c4-a4d2-4d8b-9148-e3be6c30e623}">
          <xlrd:rvb i="4602"/>
        </ext>
      </extLst>
    </bk>
    <bk>
      <extLst>
        <ext uri="{3e2802c4-a4d2-4d8b-9148-e3be6c30e623}">
          <xlrd:rvb i="4603"/>
        </ext>
      </extLst>
    </bk>
    <bk>
      <extLst>
        <ext uri="{3e2802c4-a4d2-4d8b-9148-e3be6c30e623}">
          <xlrd:rvb i="4604"/>
        </ext>
      </extLst>
    </bk>
    <bk>
      <extLst>
        <ext uri="{3e2802c4-a4d2-4d8b-9148-e3be6c30e623}">
          <xlrd:rvb i="4605"/>
        </ext>
      </extLst>
    </bk>
    <bk>
      <extLst>
        <ext uri="{3e2802c4-a4d2-4d8b-9148-e3be6c30e623}">
          <xlrd:rvb i="4606"/>
        </ext>
      </extLst>
    </bk>
    <bk>
      <extLst>
        <ext uri="{3e2802c4-a4d2-4d8b-9148-e3be6c30e623}">
          <xlrd:rvb i="4607"/>
        </ext>
      </extLst>
    </bk>
    <bk>
      <extLst>
        <ext uri="{3e2802c4-a4d2-4d8b-9148-e3be6c30e623}">
          <xlrd:rvb i="4608"/>
        </ext>
      </extLst>
    </bk>
    <bk>
      <extLst>
        <ext uri="{3e2802c4-a4d2-4d8b-9148-e3be6c30e623}">
          <xlrd:rvb i="4609"/>
        </ext>
      </extLst>
    </bk>
    <bk>
      <extLst>
        <ext uri="{3e2802c4-a4d2-4d8b-9148-e3be6c30e623}">
          <xlrd:rvb i="4610"/>
        </ext>
      </extLst>
    </bk>
    <bk>
      <extLst>
        <ext uri="{3e2802c4-a4d2-4d8b-9148-e3be6c30e623}">
          <xlrd:rvb i="4611"/>
        </ext>
      </extLst>
    </bk>
    <bk>
      <extLst>
        <ext uri="{3e2802c4-a4d2-4d8b-9148-e3be6c30e623}">
          <xlrd:rvb i="4612"/>
        </ext>
      </extLst>
    </bk>
    <bk>
      <extLst>
        <ext uri="{3e2802c4-a4d2-4d8b-9148-e3be6c30e623}">
          <xlrd:rvb i="4613"/>
        </ext>
      </extLst>
    </bk>
    <bk>
      <extLst>
        <ext uri="{3e2802c4-a4d2-4d8b-9148-e3be6c30e623}">
          <xlrd:rvb i="4614"/>
        </ext>
      </extLst>
    </bk>
    <bk>
      <extLst>
        <ext uri="{3e2802c4-a4d2-4d8b-9148-e3be6c30e623}">
          <xlrd:rvb i="4615"/>
        </ext>
      </extLst>
    </bk>
    <bk>
      <extLst>
        <ext uri="{3e2802c4-a4d2-4d8b-9148-e3be6c30e623}">
          <xlrd:rvb i="4616"/>
        </ext>
      </extLst>
    </bk>
    <bk>
      <extLst>
        <ext uri="{3e2802c4-a4d2-4d8b-9148-e3be6c30e623}">
          <xlrd:rvb i="4617"/>
        </ext>
      </extLst>
    </bk>
    <bk>
      <extLst>
        <ext uri="{3e2802c4-a4d2-4d8b-9148-e3be6c30e623}">
          <xlrd:rvb i="4618"/>
        </ext>
      </extLst>
    </bk>
    <bk>
      <extLst>
        <ext uri="{3e2802c4-a4d2-4d8b-9148-e3be6c30e623}">
          <xlrd:rvb i="4619"/>
        </ext>
      </extLst>
    </bk>
    <bk>
      <extLst>
        <ext uri="{3e2802c4-a4d2-4d8b-9148-e3be6c30e623}">
          <xlrd:rvb i="4620"/>
        </ext>
      </extLst>
    </bk>
    <bk>
      <extLst>
        <ext uri="{3e2802c4-a4d2-4d8b-9148-e3be6c30e623}">
          <xlrd:rvb i="4621"/>
        </ext>
      </extLst>
    </bk>
    <bk>
      <extLst>
        <ext uri="{3e2802c4-a4d2-4d8b-9148-e3be6c30e623}">
          <xlrd:rvb i="4622"/>
        </ext>
      </extLst>
    </bk>
    <bk>
      <extLst>
        <ext uri="{3e2802c4-a4d2-4d8b-9148-e3be6c30e623}">
          <xlrd:rvb i="4623"/>
        </ext>
      </extLst>
    </bk>
    <bk>
      <extLst>
        <ext uri="{3e2802c4-a4d2-4d8b-9148-e3be6c30e623}">
          <xlrd:rvb i="4624"/>
        </ext>
      </extLst>
    </bk>
    <bk>
      <extLst>
        <ext uri="{3e2802c4-a4d2-4d8b-9148-e3be6c30e623}">
          <xlrd:rvb i="4625"/>
        </ext>
      </extLst>
    </bk>
    <bk>
      <extLst>
        <ext uri="{3e2802c4-a4d2-4d8b-9148-e3be6c30e623}">
          <xlrd:rvb i="4626"/>
        </ext>
      </extLst>
    </bk>
    <bk>
      <extLst>
        <ext uri="{3e2802c4-a4d2-4d8b-9148-e3be6c30e623}">
          <xlrd:rvb i="4627"/>
        </ext>
      </extLst>
    </bk>
    <bk>
      <extLst>
        <ext uri="{3e2802c4-a4d2-4d8b-9148-e3be6c30e623}">
          <xlrd:rvb i="4628"/>
        </ext>
      </extLst>
    </bk>
    <bk>
      <extLst>
        <ext uri="{3e2802c4-a4d2-4d8b-9148-e3be6c30e623}">
          <xlrd:rvb i="4629"/>
        </ext>
      </extLst>
    </bk>
    <bk>
      <extLst>
        <ext uri="{3e2802c4-a4d2-4d8b-9148-e3be6c30e623}">
          <xlrd:rvb i="4630"/>
        </ext>
      </extLst>
    </bk>
    <bk>
      <extLst>
        <ext uri="{3e2802c4-a4d2-4d8b-9148-e3be6c30e623}">
          <xlrd:rvb i="4631"/>
        </ext>
      </extLst>
    </bk>
    <bk>
      <extLst>
        <ext uri="{3e2802c4-a4d2-4d8b-9148-e3be6c30e623}">
          <xlrd:rvb i="4632"/>
        </ext>
      </extLst>
    </bk>
    <bk>
      <extLst>
        <ext uri="{3e2802c4-a4d2-4d8b-9148-e3be6c30e623}">
          <xlrd:rvb i="4633"/>
        </ext>
      </extLst>
    </bk>
    <bk>
      <extLst>
        <ext uri="{3e2802c4-a4d2-4d8b-9148-e3be6c30e623}">
          <xlrd:rvb i="4634"/>
        </ext>
      </extLst>
    </bk>
    <bk>
      <extLst>
        <ext uri="{3e2802c4-a4d2-4d8b-9148-e3be6c30e623}">
          <xlrd:rvb i="4635"/>
        </ext>
      </extLst>
    </bk>
    <bk>
      <extLst>
        <ext uri="{3e2802c4-a4d2-4d8b-9148-e3be6c30e623}">
          <xlrd:rvb i="4636"/>
        </ext>
      </extLst>
    </bk>
    <bk>
      <extLst>
        <ext uri="{3e2802c4-a4d2-4d8b-9148-e3be6c30e623}">
          <xlrd:rvb i="4637"/>
        </ext>
      </extLst>
    </bk>
    <bk>
      <extLst>
        <ext uri="{3e2802c4-a4d2-4d8b-9148-e3be6c30e623}">
          <xlrd:rvb i="4638"/>
        </ext>
      </extLst>
    </bk>
    <bk>
      <extLst>
        <ext uri="{3e2802c4-a4d2-4d8b-9148-e3be6c30e623}">
          <xlrd:rvb i="4639"/>
        </ext>
      </extLst>
    </bk>
    <bk>
      <extLst>
        <ext uri="{3e2802c4-a4d2-4d8b-9148-e3be6c30e623}">
          <xlrd:rvb i="4640"/>
        </ext>
      </extLst>
    </bk>
    <bk>
      <extLst>
        <ext uri="{3e2802c4-a4d2-4d8b-9148-e3be6c30e623}">
          <xlrd:rvb i="4641"/>
        </ext>
      </extLst>
    </bk>
    <bk>
      <extLst>
        <ext uri="{3e2802c4-a4d2-4d8b-9148-e3be6c30e623}">
          <xlrd:rvb i="4642"/>
        </ext>
      </extLst>
    </bk>
    <bk>
      <extLst>
        <ext uri="{3e2802c4-a4d2-4d8b-9148-e3be6c30e623}">
          <xlrd:rvb i="4643"/>
        </ext>
      </extLst>
    </bk>
    <bk>
      <extLst>
        <ext uri="{3e2802c4-a4d2-4d8b-9148-e3be6c30e623}">
          <xlrd:rvb i="4644"/>
        </ext>
      </extLst>
    </bk>
    <bk>
      <extLst>
        <ext uri="{3e2802c4-a4d2-4d8b-9148-e3be6c30e623}">
          <xlrd:rvb i="4645"/>
        </ext>
      </extLst>
    </bk>
    <bk>
      <extLst>
        <ext uri="{3e2802c4-a4d2-4d8b-9148-e3be6c30e623}">
          <xlrd:rvb i="4646"/>
        </ext>
      </extLst>
    </bk>
    <bk>
      <extLst>
        <ext uri="{3e2802c4-a4d2-4d8b-9148-e3be6c30e623}">
          <xlrd:rvb i="4647"/>
        </ext>
      </extLst>
    </bk>
    <bk>
      <extLst>
        <ext uri="{3e2802c4-a4d2-4d8b-9148-e3be6c30e623}">
          <xlrd:rvb i="4648"/>
        </ext>
      </extLst>
    </bk>
    <bk>
      <extLst>
        <ext uri="{3e2802c4-a4d2-4d8b-9148-e3be6c30e623}">
          <xlrd:rvb i="4649"/>
        </ext>
      </extLst>
    </bk>
    <bk>
      <extLst>
        <ext uri="{3e2802c4-a4d2-4d8b-9148-e3be6c30e623}">
          <xlrd:rvb i="4650"/>
        </ext>
      </extLst>
    </bk>
    <bk>
      <extLst>
        <ext uri="{3e2802c4-a4d2-4d8b-9148-e3be6c30e623}">
          <xlrd:rvb i="4651"/>
        </ext>
      </extLst>
    </bk>
    <bk>
      <extLst>
        <ext uri="{3e2802c4-a4d2-4d8b-9148-e3be6c30e623}">
          <xlrd:rvb i="4652"/>
        </ext>
      </extLst>
    </bk>
    <bk>
      <extLst>
        <ext uri="{3e2802c4-a4d2-4d8b-9148-e3be6c30e623}">
          <xlrd:rvb i="4653"/>
        </ext>
      </extLst>
    </bk>
    <bk>
      <extLst>
        <ext uri="{3e2802c4-a4d2-4d8b-9148-e3be6c30e623}">
          <xlrd:rvb i="4654"/>
        </ext>
      </extLst>
    </bk>
    <bk>
      <extLst>
        <ext uri="{3e2802c4-a4d2-4d8b-9148-e3be6c30e623}">
          <xlrd:rvb i="4655"/>
        </ext>
      </extLst>
    </bk>
    <bk>
      <extLst>
        <ext uri="{3e2802c4-a4d2-4d8b-9148-e3be6c30e623}">
          <xlrd:rvb i="4656"/>
        </ext>
      </extLst>
    </bk>
    <bk>
      <extLst>
        <ext uri="{3e2802c4-a4d2-4d8b-9148-e3be6c30e623}">
          <xlrd:rvb i="4657"/>
        </ext>
      </extLst>
    </bk>
    <bk>
      <extLst>
        <ext uri="{3e2802c4-a4d2-4d8b-9148-e3be6c30e623}">
          <xlrd:rvb i="4658"/>
        </ext>
      </extLst>
    </bk>
    <bk>
      <extLst>
        <ext uri="{3e2802c4-a4d2-4d8b-9148-e3be6c30e623}">
          <xlrd:rvb i="4659"/>
        </ext>
      </extLst>
    </bk>
    <bk>
      <extLst>
        <ext uri="{3e2802c4-a4d2-4d8b-9148-e3be6c30e623}">
          <xlrd:rvb i="4660"/>
        </ext>
      </extLst>
    </bk>
    <bk>
      <extLst>
        <ext uri="{3e2802c4-a4d2-4d8b-9148-e3be6c30e623}">
          <xlrd:rvb i="4661"/>
        </ext>
      </extLst>
    </bk>
    <bk>
      <extLst>
        <ext uri="{3e2802c4-a4d2-4d8b-9148-e3be6c30e623}">
          <xlrd:rvb i="4662"/>
        </ext>
      </extLst>
    </bk>
    <bk>
      <extLst>
        <ext uri="{3e2802c4-a4d2-4d8b-9148-e3be6c30e623}">
          <xlrd:rvb i="4663"/>
        </ext>
      </extLst>
    </bk>
    <bk>
      <extLst>
        <ext uri="{3e2802c4-a4d2-4d8b-9148-e3be6c30e623}">
          <xlrd:rvb i="4664"/>
        </ext>
      </extLst>
    </bk>
    <bk>
      <extLst>
        <ext uri="{3e2802c4-a4d2-4d8b-9148-e3be6c30e623}">
          <xlrd:rvb i="4665"/>
        </ext>
      </extLst>
    </bk>
    <bk>
      <extLst>
        <ext uri="{3e2802c4-a4d2-4d8b-9148-e3be6c30e623}">
          <xlrd:rvb i="4666"/>
        </ext>
      </extLst>
    </bk>
    <bk>
      <extLst>
        <ext uri="{3e2802c4-a4d2-4d8b-9148-e3be6c30e623}">
          <xlrd:rvb i="4667"/>
        </ext>
      </extLst>
    </bk>
    <bk>
      <extLst>
        <ext uri="{3e2802c4-a4d2-4d8b-9148-e3be6c30e623}">
          <xlrd:rvb i="4668"/>
        </ext>
      </extLst>
    </bk>
    <bk>
      <extLst>
        <ext uri="{3e2802c4-a4d2-4d8b-9148-e3be6c30e623}">
          <xlrd:rvb i="4669"/>
        </ext>
      </extLst>
    </bk>
    <bk>
      <extLst>
        <ext uri="{3e2802c4-a4d2-4d8b-9148-e3be6c30e623}">
          <xlrd:rvb i="4670"/>
        </ext>
      </extLst>
    </bk>
    <bk>
      <extLst>
        <ext uri="{3e2802c4-a4d2-4d8b-9148-e3be6c30e623}">
          <xlrd:rvb i="4671"/>
        </ext>
      </extLst>
    </bk>
    <bk>
      <extLst>
        <ext uri="{3e2802c4-a4d2-4d8b-9148-e3be6c30e623}">
          <xlrd:rvb i="4672"/>
        </ext>
      </extLst>
    </bk>
    <bk>
      <extLst>
        <ext uri="{3e2802c4-a4d2-4d8b-9148-e3be6c30e623}">
          <xlrd:rvb i="4673"/>
        </ext>
      </extLst>
    </bk>
    <bk>
      <extLst>
        <ext uri="{3e2802c4-a4d2-4d8b-9148-e3be6c30e623}">
          <xlrd:rvb i="4674"/>
        </ext>
      </extLst>
    </bk>
    <bk>
      <extLst>
        <ext uri="{3e2802c4-a4d2-4d8b-9148-e3be6c30e623}">
          <xlrd:rvb i="4675"/>
        </ext>
      </extLst>
    </bk>
    <bk>
      <extLst>
        <ext uri="{3e2802c4-a4d2-4d8b-9148-e3be6c30e623}">
          <xlrd:rvb i="4676"/>
        </ext>
      </extLst>
    </bk>
    <bk>
      <extLst>
        <ext uri="{3e2802c4-a4d2-4d8b-9148-e3be6c30e623}">
          <xlrd:rvb i="4677"/>
        </ext>
      </extLst>
    </bk>
    <bk>
      <extLst>
        <ext uri="{3e2802c4-a4d2-4d8b-9148-e3be6c30e623}">
          <xlrd:rvb i="4678"/>
        </ext>
      </extLst>
    </bk>
    <bk>
      <extLst>
        <ext uri="{3e2802c4-a4d2-4d8b-9148-e3be6c30e623}">
          <xlrd:rvb i="4679"/>
        </ext>
      </extLst>
    </bk>
    <bk>
      <extLst>
        <ext uri="{3e2802c4-a4d2-4d8b-9148-e3be6c30e623}">
          <xlrd:rvb i="4680"/>
        </ext>
      </extLst>
    </bk>
    <bk>
      <extLst>
        <ext uri="{3e2802c4-a4d2-4d8b-9148-e3be6c30e623}">
          <xlrd:rvb i="4681"/>
        </ext>
      </extLst>
    </bk>
    <bk>
      <extLst>
        <ext uri="{3e2802c4-a4d2-4d8b-9148-e3be6c30e623}">
          <xlrd:rvb i="4682"/>
        </ext>
      </extLst>
    </bk>
    <bk>
      <extLst>
        <ext uri="{3e2802c4-a4d2-4d8b-9148-e3be6c30e623}">
          <xlrd:rvb i="4683"/>
        </ext>
      </extLst>
    </bk>
    <bk>
      <extLst>
        <ext uri="{3e2802c4-a4d2-4d8b-9148-e3be6c30e623}">
          <xlrd:rvb i="4684"/>
        </ext>
      </extLst>
    </bk>
    <bk>
      <extLst>
        <ext uri="{3e2802c4-a4d2-4d8b-9148-e3be6c30e623}">
          <xlrd:rvb i="4685"/>
        </ext>
      </extLst>
    </bk>
    <bk>
      <extLst>
        <ext uri="{3e2802c4-a4d2-4d8b-9148-e3be6c30e623}">
          <xlrd:rvb i="4686"/>
        </ext>
      </extLst>
    </bk>
    <bk>
      <extLst>
        <ext uri="{3e2802c4-a4d2-4d8b-9148-e3be6c30e623}">
          <xlrd:rvb i="4687"/>
        </ext>
      </extLst>
    </bk>
    <bk>
      <extLst>
        <ext uri="{3e2802c4-a4d2-4d8b-9148-e3be6c30e623}">
          <xlrd:rvb i="4688"/>
        </ext>
      </extLst>
    </bk>
    <bk>
      <extLst>
        <ext uri="{3e2802c4-a4d2-4d8b-9148-e3be6c30e623}">
          <xlrd:rvb i="4689"/>
        </ext>
      </extLst>
    </bk>
    <bk>
      <extLst>
        <ext uri="{3e2802c4-a4d2-4d8b-9148-e3be6c30e623}">
          <xlrd:rvb i="4690"/>
        </ext>
      </extLst>
    </bk>
    <bk>
      <extLst>
        <ext uri="{3e2802c4-a4d2-4d8b-9148-e3be6c30e623}">
          <xlrd:rvb i="4691"/>
        </ext>
      </extLst>
    </bk>
    <bk>
      <extLst>
        <ext uri="{3e2802c4-a4d2-4d8b-9148-e3be6c30e623}">
          <xlrd:rvb i="4692"/>
        </ext>
      </extLst>
    </bk>
    <bk>
      <extLst>
        <ext uri="{3e2802c4-a4d2-4d8b-9148-e3be6c30e623}">
          <xlrd:rvb i="4693"/>
        </ext>
      </extLst>
    </bk>
    <bk>
      <extLst>
        <ext uri="{3e2802c4-a4d2-4d8b-9148-e3be6c30e623}">
          <xlrd:rvb i="4694"/>
        </ext>
      </extLst>
    </bk>
    <bk>
      <extLst>
        <ext uri="{3e2802c4-a4d2-4d8b-9148-e3be6c30e623}">
          <xlrd:rvb i="4695"/>
        </ext>
      </extLst>
    </bk>
    <bk>
      <extLst>
        <ext uri="{3e2802c4-a4d2-4d8b-9148-e3be6c30e623}">
          <xlrd:rvb i="4696"/>
        </ext>
      </extLst>
    </bk>
    <bk>
      <extLst>
        <ext uri="{3e2802c4-a4d2-4d8b-9148-e3be6c30e623}">
          <xlrd:rvb i="4697"/>
        </ext>
      </extLst>
    </bk>
    <bk>
      <extLst>
        <ext uri="{3e2802c4-a4d2-4d8b-9148-e3be6c30e623}">
          <xlrd:rvb i="4698"/>
        </ext>
      </extLst>
    </bk>
    <bk>
      <extLst>
        <ext uri="{3e2802c4-a4d2-4d8b-9148-e3be6c30e623}">
          <xlrd:rvb i="4699"/>
        </ext>
      </extLst>
    </bk>
    <bk>
      <extLst>
        <ext uri="{3e2802c4-a4d2-4d8b-9148-e3be6c30e623}">
          <xlrd:rvb i="4700"/>
        </ext>
      </extLst>
    </bk>
    <bk>
      <extLst>
        <ext uri="{3e2802c4-a4d2-4d8b-9148-e3be6c30e623}">
          <xlrd:rvb i="4701"/>
        </ext>
      </extLst>
    </bk>
    <bk>
      <extLst>
        <ext uri="{3e2802c4-a4d2-4d8b-9148-e3be6c30e623}">
          <xlrd:rvb i="4702"/>
        </ext>
      </extLst>
    </bk>
    <bk>
      <extLst>
        <ext uri="{3e2802c4-a4d2-4d8b-9148-e3be6c30e623}">
          <xlrd:rvb i="4703"/>
        </ext>
      </extLst>
    </bk>
    <bk>
      <extLst>
        <ext uri="{3e2802c4-a4d2-4d8b-9148-e3be6c30e623}">
          <xlrd:rvb i="4704"/>
        </ext>
      </extLst>
    </bk>
    <bk>
      <extLst>
        <ext uri="{3e2802c4-a4d2-4d8b-9148-e3be6c30e623}">
          <xlrd:rvb i="4705"/>
        </ext>
      </extLst>
    </bk>
    <bk>
      <extLst>
        <ext uri="{3e2802c4-a4d2-4d8b-9148-e3be6c30e623}">
          <xlrd:rvb i="4706"/>
        </ext>
      </extLst>
    </bk>
    <bk>
      <extLst>
        <ext uri="{3e2802c4-a4d2-4d8b-9148-e3be6c30e623}">
          <xlrd:rvb i="4707"/>
        </ext>
      </extLst>
    </bk>
    <bk>
      <extLst>
        <ext uri="{3e2802c4-a4d2-4d8b-9148-e3be6c30e623}">
          <xlrd:rvb i="4708"/>
        </ext>
      </extLst>
    </bk>
    <bk>
      <extLst>
        <ext uri="{3e2802c4-a4d2-4d8b-9148-e3be6c30e623}">
          <xlrd:rvb i="4709"/>
        </ext>
      </extLst>
    </bk>
    <bk>
      <extLst>
        <ext uri="{3e2802c4-a4d2-4d8b-9148-e3be6c30e623}">
          <xlrd:rvb i="4710"/>
        </ext>
      </extLst>
    </bk>
    <bk>
      <extLst>
        <ext uri="{3e2802c4-a4d2-4d8b-9148-e3be6c30e623}">
          <xlrd:rvb i="4711"/>
        </ext>
      </extLst>
    </bk>
    <bk>
      <extLst>
        <ext uri="{3e2802c4-a4d2-4d8b-9148-e3be6c30e623}">
          <xlrd:rvb i="4712"/>
        </ext>
      </extLst>
    </bk>
    <bk>
      <extLst>
        <ext uri="{3e2802c4-a4d2-4d8b-9148-e3be6c30e623}">
          <xlrd:rvb i="4713"/>
        </ext>
      </extLst>
    </bk>
    <bk>
      <extLst>
        <ext uri="{3e2802c4-a4d2-4d8b-9148-e3be6c30e623}">
          <xlrd:rvb i="4714"/>
        </ext>
      </extLst>
    </bk>
    <bk>
      <extLst>
        <ext uri="{3e2802c4-a4d2-4d8b-9148-e3be6c30e623}">
          <xlrd:rvb i="4715"/>
        </ext>
      </extLst>
    </bk>
    <bk>
      <extLst>
        <ext uri="{3e2802c4-a4d2-4d8b-9148-e3be6c30e623}">
          <xlrd:rvb i="4716"/>
        </ext>
      </extLst>
    </bk>
    <bk>
      <extLst>
        <ext uri="{3e2802c4-a4d2-4d8b-9148-e3be6c30e623}">
          <xlrd:rvb i="4717"/>
        </ext>
      </extLst>
    </bk>
    <bk>
      <extLst>
        <ext uri="{3e2802c4-a4d2-4d8b-9148-e3be6c30e623}">
          <xlrd:rvb i="4718"/>
        </ext>
      </extLst>
    </bk>
    <bk>
      <extLst>
        <ext uri="{3e2802c4-a4d2-4d8b-9148-e3be6c30e623}">
          <xlrd:rvb i="4719"/>
        </ext>
      </extLst>
    </bk>
    <bk>
      <extLst>
        <ext uri="{3e2802c4-a4d2-4d8b-9148-e3be6c30e623}">
          <xlrd:rvb i="4720"/>
        </ext>
      </extLst>
    </bk>
    <bk>
      <extLst>
        <ext uri="{3e2802c4-a4d2-4d8b-9148-e3be6c30e623}">
          <xlrd:rvb i="4721"/>
        </ext>
      </extLst>
    </bk>
    <bk>
      <extLst>
        <ext uri="{3e2802c4-a4d2-4d8b-9148-e3be6c30e623}">
          <xlrd:rvb i="4722"/>
        </ext>
      </extLst>
    </bk>
    <bk>
      <extLst>
        <ext uri="{3e2802c4-a4d2-4d8b-9148-e3be6c30e623}">
          <xlrd:rvb i="4723"/>
        </ext>
      </extLst>
    </bk>
    <bk>
      <extLst>
        <ext uri="{3e2802c4-a4d2-4d8b-9148-e3be6c30e623}">
          <xlrd:rvb i="4724"/>
        </ext>
      </extLst>
    </bk>
    <bk>
      <extLst>
        <ext uri="{3e2802c4-a4d2-4d8b-9148-e3be6c30e623}">
          <xlrd:rvb i="4725"/>
        </ext>
      </extLst>
    </bk>
    <bk>
      <extLst>
        <ext uri="{3e2802c4-a4d2-4d8b-9148-e3be6c30e623}">
          <xlrd:rvb i="4726"/>
        </ext>
      </extLst>
    </bk>
    <bk>
      <extLst>
        <ext uri="{3e2802c4-a4d2-4d8b-9148-e3be6c30e623}">
          <xlrd:rvb i="4727"/>
        </ext>
      </extLst>
    </bk>
    <bk>
      <extLst>
        <ext uri="{3e2802c4-a4d2-4d8b-9148-e3be6c30e623}">
          <xlrd:rvb i="4728"/>
        </ext>
      </extLst>
    </bk>
    <bk>
      <extLst>
        <ext uri="{3e2802c4-a4d2-4d8b-9148-e3be6c30e623}">
          <xlrd:rvb i="4729"/>
        </ext>
      </extLst>
    </bk>
    <bk>
      <extLst>
        <ext uri="{3e2802c4-a4d2-4d8b-9148-e3be6c30e623}">
          <xlrd:rvb i="4730"/>
        </ext>
      </extLst>
    </bk>
    <bk>
      <extLst>
        <ext uri="{3e2802c4-a4d2-4d8b-9148-e3be6c30e623}">
          <xlrd:rvb i="4731"/>
        </ext>
      </extLst>
    </bk>
    <bk>
      <extLst>
        <ext uri="{3e2802c4-a4d2-4d8b-9148-e3be6c30e623}">
          <xlrd:rvb i="4732"/>
        </ext>
      </extLst>
    </bk>
    <bk>
      <extLst>
        <ext uri="{3e2802c4-a4d2-4d8b-9148-e3be6c30e623}">
          <xlrd:rvb i="4733"/>
        </ext>
      </extLst>
    </bk>
    <bk>
      <extLst>
        <ext uri="{3e2802c4-a4d2-4d8b-9148-e3be6c30e623}">
          <xlrd:rvb i="4734"/>
        </ext>
      </extLst>
    </bk>
    <bk>
      <extLst>
        <ext uri="{3e2802c4-a4d2-4d8b-9148-e3be6c30e623}">
          <xlrd:rvb i="4735"/>
        </ext>
      </extLst>
    </bk>
    <bk>
      <extLst>
        <ext uri="{3e2802c4-a4d2-4d8b-9148-e3be6c30e623}">
          <xlrd:rvb i="4736"/>
        </ext>
      </extLst>
    </bk>
    <bk>
      <extLst>
        <ext uri="{3e2802c4-a4d2-4d8b-9148-e3be6c30e623}">
          <xlrd:rvb i="4737"/>
        </ext>
      </extLst>
    </bk>
    <bk>
      <extLst>
        <ext uri="{3e2802c4-a4d2-4d8b-9148-e3be6c30e623}">
          <xlrd:rvb i="4738"/>
        </ext>
      </extLst>
    </bk>
    <bk>
      <extLst>
        <ext uri="{3e2802c4-a4d2-4d8b-9148-e3be6c30e623}">
          <xlrd:rvb i="4739"/>
        </ext>
      </extLst>
    </bk>
    <bk>
      <extLst>
        <ext uri="{3e2802c4-a4d2-4d8b-9148-e3be6c30e623}">
          <xlrd:rvb i="4740"/>
        </ext>
      </extLst>
    </bk>
    <bk>
      <extLst>
        <ext uri="{3e2802c4-a4d2-4d8b-9148-e3be6c30e623}">
          <xlrd:rvb i="4741"/>
        </ext>
      </extLst>
    </bk>
    <bk>
      <extLst>
        <ext uri="{3e2802c4-a4d2-4d8b-9148-e3be6c30e623}">
          <xlrd:rvb i="4742"/>
        </ext>
      </extLst>
    </bk>
    <bk>
      <extLst>
        <ext uri="{3e2802c4-a4d2-4d8b-9148-e3be6c30e623}">
          <xlrd:rvb i="4743"/>
        </ext>
      </extLst>
    </bk>
    <bk>
      <extLst>
        <ext uri="{3e2802c4-a4d2-4d8b-9148-e3be6c30e623}">
          <xlrd:rvb i="4744"/>
        </ext>
      </extLst>
    </bk>
    <bk>
      <extLst>
        <ext uri="{3e2802c4-a4d2-4d8b-9148-e3be6c30e623}">
          <xlrd:rvb i="4745"/>
        </ext>
      </extLst>
    </bk>
    <bk>
      <extLst>
        <ext uri="{3e2802c4-a4d2-4d8b-9148-e3be6c30e623}">
          <xlrd:rvb i="4746"/>
        </ext>
      </extLst>
    </bk>
    <bk>
      <extLst>
        <ext uri="{3e2802c4-a4d2-4d8b-9148-e3be6c30e623}">
          <xlrd:rvb i="4747"/>
        </ext>
      </extLst>
    </bk>
    <bk>
      <extLst>
        <ext uri="{3e2802c4-a4d2-4d8b-9148-e3be6c30e623}">
          <xlrd:rvb i="4748"/>
        </ext>
      </extLst>
    </bk>
    <bk>
      <extLst>
        <ext uri="{3e2802c4-a4d2-4d8b-9148-e3be6c30e623}">
          <xlrd:rvb i="4749"/>
        </ext>
      </extLst>
    </bk>
    <bk>
      <extLst>
        <ext uri="{3e2802c4-a4d2-4d8b-9148-e3be6c30e623}">
          <xlrd:rvb i="4750"/>
        </ext>
      </extLst>
    </bk>
    <bk>
      <extLst>
        <ext uri="{3e2802c4-a4d2-4d8b-9148-e3be6c30e623}">
          <xlrd:rvb i="4751"/>
        </ext>
      </extLst>
    </bk>
    <bk>
      <extLst>
        <ext uri="{3e2802c4-a4d2-4d8b-9148-e3be6c30e623}">
          <xlrd:rvb i="4752"/>
        </ext>
      </extLst>
    </bk>
    <bk>
      <extLst>
        <ext uri="{3e2802c4-a4d2-4d8b-9148-e3be6c30e623}">
          <xlrd:rvb i="4753"/>
        </ext>
      </extLst>
    </bk>
    <bk>
      <extLst>
        <ext uri="{3e2802c4-a4d2-4d8b-9148-e3be6c30e623}">
          <xlrd:rvb i="4754"/>
        </ext>
      </extLst>
    </bk>
    <bk>
      <extLst>
        <ext uri="{3e2802c4-a4d2-4d8b-9148-e3be6c30e623}">
          <xlrd:rvb i="4755"/>
        </ext>
      </extLst>
    </bk>
    <bk>
      <extLst>
        <ext uri="{3e2802c4-a4d2-4d8b-9148-e3be6c30e623}">
          <xlrd:rvb i="4756"/>
        </ext>
      </extLst>
    </bk>
    <bk>
      <extLst>
        <ext uri="{3e2802c4-a4d2-4d8b-9148-e3be6c30e623}">
          <xlrd:rvb i="4757"/>
        </ext>
      </extLst>
    </bk>
    <bk>
      <extLst>
        <ext uri="{3e2802c4-a4d2-4d8b-9148-e3be6c30e623}">
          <xlrd:rvb i="4758"/>
        </ext>
      </extLst>
    </bk>
    <bk>
      <extLst>
        <ext uri="{3e2802c4-a4d2-4d8b-9148-e3be6c30e623}">
          <xlrd:rvb i="4759"/>
        </ext>
      </extLst>
    </bk>
    <bk>
      <extLst>
        <ext uri="{3e2802c4-a4d2-4d8b-9148-e3be6c30e623}">
          <xlrd:rvb i="4760"/>
        </ext>
      </extLst>
    </bk>
    <bk>
      <extLst>
        <ext uri="{3e2802c4-a4d2-4d8b-9148-e3be6c30e623}">
          <xlrd:rvb i="4761"/>
        </ext>
      </extLst>
    </bk>
    <bk>
      <extLst>
        <ext uri="{3e2802c4-a4d2-4d8b-9148-e3be6c30e623}">
          <xlrd:rvb i="4762"/>
        </ext>
      </extLst>
    </bk>
    <bk>
      <extLst>
        <ext uri="{3e2802c4-a4d2-4d8b-9148-e3be6c30e623}">
          <xlrd:rvb i="4763"/>
        </ext>
      </extLst>
    </bk>
    <bk>
      <extLst>
        <ext uri="{3e2802c4-a4d2-4d8b-9148-e3be6c30e623}">
          <xlrd:rvb i="4764"/>
        </ext>
      </extLst>
    </bk>
    <bk>
      <extLst>
        <ext uri="{3e2802c4-a4d2-4d8b-9148-e3be6c30e623}">
          <xlrd:rvb i="4765"/>
        </ext>
      </extLst>
    </bk>
    <bk>
      <extLst>
        <ext uri="{3e2802c4-a4d2-4d8b-9148-e3be6c30e623}">
          <xlrd:rvb i="4766"/>
        </ext>
      </extLst>
    </bk>
    <bk>
      <extLst>
        <ext uri="{3e2802c4-a4d2-4d8b-9148-e3be6c30e623}">
          <xlrd:rvb i="4767"/>
        </ext>
      </extLst>
    </bk>
    <bk>
      <extLst>
        <ext uri="{3e2802c4-a4d2-4d8b-9148-e3be6c30e623}">
          <xlrd:rvb i="4768"/>
        </ext>
      </extLst>
    </bk>
    <bk>
      <extLst>
        <ext uri="{3e2802c4-a4d2-4d8b-9148-e3be6c30e623}">
          <xlrd:rvb i="4769"/>
        </ext>
      </extLst>
    </bk>
    <bk>
      <extLst>
        <ext uri="{3e2802c4-a4d2-4d8b-9148-e3be6c30e623}">
          <xlrd:rvb i="4770"/>
        </ext>
      </extLst>
    </bk>
    <bk>
      <extLst>
        <ext uri="{3e2802c4-a4d2-4d8b-9148-e3be6c30e623}">
          <xlrd:rvb i="4771"/>
        </ext>
      </extLst>
    </bk>
    <bk>
      <extLst>
        <ext uri="{3e2802c4-a4d2-4d8b-9148-e3be6c30e623}">
          <xlrd:rvb i="4772"/>
        </ext>
      </extLst>
    </bk>
    <bk>
      <extLst>
        <ext uri="{3e2802c4-a4d2-4d8b-9148-e3be6c30e623}">
          <xlrd:rvb i="4773"/>
        </ext>
      </extLst>
    </bk>
    <bk>
      <extLst>
        <ext uri="{3e2802c4-a4d2-4d8b-9148-e3be6c30e623}">
          <xlrd:rvb i="4774"/>
        </ext>
      </extLst>
    </bk>
    <bk>
      <extLst>
        <ext uri="{3e2802c4-a4d2-4d8b-9148-e3be6c30e623}">
          <xlrd:rvb i="4775"/>
        </ext>
      </extLst>
    </bk>
    <bk>
      <extLst>
        <ext uri="{3e2802c4-a4d2-4d8b-9148-e3be6c30e623}">
          <xlrd:rvb i="4776"/>
        </ext>
      </extLst>
    </bk>
    <bk>
      <extLst>
        <ext uri="{3e2802c4-a4d2-4d8b-9148-e3be6c30e623}">
          <xlrd:rvb i="4777"/>
        </ext>
      </extLst>
    </bk>
    <bk>
      <extLst>
        <ext uri="{3e2802c4-a4d2-4d8b-9148-e3be6c30e623}">
          <xlrd:rvb i="4778"/>
        </ext>
      </extLst>
    </bk>
    <bk>
      <extLst>
        <ext uri="{3e2802c4-a4d2-4d8b-9148-e3be6c30e623}">
          <xlrd:rvb i="4779"/>
        </ext>
      </extLst>
    </bk>
    <bk>
      <extLst>
        <ext uri="{3e2802c4-a4d2-4d8b-9148-e3be6c30e623}">
          <xlrd:rvb i="4780"/>
        </ext>
      </extLst>
    </bk>
    <bk>
      <extLst>
        <ext uri="{3e2802c4-a4d2-4d8b-9148-e3be6c30e623}">
          <xlrd:rvb i="4781"/>
        </ext>
      </extLst>
    </bk>
    <bk>
      <extLst>
        <ext uri="{3e2802c4-a4d2-4d8b-9148-e3be6c30e623}">
          <xlrd:rvb i="4782"/>
        </ext>
      </extLst>
    </bk>
    <bk>
      <extLst>
        <ext uri="{3e2802c4-a4d2-4d8b-9148-e3be6c30e623}">
          <xlrd:rvb i="4783"/>
        </ext>
      </extLst>
    </bk>
    <bk>
      <extLst>
        <ext uri="{3e2802c4-a4d2-4d8b-9148-e3be6c30e623}">
          <xlrd:rvb i="4784"/>
        </ext>
      </extLst>
    </bk>
    <bk>
      <extLst>
        <ext uri="{3e2802c4-a4d2-4d8b-9148-e3be6c30e623}">
          <xlrd:rvb i="4785"/>
        </ext>
      </extLst>
    </bk>
    <bk>
      <extLst>
        <ext uri="{3e2802c4-a4d2-4d8b-9148-e3be6c30e623}">
          <xlrd:rvb i="4786"/>
        </ext>
      </extLst>
    </bk>
    <bk>
      <extLst>
        <ext uri="{3e2802c4-a4d2-4d8b-9148-e3be6c30e623}">
          <xlrd:rvb i="4787"/>
        </ext>
      </extLst>
    </bk>
    <bk>
      <extLst>
        <ext uri="{3e2802c4-a4d2-4d8b-9148-e3be6c30e623}">
          <xlrd:rvb i="4788"/>
        </ext>
      </extLst>
    </bk>
    <bk>
      <extLst>
        <ext uri="{3e2802c4-a4d2-4d8b-9148-e3be6c30e623}">
          <xlrd:rvb i="4789"/>
        </ext>
      </extLst>
    </bk>
    <bk>
      <extLst>
        <ext uri="{3e2802c4-a4d2-4d8b-9148-e3be6c30e623}">
          <xlrd:rvb i="4790"/>
        </ext>
      </extLst>
    </bk>
    <bk>
      <extLst>
        <ext uri="{3e2802c4-a4d2-4d8b-9148-e3be6c30e623}">
          <xlrd:rvb i="4791"/>
        </ext>
      </extLst>
    </bk>
    <bk>
      <extLst>
        <ext uri="{3e2802c4-a4d2-4d8b-9148-e3be6c30e623}">
          <xlrd:rvb i="4792"/>
        </ext>
      </extLst>
    </bk>
    <bk>
      <extLst>
        <ext uri="{3e2802c4-a4d2-4d8b-9148-e3be6c30e623}">
          <xlrd:rvb i="4793"/>
        </ext>
      </extLst>
    </bk>
    <bk>
      <extLst>
        <ext uri="{3e2802c4-a4d2-4d8b-9148-e3be6c30e623}">
          <xlrd:rvb i="4794"/>
        </ext>
      </extLst>
    </bk>
    <bk>
      <extLst>
        <ext uri="{3e2802c4-a4d2-4d8b-9148-e3be6c30e623}">
          <xlrd:rvb i="4795"/>
        </ext>
      </extLst>
    </bk>
    <bk>
      <extLst>
        <ext uri="{3e2802c4-a4d2-4d8b-9148-e3be6c30e623}">
          <xlrd:rvb i="4796"/>
        </ext>
      </extLst>
    </bk>
    <bk>
      <extLst>
        <ext uri="{3e2802c4-a4d2-4d8b-9148-e3be6c30e623}">
          <xlrd:rvb i="4797"/>
        </ext>
      </extLst>
    </bk>
    <bk>
      <extLst>
        <ext uri="{3e2802c4-a4d2-4d8b-9148-e3be6c30e623}">
          <xlrd:rvb i="4798"/>
        </ext>
      </extLst>
    </bk>
    <bk>
      <extLst>
        <ext uri="{3e2802c4-a4d2-4d8b-9148-e3be6c30e623}">
          <xlrd:rvb i="4799"/>
        </ext>
      </extLst>
    </bk>
    <bk>
      <extLst>
        <ext uri="{3e2802c4-a4d2-4d8b-9148-e3be6c30e623}">
          <xlrd:rvb i="4800"/>
        </ext>
      </extLst>
    </bk>
    <bk>
      <extLst>
        <ext uri="{3e2802c4-a4d2-4d8b-9148-e3be6c30e623}">
          <xlrd:rvb i="4801"/>
        </ext>
      </extLst>
    </bk>
    <bk>
      <extLst>
        <ext uri="{3e2802c4-a4d2-4d8b-9148-e3be6c30e623}">
          <xlrd:rvb i="4802"/>
        </ext>
      </extLst>
    </bk>
    <bk>
      <extLst>
        <ext uri="{3e2802c4-a4d2-4d8b-9148-e3be6c30e623}">
          <xlrd:rvb i="4803"/>
        </ext>
      </extLst>
    </bk>
    <bk>
      <extLst>
        <ext uri="{3e2802c4-a4d2-4d8b-9148-e3be6c30e623}">
          <xlrd:rvb i="4804"/>
        </ext>
      </extLst>
    </bk>
    <bk>
      <extLst>
        <ext uri="{3e2802c4-a4d2-4d8b-9148-e3be6c30e623}">
          <xlrd:rvb i="4805"/>
        </ext>
      </extLst>
    </bk>
    <bk>
      <extLst>
        <ext uri="{3e2802c4-a4d2-4d8b-9148-e3be6c30e623}">
          <xlrd:rvb i="4806"/>
        </ext>
      </extLst>
    </bk>
    <bk>
      <extLst>
        <ext uri="{3e2802c4-a4d2-4d8b-9148-e3be6c30e623}">
          <xlrd:rvb i="4807"/>
        </ext>
      </extLst>
    </bk>
    <bk>
      <extLst>
        <ext uri="{3e2802c4-a4d2-4d8b-9148-e3be6c30e623}">
          <xlrd:rvb i="4808"/>
        </ext>
      </extLst>
    </bk>
    <bk>
      <extLst>
        <ext uri="{3e2802c4-a4d2-4d8b-9148-e3be6c30e623}">
          <xlrd:rvb i="4809"/>
        </ext>
      </extLst>
    </bk>
    <bk>
      <extLst>
        <ext uri="{3e2802c4-a4d2-4d8b-9148-e3be6c30e623}">
          <xlrd:rvb i="4810"/>
        </ext>
      </extLst>
    </bk>
    <bk>
      <extLst>
        <ext uri="{3e2802c4-a4d2-4d8b-9148-e3be6c30e623}">
          <xlrd:rvb i="4811"/>
        </ext>
      </extLst>
    </bk>
    <bk>
      <extLst>
        <ext uri="{3e2802c4-a4d2-4d8b-9148-e3be6c30e623}">
          <xlrd:rvb i="4812"/>
        </ext>
      </extLst>
    </bk>
    <bk>
      <extLst>
        <ext uri="{3e2802c4-a4d2-4d8b-9148-e3be6c30e623}">
          <xlrd:rvb i="4813"/>
        </ext>
      </extLst>
    </bk>
    <bk>
      <extLst>
        <ext uri="{3e2802c4-a4d2-4d8b-9148-e3be6c30e623}">
          <xlrd:rvb i="4814"/>
        </ext>
      </extLst>
    </bk>
    <bk>
      <extLst>
        <ext uri="{3e2802c4-a4d2-4d8b-9148-e3be6c30e623}">
          <xlrd:rvb i="4815"/>
        </ext>
      </extLst>
    </bk>
    <bk>
      <extLst>
        <ext uri="{3e2802c4-a4d2-4d8b-9148-e3be6c30e623}">
          <xlrd:rvb i="4816"/>
        </ext>
      </extLst>
    </bk>
    <bk>
      <extLst>
        <ext uri="{3e2802c4-a4d2-4d8b-9148-e3be6c30e623}">
          <xlrd:rvb i="4817"/>
        </ext>
      </extLst>
    </bk>
    <bk>
      <extLst>
        <ext uri="{3e2802c4-a4d2-4d8b-9148-e3be6c30e623}">
          <xlrd:rvb i="4818"/>
        </ext>
      </extLst>
    </bk>
    <bk>
      <extLst>
        <ext uri="{3e2802c4-a4d2-4d8b-9148-e3be6c30e623}">
          <xlrd:rvb i="4819"/>
        </ext>
      </extLst>
    </bk>
    <bk>
      <extLst>
        <ext uri="{3e2802c4-a4d2-4d8b-9148-e3be6c30e623}">
          <xlrd:rvb i="4820"/>
        </ext>
      </extLst>
    </bk>
    <bk>
      <extLst>
        <ext uri="{3e2802c4-a4d2-4d8b-9148-e3be6c30e623}">
          <xlrd:rvb i="4821"/>
        </ext>
      </extLst>
    </bk>
    <bk>
      <extLst>
        <ext uri="{3e2802c4-a4d2-4d8b-9148-e3be6c30e623}">
          <xlrd:rvb i="4822"/>
        </ext>
      </extLst>
    </bk>
    <bk>
      <extLst>
        <ext uri="{3e2802c4-a4d2-4d8b-9148-e3be6c30e623}">
          <xlrd:rvb i="4823"/>
        </ext>
      </extLst>
    </bk>
    <bk>
      <extLst>
        <ext uri="{3e2802c4-a4d2-4d8b-9148-e3be6c30e623}">
          <xlrd:rvb i="4824"/>
        </ext>
      </extLst>
    </bk>
    <bk>
      <extLst>
        <ext uri="{3e2802c4-a4d2-4d8b-9148-e3be6c30e623}">
          <xlrd:rvb i="4825"/>
        </ext>
      </extLst>
    </bk>
    <bk>
      <extLst>
        <ext uri="{3e2802c4-a4d2-4d8b-9148-e3be6c30e623}">
          <xlrd:rvb i="4826"/>
        </ext>
      </extLst>
    </bk>
    <bk>
      <extLst>
        <ext uri="{3e2802c4-a4d2-4d8b-9148-e3be6c30e623}">
          <xlrd:rvb i="4827"/>
        </ext>
      </extLst>
    </bk>
    <bk>
      <extLst>
        <ext uri="{3e2802c4-a4d2-4d8b-9148-e3be6c30e623}">
          <xlrd:rvb i="4828"/>
        </ext>
      </extLst>
    </bk>
    <bk>
      <extLst>
        <ext uri="{3e2802c4-a4d2-4d8b-9148-e3be6c30e623}">
          <xlrd:rvb i="4829"/>
        </ext>
      </extLst>
    </bk>
    <bk>
      <extLst>
        <ext uri="{3e2802c4-a4d2-4d8b-9148-e3be6c30e623}">
          <xlrd:rvb i="4830"/>
        </ext>
      </extLst>
    </bk>
    <bk>
      <extLst>
        <ext uri="{3e2802c4-a4d2-4d8b-9148-e3be6c30e623}">
          <xlrd:rvb i="4831"/>
        </ext>
      </extLst>
    </bk>
    <bk>
      <extLst>
        <ext uri="{3e2802c4-a4d2-4d8b-9148-e3be6c30e623}">
          <xlrd:rvb i="4832"/>
        </ext>
      </extLst>
    </bk>
    <bk>
      <extLst>
        <ext uri="{3e2802c4-a4d2-4d8b-9148-e3be6c30e623}">
          <xlrd:rvb i="4833"/>
        </ext>
      </extLst>
    </bk>
    <bk>
      <extLst>
        <ext uri="{3e2802c4-a4d2-4d8b-9148-e3be6c30e623}">
          <xlrd:rvb i="4834"/>
        </ext>
      </extLst>
    </bk>
    <bk>
      <extLst>
        <ext uri="{3e2802c4-a4d2-4d8b-9148-e3be6c30e623}">
          <xlrd:rvb i="4835"/>
        </ext>
      </extLst>
    </bk>
    <bk>
      <extLst>
        <ext uri="{3e2802c4-a4d2-4d8b-9148-e3be6c30e623}">
          <xlrd:rvb i="4836"/>
        </ext>
      </extLst>
    </bk>
    <bk>
      <extLst>
        <ext uri="{3e2802c4-a4d2-4d8b-9148-e3be6c30e623}">
          <xlrd:rvb i="4837"/>
        </ext>
      </extLst>
    </bk>
    <bk>
      <extLst>
        <ext uri="{3e2802c4-a4d2-4d8b-9148-e3be6c30e623}">
          <xlrd:rvb i="4838"/>
        </ext>
      </extLst>
    </bk>
    <bk>
      <extLst>
        <ext uri="{3e2802c4-a4d2-4d8b-9148-e3be6c30e623}">
          <xlrd:rvb i="4839"/>
        </ext>
      </extLst>
    </bk>
    <bk>
      <extLst>
        <ext uri="{3e2802c4-a4d2-4d8b-9148-e3be6c30e623}">
          <xlrd:rvb i="4840"/>
        </ext>
      </extLst>
    </bk>
    <bk>
      <extLst>
        <ext uri="{3e2802c4-a4d2-4d8b-9148-e3be6c30e623}">
          <xlrd:rvb i="4841"/>
        </ext>
      </extLst>
    </bk>
    <bk>
      <extLst>
        <ext uri="{3e2802c4-a4d2-4d8b-9148-e3be6c30e623}">
          <xlrd:rvb i="4842"/>
        </ext>
      </extLst>
    </bk>
    <bk>
      <extLst>
        <ext uri="{3e2802c4-a4d2-4d8b-9148-e3be6c30e623}">
          <xlrd:rvb i="4843"/>
        </ext>
      </extLst>
    </bk>
    <bk>
      <extLst>
        <ext uri="{3e2802c4-a4d2-4d8b-9148-e3be6c30e623}">
          <xlrd:rvb i="4844"/>
        </ext>
      </extLst>
    </bk>
    <bk>
      <extLst>
        <ext uri="{3e2802c4-a4d2-4d8b-9148-e3be6c30e623}">
          <xlrd:rvb i="4845"/>
        </ext>
      </extLst>
    </bk>
    <bk>
      <extLst>
        <ext uri="{3e2802c4-a4d2-4d8b-9148-e3be6c30e623}">
          <xlrd:rvb i="4846"/>
        </ext>
      </extLst>
    </bk>
    <bk>
      <extLst>
        <ext uri="{3e2802c4-a4d2-4d8b-9148-e3be6c30e623}">
          <xlrd:rvb i="4847"/>
        </ext>
      </extLst>
    </bk>
    <bk>
      <extLst>
        <ext uri="{3e2802c4-a4d2-4d8b-9148-e3be6c30e623}">
          <xlrd:rvb i="4848"/>
        </ext>
      </extLst>
    </bk>
    <bk>
      <extLst>
        <ext uri="{3e2802c4-a4d2-4d8b-9148-e3be6c30e623}">
          <xlrd:rvb i="4849"/>
        </ext>
      </extLst>
    </bk>
    <bk>
      <extLst>
        <ext uri="{3e2802c4-a4d2-4d8b-9148-e3be6c30e623}">
          <xlrd:rvb i="4850"/>
        </ext>
      </extLst>
    </bk>
    <bk>
      <extLst>
        <ext uri="{3e2802c4-a4d2-4d8b-9148-e3be6c30e623}">
          <xlrd:rvb i="4851"/>
        </ext>
      </extLst>
    </bk>
    <bk>
      <extLst>
        <ext uri="{3e2802c4-a4d2-4d8b-9148-e3be6c30e623}">
          <xlrd:rvb i="4852"/>
        </ext>
      </extLst>
    </bk>
    <bk>
      <extLst>
        <ext uri="{3e2802c4-a4d2-4d8b-9148-e3be6c30e623}">
          <xlrd:rvb i="4853"/>
        </ext>
      </extLst>
    </bk>
    <bk>
      <extLst>
        <ext uri="{3e2802c4-a4d2-4d8b-9148-e3be6c30e623}">
          <xlrd:rvb i="4854"/>
        </ext>
      </extLst>
    </bk>
    <bk>
      <extLst>
        <ext uri="{3e2802c4-a4d2-4d8b-9148-e3be6c30e623}">
          <xlrd:rvb i="4855"/>
        </ext>
      </extLst>
    </bk>
    <bk>
      <extLst>
        <ext uri="{3e2802c4-a4d2-4d8b-9148-e3be6c30e623}">
          <xlrd:rvb i="4856"/>
        </ext>
      </extLst>
    </bk>
    <bk>
      <extLst>
        <ext uri="{3e2802c4-a4d2-4d8b-9148-e3be6c30e623}">
          <xlrd:rvb i="4857"/>
        </ext>
      </extLst>
    </bk>
    <bk>
      <extLst>
        <ext uri="{3e2802c4-a4d2-4d8b-9148-e3be6c30e623}">
          <xlrd:rvb i="4858"/>
        </ext>
      </extLst>
    </bk>
    <bk>
      <extLst>
        <ext uri="{3e2802c4-a4d2-4d8b-9148-e3be6c30e623}">
          <xlrd:rvb i="4859"/>
        </ext>
      </extLst>
    </bk>
    <bk>
      <extLst>
        <ext uri="{3e2802c4-a4d2-4d8b-9148-e3be6c30e623}">
          <xlrd:rvb i="4860"/>
        </ext>
      </extLst>
    </bk>
    <bk>
      <extLst>
        <ext uri="{3e2802c4-a4d2-4d8b-9148-e3be6c30e623}">
          <xlrd:rvb i="4861"/>
        </ext>
      </extLst>
    </bk>
    <bk>
      <extLst>
        <ext uri="{3e2802c4-a4d2-4d8b-9148-e3be6c30e623}">
          <xlrd:rvb i="4862"/>
        </ext>
      </extLst>
    </bk>
    <bk>
      <extLst>
        <ext uri="{3e2802c4-a4d2-4d8b-9148-e3be6c30e623}">
          <xlrd:rvb i="4863"/>
        </ext>
      </extLst>
    </bk>
    <bk>
      <extLst>
        <ext uri="{3e2802c4-a4d2-4d8b-9148-e3be6c30e623}">
          <xlrd:rvb i="4864"/>
        </ext>
      </extLst>
    </bk>
    <bk>
      <extLst>
        <ext uri="{3e2802c4-a4d2-4d8b-9148-e3be6c30e623}">
          <xlrd:rvb i="4865"/>
        </ext>
      </extLst>
    </bk>
    <bk>
      <extLst>
        <ext uri="{3e2802c4-a4d2-4d8b-9148-e3be6c30e623}">
          <xlrd:rvb i="4866"/>
        </ext>
      </extLst>
    </bk>
    <bk>
      <extLst>
        <ext uri="{3e2802c4-a4d2-4d8b-9148-e3be6c30e623}">
          <xlrd:rvb i="4867"/>
        </ext>
      </extLst>
    </bk>
    <bk>
      <extLst>
        <ext uri="{3e2802c4-a4d2-4d8b-9148-e3be6c30e623}">
          <xlrd:rvb i="4868"/>
        </ext>
      </extLst>
    </bk>
    <bk>
      <extLst>
        <ext uri="{3e2802c4-a4d2-4d8b-9148-e3be6c30e623}">
          <xlrd:rvb i="4869"/>
        </ext>
      </extLst>
    </bk>
    <bk>
      <extLst>
        <ext uri="{3e2802c4-a4d2-4d8b-9148-e3be6c30e623}">
          <xlrd:rvb i="4870"/>
        </ext>
      </extLst>
    </bk>
    <bk>
      <extLst>
        <ext uri="{3e2802c4-a4d2-4d8b-9148-e3be6c30e623}">
          <xlrd:rvb i="4871"/>
        </ext>
      </extLst>
    </bk>
    <bk>
      <extLst>
        <ext uri="{3e2802c4-a4d2-4d8b-9148-e3be6c30e623}">
          <xlrd:rvb i="4872"/>
        </ext>
      </extLst>
    </bk>
    <bk>
      <extLst>
        <ext uri="{3e2802c4-a4d2-4d8b-9148-e3be6c30e623}">
          <xlrd:rvb i="4873"/>
        </ext>
      </extLst>
    </bk>
    <bk>
      <extLst>
        <ext uri="{3e2802c4-a4d2-4d8b-9148-e3be6c30e623}">
          <xlrd:rvb i="4874"/>
        </ext>
      </extLst>
    </bk>
    <bk>
      <extLst>
        <ext uri="{3e2802c4-a4d2-4d8b-9148-e3be6c30e623}">
          <xlrd:rvb i="4875"/>
        </ext>
      </extLst>
    </bk>
    <bk>
      <extLst>
        <ext uri="{3e2802c4-a4d2-4d8b-9148-e3be6c30e623}">
          <xlrd:rvb i="4876"/>
        </ext>
      </extLst>
    </bk>
    <bk>
      <extLst>
        <ext uri="{3e2802c4-a4d2-4d8b-9148-e3be6c30e623}">
          <xlrd:rvb i="4877"/>
        </ext>
      </extLst>
    </bk>
    <bk>
      <extLst>
        <ext uri="{3e2802c4-a4d2-4d8b-9148-e3be6c30e623}">
          <xlrd:rvb i="4878"/>
        </ext>
      </extLst>
    </bk>
    <bk>
      <extLst>
        <ext uri="{3e2802c4-a4d2-4d8b-9148-e3be6c30e623}">
          <xlrd:rvb i="4879"/>
        </ext>
      </extLst>
    </bk>
    <bk>
      <extLst>
        <ext uri="{3e2802c4-a4d2-4d8b-9148-e3be6c30e623}">
          <xlrd:rvb i="4880"/>
        </ext>
      </extLst>
    </bk>
    <bk>
      <extLst>
        <ext uri="{3e2802c4-a4d2-4d8b-9148-e3be6c30e623}">
          <xlrd:rvb i="4881"/>
        </ext>
      </extLst>
    </bk>
    <bk>
      <extLst>
        <ext uri="{3e2802c4-a4d2-4d8b-9148-e3be6c30e623}">
          <xlrd:rvb i="4882"/>
        </ext>
      </extLst>
    </bk>
    <bk>
      <extLst>
        <ext uri="{3e2802c4-a4d2-4d8b-9148-e3be6c30e623}">
          <xlrd:rvb i="4883"/>
        </ext>
      </extLst>
    </bk>
    <bk>
      <extLst>
        <ext uri="{3e2802c4-a4d2-4d8b-9148-e3be6c30e623}">
          <xlrd:rvb i="4884"/>
        </ext>
      </extLst>
    </bk>
    <bk>
      <extLst>
        <ext uri="{3e2802c4-a4d2-4d8b-9148-e3be6c30e623}">
          <xlrd:rvb i="4885"/>
        </ext>
      </extLst>
    </bk>
    <bk>
      <extLst>
        <ext uri="{3e2802c4-a4d2-4d8b-9148-e3be6c30e623}">
          <xlrd:rvb i="4886"/>
        </ext>
      </extLst>
    </bk>
    <bk>
      <extLst>
        <ext uri="{3e2802c4-a4d2-4d8b-9148-e3be6c30e623}">
          <xlrd:rvb i="4887"/>
        </ext>
      </extLst>
    </bk>
    <bk>
      <extLst>
        <ext uri="{3e2802c4-a4d2-4d8b-9148-e3be6c30e623}">
          <xlrd:rvb i="4888"/>
        </ext>
      </extLst>
    </bk>
    <bk>
      <extLst>
        <ext uri="{3e2802c4-a4d2-4d8b-9148-e3be6c30e623}">
          <xlrd:rvb i="4889"/>
        </ext>
      </extLst>
    </bk>
    <bk>
      <extLst>
        <ext uri="{3e2802c4-a4d2-4d8b-9148-e3be6c30e623}">
          <xlrd:rvb i="4890"/>
        </ext>
      </extLst>
    </bk>
    <bk>
      <extLst>
        <ext uri="{3e2802c4-a4d2-4d8b-9148-e3be6c30e623}">
          <xlrd:rvb i="4891"/>
        </ext>
      </extLst>
    </bk>
    <bk>
      <extLst>
        <ext uri="{3e2802c4-a4d2-4d8b-9148-e3be6c30e623}">
          <xlrd:rvb i="4892"/>
        </ext>
      </extLst>
    </bk>
    <bk>
      <extLst>
        <ext uri="{3e2802c4-a4d2-4d8b-9148-e3be6c30e623}">
          <xlrd:rvb i="4893"/>
        </ext>
      </extLst>
    </bk>
    <bk>
      <extLst>
        <ext uri="{3e2802c4-a4d2-4d8b-9148-e3be6c30e623}">
          <xlrd:rvb i="4894"/>
        </ext>
      </extLst>
    </bk>
    <bk>
      <extLst>
        <ext uri="{3e2802c4-a4d2-4d8b-9148-e3be6c30e623}">
          <xlrd:rvb i="4895"/>
        </ext>
      </extLst>
    </bk>
    <bk>
      <extLst>
        <ext uri="{3e2802c4-a4d2-4d8b-9148-e3be6c30e623}">
          <xlrd:rvb i="4896"/>
        </ext>
      </extLst>
    </bk>
    <bk>
      <extLst>
        <ext uri="{3e2802c4-a4d2-4d8b-9148-e3be6c30e623}">
          <xlrd:rvb i="4897"/>
        </ext>
      </extLst>
    </bk>
    <bk>
      <extLst>
        <ext uri="{3e2802c4-a4d2-4d8b-9148-e3be6c30e623}">
          <xlrd:rvb i="4898"/>
        </ext>
      </extLst>
    </bk>
    <bk>
      <extLst>
        <ext uri="{3e2802c4-a4d2-4d8b-9148-e3be6c30e623}">
          <xlrd:rvb i="4899"/>
        </ext>
      </extLst>
    </bk>
    <bk>
      <extLst>
        <ext uri="{3e2802c4-a4d2-4d8b-9148-e3be6c30e623}">
          <xlrd:rvb i="4900"/>
        </ext>
      </extLst>
    </bk>
    <bk>
      <extLst>
        <ext uri="{3e2802c4-a4d2-4d8b-9148-e3be6c30e623}">
          <xlrd:rvb i="4901"/>
        </ext>
      </extLst>
    </bk>
    <bk>
      <extLst>
        <ext uri="{3e2802c4-a4d2-4d8b-9148-e3be6c30e623}">
          <xlrd:rvb i="4902"/>
        </ext>
      </extLst>
    </bk>
    <bk>
      <extLst>
        <ext uri="{3e2802c4-a4d2-4d8b-9148-e3be6c30e623}">
          <xlrd:rvb i="4903"/>
        </ext>
      </extLst>
    </bk>
    <bk>
      <extLst>
        <ext uri="{3e2802c4-a4d2-4d8b-9148-e3be6c30e623}">
          <xlrd:rvb i="4904"/>
        </ext>
      </extLst>
    </bk>
    <bk>
      <extLst>
        <ext uri="{3e2802c4-a4d2-4d8b-9148-e3be6c30e623}">
          <xlrd:rvb i="4905"/>
        </ext>
      </extLst>
    </bk>
    <bk>
      <extLst>
        <ext uri="{3e2802c4-a4d2-4d8b-9148-e3be6c30e623}">
          <xlrd:rvb i="4906"/>
        </ext>
      </extLst>
    </bk>
    <bk>
      <extLst>
        <ext uri="{3e2802c4-a4d2-4d8b-9148-e3be6c30e623}">
          <xlrd:rvb i="4907"/>
        </ext>
      </extLst>
    </bk>
    <bk>
      <extLst>
        <ext uri="{3e2802c4-a4d2-4d8b-9148-e3be6c30e623}">
          <xlrd:rvb i="4908"/>
        </ext>
      </extLst>
    </bk>
    <bk>
      <extLst>
        <ext uri="{3e2802c4-a4d2-4d8b-9148-e3be6c30e623}">
          <xlrd:rvb i="4909"/>
        </ext>
      </extLst>
    </bk>
    <bk>
      <extLst>
        <ext uri="{3e2802c4-a4d2-4d8b-9148-e3be6c30e623}">
          <xlrd:rvb i="4910"/>
        </ext>
      </extLst>
    </bk>
    <bk>
      <extLst>
        <ext uri="{3e2802c4-a4d2-4d8b-9148-e3be6c30e623}">
          <xlrd:rvb i="4911"/>
        </ext>
      </extLst>
    </bk>
    <bk>
      <extLst>
        <ext uri="{3e2802c4-a4d2-4d8b-9148-e3be6c30e623}">
          <xlrd:rvb i="4912"/>
        </ext>
      </extLst>
    </bk>
    <bk>
      <extLst>
        <ext uri="{3e2802c4-a4d2-4d8b-9148-e3be6c30e623}">
          <xlrd:rvb i="4913"/>
        </ext>
      </extLst>
    </bk>
    <bk>
      <extLst>
        <ext uri="{3e2802c4-a4d2-4d8b-9148-e3be6c30e623}">
          <xlrd:rvb i="4914"/>
        </ext>
      </extLst>
    </bk>
    <bk>
      <extLst>
        <ext uri="{3e2802c4-a4d2-4d8b-9148-e3be6c30e623}">
          <xlrd:rvb i="4915"/>
        </ext>
      </extLst>
    </bk>
    <bk>
      <extLst>
        <ext uri="{3e2802c4-a4d2-4d8b-9148-e3be6c30e623}">
          <xlrd:rvb i="4916"/>
        </ext>
      </extLst>
    </bk>
    <bk>
      <extLst>
        <ext uri="{3e2802c4-a4d2-4d8b-9148-e3be6c30e623}">
          <xlrd:rvb i="4917"/>
        </ext>
      </extLst>
    </bk>
    <bk>
      <extLst>
        <ext uri="{3e2802c4-a4d2-4d8b-9148-e3be6c30e623}">
          <xlrd:rvb i="4918"/>
        </ext>
      </extLst>
    </bk>
    <bk>
      <extLst>
        <ext uri="{3e2802c4-a4d2-4d8b-9148-e3be6c30e623}">
          <xlrd:rvb i="4919"/>
        </ext>
      </extLst>
    </bk>
    <bk>
      <extLst>
        <ext uri="{3e2802c4-a4d2-4d8b-9148-e3be6c30e623}">
          <xlrd:rvb i="4920"/>
        </ext>
      </extLst>
    </bk>
    <bk>
      <extLst>
        <ext uri="{3e2802c4-a4d2-4d8b-9148-e3be6c30e623}">
          <xlrd:rvb i="4921"/>
        </ext>
      </extLst>
    </bk>
    <bk>
      <extLst>
        <ext uri="{3e2802c4-a4d2-4d8b-9148-e3be6c30e623}">
          <xlrd:rvb i="4922"/>
        </ext>
      </extLst>
    </bk>
    <bk>
      <extLst>
        <ext uri="{3e2802c4-a4d2-4d8b-9148-e3be6c30e623}">
          <xlrd:rvb i="4923"/>
        </ext>
      </extLst>
    </bk>
    <bk>
      <extLst>
        <ext uri="{3e2802c4-a4d2-4d8b-9148-e3be6c30e623}">
          <xlrd:rvb i="4924"/>
        </ext>
      </extLst>
    </bk>
    <bk>
      <extLst>
        <ext uri="{3e2802c4-a4d2-4d8b-9148-e3be6c30e623}">
          <xlrd:rvb i="4925"/>
        </ext>
      </extLst>
    </bk>
    <bk>
      <extLst>
        <ext uri="{3e2802c4-a4d2-4d8b-9148-e3be6c30e623}">
          <xlrd:rvb i="4926"/>
        </ext>
      </extLst>
    </bk>
    <bk>
      <extLst>
        <ext uri="{3e2802c4-a4d2-4d8b-9148-e3be6c30e623}">
          <xlrd:rvb i="4927"/>
        </ext>
      </extLst>
    </bk>
    <bk>
      <extLst>
        <ext uri="{3e2802c4-a4d2-4d8b-9148-e3be6c30e623}">
          <xlrd:rvb i="4928"/>
        </ext>
      </extLst>
    </bk>
    <bk>
      <extLst>
        <ext uri="{3e2802c4-a4d2-4d8b-9148-e3be6c30e623}">
          <xlrd:rvb i="4929"/>
        </ext>
      </extLst>
    </bk>
    <bk>
      <extLst>
        <ext uri="{3e2802c4-a4d2-4d8b-9148-e3be6c30e623}">
          <xlrd:rvb i="4930"/>
        </ext>
      </extLst>
    </bk>
    <bk>
      <extLst>
        <ext uri="{3e2802c4-a4d2-4d8b-9148-e3be6c30e623}">
          <xlrd:rvb i="4931"/>
        </ext>
      </extLst>
    </bk>
    <bk>
      <extLst>
        <ext uri="{3e2802c4-a4d2-4d8b-9148-e3be6c30e623}">
          <xlrd:rvb i="4932"/>
        </ext>
      </extLst>
    </bk>
    <bk>
      <extLst>
        <ext uri="{3e2802c4-a4d2-4d8b-9148-e3be6c30e623}">
          <xlrd:rvb i="4933"/>
        </ext>
      </extLst>
    </bk>
    <bk>
      <extLst>
        <ext uri="{3e2802c4-a4d2-4d8b-9148-e3be6c30e623}">
          <xlrd:rvb i="4934"/>
        </ext>
      </extLst>
    </bk>
    <bk>
      <extLst>
        <ext uri="{3e2802c4-a4d2-4d8b-9148-e3be6c30e623}">
          <xlrd:rvb i="4935"/>
        </ext>
      </extLst>
    </bk>
    <bk>
      <extLst>
        <ext uri="{3e2802c4-a4d2-4d8b-9148-e3be6c30e623}">
          <xlrd:rvb i="4936"/>
        </ext>
      </extLst>
    </bk>
    <bk>
      <extLst>
        <ext uri="{3e2802c4-a4d2-4d8b-9148-e3be6c30e623}">
          <xlrd:rvb i="4937"/>
        </ext>
      </extLst>
    </bk>
    <bk>
      <extLst>
        <ext uri="{3e2802c4-a4d2-4d8b-9148-e3be6c30e623}">
          <xlrd:rvb i="4938"/>
        </ext>
      </extLst>
    </bk>
    <bk>
      <extLst>
        <ext uri="{3e2802c4-a4d2-4d8b-9148-e3be6c30e623}">
          <xlrd:rvb i="4939"/>
        </ext>
      </extLst>
    </bk>
    <bk>
      <extLst>
        <ext uri="{3e2802c4-a4d2-4d8b-9148-e3be6c30e623}">
          <xlrd:rvb i="4940"/>
        </ext>
      </extLst>
    </bk>
    <bk>
      <extLst>
        <ext uri="{3e2802c4-a4d2-4d8b-9148-e3be6c30e623}">
          <xlrd:rvb i="4941"/>
        </ext>
      </extLst>
    </bk>
    <bk>
      <extLst>
        <ext uri="{3e2802c4-a4d2-4d8b-9148-e3be6c30e623}">
          <xlrd:rvb i="4942"/>
        </ext>
      </extLst>
    </bk>
    <bk>
      <extLst>
        <ext uri="{3e2802c4-a4d2-4d8b-9148-e3be6c30e623}">
          <xlrd:rvb i="4943"/>
        </ext>
      </extLst>
    </bk>
    <bk>
      <extLst>
        <ext uri="{3e2802c4-a4d2-4d8b-9148-e3be6c30e623}">
          <xlrd:rvb i="4944"/>
        </ext>
      </extLst>
    </bk>
    <bk>
      <extLst>
        <ext uri="{3e2802c4-a4d2-4d8b-9148-e3be6c30e623}">
          <xlrd:rvb i="4945"/>
        </ext>
      </extLst>
    </bk>
    <bk>
      <extLst>
        <ext uri="{3e2802c4-a4d2-4d8b-9148-e3be6c30e623}">
          <xlrd:rvb i="4946"/>
        </ext>
      </extLst>
    </bk>
    <bk>
      <extLst>
        <ext uri="{3e2802c4-a4d2-4d8b-9148-e3be6c30e623}">
          <xlrd:rvb i="4947"/>
        </ext>
      </extLst>
    </bk>
    <bk>
      <extLst>
        <ext uri="{3e2802c4-a4d2-4d8b-9148-e3be6c30e623}">
          <xlrd:rvb i="4948"/>
        </ext>
      </extLst>
    </bk>
    <bk>
      <extLst>
        <ext uri="{3e2802c4-a4d2-4d8b-9148-e3be6c30e623}">
          <xlrd:rvb i="4949"/>
        </ext>
      </extLst>
    </bk>
    <bk>
      <extLst>
        <ext uri="{3e2802c4-a4d2-4d8b-9148-e3be6c30e623}">
          <xlrd:rvb i="4950"/>
        </ext>
      </extLst>
    </bk>
    <bk>
      <extLst>
        <ext uri="{3e2802c4-a4d2-4d8b-9148-e3be6c30e623}">
          <xlrd:rvb i="4951"/>
        </ext>
      </extLst>
    </bk>
    <bk>
      <extLst>
        <ext uri="{3e2802c4-a4d2-4d8b-9148-e3be6c30e623}">
          <xlrd:rvb i="4952"/>
        </ext>
      </extLst>
    </bk>
    <bk>
      <extLst>
        <ext uri="{3e2802c4-a4d2-4d8b-9148-e3be6c30e623}">
          <xlrd:rvb i="4953"/>
        </ext>
      </extLst>
    </bk>
    <bk>
      <extLst>
        <ext uri="{3e2802c4-a4d2-4d8b-9148-e3be6c30e623}">
          <xlrd:rvb i="4954"/>
        </ext>
      </extLst>
    </bk>
    <bk>
      <extLst>
        <ext uri="{3e2802c4-a4d2-4d8b-9148-e3be6c30e623}">
          <xlrd:rvb i="4955"/>
        </ext>
      </extLst>
    </bk>
    <bk>
      <extLst>
        <ext uri="{3e2802c4-a4d2-4d8b-9148-e3be6c30e623}">
          <xlrd:rvb i="4956"/>
        </ext>
      </extLst>
    </bk>
    <bk>
      <extLst>
        <ext uri="{3e2802c4-a4d2-4d8b-9148-e3be6c30e623}">
          <xlrd:rvb i="4957"/>
        </ext>
      </extLst>
    </bk>
    <bk>
      <extLst>
        <ext uri="{3e2802c4-a4d2-4d8b-9148-e3be6c30e623}">
          <xlrd:rvb i="4958"/>
        </ext>
      </extLst>
    </bk>
    <bk>
      <extLst>
        <ext uri="{3e2802c4-a4d2-4d8b-9148-e3be6c30e623}">
          <xlrd:rvb i="4959"/>
        </ext>
      </extLst>
    </bk>
    <bk>
      <extLst>
        <ext uri="{3e2802c4-a4d2-4d8b-9148-e3be6c30e623}">
          <xlrd:rvb i="4960"/>
        </ext>
      </extLst>
    </bk>
    <bk>
      <extLst>
        <ext uri="{3e2802c4-a4d2-4d8b-9148-e3be6c30e623}">
          <xlrd:rvb i="4961"/>
        </ext>
      </extLst>
    </bk>
    <bk>
      <extLst>
        <ext uri="{3e2802c4-a4d2-4d8b-9148-e3be6c30e623}">
          <xlrd:rvb i="4962"/>
        </ext>
      </extLst>
    </bk>
    <bk>
      <extLst>
        <ext uri="{3e2802c4-a4d2-4d8b-9148-e3be6c30e623}">
          <xlrd:rvb i="4963"/>
        </ext>
      </extLst>
    </bk>
    <bk>
      <extLst>
        <ext uri="{3e2802c4-a4d2-4d8b-9148-e3be6c30e623}">
          <xlrd:rvb i="4964"/>
        </ext>
      </extLst>
    </bk>
    <bk>
      <extLst>
        <ext uri="{3e2802c4-a4d2-4d8b-9148-e3be6c30e623}">
          <xlrd:rvb i="4965"/>
        </ext>
      </extLst>
    </bk>
    <bk>
      <extLst>
        <ext uri="{3e2802c4-a4d2-4d8b-9148-e3be6c30e623}">
          <xlrd:rvb i="4966"/>
        </ext>
      </extLst>
    </bk>
    <bk>
      <extLst>
        <ext uri="{3e2802c4-a4d2-4d8b-9148-e3be6c30e623}">
          <xlrd:rvb i="4967"/>
        </ext>
      </extLst>
    </bk>
    <bk>
      <extLst>
        <ext uri="{3e2802c4-a4d2-4d8b-9148-e3be6c30e623}">
          <xlrd:rvb i="4968"/>
        </ext>
      </extLst>
    </bk>
    <bk>
      <extLst>
        <ext uri="{3e2802c4-a4d2-4d8b-9148-e3be6c30e623}">
          <xlrd:rvb i="4969"/>
        </ext>
      </extLst>
    </bk>
    <bk>
      <extLst>
        <ext uri="{3e2802c4-a4d2-4d8b-9148-e3be6c30e623}">
          <xlrd:rvb i="4970"/>
        </ext>
      </extLst>
    </bk>
    <bk>
      <extLst>
        <ext uri="{3e2802c4-a4d2-4d8b-9148-e3be6c30e623}">
          <xlrd:rvb i="4971"/>
        </ext>
      </extLst>
    </bk>
    <bk>
      <extLst>
        <ext uri="{3e2802c4-a4d2-4d8b-9148-e3be6c30e623}">
          <xlrd:rvb i="4972"/>
        </ext>
      </extLst>
    </bk>
    <bk>
      <extLst>
        <ext uri="{3e2802c4-a4d2-4d8b-9148-e3be6c30e623}">
          <xlrd:rvb i="4973"/>
        </ext>
      </extLst>
    </bk>
    <bk>
      <extLst>
        <ext uri="{3e2802c4-a4d2-4d8b-9148-e3be6c30e623}">
          <xlrd:rvb i="4974"/>
        </ext>
      </extLst>
    </bk>
    <bk>
      <extLst>
        <ext uri="{3e2802c4-a4d2-4d8b-9148-e3be6c30e623}">
          <xlrd:rvb i="4975"/>
        </ext>
      </extLst>
    </bk>
    <bk>
      <extLst>
        <ext uri="{3e2802c4-a4d2-4d8b-9148-e3be6c30e623}">
          <xlrd:rvb i="4976"/>
        </ext>
      </extLst>
    </bk>
    <bk>
      <extLst>
        <ext uri="{3e2802c4-a4d2-4d8b-9148-e3be6c30e623}">
          <xlrd:rvb i="4977"/>
        </ext>
      </extLst>
    </bk>
    <bk>
      <extLst>
        <ext uri="{3e2802c4-a4d2-4d8b-9148-e3be6c30e623}">
          <xlrd:rvb i="4978"/>
        </ext>
      </extLst>
    </bk>
    <bk>
      <extLst>
        <ext uri="{3e2802c4-a4d2-4d8b-9148-e3be6c30e623}">
          <xlrd:rvb i="4979"/>
        </ext>
      </extLst>
    </bk>
    <bk>
      <extLst>
        <ext uri="{3e2802c4-a4d2-4d8b-9148-e3be6c30e623}">
          <xlrd:rvb i="4980"/>
        </ext>
      </extLst>
    </bk>
    <bk>
      <extLst>
        <ext uri="{3e2802c4-a4d2-4d8b-9148-e3be6c30e623}">
          <xlrd:rvb i="4981"/>
        </ext>
      </extLst>
    </bk>
    <bk>
      <extLst>
        <ext uri="{3e2802c4-a4d2-4d8b-9148-e3be6c30e623}">
          <xlrd:rvb i="4982"/>
        </ext>
      </extLst>
    </bk>
    <bk>
      <extLst>
        <ext uri="{3e2802c4-a4d2-4d8b-9148-e3be6c30e623}">
          <xlrd:rvb i="4983"/>
        </ext>
      </extLst>
    </bk>
    <bk>
      <extLst>
        <ext uri="{3e2802c4-a4d2-4d8b-9148-e3be6c30e623}">
          <xlrd:rvb i="4984"/>
        </ext>
      </extLst>
    </bk>
    <bk>
      <extLst>
        <ext uri="{3e2802c4-a4d2-4d8b-9148-e3be6c30e623}">
          <xlrd:rvb i="4985"/>
        </ext>
      </extLst>
    </bk>
    <bk>
      <extLst>
        <ext uri="{3e2802c4-a4d2-4d8b-9148-e3be6c30e623}">
          <xlrd:rvb i="4986"/>
        </ext>
      </extLst>
    </bk>
    <bk>
      <extLst>
        <ext uri="{3e2802c4-a4d2-4d8b-9148-e3be6c30e623}">
          <xlrd:rvb i="4987"/>
        </ext>
      </extLst>
    </bk>
    <bk>
      <extLst>
        <ext uri="{3e2802c4-a4d2-4d8b-9148-e3be6c30e623}">
          <xlrd:rvb i="4988"/>
        </ext>
      </extLst>
    </bk>
    <bk>
      <extLst>
        <ext uri="{3e2802c4-a4d2-4d8b-9148-e3be6c30e623}">
          <xlrd:rvb i="4989"/>
        </ext>
      </extLst>
    </bk>
    <bk>
      <extLst>
        <ext uri="{3e2802c4-a4d2-4d8b-9148-e3be6c30e623}">
          <xlrd:rvb i="4990"/>
        </ext>
      </extLst>
    </bk>
    <bk>
      <extLst>
        <ext uri="{3e2802c4-a4d2-4d8b-9148-e3be6c30e623}">
          <xlrd:rvb i="4991"/>
        </ext>
      </extLst>
    </bk>
    <bk>
      <extLst>
        <ext uri="{3e2802c4-a4d2-4d8b-9148-e3be6c30e623}">
          <xlrd:rvb i="4992"/>
        </ext>
      </extLst>
    </bk>
    <bk>
      <extLst>
        <ext uri="{3e2802c4-a4d2-4d8b-9148-e3be6c30e623}">
          <xlrd:rvb i="4993"/>
        </ext>
      </extLst>
    </bk>
    <bk>
      <extLst>
        <ext uri="{3e2802c4-a4d2-4d8b-9148-e3be6c30e623}">
          <xlrd:rvb i="4994"/>
        </ext>
      </extLst>
    </bk>
    <bk>
      <extLst>
        <ext uri="{3e2802c4-a4d2-4d8b-9148-e3be6c30e623}">
          <xlrd:rvb i="4995"/>
        </ext>
      </extLst>
    </bk>
    <bk>
      <extLst>
        <ext uri="{3e2802c4-a4d2-4d8b-9148-e3be6c30e623}">
          <xlrd:rvb i="4996"/>
        </ext>
      </extLst>
    </bk>
    <bk>
      <extLst>
        <ext uri="{3e2802c4-a4d2-4d8b-9148-e3be6c30e623}">
          <xlrd:rvb i="4997"/>
        </ext>
      </extLst>
    </bk>
    <bk>
      <extLst>
        <ext uri="{3e2802c4-a4d2-4d8b-9148-e3be6c30e623}">
          <xlrd:rvb i="4998"/>
        </ext>
      </extLst>
    </bk>
    <bk>
      <extLst>
        <ext uri="{3e2802c4-a4d2-4d8b-9148-e3be6c30e623}">
          <xlrd:rvb i="4999"/>
        </ext>
      </extLst>
    </bk>
    <bk>
      <extLst>
        <ext uri="{3e2802c4-a4d2-4d8b-9148-e3be6c30e623}">
          <xlrd:rvb i="5000"/>
        </ext>
      </extLst>
    </bk>
    <bk>
      <extLst>
        <ext uri="{3e2802c4-a4d2-4d8b-9148-e3be6c30e623}">
          <xlrd:rvb i="5001"/>
        </ext>
      </extLst>
    </bk>
    <bk>
      <extLst>
        <ext uri="{3e2802c4-a4d2-4d8b-9148-e3be6c30e623}">
          <xlrd:rvb i="5002"/>
        </ext>
      </extLst>
    </bk>
    <bk>
      <extLst>
        <ext uri="{3e2802c4-a4d2-4d8b-9148-e3be6c30e623}">
          <xlrd:rvb i="5003"/>
        </ext>
      </extLst>
    </bk>
    <bk>
      <extLst>
        <ext uri="{3e2802c4-a4d2-4d8b-9148-e3be6c30e623}">
          <xlrd:rvb i="5004"/>
        </ext>
      </extLst>
    </bk>
    <bk>
      <extLst>
        <ext uri="{3e2802c4-a4d2-4d8b-9148-e3be6c30e623}">
          <xlrd:rvb i="5005"/>
        </ext>
      </extLst>
    </bk>
    <bk>
      <extLst>
        <ext uri="{3e2802c4-a4d2-4d8b-9148-e3be6c30e623}">
          <xlrd:rvb i="5006"/>
        </ext>
      </extLst>
    </bk>
    <bk>
      <extLst>
        <ext uri="{3e2802c4-a4d2-4d8b-9148-e3be6c30e623}">
          <xlrd:rvb i="5007"/>
        </ext>
      </extLst>
    </bk>
    <bk>
      <extLst>
        <ext uri="{3e2802c4-a4d2-4d8b-9148-e3be6c30e623}">
          <xlrd:rvb i="5008"/>
        </ext>
      </extLst>
    </bk>
    <bk>
      <extLst>
        <ext uri="{3e2802c4-a4d2-4d8b-9148-e3be6c30e623}">
          <xlrd:rvb i="5009"/>
        </ext>
      </extLst>
    </bk>
    <bk>
      <extLst>
        <ext uri="{3e2802c4-a4d2-4d8b-9148-e3be6c30e623}">
          <xlrd:rvb i="5010"/>
        </ext>
      </extLst>
    </bk>
    <bk>
      <extLst>
        <ext uri="{3e2802c4-a4d2-4d8b-9148-e3be6c30e623}">
          <xlrd:rvb i="5011"/>
        </ext>
      </extLst>
    </bk>
    <bk>
      <extLst>
        <ext uri="{3e2802c4-a4d2-4d8b-9148-e3be6c30e623}">
          <xlrd:rvb i="5012"/>
        </ext>
      </extLst>
    </bk>
    <bk>
      <extLst>
        <ext uri="{3e2802c4-a4d2-4d8b-9148-e3be6c30e623}">
          <xlrd:rvb i="5013"/>
        </ext>
      </extLst>
    </bk>
    <bk>
      <extLst>
        <ext uri="{3e2802c4-a4d2-4d8b-9148-e3be6c30e623}">
          <xlrd:rvb i="5014"/>
        </ext>
      </extLst>
    </bk>
    <bk>
      <extLst>
        <ext uri="{3e2802c4-a4d2-4d8b-9148-e3be6c30e623}">
          <xlrd:rvb i="5015"/>
        </ext>
      </extLst>
    </bk>
    <bk>
      <extLst>
        <ext uri="{3e2802c4-a4d2-4d8b-9148-e3be6c30e623}">
          <xlrd:rvb i="5016"/>
        </ext>
      </extLst>
    </bk>
    <bk>
      <extLst>
        <ext uri="{3e2802c4-a4d2-4d8b-9148-e3be6c30e623}">
          <xlrd:rvb i="5017"/>
        </ext>
      </extLst>
    </bk>
    <bk>
      <extLst>
        <ext uri="{3e2802c4-a4d2-4d8b-9148-e3be6c30e623}">
          <xlrd:rvb i="5018"/>
        </ext>
      </extLst>
    </bk>
    <bk>
      <extLst>
        <ext uri="{3e2802c4-a4d2-4d8b-9148-e3be6c30e623}">
          <xlrd:rvb i="5019"/>
        </ext>
      </extLst>
    </bk>
    <bk>
      <extLst>
        <ext uri="{3e2802c4-a4d2-4d8b-9148-e3be6c30e623}">
          <xlrd:rvb i="5020"/>
        </ext>
      </extLst>
    </bk>
    <bk>
      <extLst>
        <ext uri="{3e2802c4-a4d2-4d8b-9148-e3be6c30e623}">
          <xlrd:rvb i="5021"/>
        </ext>
      </extLst>
    </bk>
    <bk>
      <extLst>
        <ext uri="{3e2802c4-a4d2-4d8b-9148-e3be6c30e623}">
          <xlrd:rvb i="5022"/>
        </ext>
      </extLst>
    </bk>
    <bk>
      <extLst>
        <ext uri="{3e2802c4-a4d2-4d8b-9148-e3be6c30e623}">
          <xlrd:rvb i="5023"/>
        </ext>
      </extLst>
    </bk>
    <bk>
      <extLst>
        <ext uri="{3e2802c4-a4d2-4d8b-9148-e3be6c30e623}">
          <xlrd:rvb i="5024"/>
        </ext>
      </extLst>
    </bk>
    <bk>
      <extLst>
        <ext uri="{3e2802c4-a4d2-4d8b-9148-e3be6c30e623}">
          <xlrd:rvb i="5025"/>
        </ext>
      </extLst>
    </bk>
    <bk>
      <extLst>
        <ext uri="{3e2802c4-a4d2-4d8b-9148-e3be6c30e623}">
          <xlrd:rvb i="5026"/>
        </ext>
      </extLst>
    </bk>
    <bk>
      <extLst>
        <ext uri="{3e2802c4-a4d2-4d8b-9148-e3be6c30e623}">
          <xlrd:rvb i="5027"/>
        </ext>
      </extLst>
    </bk>
    <bk>
      <extLst>
        <ext uri="{3e2802c4-a4d2-4d8b-9148-e3be6c30e623}">
          <xlrd:rvb i="5028"/>
        </ext>
      </extLst>
    </bk>
    <bk>
      <extLst>
        <ext uri="{3e2802c4-a4d2-4d8b-9148-e3be6c30e623}">
          <xlrd:rvb i="5029"/>
        </ext>
      </extLst>
    </bk>
    <bk>
      <extLst>
        <ext uri="{3e2802c4-a4d2-4d8b-9148-e3be6c30e623}">
          <xlrd:rvb i="5030"/>
        </ext>
      </extLst>
    </bk>
    <bk>
      <extLst>
        <ext uri="{3e2802c4-a4d2-4d8b-9148-e3be6c30e623}">
          <xlrd:rvb i="5031"/>
        </ext>
      </extLst>
    </bk>
    <bk>
      <extLst>
        <ext uri="{3e2802c4-a4d2-4d8b-9148-e3be6c30e623}">
          <xlrd:rvb i="5032"/>
        </ext>
      </extLst>
    </bk>
    <bk>
      <extLst>
        <ext uri="{3e2802c4-a4d2-4d8b-9148-e3be6c30e623}">
          <xlrd:rvb i="5033"/>
        </ext>
      </extLst>
    </bk>
    <bk>
      <extLst>
        <ext uri="{3e2802c4-a4d2-4d8b-9148-e3be6c30e623}">
          <xlrd:rvb i="5034"/>
        </ext>
      </extLst>
    </bk>
    <bk>
      <extLst>
        <ext uri="{3e2802c4-a4d2-4d8b-9148-e3be6c30e623}">
          <xlrd:rvb i="5035"/>
        </ext>
      </extLst>
    </bk>
    <bk>
      <extLst>
        <ext uri="{3e2802c4-a4d2-4d8b-9148-e3be6c30e623}">
          <xlrd:rvb i="5036"/>
        </ext>
      </extLst>
    </bk>
    <bk>
      <extLst>
        <ext uri="{3e2802c4-a4d2-4d8b-9148-e3be6c30e623}">
          <xlrd:rvb i="5037"/>
        </ext>
      </extLst>
    </bk>
    <bk>
      <extLst>
        <ext uri="{3e2802c4-a4d2-4d8b-9148-e3be6c30e623}">
          <xlrd:rvb i="5038"/>
        </ext>
      </extLst>
    </bk>
    <bk>
      <extLst>
        <ext uri="{3e2802c4-a4d2-4d8b-9148-e3be6c30e623}">
          <xlrd:rvb i="5039"/>
        </ext>
      </extLst>
    </bk>
    <bk>
      <extLst>
        <ext uri="{3e2802c4-a4d2-4d8b-9148-e3be6c30e623}">
          <xlrd:rvb i="5040"/>
        </ext>
      </extLst>
    </bk>
    <bk>
      <extLst>
        <ext uri="{3e2802c4-a4d2-4d8b-9148-e3be6c30e623}">
          <xlrd:rvb i="5041"/>
        </ext>
      </extLst>
    </bk>
    <bk>
      <extLst>
        <ext uri="{3e2802c4-a4d2-4d8b-9148-e3be6c30e623}">
          <xlrd:rvb i="5042"/>
        </ext>
      </extLst>
    </bk>
    <bk>
      <extLst>
        <ext uri="{3e2802c4-a4d2-4d8b-9148-e3be6c30e623}">
          <xlrd:rvb i="5043"/>
        </ext>
      </extLst>
    </bk>
    <bk>
      <extLst>
        <ext uri="{3e2802c4-a4d2-4d8b-9148-e3be6c30e623}">
          <xlrd:rvb i="5044"/>
        </ext>
      </extLst>
    </bk>
    <bk>
      <extLst>
        <ext uri="{3e2802c4-a4d2-4d8b-9148-e3be6c30e623}">
          <xlrd:rvb i="5045"/>
        </ext>
      </extLst>
    </bk>
    <bk>
      <extLst>
        <ext uri="{3e2802c4-a4d2-4d8b-9148-e3be6c30e623}">
          <xlrd:rvb i="5046"/>
        </ext>
      </extLst>
    </bk>
    <bk>
      <extLst>
        <ext uri="{3e2802c4-a4d2-4d8b-9148-e3be6c30e623}">
          <xlrd:rvb i="5047"/>
        </ext>
      </extLst>
    </bk>
    <bk>
      <extLst>
        <ext uri="{3e2802c4-a4d2-4d8b-9148-e3be6c30e623}">
          <xlrd:rvb i="5048"/>
        </ext>
      </extLst>
    </bk>
    <bk>
      <extLst>
        <ext uri="{3e2802c4-a4d2-4d8b-9148-e3be6c30e623}">
          <xlrd:rvb i="5049"/>
        </ext>
      </extLst>
    </bk>
    <bk>
      <extLst>
        <ext uri="{3e2802c4-a4d2-4d8b-9148-e3be6c30e623}">
          <xlrd:rvb i="5050"/>
        </ext>
      </extLst>
    </bk>
    <bk>
      <extLst>
        <ext uri="{3e2802c4-a4d2-4d8b-9148-e3be6c30e623}">
          <xlrd:rvb i="5051"/>
        </ext>
      </extLst>
    </bk>
    <bk>
      <extLst>
        <ext uri="{3e2802c4-a4d2-4d8b-9148-e3be6c30e623}">
          <xlrd:rvb i="5052"/>
        </ext>
      </extLst>
    </bk>
    <bk>
      <extLst>
        <ext uri="{3e2802c4-a4d2-4d8b-9148-e3be6c30e623}">
          <xlrd:rvb i="5053"/>
        </ext>
      </extLst>
    </bk>
    <bk>
      <extLst>
        <ext uri="{3e2802c4-a4d2-4d8b-9148-e3be6c30e623}">
          <xlrd:rvb i="5054"/>
        </ext>
      </extLst>
    </bk>
    <bk>
      <extLst>
        <ext uri="{3e2802c4-a4d2-4d8b-9148-e3be6c30e623}">
          <xlrd:rvb i="5055"/>
        </ext>
      </extLst>
    </bk>
    <bk>
      <extLst>
        <ext uri="{3e2802c4-a4d2-4d8b-9148-e3be6c30e623}">
          <xlrd:rvb i="5056"/>
        </ext>
      </extLst>
    </bk>
    <bk>
      <extLst>
        <ext uri="{3e2802c4-a4d2-4d8b-9148-e3be6c30e623}">
          <xlrd:rvb i="5057"/>
        </ext>
      </extLst>
    </bk>
    <bk>
      <extLst>
        <ext uri="{3e2802c4-a4d2-4d8b-9148-e3be6c30e623}">
          <xlrd:rvb i="5058"/>
        </ext>
      </extLst>
    </bk>
    <bk>
      <extLst>
        <ext uri="{3e2802c4-a4d2-4d8b-9148-e3be6c30e623}">
          <xlrd:rvb i="5059"/>
        </ext>
      </extLst>
    </bk>
    <bk>
      <extLst>
        <ext uri="{3e2802c4-a4d2-4d8b-9148-e3be6c30e623}">
          <xlrd:rvb i="5060"/>
        </ext>
      </extLst>
    </bk>
    <bk>
      <extLst>
        <ext uri="{3e2802c4-a4d2-4d8b-9148-e3be6c30e623}">
          <xlrd:rvb i="5061"/>
        </ext>
      </extLst>
    </bk>
    <bk>
      <extLst>
        <ext uri="{3e2802c4-a4d2-4d8b-9148-e3be6c30e623}">
          <xlrd:rvb i="5062"/>
        </ext>
      </extLst>
    </bk>
    <bk>
      <extLst>
        <ext uri="{3e2802c4-a4d2-4d8b-9148-e3be6c30e623}">
          <xlrd:rvb i="5063"/>
        </ext>
      </extLst>
    </bk>
    <bk>
      <extLst>
        <ext uri="{3e2802c4-a4d2-4d8b-9148-e3be6c30e623}">
          <xlrd:rvb i="5064"/>
        </ext>
      </extLst>
    </bk>
    <bk>
      <extLst>
        <ext uri="{3e2802c4-a4d2-4d8b-9148-e3be6c30e623}">
          <xlrd:rvb i="5065"/>
        </ext>
      </extLst>
    </bk>
    <bk>
      <extLst>
        <ext uri="{3e2802c4-a4d2-4d8b-9148-e3be6c30e623}">
          <xlrd:rvb i="5066"/>
        </ext>
      </extLst>
    </bk>
    <bk>
      <extLst>
        <ext uri="{3e2802c4-a4d2-4d8b-9148-e3be6c30e623}">
          <xlrd:rvb i="5067"/>
        </ext>
      </extLst>
    </bk>
    <bk>
      <extLst>
        <ext uri="{3e2802c4-a4d2-4d8b-9148-e3be6c30e623}">
          <xlrd:rvb i="5068"/>
        </ext>
      </extLst>
    </bk>
    <bk>
      <extLst>
        <ext uri="{3e2802c4-a4d2-4d8b-9148-e3be6c30e623}">
          <xlrd:rvb i="5069"/>
        </ext>
      </extLst>
    </bk>
    <bk>
      <extLst>
        <ext uri="{3e2802c4-a4d2-4d8b-9148-e3be6c30e623}">
          <xlrd:rvb i="5070"/>
        </ext>
      </extLst>
    </bk>
    <bk>
      <extLst>
        <ext uri="{3e2802c4-a4d2-4d8b-9148-e3be6c30e623}">
          <xlrd:rvb i="5071"/>
        </ext>
      </extLst>
    </bk>
    <bk>
      <extLst>
        <ext uri="{3e2802c4-a4d2-4d8b-9148-e3be6c30e623}">
          <xlrd:rvb i="5072"/>
        </ext>
      </extLst>
    </bk>
    <bk>
      <extLst>
        <ext uri="{3e2802c4-a4d2-4d8b-9148-e3be6c30e623}">
          <xlrd:rvb i="5073"/>
        </ext>
      </extLst>
    </bk>
    <bk>
      <extLst>
        <ext uri="{3e2802c4-a4d2-4d8b-9148-e3be6c30e623}">
          <xlrd:rvb i="5074"/>
        </ext>
      </extLst>
    </bk>
    <bk>
      <extLst>
        <ext uri="{3e2802c4-a4d2-4d8b-9148-e3be6c30e623}">
          <xlrd:rvb i="5075"/>
        </ext>
      </extLst>
    </bk>
    <bk>
      <extLst>
        <ext uri="{3e2802c4-a4d2-4d8b-9148-e3be6c30e623}">
          <xlrd:rvb i="5076"/>
        </ext>
      </extLst>
    </bk>
    <bk>
      <extLst>
        <ext uri="{3e2802c4-a4d2-4d8b-9148-e3be6c30e623}">
          <xlrd:rvb i="5077"/>
        </ext>
      </extLst>
    </bk>
    <bk>
      <extLst>
        <ext uri="{3e2802c4-a4d2-4d8b-9148-e3be6c30e623}">
          <xlrd:rvb i="5078"/>
        </ext>
      </extLst>
    </bk>
    <bk>
      <extLst>
        <ext uri="{3e2802c4-a4d2-4d8b-9148-e3be6c30e623}">
          <xlrd:rvb i="5079"/>
        </ext>
      </extLst>
    </bk>
    <bk>
      <extLst>
        <ext uri="{3e2802c4-a4d2-4d8b-9148-e3be6c30e623}">
          <xlrd:rvb i="5080"/>
        </ext>
      </extLst>
    </bk>
    <bk>
      <extLst>
        <ext uri="{3e2802c4-a4d2-4d8b-9148-e3be6c30e623}">
          <xlrd:rvb i="5081"/>
        </ext>
      </extLst>
    </bk>
    <bk>
      <extLst>
        <ext uri="{3e2802c4-a4d2-4d8b-9148-e3be6c30e623}">
          <xlrd:rvb i="5082"/>
        </ext>
      </extLst>
    </bk>
    <bk>
      <extLst>
        <ext uri="{3e2802c4-a4d2-4d8b-9148-e3be6c30e623}">
          <xlrd:rvb i="5083"/>
        </ext>
      </extLst>
    </bk>
    <bk>
      <extLst>
        <ext uri="{3e2802c4-a4d2-4d8b-9148-e3be6c30e623}">
          <xlrd:rvb i="5084"/>
        </ext>
      </extLst>
    </bk>
    <bk>
      <extLst>
        <ext uri="{3e2802c4-a4d2-4d8b-9148-e3be6c30e623}">
          <xlrd:rvb i="5085"/>
        </ext>
      </extLst>
    </bk>
    <bk>
      <extLst>
        <ext uri="{3e2802c4-a4d2-4d8b-9148-e3be6c30e623}">
          <xlrd:rvb i="5086"/>
        </ext>
      </extLst>
    </bk>
    <bk>
      <extLst>
        <ext uri="{3e2802c4-a4d2-4d8b-9148-e3be6c30e623}">
          <xlrd:rvb i="5087"/>
        </ext>
      </extLst>
    </bk>
    <bk>
      <extLst>
        <ext uri="{3e2802c4-a4d2-4d8b-9148-e3be6c30e623}">
          <xlrd:rvb i="5088"/>
        </ext>
      </extLst>
    </bk>
    <bk>
      <extLst>
        <ext uri="{3e2802c4-a4d2-4d8b-9148-e3be6c30e623}">
          <xlrd:rvb i="5089"/>
        </ext>
      </extLst>
    </bk>
    <bk>
      <extLst>
        <ext uri="{3e2802c4-a4d2-4d8b-9148-e3be6c30e623}">
          <xlrd:rvb i="5090"/>
        </ext>
      </extLst>
    </bk>
    <bk>
      <extLst>
        <ext uri="{3e2802c4-a4d2-4d8b-9148-e3be6c30e623}">
          <xlrd:rvb i="5091"/>
        </ext>
      </extLst>
    </bk>
    <bk>
      <extLst>
        <ext uri="{3e2802c4-a4d2-4d8b-9148-e3be6c30e623}">
          <xlrd:rvb i="5092"/>
        </ext>
      </extLst>
    </bk>
    <bk>
      <extLst>
        <ext uri="{3e2802c4-a4d2-4d8b-9148-e3be6c30e623}">
          <xlrd:rvb i="5093"/>
        </ext>
      </extLst>
    </bk>
    <bk>
      <extLst>
        <ext uri="{3e2802c4-a4d2-4d8b-9148-e3be6c30e623}">
          <xlrd:rvb i="5094"/>
        </ext>
      </extLst>
    </bk>
    <bk>
      <extLst>
        <ext uri="{3e2802c4-a4d2-4d8b-9148-e3be6c30e623}">
          <xlrd:rvb i="5095"/>
        </ext>
      </extLst>
    </bk>
    <bk>
      <extLst>
        <ext uri="{3e2802c4-a4d2-4d8b-9148-e3be6c30e623}">
          <xlrd:rvb i="5096"/>
        </ext>
      </extLst>
    </bk>
    <bk>
      <extLst>
        <ext uri="{3e2802c4-a4d2-4d8b-9148-e3be6c30e623}">
          <xlrd:rvb i="5097"/>
        </ext>
      </extLst>
    </bk>
    <bk>
      <extLst>
        <ext uri="{3e2802c4-a4d2-4d8b-9148-e3be6c30e623}">
          <xlrd:rvb i="5098"/>
        </ext>
      </extLst>
    </bk>
    <bk>
      <extLst>
        <ext uri="{3e2802c4-a4d2-4d8b-9148-e3be6c30e623}">
          <xlrd:rvb i="5099"/>
        </ext>
      </extLst>
    </bk>
    <bk>
      <extLst>
        <ext uri="{3e2802c4-a4d2-4d8b-9148-e3be6c30e623}">
          <xlrd:rvb i="5100"/>
        </ext>
      </extLst>
    </bk>
    <bk>
      <extLst>
        <ext uri="{3e2802c4-a4d2-4d8b-9148-e3be6c30e623}">
          <xlrd:rvb i="5101"/>
        </ext>
      </extLst>
    </bk>
    <bk>
      <extLst>
        <ext uri="{3e2802c4-a4d2-4d8b-9148-e3be6c30e623}">
          <xlrd:rvb i="5102"/>
        </ext>
      </extLst>
    </bk>
    <bk>
      <extLst>
        <ext uri="{3e2802c4-a4d2-4d8b-9148-e3be6c30e623}">
          <xlrd:rvb i="5103"/>
        </ext>
      </extLst>
    </bk>
    <bk>
      <extLst>
        <ext uri="{3e2802c4-a4d2-4d8b-9148-e3be6c30e623}">
          <xlrd:rvb i="5104"/>
        </ext>
      </extLst>
    </bk>
    <bk>
      <extLst>
        <ext uri="{3e2802c4-a4d2-4d8b-9148-e3be6c30e623}">
          <xlrd:rvb i="5105"/>
        </ext>
      </extLst>
    </bk>
    <bk>
      <extLst>
        <ext uri="{3e2802c4-a4d2-4d8b-9148-e3be6c30e623}">
          <xlrd:rvb i="5106"/>
        </ext>
      </extLst>
    </bk>
    <bk>
      <extLst>
        <ext uri="{3e2802c4-a4d2-4d8b-9148-e3be6c30e623}">
          <xlrd:rvb i="5107"/>
        </ext>
      </extLst>
    </bk>
    <bk>
      <extLst>
        <ext uri="{3e2802c4-a4d2-4d8b-9148-e3be6c30e623}">
          <xlrd:rvb i="5108"/>
        </ext>
      </extLst>
    </bk>
    <bk>
      <extLst>
        <ext uri="{3e2802c4-a4d2-4d8b-9148-e3be6c30e623}">
          <xlrd:rvb i="5109"/>
        </ext>
      </extLst>
    </bk>
    <bk>
      <extLst>
        <ext uri="{3e2802c4-a4d2-4d8b-9148-e3be6c30e623}">
          <xlrd:rvb i="5110"/>
        </ext>
      </extLst>
    </bk>
    <bk>
      <extLst>
        <ext uri="{3e2802c4-a4d2-4d8b-9148-e3be6c30e623}">
          <xlrd:rvb i="5111"/>
        </ext>
      </extLst>
    </bk>
    <bk>
      <extLst>
        <ext uri="{3e2802c4-a4d2-4d8b-9148-e3be6c30e623}">
          <xlrd:rvb i="5112"/>
        </ext>
      </extLst>
    </bk>
    <bk>
      <extLst>
        <ext uri="{3e2802c4-a4d2-4d8b-9148-e3be6c30e623}">
          <xlrd:rvb i="5113"/>
        </ext>
      </extLst>
    </bk>
    <bk>
      <extLst>
        <ext uri="{3e2802c4-a4d2-4d8b-9148-e3be6c30e623}">
          <xlrd:rvb i="5114"/>
        </ext>
      </extLst>
    </bk>
    <bk>
      <extLst>
        <ext uri="{3e2802c4-a4d2-4d8b-9148-e3be6c30e623}">
          <xlrd:rvb i="5115"/>
        </ext>
      </extLst>
    </bk>
    <bk>
      <extLst>
        <ext uri="{3e2802c4-a4d2-4d8b-9148-e3be6c30e623}">
          <xlrd:rvb i="5116"/>
        </ext>
      </extLst>
    </bk>
    <bk>
      <extLst>
        <ext uri="{3e2802c4-a4d2-4d8b-9148-e3be6c30e623}">
          <xlrd:rvb i="5117"/>
        </ext>
      </extLst>
    </bk>
    <bk>
      <extLst>
        <ext uri="{3e2802c4-a4d2-4d8b-9148-e3be6c30e623}">
          <xlrd:rvb i="5118"/>
        </ext>
      </extLst>
    </bk>
    <bk>
      <extLst>
        <ext uri="{3e2802c4-a4d2-4d8b-9148-e3be6c30e623}">
          <xlrd:rvb i="5119"/>
        </ext>
      </extLst>
    </bk>
    <bk>
      <extLst>
        <ext uri="{3e2802c4-a4d2-4d8b-9148-e3be6c30e623}">
          <xlrd:rvb i="5120"/>
        </ext>
      </extLst>
    </bk>
    <bk>
      <extLst>
        <ext uri="{3e2802c4-a4d2-4d8b-9148-e3be6c30e623}">
          <xlrd:rvb i="5121"/>
        </ext>
      </extLst>
    </bk>
    <bk>
      <extLst>
        <ext uri="{3e2802c4-a4d2-4d8b-9148-e3be6c30e623}">
          <xlrd:rvb i="5122"/>
        </ext>
      </extLst>
    </bk>
    <bk>
      <extLst>
        <ext uri="{3e2802c4-a4d2-4d8b-9148-e3be6c30e623}">
          <xlrd:rvb i="5123"/>
        </ext>
      </extLst>
    </bk>
    <bk>
      <extLst>
        <ext uri="{3e2802c4-a4d2-4d8b-9148-e3be6c30e623}">
          <xlrd:rvb i="5124"/>
        </ext>
      </extLst>
    </bk>
    <bk>
      <extLst>
        <ext uri="{3e2802c4-a4d2-4d8b-9148-e3be6c30e623}">
          <xlrd:rvb i="5125"/>
        </ext>
      </extLst>
    </bk>
    <bk>
      <extLst>
        <ext uri="{3e2802c4-a4d2-4d8b-9148-e3be6c30e623}">
          <xlrd:rvb i="5126"/>
        </ext>
      </extLst>
    </bk>
    <bk>
      <extLst>
        <ext uri="{3e2802c4-a4d2-4d8b-9148-e3be6c30e623}">
          <xlrd:rvb i="5127"/>
        </ext>
      </extLst>
    </bk>
    <bk>
      <extLst>
        <ext uri="{3e2802c4-a4d2-4d8b-9148-e3be6c30e623}">
          <xlrd:rvb i="5128"/>
        </ext>
      </extLst>
    </bk>
    <bk>
      <extLst>
        <ext uri="{3e2802c4-a4d2-4d8b-9148-e3be6c30e623}">
          <xlrd:rvb i="5129"/>
        </ext>
      </extLst>
    </bk>
    <bk>
      <extLst>
        <ext uri="{3e2802c4-a4d2-4d8b-9148-e3be6c30e623}">
          <xlrd:rvb i="5130"/>
        </ext>
      </extLst>
    </bk>
    <bk>
      <extLst>
        <ext uri="{3e2802c4-a4d2-4d8b-9148-e3be6c30e623}">
          <xlrd:rvb i="5131"/>
        </ext>
      </extLst>
    </bk>
    <bk>
      <extLst>
        <ext uri="{3e2802c4-a4d2-4d8b-9148-e3be6c30e623}">
          <xlrd:rvb i="5132"/>
        </ext>
      </extLst>
    </bk>
    <bk>
      <extLst>
        <ext uri="{3e2802c4-a4d2-4d8b-9148-e3be6c30e623}">
          <xlrd:rvb i="5133"/>
        </ext>
      </extLst>
    </bk>
    <bk>
      <extLst>
        <ext uri="{3e2802c4-a4d2-4d8b-9148-e3be6c30e623}">
          <xlrd:rvb i="5134"/>
        </ext>
      </extLst>
    </bk>
    <bk>
      <extLst>
        <ext uri="{3e2802c4-a4d2-4d8b-9148-e3be6c30e623}">
          <xlrd:rvb i="5135"/>
        </ext>
      </extLst>
    </bk>
    <bk>
      <extLst>
        <ext uri="{3e2802c4-a4d2-4d8b-9148-e3be6c30e623}">
          <xlrd:rvb i="5136"/>
        </ext>
      </extLst>
    </bk>
    <bk>
      <extLst>
        <ext uri="{3e2802c4-a4d2-4d8b-9148-e3be6c30e623}">
          <xlrd:rvb i="5137"/>
        </ext>
      </extLst>
    </bk>
    <bk>
      <extLst>
        <ext uri="{3e2802c4-a4d2-4d8b-9148-e3be6c30e623}">
          <xlrd:rvb i="5138"/>
        </ext>
      </extLst>
    </bk>
    <bk>
      <extLst>
        <ext uri="{3e2802c4-a4d2-4d8b-9148-e3be6c30e623}">
          <xlrd:rvb i="5139"/>
        </ext>
      </extLst>
    </bk>
    <bk>
      <extLst>
        <ext uri="{3e2802c4-a4d2-4d8b-9148-e3be6c30e623}">
          <xlrd:rvb i="5140"/>
        </ext>
      </extLst>
    </bk>
    <bk>
      <extLst>
        <ext uri="{3e2802c4-a4d2-4d8b-9148-e3be6c30e623}">
          <xlrd:rvb i="5141"/>
        </ext>
      </extLst>
    </bk>
    <bk>
      <extLst>
        <ext uri="{3e2802c4-a4d2-4d8b-9148-e3be6c30e623}">
          <xlrd:rvb i="5142"/>
        </ext>
      </extLst>
    </bk>
    <bk>
      <extLst>
        <ext uri="{3e2802c4-a4d2-4d8b-9148-e3be6c30e623}">
          <xlrd:rvb i="5143"/>
        </ext>
      </extLst>
    </bk>
    <bk>
      <extLst>
        <ext uri="{3e2802c4-a4d2-4d8b-9148-e3be6c30e623}">
          <xlrd:rvb i="5144"/>
        </ext>
      </extLst>
    </bk>
    <bk>
      <extLst>
        <ext uri="{3e2802c4-a4d2-4d8b-9148-e3be6c30e623}">
          <xlrd:rvb i="5145"/>
        </ext>
      </extLst>
    </bk>
    <bk>
      <extLst>
        <ext uri="{3e2802c4-a4d2-4d8b-9148-e3be6c30e623}">
          <xlrd:rvb i="5146"/>
        </ext>
      </extLst>
    </bk>
    <bk>
      <extLst>
        <ext uri="{3e2802c4-a4d2-4d8b-9148-e3be6c30e623}">
          <xlrd:rvb i="5147"/>
        </ext>
      </extLst>
    </bk>
    <bk>
      <extLst>
        <ext uri="{3e2802c4-a4d2-4d8b-9148-e3be6c30e623}">
          <xlrd:rvb i="5148"/>
        </ext>
      </extLst>
    </bk>
    <bk>
      <extLst>
        <ext uri="{3e2802c4-a4d2-4d8b-9148-e3be6c30e623}">
          <xlrd:rvb i="5149"/>
        </ext>
      </extLst>
    </bk>
    <bk>
      <extLst>
        <ext uri="{3e2802c4-a4d2-4d8b-9148-e3be6c30e623}">
          <xlrd:rvb i="5150"/>
        </ext>
      </extLst>
    </bk>
    <bk>
      <extLst>
        <ext uri="{3e2802c4-a4d2-4d8b-9148-e3be6c30e623}">
          <xlrd:rvb i="5151"/>
        </ext>
      </extLst>
    </bk>
    <bk>
      <extLst>
        <ext uri="{3e2802c4-a4d2-4d8b-9148-e3be6c30e623}">
          <xlrd:rvb i="5152"/>
        </ext>
      </extLst>
    </bk>
    <bk>
      <extLst>
        <ext uri="{3e2802c4-a4d2-4d8b-9148-e3be6c30e623}">
          <xlrd:rvb i="5153"/>
        </ext>
      </extLst>
    </bk>
    <bk>
      <extLst>
        <ext uri="{3e2802c4-a4d2-4d8b-9148-e3be6c30e623}">
          <xlrd:rvb i="5154"/>
        </ext>
      </extLst>
    </bk>
    <bk>
      <extLst>
        <ext uri="{3e2802c4-a4d2-4d8b-9148-e3be6c30e623}">
          <xlrd:rvb i="5155"/>
        </ext>
      </extLst>
    </bk>
    <bk>
      <extLst>
        <ext uri="{3e2802c4-a4d2-4d8b-9148-e3be6c30e623}">
          <xlrd:rvb i="5156"/>
        </ext>
      </extLst>
    </bk>
    <bk>
      <extLst>
        <ext uri="{3e2802c4-a4d2-4d8b-9148-e3be6c30e623}">
          <xlrd:rvb i="5157"/>
        </ext>
      </extLst>
    </bk>
    <bk>
      <extLst>
        <ext uri="{3e2802c4-a4d2-4d8b-9148-e3be6c30e623}">
          <xlrd:rvb i="5158"/>
        </ext>
      </extLst>
    </bk>
    <bk>
      <extLst>
        <ext uri="{3e2802c4-a4d2-4d8b-9148-e3be6c30e623}">
          <xlrd:rvb i="5159"/>
        </ext>
      </extLst>
    </bk>
    <bk>
      <extLst>
        <ext uri="{3e2802c4-a4d2-4d8b-9148-e3be6c30e623}">
          <xlrd:rvb i="5160"/>
        </ext>
      </extLst>
    </bk>
    <bk>
      <extLst>
        <ext uri="{3e2802c4-a4d2-4d8b-9148-e3be6c30e623}">
          <xlrd:rvb i="5161"/>
        </ext>
      </extLst>
    </bk>
    <bk>
      <extLst>
        <ext uri="{3e2802c4-a4d2-4d8b-9148-e3be6c30e623}">
          <xlrd:rvb i="5162"/>
        </ext>
      </extLst>
    </bk>
    <bk>
      <extLst>
        <ext uri="{3e2802c4-a4d2-4d8b-9148-e3be6c30e623}">
          <xlrd:rvb i="5163"/>
        </ext>
      </extLst>
    </bk>
    <bk>
      <extLst>
        <ext uri="{3e2802c4-a4d2-4d8b-9148-e3be6c30e623}">
          <xlrd:rvb i="5164"/>
        </ext>
      </extLst>
    </bk>
    <bk>
      <extLst>
        <ext uri="{3e2802c4-a4d2-4d8b-9148-e3be6c30e623}">
          <xlrd:rvb i="5165"/>
        </ext>
      </extLst>
    </bk>
    <bk>
      <extLst>
        <ext uri="{3e2802c4-a4d2-4d8b-9148-e3be6c30e623}">
          <xlrd:rvb i="5166"/>
        </ext>
      </extLst>
    </bk>
    <bk>
      <extLst>
        <ext uri="{3e2802c4-a4d2-4d8b-9148-e3be6c30e623}">
          <xlrd:rvb i="5167"/>
        </ext>
      </extLst>
    </bk>
    <bk>
      <extLst>
        <ext uri="{3e2802c4-a4d2-4d8b-9148-e3be6c30e623}">
          <xlrd:rvb i="5168"/>
        </ext>
      </extLst>
    </bk>
    <bk>
      <extLst>
        <ext uri="{3e2802c4-a4d2-4d8b-9148-e3be6c30e623}">
          <xlrd:rvb i="5169"/>
        </ext>
      </extLst>
    </bk>
    <bk>
      <extLst>
        <ext uri="{3e2802c4-a4d2-4d8b-9148-e3be6c30e623}">
          <xlrd:rvb i="5170"/>
        </ext>
      </extLst>
    </bk>
    <bk>
      <extLst>
        <ext uri="{3e2802c4-a4d2-4d8b-9148-e3be6c30e623}">
          <xlrd:rvb i="5171"/>
        </ext>
      </extLst>
    </bk>
    <bk>
      <extLst>
        <ext uri="{3e2802c4-a4d2-4d8b-9148-e3be6c30e623}">
          <xlrd:rvb i="5172"/>
        </ext>
      </extLst>
    </bk>
    <bk>
      <extLst>
        <ext uri="{3e2802c4-a4d2-4d8b-9148-e3be6c30e623}">
          <xlrd:rvb i="5173"/>
        </ext>
      </extLst>
    </bk>
    <bk>
      <extLst>
        <ext uri="{3e2802c4-a4d2-4d8b-9148-e3be6c30e623}">
          <xlrd:rvb i="5174"/>
        </ext>
      </extLst>
    </bk>
    <bk>
      <extLst>
        <ext uri="{3e2802c4-a4d2-4d8b-9148-e3be6c30e623}">
          <xlrd:rvb i="5175"/>
        </ext>
      </extLst>
    </bk>
    <bk>
      <extLst>
        <ext uri="{3e2802c4-a4d2-4d8b-9148-e3be6c30e623}">
          <xlrd:rvb i="5176"/>
        </ext>
      </extLst>
    </bk>
    <bk>
      <extLst>
        <ext uri="{3e2802c4-a4d2-4d8b-9148-e3be6c30e623}">
          <xlrd:rvb i="5177"/>
        </ext>
      </extLst>
    </bk>
    <bk>
      <extLst>
        <ext uri="{3e2802c4-a4d2-4d8b-9148-e3be6c30e623}">
          <xlrd:rvb i="5178"/>
        </ext>
      </extLst>
    </bk>
    <bk>
      <extLst>
        <ext uri="{3e2802c4-a4d2-4d8b-9148-e3be6c30e623}">
          <xlrd:rvb i="5179"/>
        </ext>
      </extLst>
    </bk>
    <bk>
      <extLst>
        <ext uri="{3e2802c4-a4d2-4d8b-9148-e3be6c30e623}">
          <xlrd:rvb i="5180"/>
        </ext>
      </extLst>
    </bk>
    <bk>
      <extLst>
        <ext uri="{3e2802c4-a4d2-4d8b-9148-e3be6c30e623}">
          <xlrd:rvb i="5181"/>
        </ext>
      </extLst>
    </bk>
    <bk>
      <extLst>
        <ext uri="{3e2802c4-a4d2-4d8b-9148-e3be6c30e623}">
          <xlrd:rvb i="5182"/>
        </ext>
      </extLst>
    </bk>
    <bk>
      <extLst>
        <ext uri="{3e2802c4-a4d2-4d8b-9148-e3be6c30e623}">
          <xlrd:rvb i="5183"/>
        </ext>
      </extLst>
    </bk>
    <bk>
      <extLst>
        <ext uri="{3e2802c4-a4d2-4d8b-9148-e3be6c30e623}">
          <xlrd:rvb i="5184"/>
        </ext>
      </extLst>
    </bk>
    <bk>
      <extLst>
        <ext uri="{3e2802c4-a4d2-4d8b-9148-e3be6c30e623}">
          <xlrd:rvb i="5185"/>
        </ext>
      </extLst>
    </bk>
    <bk>
      <extLst>
        <ext uri="{3e2802c4-a4d2-4d8b-9148-e3be6c30e623}">
          <xlrd:rvb i="5186"/>
        </ext>
      </extLst>
    </bk>
    <bk>
      <extLst>
        <ext uri="{3e2802c4-a4d2-4d8b-9148-e3be6c30e623}">
          <xlrd:rvb i="5187"/>
        </ext>
      </extLst>
    </bk>
    <bk>
      <extLst>
        <ext uri="{3e2802c4-a4d2-4d8b-9148-e3be6c30e623}">
          <xlrd:rvb i="5188"/>
        </ext>
      </extLst>
    </bk>
    <bk>
      <extLst>
        <ext uri="{3e2802c4-a4d2-4d8b-9148-e3be6c30e623}">
          <xlrd:rvb i="5189"/>
        </ext>
      </extLst>
    </bk>
    <bk>
      <extLst>
        <ext uri="{3e2802c4-a4d2-4d8b-9148-e3be6c30e623}">
          <xlrd:rvb i="5190"/>
        </ext>
      </extLst>
    </bk>
    <bk>
      <extLst>
        <ext uri="{3e2802c4-a4d2-4d8b-9148-e3be6c30e623}">
          <xlrd:rvb i="5191"/>
        </ext>
      </extLst>
    </bk>
    <bk>
      <extLst>
        <ext uri="{3e2802c4-a4d2-4d8b-9148-e3be6c30e623}">
          <xlrd:rvb i="5192"/>
        </ext>
      </extLst>
    </bk>
    <bk>
      <extLst>
        <ext uri="{3e2802c4-a4d2-4d8b-9148-e3be6c30e623}">
          <xlrd:rvb i="5193"/>
        </ext>
      </extLst>
    </bk>
    <bk>
      <extLst>
        <ext uri="{3e2802c4-a4d2-4d8b-9148-e3be6c30e623}">
          <xlrd:rvb i="5194"/>
        </ext>
      </extLst>
    </bk>
    <bk>
      <extLst>
        <ext uri="{3e2802c4-a4d2-4d8b-9148-e3be6c30e623}">
          <xlrd:rvb i="5195"/>
        </ext>
      </extLst>
    </bk>
    <bk>
      <extLst>
        <ext uri="{3e2802c4-a4d2-4d8b-9148-e3be6c30e623}">
          <xlrd:rvb i="5196"/>
        </ext>
      </extLst>
    </bk>
    <bk>
      <extLst>
        <ext uri="{3e2802c4-a4d2-4d8b-9148-e3be6c30e623}">
          <xlrd:rvb i="5197"/>
        </ext>
      </extLst>
    </bk>
    <bk>
      <extLst>
        <ext uri="{3e2802c4-a4d2-4d8b-9148-e3be6c30e623}">
          <xlrd:rvb i="5198"/>
        </ext>
      </extLst>
    </bk>
    <bk>
      <extLst>
        <ext uri="{3e2802c4-a4d2-4d8b-9148-e3be6c30e623}">
          <xlrd:rvb i="5199"/>
        </ext>
      </extLst>
    </bk>
    <bk>
      <extLst>
        <ext uri="{3e2802c4-a4d2-4d8b-9148-e3be6c30e623}">
          <xlrd:rvb i="5200"/>
        </ext>
      </extLst>
    </bk>
    <bk>
      <extLst>
        <ext uri="{3e2802c4-a4d2-4d8b-9148-e3be6c30e623}">
          <xlrd:rvb i="5201"/>
        </ext>
      </extLst>
    </bk>
    <bk>
      <extLst>
        <ext uri="{3e2802c4-a4d2-4d8b-9148-e3be6c30e623}">
          <xlrd:rvb i="5202"/>
        </ext>
      </extLst>
    </bk>
    <bk>
      <extLst>
        <ext uri="{3e2802c4-a4d2-4d8b-9148-e3be6c30e623}">
          <xlrd:rvb i="5203"/>
        </ext>
      </extLst>
    </bk>
    <bk>
      <extLst>
        <ext uri="{3e2802c4-a4d2-4d8b-9148-e3be6c30e623}">
          <xlrd:rvb i="5204"/>
        </ext>
      </extLst>
    </bk>
    <bk>
      <extLst>
        <ext uri="{3e2802c4-a4d2-4d8b-9148-e3be6c30e623}">
          <xlrd:rvb i="5205"/>
        </ext>
      </extLst>
    </bk>
    <bk>
      <extLst>
        <ext uri="{3e2802c4-a4d2-4d8b-9148-e3be6c30e623}">
          <xlrd:rvb i="5206"/>
        </ext>
      </extLst>
    </bk>
    <bk>
      <extLst>
        <ext uri="{3e2802c4-a4d2-4d8b-9148-e3be6c30e623}">
          <xlrd:rvb i="5207"/>
        </ext>
      </extLst>
    </bk>
    <bk>
      <extLst>
        <ext uri="{3e2802c4-a4d2-4d8b-9148-e3be6c30e623}">
          <xlrd:rvb i="5208"/>
        </ext>
      </extLst>
    </bk>
    <bk>
      <extLst>
        <ext uri="{3e2802c4-a4d2-4d8b-9148-e3be6c30e623}">
          <xlrd:rvb i="5209"/>
        </ext>
      </extLst>
    </bk>
    <bk>
      <extLst>
        <ext uri="{3e2802c4-a4d2-4d8b-9148-e3be6c30e623}">
          <xlrd:rvb i="5210"/>
        </ext>
      </extLst>
    </bk>
    <bk>
      <extLst>
        <ext uri="{3e2802c4-a4d2-4d8b-9148-e3be6c30e623}">
          <xlrd:rvb i="5211"/>
        </ext>
      </extLst>
    </bk>
    <bk>
      <extLst>
        <ext uri="{3e2802c4-a4d2-4d8b-9148-e3be6c30e623}">
          <xlrd:rvb i="5212"/>
        </ext>
      </extLst>
    </bk>
    <bk>
      <extLst>
        <ext uri="{3e2802c4-a4d2-4d8b-9148-e3be6c30e623}">
          <xlrd:rvb i="5213"/>
        </ext>
      </extLst>
    </bk>
    <bk>
      <extLst>
        <ext uri="{3e2802c4-a4d2-4d8b-9148-e3be6c30e623}">
          <xlrd:rvb i="5214"/>
        </ext>
      </extLst>
    </bk>
    <bk>
      <extLst>
        <ext uri="{3e2802c4-a4d2-4d8b-9148-e3be6c30e623}">
          <xlrd:rvb i="5215"/>
        </ext>
      </extLst>
    </bk>
    <bk>
      <extLst>
        <ext uri="{3e2802c4-a4d2-4d8b-9148-e3be6c30e623}">
          <xlrd:rvb i="5216"/>
        </ext>
      </extLst>
    </bk>
    <bk>
      <extLst>
        <ext uri="{3e2802c4-a4d2-4d8b-9148-e3be6c30e623}">
          <xlrd:rvb i="5217"/>
        </ext>
      </extLst>
    </bk>
    <bk>
      <extLst>
        <ext uri="{3e2802c4-a4d2-4d8b-9148-e3be6c30e623}">
          <xlrd:rvb i="5218"/>
        </ext>
      </extLst>
    </bk>
    <bk>
      <extLst>
        <ext uri="{3e2802c4-a4d2-4d8b-9148-e3be6c30e623}">
          <xlrd:rvb i="5219"/>
        </ext>
      </extLst>
    </bk>
    <bk>
      <extLst>
        <ext uri="{3e2802c4-a4d2-4d8b-9148-e3be6c30e623}">
          <xlrd:rvb i="5220"/>
        </ext>
      </extLst>
    </bk>
    <bk>
      <extLst>
        <ext uri="{3e2802c4-a4d2-4d8b-9148-e3be6c30e623}">
          <xlrd:rvb i="5221"/>
        </ext>
      </extLst>
    </bk>
    <bk>
      <extLst>
        <ext uri="{3e2802c4-a4d2-4d8b-9148-e3be6c30e623}">
          <xlrd:rvb i="5222"/>
        </ext>
      </extLst>
    </bk>
    <bk>
      <extLst>
        <ext uri="{3e2802c4-a4d2-4d8b-9148-e3be6c30e623}">
          <xlrd:rvb i="5223"/>
        </ext>
      </extLst>
    </bk>
    <bk>
      <extLst>
        <ext uri="{3e2802c4-a4d2-4d8b-9148-e3be6c30e623}">
          <xlrd:rvb i="5224"/>
        </ext>
      </extLst>
    </bk>
    <bk>
      <extLst>
        <ext uri="{3e2802c4-a4d2-4d8b-9148-e3be6c30e623}">
          <xlrd:rvb i="5225"/>
        </ext>
      </extLst>
    </bk>
    <bk>
      <extLst>
        <ext uri="{3e2802c4-a4d2-4d8b-9148-e3be6c30e623}">
          <xlrd:rvb i="5226"/>
        </ext>
      </extLst>
    </bk>
    <bk>
      <extLst>
        <ext uri="{3e2802c4-a4d2-4d8b-9148-e3be6c30e623}">
          <xlrd:rvb i="5227"/>
        </ext>
      </extLst>
    </bk>
    <bk>
      <extLst>
        <ext uri="{3e2802c4-a4d2-4d8b-9148-e3be6c30e623}">
          <xlrd:rvb i="5228"/>
        </ext>
      </extLst>
    </bk>
    <bk>
      <extLst>
        <ext uri="{3e2802c4-a4d2-4d8b-9148-e3be6c30e623}">
          <xlrd:rvb i="5229"/>
        </ext>
      </extLst>
    </bk>
    <bk>
      <extLst>
        <ext uri="{3e2802c4-a4d2-4d8b-9148-e3be6c30e623}">
          <xlrd:rvb i="5230"/>
        </ext>
      </extLst>
    </bk>
    <bk>
      <extLst>
        <ext uri="{3e2802c4-a4d2-4d8b-9148-e3be6c30e623}">
          <xlrd:rvb i="5231"/>
        </ext>
      </extLst>
    </bk>
    <bk>
      <extLst>
        <ext uri="{3e2802c4-a4d2-4d8b-9148-e3be6c30e623}">
          <xlrd:rvb i="5232"/>
        </ext>
      </extLst>
    </bk>
    <bk>
      <extLst>
        <ext uri="{3e2802c4-a4d2-4d8b-9148-e3be6c30e623}">
          <xlrd:rvb i="5233"/>
        </ext>
      </extLst>
    </bk>
    <bk>
      <extLst>
        <ext uri="{3e2802c4-a4d2-4d8b-9148-e3be6c30e623}">
          <xlrd:rvb i="5234"/>
        </ext>
      </extLst>
    </bk>
    <bk>
      <extLst>
        <ext uri="{3e2802c4-a4d2-4d8b-9148-e3be6c30e623}">
          <xlrd:rvb i="5235"/>
        </ext>
      </extLst>
    </bk>
    <bk>
      <extLst>
        <ext uri="{3e2802c4-a4d2-4d8b-9148-e3be6c30e623}">
          <xlrd:rvb i="5236"/>
        </ext>
      </extLst>
    </bk>
    <bk>
      <extLst>
        <ext uri="{3e2802c4-a4d2-4d8b-9148-e3be6c30e623}">
          <xlrd:rvb i="5237"/>
        </ext>
      </extLst>
    </bk>
    <bk>
      <extLst>
        <ext uri="{3e2802c4-a4d2-4d8b-9148-e3be6c30e623}">
          <xlrd:rvb i="5238"/>
        </ext>
      </extLst>
    </bk>
    <bk>
      <extLst>
        <ext uri="{3e2802c4-a4d2-4d8b-9148-e3be6c30e623}">
          <xlrd:rvb i="5239"/>
        </ext>
      </extLst>
    </bk>
    <bk>
      <extLst>
        <ext uri="{3e2802c4-a4d2-4d8b-9148-e3be6c30e623}">
          <xlrd:rvb i="5240"/>
        </ext>
      </extLst>
    </bk>
    <bk>
      <extLst>
        <ext uri="{3e2802c4-a4d2-4d8b-9148-e3be6c30e623}">
          <xlrd:rvb i="5241"/>
        </ext>
      </extLst>
    </bk>
    <bk>
      <extLst>
        <ext uri="{3e2802c4-a4d2-4d8b-9148-e3be6c30e623}">
          <xlrd:rvb i="5242"/>
        </ext>
      </extLst>
    </bk>
    <bk>
      <extLst>
        <ext uri="{3e2802c4-a4d2-4d8b-9148-e3be6c30e623}">
          <xlrd:rvb i="5243"/>
        </ext>
      </extLst>
    </bk>
    <bk>
      <extLst>
        <ext uri="{3e2802c4-a4d2-4d8b-9148-e3be6c30e623}">
          <xlrd:rvb i="5244"/>
        </ext>
      </extLst>
    </bk>
    <bk>
      <extLst>
        <ext uri="{3e2802c4-a4d2-4d8b-9148-e3be6c30e623}">
          <xlrd:rvb i="5245"/>
        </ext>
      </extLst>
    </bk>
    <bk>
      <extLst>
        <ext uri="{3e2802c4-a4d2-4d8b-9148-e3be6c30e623}">
          <xlrd:rvb i="5246"/>
        </ext>
      </extLst>
    </bk>
    <bk>
      <extLst>
        <ext uri="{3e2802c4-a4d2-4d8b-9148-e3be6c30e623}">
          <xlrd:rvb i="5247"/>
        </ext>
      </extLst>
    </bk>
    <bk>
      <extLst>
        <ext uri="{3e2802c4-a4d2-4d8b-9148-e3be6c30e623}">
          <xlrd:rvb i="5248"/>
        </ext>
      </extLst>
    </bk>
    <bk>
      <extLst>
        <ext uri="{3e2802c4-a4d2-4d8b-9148-e3be6c30e623}">
          <xlrd:rvb i="5249"/>
        </ext>
      </extLst>
    </bk>
    <bk>
      <extLst>
        <ext uri="{3e2802c4-a4d2-4d8b-9148-e3be6c30e623}">
          <xlrd:rvb i="5250"/>
        </ext>
      </extLst>
    </bk>
    <bk>
      <extLst>
        <ext uri="{3e2802c4-a4d2-4d8b-9148-e3be6c30e623}">
          <xlrd:rvb i="5251"/>
        </ext>
      </extLst>
    </bk>
    <bk>
      <extLst>
        <ext uri="{3e2802c4-a4d2-4d8b-9148-e3be6c30e623}">
          <xlrd:rvb i="5252"/>
        </ext>
      </extLst>
    </bk>
    <bk>
      <extLst>
        <ext uri="{3e2802c4-a4d2-4d8b-9148-e3be6c30e623}">
          <xlrd:rvb i="5253"/>
        </ext>
      </extLst>
    </bk>
    <bk>
      <extLst>
        <ext uri="{3e2802c4-a4d2-4d8b-9148-e3be6c30e623}">
          <xlrd:rvb i="5254"/>
        </ext>
      </extLst>
    </bk>
    <bk>
      <extLst>
        <ext uri="{3e2802c4-a4d2-4d8b-9148-e3be6c30e623}">
          <xlrd:rvb i="5255"/>
        </ext>
      </extLst>
    </bk>
    <bk>
      <extLst>
        <ext uri="{3e2802c4-a4d2-4d8b-9148-e3be6c30e623}">
          <xlrd:rvb i="5256"/>
        </ext>
      </extLst>
    </bk>
    <bk>
      <extLst>
        <ext uri="{3e2802c4-a4d2-4d8b-9148-e3be6c30e623}">
          <xlrd:rvb i="5257"/>
        </ext>
      </extLst>
    </bk>
    <bk>
      <extLst>
        <ext uri="{3e2802c4-a4d2-4d8b-9148-e3be6c30e623}">
          <xlrd:rvb i="5258"/>
        </ext>
      </extLst>
    </bk>
    <bk>
      <extLst>
        <ext uri="{3e2802c4-a4d2-4d8b-9148-e3be6c30e623}">
          <xlrd:rvb i="5259"/>
        </ext>
      </extLst>
    </bk>
    <bk>
      <extLst>
        <ext uri="{3e2802c4-a4d2-4d8b-9148-e3be6c30e623}">
          <xlrd:rvb i="5260"/>
        </ext>
      </extLst>
    </bk>
    <bk>
      <extLst>
        <ext uri="{3e2802c4-a4d2-4d8b-9148-e3be6c30e623}">
          <xlrd:rvb i="5261"/>
        </ext>
      </extLst>
    </bk>
    <bk>
      <extLst>
        <ext uri="{3e2802c4-a4d2-4d8b-9148-e3be6c30e623}">
          <xlrd:rvb i="5262"/>
        </ext>
      </extLst>
    </bk>
    <bk>
      <extLst>
        <ext uri="{3e2802c4-a4d2-4d8b-9148-e3be6c30e623}">
          <xlrd:rvb i="5263"/>
        </ext>
      </extLst>
    </bk>
    <bk>
      <extLst>
        <ext uri="{3e2802c4-a4d2-4d8b-9148-e3be6c30e623}">
          <xlrd:rvb i="5264"/>
        </ext>
      </extLst>
    </bk>
    <bk>
      <extLst>
        <ext uri="{3e2802c4-a4d2-4d8b-9148-e3be6c30e623}">
          <xlrd:rvb i="5265"/>
        </ext>
      </extLst>
    </bk>
    <bk>
      <extLst>
        <ext uri="{3e2802c4-a4d2-4d8b-9148-e3be6c30e623}">
          <xlrd:rvb i="5266"/>
        </ext>
      </extLst>
    </bk>
    <bk>
      <extLst>
        <ext uri="{3e2802c4-a4d2-4d8b-9148-e3be6c30e623}">
          <xlrd:rvb i="5267"/>
        </ext>
      </extLst>
    </bk>
    <bk>
      <extLst>
        <ext uri="{3e2802c4-a4d2-4d8b-9148-e3be6c30e623}">
          <xlrd:rvb i="5268"/>
        </ext>
      </extLst>
    </bk>
    <bk>
      <extLst>
        <ext uri="{3e2802c4-a4d2-4d8b-9148-e3be6c30e623}">
          <xlrd:rvb i="5269"/>
        </ext>
      </extLst>
    </bk>
    <bk>
      <extLst>
        <ext uri="{3e2802c4-a4d2-4d8b-9148-e3be6c30e623}">
          <xlrd:rvb i="5270"/>
        </ext>
      </extLst>
    </bk>
    <bk>
      <extLst>
        <ext uri="{3e2802c4-a4d2-4d8b-9148-e3be6c30e623}">
          <xlrd:rvb i="5271"/>
        </ext>
      </extLst>
    </bk>
    <bk>
      <extLst>
        <ext uri="{3e2802c4-a4d2-4d8b-9148-e3be6c30e623}">
          <xlrd:rvb i="5272"/>
        </ext>
      </extLst>
    </bk>
    <bk>
      <extLst>
        <ext uri="{3e2802c4-a4d2-4d8b-9148-e3be6c30e623}">
          <xlrd:rvb i="5273"/>
        </ext>
      </extLst>
    </bk>
    <bk>
      <extLst>
        <ext uri="{3e2802c4-a4d2-4d8b-9148-e3be6c30e623}">
          <xlrd:rvb i="5274"/>
        </ext>
      </extLst>
    </bk>
    <bk>
      <extLst>
        <ext uri="{3e2802c4-a4d2-4d8b-9148-e3be6c30e623}">
          <xlrd:rvb i="5275"/>
        </ext>
      </extLst>
    </bk>
    <bk>
      <extLst>
        <ext uri="{3e2802c4-a4d2-4d8b-9148-e3be6c30e623}">
          <xlrd:rvb i="5276"/>
        </ext>
      </extLst>
    </bk>
    <bk>
      <extLst>
        <ext uri="{3e2802c4-a4d2-4d8b-9148-e3be6c30e623}">
          <xlrd:rvb i="5277"/>
        </ext>
      </extLst>
    </bk>
    <bk>
      <extLst>
        <ext uri="{3e2802c4-a4d2-4d8b-9148-e3be6c30e623}">
          <xlrd:rvb i="5278"/>
        </ext>
      </extLst>
    </bk>
    <bk>
      <extLst>
        <ext uri="{3e2802c4-a4d2-4d8b-9148-e3be6c30e623}">
          <xlrd:rvb i="5279"/>
        </ext>
      </extLst>
    </bk>
    <bk>
      <extLst>
        <ext uri="{3e2802c4-a4d2-4d8b-9148-e3be6c30e623}">
          <xlrd:rvb i="5280"/>
        </ext>
      </extLst>
    </bk>
    <bk>
      <extLst>
        <ext uri="{3e2802c4-a4d2-4d8b-9148-e3be6c30e623}">
          <xlrd:rvb i="5281"/>
        </ext>
      </extLst>
    </bk>
    <bk>
      <extLst>
        <ext uri="{3e2802c4-a4d2-4d8b-9148-e3be6c30e623}">
          <xlrd:rvb i="5282"/>
        </ext>
      </extLst>
    </bk>
    <bk>
      <extLst>
        <ext uri="{3e2802c4-a4d2-4d8b-9148-e3be6c30e623}">
          <xlrd:rvb i="5283"/>
        </ext>
      </extLst>
    </bk>
    <bk>
      <extLst>
        <ext uri="{3e2802c4-a4d2-4d8b-9148-e3be6c30e623}">
          <xlrd:rvb i="5284"/>
        </ext>
      </extLst>
    </bk>
    <bk>
      <extLst>
        <ext uri="{3e2802c4-a4d2-4d8b-9148-e3be6c30e623}">
          <xlrd:rvb i="5285"/>
        </ext>
      </extLst>
    </bk>
    <bk>
      <extLst>
        <ext uri="{3e2802c4-a4d2-4d8b-9148-e3be6c30e623}">
          <xlrd:rvb i="5286"/>
        </ext>
      </extLst>
    </bk>
    <bk>
      <extLst>
        <ext uri="{3e2802c4-a4d2-4d8b-9148-e3be6c30e623}">
          <xlrd:rvb i="5287"/>
        </ext>
      </extLst>
    </bk>
    <bk>
      <extLst>
        <ext uri="{3e2802c4-a4d2-4d8b-9148-e3be6c30e623}">
          <xlrd:rvb i="5288"/>
        </ext>
      </extLst>
    </bk>
    <bk>
      <extLst>
        <ext uri="{3e2802c4-a4d2-4d8b-9148-e3be6c30e623}">
          <xlrd:rvb i="5289"/>
        </ext>
      </extLst>
    </bk>
    <bk>
      <extLst>
        <ext uri="{3e2802c4-a4d2-4d8b-9148-e3be6c30e623}">
          <xlrd:rvb i="5290"/>
        </ext>
      </extLst>
    </bk>
    <bk>
      <extLst>
        <ext uri="{3e2802c4-a4d2-4d8b-9148-e3be6c30e623}">
          <xlrd:rvb i="5291"/>
        </ext>
      </extLst>
    </bk>
    <bk>
      <extLst>
        <ext uri="{3e2802c4-a4d2-4d8b-9148-e3be6c30e623}">
          <xlrd:rvb i="5292"/>
        </ext>
      </extLst>
    </bk>
    <bk>
      <extLst>
        <ext uri="{3e2802c4-a4d2-4d8b-9148-e3be6c30e623}">
          <xlrd:rvb i="5293"/>
        </ext>
      </extLst>
    </bk>
    <bk>
      <extLst>
        <ext uri="{3e2802c4-a4d2-4d8b-9148-e3be6c30e623}">
          <xlrd:rvb i="5294"/>
        </ext>
      </extLst>
    </bk>
    <bk>
      <extLst>
        <ext uri="{3e2802c4-a4d2-4d8b-9148-e3be6c30e623}">
          <xlrd:rvb i="5295"/>
        </ext>
      </extLst>
    </bk>
    <bk>
      <extLst>
        <ext uri="{3e2802c4-a4d2-4d8b-9148-e3be6c30e623}">
          <xlrd:rvb i="5296"/>
        </ext>
      </extLst>
    </bk>
    <bk>
      <extLst>
        <ext uri="{3e2802c4-a4d2-4d8b-9148-e3be6c30e623}">
          <xlrd:rvb i="5297"/>
        </ext>
      </extLst>
    </bk>
    <bk>
      <extLst>
        <ext uri="{3e2802c4-a4d2-4d8b-9148-e3be6c30e623}">
          <xlrd:rvb i="5298"/>
        </ext>
      </extLst>
    </bk>
    <bk>
      <extLst>
        <ext uri="{3e2802c4-a4d2-4d8b-9148-e3be6c30e623}">
          <xlrd:rvb i="5299"/>
        </ext>
      </extLst>
    </bk>
    <bk>
      <extLst>
        <ext uri="{3e2802c4-a4d2-4d8b-9148-e3be6c30e623}">
          <xlrd:rvb i="5300"/>
        </ext>
      </extLst>
    </bk>
    <bk>
      <extLst>
        <ext uri="{3e2802c4-a4d2-4d8b-9148-e3be6c30e623}">
          <xlrd:rvb i="5301"/>
        </ext>
      </extLst>
    </bk>
    <bk>
      <extLst>
        <ext uri="{3e2802c4-a4d2-4d8b-9148-e3be6c30e623}">
          <xlrd:rvb i="5302"/>
        </ext>
      </extLst>
    </bk>
    <bk>
      <extLst>
        <ext uri="{3e2802c4-a4d2-4d8b-9148-e3be6c30e623}">
          <xlrd:rvb i="5303"/>
        </ext>
      </extLst>
    </bk>
    <bk>
      <extLst>
        <ext uri="{3e2802c4-a4d2-4d8b-9148-e3be6c30e623}">
          <xlrd:rvb i="5304"/>
        </ext>
      </extLst>
    </bk>
    <bk>
      <extLst>
        <ext uri="{3e2802c4-a4d2-4d8b-9148-e3be6c30e623}">
          <xlrd:rvb i="5305"/>
        </ext>
      </extLst>
    </bk>
    <bk>
      <extLst>
        <ext uri="{3e2802c4-a4d2-4d8b-9148-e3be6c30e623}">
          <xlrd:rvb i="5306"/>
        </ext>
      </extLst>
    </bk>
    <bk>
      <extLst>
        <ext uri="{3e2802c4-a4d2-4d8b-9148-e3be6c30e623}">
          <xlrd:rvb i="5307"/>
        </ext>
      </extLst>
    </bk>
    <bk>
      <extLst>
        <ext uri="{3e2802c4-a4d2-4d8b-9148-e3be6c30e623}">
          <xlrd:rvb i="5308"/>
        </ext>
      </extLst>
    </bk>
    <bk>
      <extLst>
        <ext uri="{3e2802c4-a4d2-4d8b-9148-e3be6c30e623}">
          <xlrd:rvb i="5309"/>
        </ext>
      </extLst>
    </bk>
    <bk>
      <extLst>
        <ext uri="{3e2802c4-a4d2-4d8b-9148-e3be6c30e623}">
          <xlrd:rvb i="5310"/>
        </ext>
      </extLst>
    </bk>
    <bk>
      <extLst>
        <ext uri="{3e2802c4-a4d2-4d8b-9148-e3be6c30e623}">
          <xlrd:rvb i="5311"/>
        </ext>
      </extLst>
    </bk>
    <bk>
      <extLst>
        <ext uri="{3e2802c4-a4d2-4d8b-9148-e3be6c30e623}">
          <xlrd:rvb i="5312"/>
        </ext>
      </extLst>
    </bk>
    <bk>
      <extLst>
        <ext uri="{3e2802c4-a4d2-4d8b-9148-e3be6c30e623}">
          <xlrd:rvb i="5313"/>
        </ext>
      </extLst>
    </bk>
    <bk>
      <extLst>
        <ext uri="{3e2802c4-a4d2-4d8b-9148-e3be6c30e623}">
          <xlrd:rvb i="5314"/>
        </ext>
      </extLst>
    </bk>
    <bk>
      <extLst>
        <ext uri="{3e2802c4-a4d2-4d8b-9148-e3be6c30e623}">
          <xlrd:rvb i="5315"/>
        </ext>
      </extLst>
    </bk>
    <bk>
      <extLst>
        <ext uri="{3e2802c4-a4d2-4d8b-9148-e3be6c30e623}">
          <xlrd:rvb i="5316"/>
        </ext>
      </extLst>
    </bk>
    <bk>
      <extLst>
        <ext uri="{3e2802c4-a4d2-4d8b-9148-e3be6c30e623}">
          <xlrd:rvb i="5317"/>
        </ext>
      </extLst>
    </bk>
    <bk>
      <extLst>
        <ext uri="{3e2802c4-a4d2-4d8b-9148-e3be6c30e623}">
          <xlrd:rvb i="5318"/>
        </ext>
      </extLst>
    </bk>
    <bk>
      <extLst>
        <ext uri="{3e2802c4-a4d2-4d8b-9148-e3be6c30e623}">
          <xlrd:rvb i="5319"/>
        </ext>
      </extLst>
    </bk>
    <bk>
      <extLst>
        <ext uri="{3e2802c4-a4d2-4d8b-9148-e3be6c30e623}">
          <xlrd:rvb i="5320"/>
        </ext>
      </extLst>
    </bk>
    <bk>
      <extLst>
        <ext uri="{3e2802c4-a4d2-4d8b-9148-e3be6c30e623}">
          <xlrd:rvb i="5321"/>
        </ext>
      </extLst>
    </bk>
    <bk>
      <extLst>
        <ext uri="{3e2802c4-a4d2-4d8b-9148-e3be6c30e623}">
          <xlrd:rvb i="5322"/>
        </ext>
      </extLst>
    </bk>
    <bk>
      <extLst>
        <ext uri="{3e2802c4-a4d2-4d8b-9148-e3be6c30e623}">
          <xlrd:rvb i="5323"/>
        </ext>
      </extLst>
    </bk>
    <bk>
      <extLst>
        <ext uri="{3e2802c4-a4d2-4d8b-9148-e3be6c30e623}">
          <xlrd:rvb i="5324"/>
        </ext>
      </extLst>
    </bk>
    <bk>
      <extLst>
        <ext uri="{3e2802c4-a4d2-4d8b-9148-e3be6c30e623}">
          <xlrd:rvb i="5325"/>
        </ext>
      </extLst>
    </bk>
    <bk>
      <extLst>
        <ext uri="{3e2802c4-a4d2-4d8b-9148-e3be6c30e623}">
          <xlrd:rvb i="5326"/>
        </ext>
      </extLst>
    </bk>
    <bk>
      <extLst>
        <ext uri="{3e2802c4-a4d2-4d8b-9148-e3be6c30e623}">
          <xlrd:rvb i="5327"/>
        </ext>
      </extLst>
    </bk>
    <bk>
      <extLst>
        <ext uri="{3e2802c4-a4d2-4d8b-9148-e3be6c30e623}">
          <xlrd:rvb i="5328"/>
        </ext>
      </extLst>
    </bk>
    <bk>
      <extLst>
        <ext uri="{3e2802c4-a4d2-4d8b-9148-e3be6c30e623}">
          <xlrd:rvb i="5329"/>
        </ext>
      </extLst>
    </bk>
    <bk>
      <extLst>
        <ext uri="{3e2802c4-a4d2-4d8b-9148-e3be6c30e623}">
          <xlrd:rvb i="5330"/>
        </ext>
      </extLst>
    </bk>
    <bk>
      <extLst>
        <ext uri="{3e2802c4-a4d2-4d8b-9148-e3be6c30e623}">
          <xlrd:rvb i="5331"/>
        </ext>
      </extLst>
    </bk>
    <bk>
      <extLst>
        <ext uri="{3e2802c4-a4d2-4d8b-9148-e3be6c30e623}">
          <xlrd:rvb i="5332"/>
        </ext>
      </extLst>
    </bk>
    <bk>
      <extLst>
        <ext uri="{3e2802c4-a4d2-4d8b-9148-e3be6c30e623}">
          <xlrd:rvb i="5333"/>
        </ext>
      </extLst>
    </bk>
    <bk>
      <extLst>
        <ext uri="{3e2802c4-a4d2-4d8b-9148-e3be6c30e623}">
          <xlrd:rvb i="5334"/>
        </ext>
      </extLst>
    </bk>
    <bk>
      <extLst>
        <ext uri="{3e2802c4-a4d2-4d8b-9148-e3be6c30e623}">
          <xlrd:rvb i="5335"/>
        </ext>
      </extLst>
    </bk>
    <bk>
      <extLst>
        <ext uri="{3e2802c4-a4d2-4d8b-9148-e3be6c30e623}">
          <xlrd:rvb i="5336"/>
        </ext>
      </extLst>
    </bk>
    <bk>
      <extLst>
        <ext uri="{3e2802c4-a4d2-4d8b-9148-e3be6c30e623}">
          <xlrd:rvb i="5337"/>
        </ext>
      </extLst>
    </bk>
    <bk>
      <extLst>
        <ext uri="{3e2802c4-a4d2-4d8b-9148-e3be6c30e623}">
          <xlrd:rvb i="5338"/>
        </ext>
      </extLst>
    </bk>
    <bk>
      <extLst>
        <ext uri="{3e2802c4-a4d2-4d8b-9148-e3be6c30e623}">
          <xlrd:rvb i="5339"/>
        </ext>
      </extLst>
    </bk>
    <bk>
      <extLst>
        <ext uri="{3e2802c4-a4d2-4d8b-9148-e3be6c30e623}">
          <xlrd:rvb i="5340"/>
        </ext>
      </extLst>
    </bk>
    <bk>
      <extLst>
        <ext uri="{3e2802c4-a4d2-4d8b-9148-e3be6c30e623}">
          <xlrd:rvb i="5341"/>
        </ext>
      </extLst>
    </bk>
    <bk>
      <extLst>
        <ext uri="{3e2802c4-a4d2-4d8b-9148-e3be6c30e623}">
          <xlrd:rvb i="5342"/>
        </ext>
      </extLst>
    </bk>
    <bk>
      <extLst>
        <ext uri="{3e2802c4-a4d2-4d8b-9148-e3be6c30e623}">
          <xlrd:rvb i="5343"/>
        </ext>
      </extLst>
    </bk>
    <bk>
      <extLst>
        <ext uri="{3e2802c4-a4d2-4d8b-9148-e3be6c30e623}">
          <xlrd:rvb i="5344"/>
        </ext>
      </extLst>
    </bk>
    <bk>
      <extLst>
        <ext uri="{3e2802c4-a4d2-4d8b-9148-e3be6c30e623}">
          <xlrd:rvb i="5345"/>
        </ext>
      </extLst>
    </bk>
    <bk>
      <extLst>
        <ext uri="{3e2802c4-a4d2-4d8b-9148-e3be6c30e623}">
          <xlrd:rvb i="5346"/>
        </ext>
      </extLst>
    </bk>
    <bk>
      <extLst>
        <ext uri="{3e2802c4-a4d2-4d8b-9148-e3be6c30e623}">
          <xlrd:rvb i="5347"/>
        </ext>
      </extLst>
    </bk>
    <bk>
      <extLst>
        <ext uri="{3e2802c4-a4d2-4d8b-9148-e3be6c30e623}">
          <xlrd:rvb i="5348"/>
        </ext>
      </extLst>
    </bk>
    <bk>
      <extLst>
        <ext uri="{3e2802c4-a4d2-4d8b-9148-e3be6c30e623}">
          <xlrd:rvb i="5349"/>
        </ext>
      </extLst>
    </bk>
    <bk>
      <extLst>
        <ext uri="{3e2802c4-a4d2-4d8b-9148-e3be6c30e623}">
          <xlrd:rvb i="5350"/>
        </ext>
      </extLst>
    </bk>
    <bk>
      <extLst>
        <ext uri="{3e2802c4-a4d2-4d8b-9148-e3be6c30e623}">
          <xlrd:rvb i="5351"/>
        </ext>
      </extLst>
    </bk>
    <bk>
      <extLst>
        <ext uri="{3e2802c4-a4d2-4d8b-9148-e3be6c30e623}">
          <xlrd:rvb i="5352"/>
        </ext>
      </extLst>
    </bk>
    <bk>
      <extLst>
        <ext uri="{3e2802c4-a4d2-4d8b-9148-e3be6c30e623}">
          <xlrd:rvb i="5353"/>
        </ext>
      </extLst>
    </bk>
    <bk>
      <extLst>
        <ext uri="{3e2802c4-a4d2-4d8b-9148-e3be6c30e623}">
          <xlrd:rvb i="5354"/>
        </ext>
      </extLst>
    </bk>
    <bk>
      <extLst>
        <ext uri="{3e2802c4-a4d2-4d8b-9148-e3be6c30e623}">
          <xlrd:rvb i="5355"/>
        </ext>
      </extLst>
    </bk>
    <bk>
      <extLst>
        <ext uri="{3e2802c4-a4d2-4d8b-9148-e3be6c30e623}">
          <xlrd:rvb i="5356"/>
        </ext>
      </extLst>
    </bk>
    <bk>
      <extLst>
        <ext uri="{3e2802c4-a4d2-4d8b-9148-e3be6c30e623}">
          <xlrd:rvb i="5357"/>
        </ext>
      </extLst>
    </bk>
    <bk>
      <extLst>
        <ext uri="{3e2802c4-a4d2-4d8b-9148-e3be6c30e623}">
          <xlrd:rvb i="5358"/>
        </ext>
      </extLst>
    </bk>
    <bk>
      <extLst>
        <ext uri="{3e2802c4-a4d2-4d8b-9148-e3be6c30e623}">
          <xlrd:rvb i="5359"/>
        </ext>
      </extLst>
    </bk>
    <bk>
      <extLst>
        <ext uri="{3e2802c4-a4d2-4d8b-9148-e3be6c30e623}">
          <xlrd:rvb i="5360"/>
        </ext>
      </extLst>
    </bk>
    <bk>
      <extLst>
        <ext uri="{3e2802c4-a4d2-4d8b-9148-e3be6c30e623}">
          <xlrd:rvb i="5361"/>
        </ext>
      </extLst>
    </bk>
    <bk>
      <extLst>
        <ext uri="{3e2802c4-a4d2-4d8b-9148-e3be6c30e623}">
          <xlrd:rvb i="5362"/>
        </ext>
      </extLst>
    </bk>
    <bk>
      <extLst>
        <ext uri="{3e2802c4-a4d2-4d8b-9148-e3be6c30e623}">
          <xlrd:rvb i="5363"/>
        </ext>
      </extLst>
    </bk>
    <bk>
      <extLst>
        <ext uri="{3e2802c4-a4d2-4d8b-9148-e3be6c30e623}">
          <xlrd:rvb i="5364"/>
        </ext>
      </extLst>
    </bk>
    <bk>
      <extLst>
        <ext uri="{3e2802c4-a4d2-4d8b-9148-e3be6c30e623}">
          <xlrd:rvb i="5365"/>
        </ext>
      </extLst>
    </bk>
    <bk>
      <extLst>
        <ext uri="{3e2802c4-a4d2-4d8b-9148-e3be6c30e623}">
          <xlrd:rvb i="5366"/>
        </ext>
      </extLst>
    </bk>
    <bk>
      <extLst>
        <ext uri="{3e2802c4-a4d2-4d8b-9148-e3be6c30e623}">
          <xlrd:rvb i="5367"/>
        </ext>
      </extLst>
    </bk>
    <bk>
      <extLst>
        <ext uri="{3e2802c4-a4d2-4d8b-9148-e3be6c30e623}">
          <xlrd:rvb i="5368"/>
        </ext>
      </extLst>
    </bk>
    <bk>
      <extLst>
        <ext uri="{3e2802c4-a4d2-4d8b-9148-e3be6c30e623}">
          <xlrd:rvb i="5369"/>
        </ext>
      </extLst>
    </bk>
    <bk>
      <extLst>
        <ext uri="{3e2802c4-a4d2-4d8b-9148-e3be6c30e623}">
          <xlrd:rvb i="5370"/>
        </ext>
      </extLst>
    </bk>
    <bk>
      <extLst>
        <ext uri="{3e2802c4-a4d2-4d8b-9148-e3be6c30e623}">
          <xlrd:rvb i="5371"/>
        </ext>
      </extLst>
    </bk>
    <bk>
      <extLst>
        <ext uri="{3e2802c4-a4d2-4d8b-9148-e3be6c30e623}">
          <xlrd:rvb i="5372"/>
        </ext>
      </extLst>
    </bk>
    <bk>
      <extLst>
        <ext uri="{3e2802c4-a4d2-4d8b-9148-e3be6c30e623}">
          <xlrd:rvb i="5373"/>
        </ext>
      </extLst>
    </bk>
    <bk>
      <extLst>
        <ext uri="{3e2802c4-a4d2-4d8b-9148-e3be6c30e623}">
          <xlrd:rvb i="5374"/>
        </ext>
      </extLst>
    </bk>
    <bk>
      <extLst>
        <ext uri="{3e2802c4-a4d2-4d8b-9148-e3be6c30e623}">
          <xlrd:rvb i="5375"/>
        </ext>
      </extLst>
    </bk>
    <bk>
      <extLst>
        <ext uri="{3e2802c4-a4d2-4d8b-9148-e3be6c30e623}">
          <xlrd:rvb i="5376"/>
        </ext>
      </extLst>
    </bk>
    <bk>
      <extLst>
        <ext uri="{3e2802c4-a4d2-4d8b-9148-e3be6c30e623}">
          <xlrd:rvb i="5377"/>
        </ext>
      </extLst>
    </bk>
    <bk>
      <extLst>
        <ext uri="{3e2802c4-a4d2-4d8b-9148-e3be6c30e623}">
          <xlrd:rvb i="5378"/>
        </ext>
      </extLst>
    </bk>
    <bk>
      <extLst>
        <ext uri="{3e2802c4-a4d2-4d8b-9148-e3be6c30e623}">
          <xlrd:rvb i="5379"/>
        </ext>
      </extLst>
    </bk>
    <bk>
      <extLst>
        <ext uri="{3e2802c4-a4d2-4d8b-9148-e3be6c30e623}">
          <xlrd:rvb i="5380"/>
        </ext>
      </extLst>
    </bk>
    <bk>
      <extLst>
        <ext uri="{3e2802c4-a4d2-4d8b-9148-e3be6c30e623}">
          <xlrd:rvb i="5381"/>
        </ext>
      </extLst>
    </bk>
    <bk>
      <extLst>
        <ext uri="{3e2802c4-a4d2-4d8b-9148-e3be6c30e623}">
          <xlrd:rvb i="5382"/>
        </ext>
      </extLst>
    </bk>
    <bk>
      <extLst>
        <ext uri="{3e2802c4-a4d2-4d8b-9148-e3be6c30e623}">
          <xlrd:rvb i="5383"/>
        </ext>
      </extLst>
    </bk>
    <bk>
      <extLst>
        <ext uri="{3e2802c4-a4d2-4d8b-9148-e3be6c30e623}">
          <xlrd:rvb i="5384"/>
        </ext>
      </extLst>
    </bk>
    <bk>
      <extLst>
        <ext uri="{3e2802c4-a4d2-4d8b-9148-e3be6c30e623}">
          <xlrd:rvb i="5385"/>
        </ext>
      </extLst>
    </bk>
    <bk>
      <extLst>
        <ext uri="{3e2802c4-a4d2-4d8b-9148-e3be6c30e623}">
          <xlrd:rvb i="5386"/>
        </ext>
      </extLst>
    </bk>
    <bk>
      <extLst>
        <ext uri="{3e2802c4-a4d2-4d8b-9148-e3be6c30e623}">
          <xlrd:rvb i="5387"/>
        </ext>
      </extLst>
    </bk>
    <bk>
      <extLst>
        <ext uri="{3e2802c4-a4d2-4d8b-9148-e3be6c30e623}">
          <xlrd:rvb i="5388"/>
        </ext>
      </extLst>
    </bk>
    <bk>
      <extLst>
        <ext uri="{3e2802c4-a4d2-4d8b-9148-e3be6c30e623}">
          <xlrd:rvb i="5389"/>
        </ext>
      </extLst>
    </bk>
    <bk>
      <extLst>
        <ext uri="{3e2802c4-a4d2-4d8b-9148-e3be6c30e623}">
          <xlrd:rvb i="5390"/>
        </ext>
      </extLst>
    </bk>
    <bk>
      <extLst>
        <ext uri="{3e2802c4-a4d2-4d8b-9148-e3be6c30e623}">
          <xlrd:rvb i="5391"/>
        </ext>
      </extLst>
    </bk>
    <bk>
      <extLst>
        <ext uri="{3e2802c4-a4d2-4d8b-9148-e3be6c30e623}">
          <xlrd:rvb i="5392"/>
        </ext>
      </extLst>
    </bk>
    <bk>
      <extLst>
        <ext uri="{3e2802c4-a4d2-4d8b-9148-e3be6c30e623}">
          <xlrd:rvb i="5393"/>
        </ext>
      </extLst>
    </bk>
    <bk>
      <extLst>
        <ext uri="{3e2802c4-a4d2-4d8b-9148-e3be6c30e623}">
          <xlrd:rvb i="5394"/>
        </ext>
      </extLst>
    </bk>
    <bk>
      <extLst>
        <ext uri="{3e2802c4-a4d2-4d8b-9148-e3be6c30e623}">
          <xlrd:rvb i="5395"/>
        </ext>
      </extLst>
    </bk>
    <bk>
      <extLst>
        <ext uri="{3e2802c4-a4d2-4d8b-9148-e3be6c30e623}">
          <xlrd:rvb i="5396"/>
        </ext>
      </extLst>
    </bk>
    <bk>
      <extLst>
        <ext uri="{3e2802c4-a4d2-4d8b-9148-e3be6c30e623}">
          <xlrd:rvb i="5397"/>
        </ext>
      </extLst>
    </bk>
    <bk>
      <extLst>
        <ext uri="{3e2802c4-a4d2-4d8b-9148-e3be6c30e623}">
          <xlrd:rvb i="5398"/>
        </ext>
      </extLst>
    </bk>
    <bk>
      <extLst>
        <ext uri="{3e2802c4-a4d2-4d8b-9148-e3be6c30e623}">
          <xlrd:rvb i="5399"/>
        </ext>
      </extLst>
    </bk>
    <bk>
      <extLst>
        <ext uri="{3e2802c4-a4d2-4d8b-9148-e3be6c30e623}">
          <xlrd:rvb i="5400"/>
        </ext>
      </extLst>
    </bk>
    <bk>
      <extLst>
        <ext uri="{3e2802c4-a4d2-4d8b-9148-e3be6c30e623}">
          <xlrd:rvb i="5401"/>
        </ext>
      </extLst>
    </bk>
    <bk>
      <extLst>
        <ext uri="{3e2802c4-a4d2-4d8b-9148-e3be6c30e623}">
          <xlrd:rvb i="5402"/>
        </ext>
      </extLst>
    </bk>
    <bk>
      <extLst>
        <ext uri="{3e2802c4-a4d2-4d8b-9148-e3be6c30e623}">
          <xlrd:rvb i="5403"/>
        </ext>
      </extLst>
    </bk>
    <bk>
      <extLst>
        <ext uri="{3e2802c4-a4d2-4d8b-9148-e3be6c30e623}">
          <xlrd:rvb i="5404"/>
        </ext>
      </extLst>
    </bk>
    <bk>
      <extLst>
        <ext uri="{3e2802c4-a4d2-4d8b-9148-e3be6c30e623}">
          <xlrd:rvb i="5405"/>
        </ext>
      </extLst>
    </bk>
    <bk>
      <extLst>
        <ext uri="{3e2802c4-a4d2-4d8b-9148-e3be6c30e623}">
          <xlrd:rvb i="5406"/>
        </ext>
      </extLst>
    </bk>
    <bk>
      <extLst>
        <ext uri="{3e2802c4-a4d2-4d8b-9148-e3be6c30e623}">
          <xlrd:rvb i="5407"/>
        </ext>
      </extLst>
    </bk>
    <bk>
      <extLst>
        <ext uri="{3e2802c4-a4d2-4d8b-9148-e3be6c30e623}">
          <xlrd:rvb i="5408"/>
        </ext>
      </extLst>
    </bk>
    <bk>
      <extLst>
        <ext uri="{3e2802c4-a4d2-4d8b-9148-e3be6c30e623}">
          <xlrd:rvb i="5409"/>
        </ext>
      </extLst>
    </bk>
    <bk>
      <extLst>
        <ext uri="{3e2802c4-a4d2-4d8b-9148-e3be6c30e623}">
          <xlrd:rvb i="5410"/>
        </ext>
      </extLst>
    </bk>
    <bk>
      <extLst>
        <ext uri="{3e2802c4-a4d2-4d8b-9148-e3be6c30e623}">
          <xlrd:rvb i="5411"/>
        </ext>
      </extLst>
    </bk>
    <bk>
      <extLst>
        <ext uri="{3e2802c4-a4d2-4d8b-9148-e3be6c30e623}">
          <xlrd:rvb i="5412"/>
        </ext>
      </extLst>
    </bk>
    <bk>
      <extLst>
        <ext uri="{3e2802c4-a4d2-4d8b-9148-e3be6c30e623}">
          <xlrd:rvb i="5413"/>
        </ext>
      </extLst>
    </bk>
    <bk>
      <extLst>
        <ext uri="{3e2802c4-a4d2-4d8b-9148-e3be6c30e623}">
          <xlrd:rvb i="5414"/>
        </ext>
      </extLst>
    </bk>
    <bk>
      <extLst>
        <ext uri="{3e2802c4-a4d2-4d8b-9148-e3be6c30e623}">
          <xlrd:rvb i="5415"/>
        </ext>
      </extLst>
    </bk>
    <bk>
      <extLst>
        <ext uri="{3e2802c4-a4d2-4d8b-9148-e3be6c30e623}">
          <xlrd:rvb i="5416"/>
        </ext>
      </extLst>
    </bk>
    <bk>
      <extLst>
        <ext uri="{3e2802c4-a4d2-4d8b-9148-e3be6c30e623}">
          <xlrd:rvb i="5417"/>
        </ext>
      </extLst>
    </bk>
    <bk>
      <extLst>
        <ext uri="{3e2802c4-a4d2-4d8b-9148-e3be6c30e623}">
          <xlrd:rvb i="5418"/>
        </ext>
      </extLst>
    </bk>
    <bk>
      <extLst>
        <ext uri="{3e2802c4-a4d2-4d8b-9148-e3be6c30e623}">
          <xlrd:rvb i="5419"/>
        </ext>
      </extLst>
    </bk>
    <bk>
      <extLst>
        <ext uri="{3e2802c4-a4d2-4d8b-9148-e3be6c30e623}">
          <xlrd:rvb i="5420"/>
        </ext>
      </extLst>
    </bk>
    <bk>
      <extLst>
        <ext uri="{3e2802c4-a4d2-4d8b-9148-e3be6c30e623}">
          <xlrd:rvb i="5421"/>
        </ext>
      </extLst>
    </bk>
    <bk>
      <extLst>
        <ext uri="{3e2802c4-a4d2-4d8b-9148-e3be6c30e623}">
          <xlrd:rvb i="5422"/>
        </ext>
      </extLst>
    </bk>
    <bk>
      <extLst>
        <ext uri="{3e2802c4-a4d2-4d8b-9148-e3be6c30e623}">
          <xlrd:rvb i="5423"/>
        </ext>
      </extLst>
    </bk>
    <bk>
      <extLst>
        <ext uri="{3e2802c4-a4d2-4d8b-9148-e3be6c30e623}">
          <xlrd:rvb i="5424"/>
        </ext>
      </extLst>
    </bk>
    <bk>
      <extLst>
        <ext uri="{3e2802c4-a4d2-4d8b-9148-e3be6c30e623}">
          <xlrd:rvb i="5425"/>
        </ext>
      </extLst>
    </bk>
    <bk>
      <extLst>
        <ext uri="{3e2802c4-a4d2-4d8b-9148-e3be6c30e623}">
          <xlrd:rvb i="5426"/>
        </ext>
      </extLst>
    </bk>
    <bk>
      <extLst>
        <ext uri="{3e2802c4-a4d2-4d8b-9148-e3be6c30e623}">
          <xlrd:rvb i="5427"/>
        </ext>
      </extLst>
    </bk>
    <bk>
      <extLst>
        <ext uri="{3e2802c4-a4d2-4d8b-9148-e3be6c30e623}">
          <xlrd:rvb i="5428"/>
        </ext>
      </extLst>
    </bk>
    <bk>
      <extLst>
        <ext uri="{3e2802c4-a4d2-4d8b-9148-e3be6c30e623}">
          <xlrd:rvb i="5429"/>
        </ext>
      </extLst>
    </bk>
    <bk>
      <extLst>
        <ext uri="{3e2802c4-a4d2-4d8b-9148-e3be6c30e623}">
          <xlrd:rvb i="5430"/>
        </ext>
      </extLst>
    </bk>
    <bk>
      <extLst>
        <ext uri="{3e2802c4-a4d2-4d8b-9148-e3be6c30e623}">
          <xlrd:rvb i="5431"/>
        </ext>
      </extLst>
    </bk>
    <bk>
      <extLst>
        <ext uri="{3e2802c4-a4d2-4d8b-9148-e3be6c30e623}">
          <xlrd:rvb i="5432"/>
        </ext>
      </extLst>
    </bk>
    <bk>
      <extLst>
        <ext uri="{3e2802c4-a4d2-4d8b-9148-e3be6c30e623}">
          <xlrd:rvb i="5433"/>
        </ext>
      </extLst>
    </bk>
    <bk>
      <extLst>
        <ext uri="{3e2802c4-a4d2-4d8b-9148-e3be6c30e623}">
          <xlrd:rvb i="5434"/>
        </ext>
      </extLst>
    </bk>
    <bk>
      <extLst>
        <ext uri="{3e2802c4-a4d2-4d8b-9148-e3be6c30e623}">
          <xlrd:rvb i="5435"/>
        </ext>
      </extLst>
    </bk>
    <bk>
      <extLst>
        <ext uri="{3e2802c4-a4d2-4d8b-9148-e3be6c30e623}">
          <xlrd:rvb i="5436"/>
        </ext>
      </extLst>
    </bk>
    <bk>
      <extLst>
        <ext uri="{3e2802c4-a4d2-4d8b-9148-e3be6c30e623}">
          <xlrd:rvb i="5437"/>
        </ext>
      </extLst>
    </bk>
    <bk>
      <extLst>
        <ext uri="{3e2802c4-a4d2-4d8b-9148-e3be6c30e623}">
          <xlrd:rvb i="5438"/>
        </ext>
      </extLst>
    </bk>
    <bk>
      <extLst>
        <ext uri="{3e2802c4-a4d2-4d8b-9148-e3be6c30e623}">
          <xlrd:rvb i="5439"/>
        </ext>
      </extLst>
    </bk>
    <bk>
      <extLst>
        <ext uri="{3e2802c4-a4d2-4d8b-9148-e3be6c30e623}">
          <xlrd:rvb i="5440"/>
        </ext>
      </extLst>
    </bk>
    <bk>
      <extLst>
        <ext uri="{3e2802c4-a4d2-4d8b-9148-e3be6c30e623}">
          <xlrd:rvb i="5441"/>
        </ext>
      </extLst>
    </bk>
    <bk>
      <extLst>
        <ext uri="{3e2802c4-a4d2-4d8b-9148-e3be6c30e623}">
          <xlrd:rvb i="5442"/>
        </ext>
      </extLst>
    </bk>
    <bk>
      <extLst>
        <ext uri="{3e2802c4-a4d2-4d8b-9148-e3be6c30e623}">
          <xlrd:rvb i="5443"/>
        </ext>
      </extLst>
    </bk>
    <bk>
      <extLst>
        <ext uri="{3e2802c4-a4d2-4d8b-9148-e3be6c30e623}">
          <xlrd:rvb i="5444"/>
        </ext>
      </extLst>
    </bk>
    <bk>
      <extLst>
        <ext uri="{3e2802c4-a4d2-4d8b-9148-e3be6c30e623}">
          <xlrd:rvb i="5445"/>
        </ext>
      </extLst>
    </bk>
    <bk>
      <extLst>
        <ext uri="{3e2802c4-a4d2-4d8b-9148-e3be6c30e623}">
          <xlrd:rvb i="5446"/>
        </ext>
      </extLst>
    </bk>
    <bk>
      <extLst>
        <ext uri="{3e2802c4-a4d2-4d8b-9148-e3be6c30e623}">
          <xlrd:rvb i="5447"/>
        </ext>
      </extLst>
    </bk>
    <bk>
      <extLst>
        <ext uri="{3e2802c4-a4d2-4d8b-9148-e3be6c30e623}">
          <xlrd:rvb i="5448"/>
        </ext>
      </extLst>
    </bk>
    <bk>
      <extLst>
        <ext uri="{3e2802c4-a4d2-4d8b-9148-e3be6c30e623}">
          <xlrd:rvb i="5449"/>
        </ext>
      </extLst>
    </bk>
    <bk>
      <extLst>
        <ext uri="{3e2802c4-a4d2-4d8b-9148-e3be6c30e623}">
          <xlrd:rvb i="5450"/>
        </ext>
      </extLst>
    </bk>
    <bk>
      <extLst>
        <ext uri="{3e2802c4-a4d2-4d8b-9148-e3be6c30e623}">
          <xlrd:rvb i="5451"/>
        </ext>
      </extLst>
    </bk>
    <bk>
      <extLst>
        <ext uri="{3e2802c4-a4d2-4d8b-9148-e3be6c30e623}">
          <xlrd:rvb i="5452"/>
        </ext>
      </extLst>
    </bk>
    <bk>
      <extLst>
        <ext uri="{3e2802c4-a4d2-4d8b-9148-e3be6c30e623}">
          <xlrd:rvb i="5453"/>
        </ext>
      </extLst>
    </bk>
    <bk>
      <extLst>
        <ext uri="{3e2802c4-a4d2-4d8b-9148-e3be6c30e623}">
          <xlrd:rvb i="5454"/>
        </ext>
      </extLst>
    </bk>
    <bk>
      <extLst>
        <ext uri="{3e2802c4-a4d2-4d8b-9148-e3be6c30e623}">
          <xlrd:rvb i="5455"/>
        </ext>
      </extLst>
    </bk>
    <bk>
      <extLst>
        <ext uri="{3e2802c4-a4d2-4d8b-9148-e3be6c30e623}">
          <xlrd:rvb i="5456"/>
        </ext>
      </extLst>
    </bk>
    <bk>
      <extLst>
        <ext uri="{3e2802c4-a4d2-4d8b-9148-e3be6c30e623}">
          <xlrd:rvb i="5457"/>
        </ext>
      </extLst>
    </bk>
    <bk>
      <extLst>
        <ext uri="{3e2802c4-a4d2-4d8b-9148-e3be6c30e623}">
          <xlrd:rvb i="5458"/>
        </ext>
      </extLst>
    </bk>
    <bk>
      <extLst>
        <ext uri="{3e2802c4-a4d2-4d8b-9148-e3be6c30e623}">
          <xlrd:rvb i="5459"/>
        </ext>
      </extLst>
    </bk>
    <bk>
      <extLst>
        <ext uri="{3e2802c4-a4d2-4d8b-9148-e3be6c30e623}">
          <xlrd:rvb i="5460"/>
        </ext>
      </extLst>
    </bk>
    <bk>
      <extLst>
        <ext uri="{3e2802c4-a4d2-4d8b-9148-e3be6c30e623}">
          <xlrd:rvb i="5461"/>
        </ext>
      </extLst>
    </bk>
    <bk>
      <extLst>
        <ext uri="{3e2802c4-a4d2-4d8b-9148-e3be6c30e623}">
          <xlrd:rvb i="5462"/>
        </ext>
      </extLst>
    </bk>
    <bk>
      <extLst>
        <ext uri="{3e2802c4-a4d2-4d8b-9148-e3be6c30e623}">
          <xlrd:rvb i="5463"/>
        </ext>
      </extLst>
    </bk>
    <bk>
      <extLst>
        <ext uri="{3e2802c4-a4d2-4d8b-9148-e3be6c30e623}">
          <xlrd:rvb i="5464"/>
        </ext>
      </extLst>
    </bk>
    <bk>
      <extLst>
        <ext uri="{3e2802c4-a4d2-4d8b-9148-e3be6c30e623}">
          <xlrd:rvb i="5465"/>
        </ext>
      </extLst>
    </bk>
    <bk>
      <extLst>
        <ext uri="{3e2802c4-a4d2-4d8b-9148-e3be6c30e623}">
          <xlrd:rvb i="5466"/>
        </ext>
      </extLst>
    </bk>
    <bk>
      <extLst>
        <ext uri="{3e2802c4-a4d2-4d8b-9148-e3be6c30e623}">
          <xlrd:rvb i="5467"/>
        </ext>
      </extLst>
    </bk>
    <bk>
      <extLst>
        <ext uri="{3e2802c4-a4d2-4d8b-9148-e3be6c30e623}">
          <xlrd:rvb i="5468"/>
        </ext>
      </extLst>
    </bk>
    <bk>
      <extLst>
        <ext uri="{3e2802c4-a4d2-4d8b-9148-e3be6c30e623}">
          <xlrd:rvb i="5469"/>
        </ext>
      </extLst>
    </bk>
    <bk>
      <extLst>
        <ext uri="{3e2802c4-a4d2-4d8b-9148-e3be6c30e623}">
          <xlrd:rvb i="5470"/>
        </ext>
      </extLst>
    </bk>
    <bk>
      <extLst>
        <ext uri="{3e2802c4-a4d2-4d8b-9148-e3be6c30e623}">
          <xlrd:rvb i="5471"/>
        </ext>
      </extLst>
    </bk>
    <bk>
      <extLst>
        <ext uri="{3e2802c4-a4d2-4d8b-9148-e3be6c30e623}">
          <xlrd:rvb i="5472"/>
        </ext>
      </extLst>
    </bk>
    <bk>
      <extLst>
        <ext uri="{3e2802c4-a4d2-4d8b-9148-e3be6c30e623}">
          <xlrd:rvb i="5473"/>
        </ext>
      </extLst>
    </bk>
    <bk>
      <extLst>
        <ext uri="{3e2802c4-a4d2-4d8b-9148-e3be6c30e623}">
          <xlrd:rvb i="5474"/>
        </ext>
      </extLst>
    </bk>
    <bk>
      <extLst>
        <ext uri="{3e2802c4-a4d2-4d8b-9148-e3be6c30e623}">
          <xlrd:rvb i="5475"/>
        </ext>
      </extLst>
    </bk>
    <bk>
      <extLst>
        <ext uri="{3e2802c4-a4d2-4d8b-9148-e3be6c30e623}">
          <xlrd:rvb i="5476"/>
        </ext>
      </extLst>
    </bk>
    <bk>
      <extLst>
        <ext uri="{3e2802c4-a4d2-4d8b-9148-e3be6c30e623}">
          <xlrd:rvb i="5477"/>
        </ext>
      </extLst>
    </bk>
    <bk>
      <extLst>
        <ext uri="{3e2802c4-a4d2-4d8b-9148-e3be6c30e623}">
          <xlrd:rvb i="5478"/>
        </ext>
      </extLst>
    </bk>
    <bk>
      <extLst>
        <ext uri="{3e2802c4-a4d2-4d8b-9148-e3be6c30e623}">
          <xlrd:rvb i="5479"/>
        </ext>
      </extLst>
    </bk>
    <bk>
      <extLst>
        <ext uri="{3e2802c4-a4d2-4d8b-9148-e3be6c30e623}">
          <xlrd:rvb i="5480"/>
        </ext>
      </extLst>
    </bk>
    <bk>
      <extLst>
        <ext uri="{3e2802c4-a4d2-4d8b-9148-e3be6c30e623}">
          <xlrd:rvb i="5481"/>
        </ext>
      </extLst>
    </bk>
    <bk>
      <extLst>
        <ext uri="{3e2802c4-a4d2-4d8b-9148-e3be6c30e623}">
          <xlrd:rvb i="5482"/>
        </ext>
      </extLst>
    </bk>
    <bk>
      <extLst>
        <ext uri="{3e2802c4-a4d2-4d8b-9148-e3be6c30e623}">
          <xlrd:rvb i="5483"/>
        </ext>
      </extLst>
    </bk>
    <bk>
      <extLst>
        <ext uri="{3e2802c4-a4d2-4d8b-9148-e3be6c30e623}">
          <xlrd:rvb i="5484"/>
        </ext>
      </extLst>
    </bk>
    <bk>
      <extLst>
        <ext uri="{3e2802c4-a4d2-4d8b-9148-e3be6c30e623}">
          <xlrd:rvb i="5485"/>
        </ext>
      </extLst>
    </bk>
    <bk>
      <extLst>
        <ext uri="{3e2802c4-a4d2-4d8b-9148-e3be6c30e623}">
          <xlrd:rvb i="5486"/>
        </ext>
      </extLst>
    </bk>
    <bk>
      <extLst>
        <ext uri="{3e2802c4-a4d2-4d8b-9148-e3be6c30e623}">
          <xlrd:rvb i="5487"/>
        </ext>
      </extLst>
    </bk>
    <bk>
      <extLst>
        <ext uri="{3e2802c4-a4d2-4d8b-9148-e3be6c30e623}">
          <xlrd:rvb i="5488"/>
        </ext>
      </extLst>
    </bk>
    <bk>
      <extLst>
        <ext uri="{3e2802c4-a4d2-4d8b-9148-e3be6c30e623}">
          <xlrd:rvb i="5489"/>
        </ext>
      </extLst>
    </bk>
    <bk>
      <extLst>
        <ext uri="{3e2802c4-a4d2-4d8b-9148-e3be6c30e623}">
          <xlrd:rvb i="5490"/>
        </ext>
      </extLst>
    </bk>
    <bk>
      <extLst>
        <ext uri="{3e2802c4-a4d2-4d8b-9148-e3be6c30e623}">
          <xlrd:rvb i="5491"/>
        </ext>
      </extLst>
    </bk>
    <bk>
      <extLst>
        <ext uri="{3e2802c4-a4d2-4d8b-9148-e3be6c30e623}">
          <xlrd:rvb i="5492"/>
        </ext>
      </extLst>
    </bk>
    <bk>
      <extLst>
        <ext uri="{3e2802c4-a4d2-4d8b-9148-e3be6c30e623}">
          <xlrd:rvb i="5493"/>
        </ext>
      </extLst>
    </bk>
    <bk>
      <extLst>
        <ext uri="{3e2802c4-a4d2-4d8b-9148-e3be6c30e623}">
          <xlrd:rvb i="5494"/>
        </ext>
      </extLst>
    </bk>
    <bk>
      <extLst>
        <ext uri="{3e2802c4-a4d2-4d8b-9148-e3be6c30e623}">
          <xlrd:rvb i="5495"/>
        </ext>
      </extLst>
    </bk>
    <bk>
      <extLst>
        <ext uri="{3e2802c4-a4d2-4d8b-9148-e3be6c30e623}">
          <xlrd:rvb i="5496"/>
        </ext>
      </extLst>
    </bk>
    <bk>
      <extLst>
        <ext uri="{3e2802c4-a4d2-4d8b-9148-e3be6c30e623}">
          <xlrd:rvb i="5497"/>
        </ext>
      </extLst>
    </bk>
    <bk>
      <extLst>
        <ext uri="{3e2802c4-a4d2-4d8b-9148-e3be6c30e623}">
          <xlrd:rvb i="5498"/>
        </ext>
      </extLst>
    </bk>
    <bk>
      <extLst>
        <ext uri="{3e2802c4-a4d2-4d8b-9148-e3be6c30e623}">
          <xlrd:rvb i="5499"/>
        </ext>
      </extLst>
    </bk>
    <bk>
      <extLst>
        <ext uri="{3e2802c4-a4d2-4d8b-9148-e3be6c30e623}">
          <xlrd:rvb i="5500"/>
        </ext>
      </extLst>
    </bk>
    <bk>
      <extLst>
        <ext uri="{3e2802c4-a4d2-4d8b-9148-e3be6c30e623}">
          <xlrd:rvb i="5501"/>
        </ext>
      </extLst>
    </bk>
    <bk>
      <extLst>
        <ext uri="{3e2802c4-a4d2-4d8b-9148-e3be6c30e623}">
          <xlrd:rvb i="5502"/>
        </ext>
      </extLst>
    </bk>
    <bk>
      <extLst>
        <ext uri="{3e2802c4-a4d2-4d8b-9148-e3be6c30e623}">
          <xlrd:rvb i="5503"/>
        </ext>
      </extLst>
    </bk>
    <bk>
      <extLst>
        <ext uri="{3e2802c4-a4d2-4d8b-9148-e3be6c30e623}">
          <xlrd:rvb i="5504"/>
        </ext>
      </extLst>
    </bk>
    <bk>
      <extLst>
        <ext uri="{3e2802c4-a4d2-4d8b-9148-e3be6c30e623}">
          <xlrd:rvb i="5505"/>
        </ext>
      </extLst>
    </bk>
    <bk>
      <extLst>
        <ext uri="{3e2802c4-a4d2-4d8b-9148-e3be6c30e623}">
          <xlrd:rvb i="5506"/>
        </ext>
      </extLst>
    </bk>
    <bk>
      <extLst>
        <ext uri="{3e2802c4-a4d2-4d8b-9148-e3be6c30e623}">
          <xlrd:rvb i="5507"/>
        </ext>
      </extLst>
    </bk>
    <bk>
      <extLst>
        <ext uri="{3e2802c4-a4d2-4d8b-9148-e3be6c30e623}">
          <xlrd:rvb i="5508"/>
        </ext>
      </extLst>
    </bk>
    <bk>
      <extLst>
        <ext uri="{3e2802c4-a4d2-4d8b-9148-e3be6c30e623}">
          <xlrd:rvb i="5509"/>
        </ext>
      </extLst>
    </bk>
    <bk>
      <extLst>
        <ext uri="{3e2802c4-a4d2-4d8b-9148-e3be6c30e623}">
          <xlrd:rvb i="5510"/>
        </ext>
      </extLst>
    </bk>
    <bk>
      <extLst>
        <ext uri="{3e2802c4-a4d2-4d8b-9148-e3be6c30e623}">
          <xlrd:rvb i="5511"/>
        </ext>
      </extLst>
    </bk>
    <bk>
      <extLst>
        <ext uri="{3e2802c4-a4d2-4d8b-9148-e3be6c30e623}">
          <xlrd:rvb i="5512"/>
        </ext>
      </extLst>
    </bk>
    <bk>
      <extLst>
        <ext uri="{3e2802c4-a4d2-4d8b-9148-e3be6c30e623}">
          <xlrd:rvb i="5513"/>
        </ext>
      </extLst>
    </bk>
    <bk>
      <extLst>
        <ext uri="{3e2802c4-a4d2-4d8b-9148-e3be6c30e623}">
          <xlrd:rvb i="5514"/>
        </ext>
      </extLst>
    </bk>
    <bk>
      <extLst>
        <ext uri="{3e2802c4-a4d2-4d8b-9148-e3be6c30e623}">
          <xlrd:rvb i="5515"/>
        </ext>
      </extLst>
    </bk>
    <bk>
      <extLst>
        <ext uri="{3e2802c4-a4d2-4d8b-9148-e3be6c30e623}">
          <xlrd:rvb i="5516"/>
        </ext>
      </extLst>
    </bk>
    <bk>
      <extLst>
        <ext uri="{3e2802c4-a4d2-4d8b-9148-e3be6c30e623}">
          <xlrd:rvb i="5517"/>
        </ext>
      </extLst>
    </bk>
    <bk>
      <extLst>
        <ext uri="{3e2802c4-a4d2-4d8b-9148-e3be6c30e623}">
          <xlrd:rvb i="5518"/>
        </ext>
      </extLst>
    </bk>
    <bk>
      <extLst>
        <ext uri="{3e2802c4-a4d2-4d8b-9148-e3be6c30e623}">
          <xlrd:rvb i="5519"/>
        </ext>
      </extLst>
    </bk>
    <bk>
      <extLst>
        <ext uri="{3e2802c4-a4d2-4d8b-9148-e3be6c30e623}">
          <xlrd:rvb i="5520"/>
        </ext>
      </extLst>
    </bk>
    <bk>
      <extLst>
        <ext uri="{3e2802c4-a4d2-4d8b-9148-e3be6c30e623}">
          <xlrd:rvb i="5521"/>
        </ext>
      </extLst>
    </bk>
    <bk>
      <extLst>
        <ext uri="{3e2802c4-a4d2-4d8b-9148-e3be6c30e623}">
          <xlrd:rvb i="5522"/>
        </ext>
      </extLst>
    </bk>
    <bk>
      <extLst>
        <ext uri="{3e2802c4-a4d2-4d8b-9148-e3be6c30e623}">
          <xlrd:rvb i="5523"/>
        </ext>
      </extLst>
    </bk>
    <bk>
      <extLst>
        <ext uri="{3e2802c4-a4d2-4d8b-9148-e3be6c30e623}">
          <xlrd:rvb i="5524"/>
        </ext>
      </extLst>
    </bk>
    <bk>
      <extLst>
        <ext uri="{3e2802c4-a4d2-4d8b-9148-e3be6c30e623}">
          <xlrd:rvb i="5525"/>
        </ext>
      </extLst>
    </bk>
    <bk>
      <extLst>
        <ext uri="{3e2802c4-a4d2-4d8b-9148-e3be6c30e623}">
          <xlrd:rvb i="5526"/>
        </ext>
      </extLst>
    </bk>
    <bk>
      <extLst>
        <ext uri="{3e2802c4-a4d2-4d8b-9148-e3be6c30e623}">
          <xlrd:rvb i="5527"/>
        </ext>
      </extLst>
    </bk>
    <bk>
      <extLst>
        <ext uri="{3e2802c4-a4d2-4d8b-9148-e3be6c30e623}">
          <xlrd:rvb i="5528"/>
        </ext>
      </extLst>
    </bk>
    <bk>
      <extLst>
        <ext uri="{3e2802c4-a4d2-4d8b-9148-e3be6c30e623}">
          <xlrd:rvb i="5529"/>
        </ext>
      </extLst>
    </bk>
    <bk>
      <extLst>
        <ext uri="{3e2802c4-a4d2-4d8b-9148-e3be6c30e623}">
          <xlrd:rvb i="5530"/>
        </ext>
      </extLst>
    </bk>
    <bk>
      <extLst>
        <ext uri="{3e2802c4-a4d2-4d8b-9148-e3be6c30e623}">
          <xlrd:rvb i="5531"/>
        </ext>
      </extLst>
    </bk>
    <bk>
      <extLst>
        <ext uri="{3e2802c4-a4d2-4d8b-9148-e3be6c30e623}">
          <xlrd:rvb i="5532"/>
        </ext>
      </extLst>
    </bk>
    <bk>
      <extLst>
        <ext uri="{3e2802c4-a4d2-4d8b-9148-e3be6c30e623}">
          <xlrd:rvb i="5533"/>
        </ext>
      </extLst>
    </bk>
    <bk>
      <extLst>
        <ext uri="{3e2802c4-a4d2-4d8b-9148-e3be6c30e623}">
          <xlrd:rvb i="5534"/>
        </ext>
      </extLst>
    </bk>
    <bk>
      <extLst>
        <ext uri="{3e2802c4-a4d2-4d8b-9148-e3be6c30e623}">
          <xlrd:rvb i="5535"/>
        </ext>
      </extLst>
    </bk>
    <bk>
      <extLst>
        <ext uri="{3e2802c4-a4d2-4d8b-9148-e3be6c30e623}">
          <xlrd:rvb i="5536"/>
        </ext>
      </extLst>
    </bk>
    <bk>
      <extLst>
        <ext uri="{3e2802c4-a4d2-4d8b-9148-e3be6c30e623}">
          <xlrd:rvb i="5537"/>
        </ext>
      </extLst>
    </bk>
    <bk>
      <extLst>
        <ext uri="{3e2802c4-a4d2-4d8b-9148-e3be6c30e623}">
          <xlrd:rvb i="5538"/>
        </ext>
      </extLst>
    </bk>
    <bk>
      <extLst>
        <ext uri="{3e2802c4-a4d2-4d8b-9148-e3be6c30e623}">
          <xlrd:rvb i="5539"/>
        </ext>
      </extLst>
    </bk>
    <bk>
      <extLst>
        <ext uri="{3e2802c4-a4d2-4d8b-9148-e3be6c30e623}">
          <xlrd:rvb i="5540"/>
        </ext>
      </extLst>
    </bk>
    <bk>
      <extLst>
        <ext uri="{3e2802c4-a4d2-4d8b-9148-e3be6c30e623}">
          <xlrd:rvb i="5541"/>
        </ext>
      </extLst>
    </bk>
    <bk>
      <extLst>
        <ext uri="{3e2802c4-a4d2-4d8b-9148-e3be6c30e623}">
          <xlrd:rvb i="5542"/>
        </ext>
      </extLst>
    </bk>
    <bk>
      <extLst>
        <ext uri="{3e2802c4-a4d2-4d8b-9148-e3be6c30e623}">
          <xlrd:rvb i="5543"/>
        </ext>
      </extLst>
    </bk>
    <bk>
      <extLst>
        <ext uri="{3e2802c4-a4d2-4d8b-9148-e3be6c30e623}">
          <xlrd:rvb i="5544"/>
        </ext>
      </extLst>
    </bk>
    <bk>
      <extLst>
        <ext uri="{3e2802c4-a4d2-4d8b-9148-e3be6c30e623}">
          <xlrd:rvb i="5545"/>
        </ext>
      </extLst>
    </bk>
    <bk>
      <extLst>
        <ext uri="{3e2802c4-a4d2-4d8b-9148-e3be6c30e623}">
          <xlrd:rvb i="5546"/>
        </ext>
      </extLst>
    </bk>
    <bk>
      <extLst>
        <ext uri="{3e2802c4-a4d2-4d8b-9148-e3be6c30e623}">
          <xlrd:rvb i="5547"/>
        </ext>
      </extLst>
    </bk>
    <bk>
      <extLst>
        <ext uri="{3e2802c4-a4d2-4d8b-9148-e3be6c30e623}">
          <xlrd:rvb i="5548"/>
        </ext>
      </extLst>
    </bk>
    <bk>
      <extLst>
        <ext uri="{3e2802c4-a4d2-4d8b-9148-e3be6c30e623}">
          <xlrd:rvb i="5549"/>
        </ext>
      </extLst>
    </bk>
    <bk>
      <extLst>
        <ext uri="{3e2802c4-a4d2-4d8b-9148-e3be6c30e623}">
          <xlrd:rvb i="5550"/>
        </ext>
      </extLst>
    </bk>
    <bk>
      <extLst>
        <ext uri="{3e2802c4-a4d2-4d8b-9148-e3be6c30e623}">
          <xlrd:rvb i="5551"/>
        </ext>
      </extLst>
    </bk>
    <bk>
      <extLst>
        <ext uri="{3e2802c4-a4d2-4d8b-9148-e3be6c30e623}">
          <xlrd:rvb i="5552"/>
        </ext>
      </extLst>
    </bk>
    <bk>
      <extLst>
        <ext uri="{3e2802c4-a4d2-4d8b-9148-e3be6c30e623}">
          <xlrd:rvb i="5553"/>
        </ext>
      </extLst>
    </bk>
    <bk>
      <extLst>
        <ext uri="{3e2802c4-a4d2-4d8b-9148-e3be6c30e623}">
          <xlrd:rvb i="5554"/>
        </ext>
      </extLst>
    </bk>
    <bk>
      <extLst>
        <ext uri="{3e2802c4-a4d2-4d8b-9148-e3be6c30e623}">
          <xlrd:rvb i="5555"/>
        </ext>
      </extLst>
    </bk>
    <bk>
      <extLst>
        <ext uri="{3e2802c4-a4d2-4d8b-9148-e3be6c30e623}">
          <xlrd:rvb i="5556"/>
        </ext>
      </extLst>
    </bk>
    <bk>
      <extLst>
        <ext uri="{3e2802c4-a4d2-4d8b-9148-e3be6c30e623}">
          <xlrd:rvb i="5557"/>
        </ext>
      </extLst>
    </bk>
    <bk>
      <extLst>
        <ext uri="{3e2802c4-a4d2-4d8b-9148-e3be6c30e623}">
          <xlrd:rvb i="5558"/>
        </ext>
      </extLst>
    </bk>
    <bk>
      <extLst>
        <ext uri="{3e2802c4-a4d2-4d8b-9148-e3be6c30e623}">
          <xlrd:rvb i="5559"/>
        </ext>
      </extLst>
    </bk>
    <bk>
      <extLst>
        <ext uri="{3e2802c4-a4d2-4d8b-9148-e3be6c30e623}">
          <xlrd:rvb i="5560"/>
        </ext>
      </extLst>
    </bk>
    <bk>
      <extLst>
        <ext uri="{3e2802c4-a4d2-4d8b-9148-e3be6c30e623}">
          <xlrd:rvb i="5561"/>
        </ext>
      </extLst>
    </bk>
    <bk>
      <extLst>
        <ext uri="{3e2802c4-a4d2-4d8b-9148-e3be6c30e623}">
          <xlrd:rvb i="5562"/>
        </ext>
      </extLst>
    </bk>
    <bk>
      <extLst>
        <ext uri="{3e2802c4-a4d2-4d8b-9148-e3be6c30e623}">
          <xlrd:rvb i="5563"/>
        </ext>
      </extLst>
    </bk>
    <bk>
      <extLst>
        <ext uri="{3e2802c4-a4d2-4d8b-9148-e3be6c30e623}">
          <xlrd:rvb i="5564"/>
        </ext>
      </extLst>
    </bk>
    <bk>
      <extLst>
        <ext uri="{3e2802c4-a4d2-4d8b-9148-e3be6c30e623}">
          <xlrd:rvb i="5565"/>
        </ext>
      </extLst>
    </bk>
    <bk>
      <extLst>
        <ext uri="{3e2802c4-a4d2-4d8b-9148-e3be6c30e623}">
          <xlrd:rvb i="5566"/>
        </ext>
      </extLst>
    </bk>
    <bk>
      <extLst>
        <ext uri="{3e2802c4-a4d2-4d8b-9148-e3be6c30e623}">
          <xlrd:rvb i="5567"/>
        </ext>
      </extLst>
    </bk>
    <bk>
      <extLst>
        <ext uri="{3e2802c4-a4d2-4d8b-9148-e3be6c30e623}">
          <xlrd:rvb i="5568"/>
        </ext>
      </extLst>
    </bk>
    <bk>
      <extLst>
        <ext uri="{3e2802c4-a4d2-4d8b-9148-e3be6c30e623}">
          <xlrd:rvb i="5569"/>
        </ext>
      </extLst>
    </bk>
    <bk>
      <extLst>
        <ext uri="{3e2802c4-a4d2-4d8b-9148-e3be6c30e623}">
          <xlrd:rvb i="5570"/>
        </ext>
      </extLst>
    </bk>
    <bk>
      <extLst>
        <ext uri="{3e2802c4-a4d2-4d8b-9148-e3be6c30e623}">
          <xlrd:rvb i="5571"/>
        </ext>
      </extLst>
    </bk>
    <bk>
      <extLst>
        <ext uri="{3e2802c4-a4d2-4d8b-9148-e3be6c30e623}">
          <xlrd:rvb i="5572"/>
        </ext>
      </extLst>
    </bk>
    <bk>
      <extLst>
        <ext uri="{3e2802c4-a4d2-4d8b-9148-e3be6c30e623}">
          <xlrd:rvb i="5573"/>
        </ext>
      </extLst>
    </bk>
    <bk>
      <extLst>
        <ext uri="{3e2802c4-a4d2-4d8b-9148-e3be6c30e623}">
          <xlrd:rvb i="5574"/>
        </ext>
      </extLst>
    </bk>
    <bk>
      <extLst>
        <ext uri="{3e2802c4-a4d2-4d8b-9148-e3be6c30e623}">
          <xlrd:rvb i="5575"/>
        </ext>
      </extLst>
    </bk>
    <bk>
      <extLst>
        <ext uri="{3e2802c4-a4d2-4d8b-9148-e3be6c30e623}">
          <xlrd:rvb i="5576"/>
        </ext>
      </extLst>
    </bk>
    <bk>
      <extLst>
        <ext uri="{3e2802c4-a4d2-4d8b-9148-e3be6c30e623}">
          <xlrd:rvb i="5577"/>
        </ext>
      </extLst>
    </bk>
    <bk>
      <extLst>
        <ext uri="{3e2802c4-a4d2-4d8b-9148-e3be6c30e623}">
          <xlrd:rvb i="5578"/>
        </ext>
      </extLst>
    </bk>
    <bk>
      <extLst>
        <ext uri="{3e2802c4-a4d2-4d8b-9148-e3be6c30e623}">
          <xlrd:rvb i="5579"/>
        </ext>
      </extLst>
    </bk>
    <bk>
      <extLst>
        <ext uri="{3e2802c4-a4d2-4d8b-9148-e3be6c30e623}">
          <xlrd:rvb i="5580"/>
        </ext>
      </extLst>
    </bk>
    <bk>
      <extLst>
        <ext uri="{3e2802c4-a4d2-4d8b-9148-e3be6c30e623}">
          <xlrd:rvb i="5581"/>
        </ext>
      </extLst>
    </bk>
    <bk>
      <extLst>
        <ext uri="{3e2802c4-a4d2-4d8b-9148-e3be6c30e623}">
          <xlrd:rvb i="5582"/>
        </ext>
      </extLst>
    </bk>
    <bk>
      <extLst>
        <ext uri="{3e2802c4-a4d2-4d8b-9148-e3be6c30e623}">
          <xlrd:rvb i="5583"/>
        </ext>
      </extLst>
    </bk>
    <bk>
      <extLst>
        <ext uri="{3e2802c4-a4d2-4d8b-9148-e3be6c30e623}">
          <xlrd:rvb i="5584"/>
        </ext>
      </extLst>
    </bk>
    <bk>
      <extLst>
        <ext uri="{3e2802c4-a4d2-4d8b-9148-e3be6c30e623}">
          <xlrd:rvb i="5585"/>
        </ext>
      </extLst>
    </bk>
    <bk>
      <extLst>
        <ext uri="{3e2802c4-a4d2-4d8b-9148-e3be6c30e623}">
          <xlrd:rvb i="5586"/>
        </ext>
      </extLst>
    </bk>
    <bk>
      <extLst>
        <ext uri="{3e2802c4-a4d2-4d8b-9148-e3be6c30e623}">
          <xlrd:rvb i="5587"/>
        </ext>
      </extLst>
    </bk>
    <bk>
      <extLst>
        <ext uri="{3e2802c4-a4d2-4d8b-9148-e3be6c30e623}">
          <xlrd:rvb i="5588"/>
        </ext>
      </extLst>
    </bk>
    <bk>
      <extLst>
        <ext uri="{3e2802c4-a4d2-4d8b-9148-e3be6c30e623}">
          <xlrd:rvb i="5589"/>
        </ext>
      </extLst>
    </bk>
    <bk>
      <extLst>
        <ext uri="{3e2802c4-a4d2-4d8b-9148-e3be6c30e623}">
          <xlrd:rvb i="5590"/>
        </ext>
      </extLst>
    </bk>
    <bk>
      <extLst>
        <ext uri="{3e2802c4-a4d2-4d8b-9148-e3be6c30e623}">
          <xlrd:rvb i="5591"/>
        </ext>
      </extLst>
    </bk>
    <bk>
      <extLst>
        <ext uri="{3e2802c4-a4d2-4d8b-9148-e3be6c30e623}">
          <xlrd:rvb i="5592"/>
        </ext>
      </extLst>
    </bk>
    <bk>
      <extLst>
        <ext uri="{3e2802c4-a4d2-4d8b-9148-e3be6c30e623}">
          <xlrd:rvb i="5593"/>
        </ext>
      </extLst>
    </bk>
    <bk>
      <extLst>
        <ext uri="{3e2802c4-a4d2-4d8b-9148-e3be6c30e623}">
          <xlrd:rvb i="5594"/>
        </ext>
      </extLst>
    </bk>
    <bk>
      <extLst>
        <ext uri="{3e2802c4-a4d2-4d8b-9148-e3be6c30e623}">
          <xlrd:rvb i="5595"/>
        </ext>
      </extLst>
    </bk>
    <bk>
      <extLst>
        <ext uri="{3e2802c4-a4d2-4d8b-9148-e3be6c30e623}">
          <xlrd:rvb i="5596"/>
        </ext>
      </extLst>
    </bk>
    <bk>
      <extLst>
        <ext uri="{3e2802c4-a4d2-4d8b-9148-e3be6c30e623}">
          <xlrd:rvb i="5597"/>
        </ext>
      </extLst>
    </bk>
    <bk>
      <extLst>
        <ext uri="{3e2802c4-a4d2-4d8b-9148-e3be6c30e623}">
          <xlrd:rvb i="5598"/>
        </ext>
      </extLst>
    </bk>
    <bk>
      <extLst>
        <ext uri="{3e2802c4-a4d2-4d8b-9148-e3be6c30e623}">
          <xlrd:rvb i="5599"/>
        </ext>
      </extLst>
    </bk>
    <bk>
      <extLst>
        <ext uri="{3e2802c4-a4d2-4d8b-9148-e3be6c30e623}">
          <xlrd:rvb i="5600"/>
        </ext>
      </extLst>
    </bk>
    <bk>
      <extLst>
        <ext uri="{3e2802c4-a4d2-4d8b-9148-e3be6c30e623}">
          <xlrd:rvb i="5601"/>
        </ext>
      </extLst>
    </bk>
    <bk>
      <extLst>
        <ext uri="{3e2802c4-a4d2-4d8b-9148-e3be6c30e623}">
          <xlrd:rvb i="5602"/>
        </ext>
      </extLst>
    </bk>
    <bk>
      <extLst>
        <ext uri="{3e2802c4-a4d2-4d8b-9148-e3be6c30e623}">
          <xlrd:rvb i="5603"/>
        </ext>
      </extLst>
    </bk>
    <bk>
      <extLst>
        <ext uri="{3e2802c4-a4d2-4d8b-9148-e3be6c30e623}">
          <xlrd:rvb i="5604"/>
        </ext>
      </extLst>
    </bk>
    <bk>
      <extLst>
        <ext uri="{3e2802c4-a4d2-4d8b-9148-e3be6c30e623}">
          <xlrd:rvb i="5605"/>
        </ext>
      </extLst>
    </bk>
    <bk>
      <extLst>
        <ext uri="{3e2802c4-a4d2-4d8b-9148-e3be6c30e623}">
          <xlrd:rvb i="5606"/>
        </ext>
      </extLst>
    </bk>
    <bk>
      <extLst>
        <ext uri="{3e2802c4-a4d2-4d8b-9148-e3be6c30e623}">
          <xlrd:rvb i="5607"/>
        </ext>
      </extLst>
    </bk>
    <bk>
      <extLst>
        <ext uri="{3e2802c4-a4d2-4d8b-9148-e3be6c30e623}">
          <xlrd:rvb i="5608"/>
        </ext>
      </extLst>
    </bk>
    <bk>
      <extLst>
        <ext uri="{3e2802c4-a4d2-4d8b-9148-e3be6c30e623}">
          <xlrd:rvb i="5609"/>
        </ext>
      </extLst>
    </bk>
    <bk>
      <extLst>
        <ext uri="{3e2802c4-a4d2-4d8b-9148-e3be6c30e623}">
          <xlrd:rvb i="5610"/>
        </ext>
      </extLst>
    </bk>
    <bk>
      <extLst>
        <ext uri="{3e2802c4-a4d2-4d8b-9148-e3be6c30e623}">
          <xlrd:rvb i="5611"/>
        </ext>
      </extLst>
    </bk>
    <bk>
      <extLst>
        <ext uri="{3e2802c4-a4d2-4d8b-9148-e3be6c30e623}">
          <xlrd:rvb i="5612"/>
        </ext>
      </extLst>
    </bk>
    <bk>
      <extLst>
        <ext uri="{3e2802c4-a4d2-4d8b-9148-e3be6c30e623}">
          <xlrd:rvb i="5613"/>
        </ext>
      </extLst>
    </bk>
    <bk>
      <extLst>
        <ext uri="{3e2802c4-a4d2-4d8b-9148-e3be6c30e623}">
          <xlrd:rvb i="5614"/>
        </ext>
      </extLst>
    </bk>
    <bk>
      <extLst>
        <ext uri="{3e2802c4-a4d2-4d8b-9148-e3be6c30e623}">
          <xlrd:rvb i="5615"/>
        </ext>
      </extLst>
    </bk>
    <bk>
      <extLst>
        <ext uri="{3e2802c4-a4d2-4d8b-9148-e3be6c30e623}">
          <xlrd:rvb i="5616"/>
        </ext>
      </extLst>
    </bk>
    <bk>
      <extLst>
        <ext uri="{3e2802c4-a4d2-4d8b-9148-e3be6c30e623}">
          <xlrd:rvb i="5617"/>
        </ext>
      </extLst>
    </bk>
    <bk>
      <extLst>
        <ext uri="{3e2802c4-a4d2-4d8b-9148-e3be6c30e623}">
          <xlrd:rvb i="5618"/>
        </ext>
      </extLst>
    </bk>
    <bk>
      <extLst>
        <ext uri="{3e2802c4-a4d2-4d8b-9148-e3be6c30e623}">
          <xlrd:rvb i="5619"/>
        </ext>
      </extLst>
    </bk>
    <bk>
      <extLst>
        <ext uri="{3e2802c4-a4d2-4d8b-9148-e3be6c30e623}">
          <xlrd:rvb i="5620"/>
        </ext>
      </extLst>
    </bk>
    <bk>
      <extLst>
        <ext uri="{3e2802c4-a4d2-4d8b-9148-e3be6c30e623}">
          <xlrd:rvb i="5621"/>
        </ext>
      </extLst>
    </bk>
    <bk>
      <extLst>
        <ext uri="{3e2802c4-a4d2-4d8b-9148-e3be6c30e623}">
          <xlrd:rvb i="5622"/>
        </ext>
      </extLst>
    </bk>
    <bk>
      <extLst>
        <ext uri="{3e2802c4-a4d2-4d8b-9148-e3be6c30e623}">
          <xlrd:rvb i="5623"/>
        </ext>
      </extLst>
    </bk>
    <bk>
      <extLst>
        <ext uri="{3e2802c4-a4d2-4d8b-9148-e3be6c30e623}">
          <xlrd:rvb i="5624"/>
        </ext>
      </extLst>
    </bk>
    <bk>
      <extLst>
        <ext uri="{3e2802c4-a4d2-4d8b-9148-e3be6c30e623}">
          <xlrd:rvb i="5625"/>
        </ext>
      </extLst>
    </bk>
    <bk>
      <extLst>
        <ext uri="{3e2802c4-a4d2-4d8b-9148-e3be6c30e623}">
          <xlrd:rvb i="5626"/>
        </ext>
      </extLst>
    </bk>
    <bk>
      <extLst>
        <ext uri="{3e2802c4-a4d2-4d8b-9148-e3be6c30e623}">
          <xlrd:rvb i="5627"/>
        </ext>
      </extLst>
    </bk>
    <bk>
      <extLst>
        <ext uri="{3e2802c4-a4d2-4d8b-9148-e3be6c30e623}">
          <xlrd:rvb i="5628"/>
        </ext>
      </extLst>
    </bk>
    <bk>
      <extLst>
        <ext uri="{3e2802c4-a4d2-4d8b-9148-e3be6c30e623}">
          <xlrd:rvb i="5629"/>
        </ext>
      </extLst>
    </bk>
    <bk>
      <extLst>
        <ext uri="{3e2802c4-a4d2-4d8b-9148-e3be6c30e623}">
          <xlrd:rvb i="5630"/>
        </ext>
      </extLst>
    </bk>
    <bk>
      <extLst>
        <ext uri="{3e2802c4-a4d2-4d8b-9148-e3be6c30e623}">
          <xlrd:rvb i="5631"/>
        </ext>
      </extLst>
    </bk>
    <bk>
      <extLst>
        <ext uri="{3e2802c4-a4d2-4d8b-9148-e3be6c30e623}">
          <xlrd:rvb i="5632"/>
        </ext>
      </extLst>
    </bk>
    <bk>
      <extLst>
        <ext uri="{3e2802c4-a4d2-4d8b-9148-e3be6c30e623}">
          <xlrd:rvb i="5633"/>
        </ext>
      </extLst>
    </bk>
    <bk>
      <extLst>
        <ext uri="{3e2802c4-a4d2-4d8b-9148-e3be6c30e623}">
          <xlrd:rvb i="5634"/>
        </ext>
      </extLst>
    </bk>
    <bk>
      <extLst>
        <ext uri="{3e2802c4-a4d2-4d8b-9148-e3be6c30e623}">
          <xlrd:rvb i="5635"/>
        </ext>
      </extLst>
    </bk>
    <bk>
      <extLst>
        <ext uri="{3e2802c4-a4d2-4d8b-9148-e3be6c30e623}">
          <xlrd:rvb i="5636"/>
        </ext>
      </extLst>
    </bk>
    <bk>
      <extLst>
        <ext uri="{3e2802c4-a4d2-4d8b-9148-e3be6c30e623}">
          <xlrd:rvb i="5637"/>
        </ext>
      </extLst>
    </bk>
    <bk>
      <extLst>
        <ext uri="{3e2802c4-a4d2-4d8b-9148-e3be6c30e623}">
          <xlrd:rvb i="5638"/>
        </ext>
      </extLst>
    </bk>
    <bk>
      <extLst>
        <ext uri="{3e2802c4-a4d2-4d8b-9148-e3be6c30e623}">
          <xlrd:rvb i="5639"/>
        </ext>
      </extLst>
    </bk>
    <bk>
      <extLst>
        <ext uri="{3e2802c4-a4d2-4d8b-9148-e3be6c30e623}">
          <xlrd:rvb i="5640"/>
        </ext>
      </extLst>
    </bk>
    <bk>
      <extLst>
        <ext uri="{3e2802c4-a4d2-4d8b-9148-e3be6c30e623}">
          <xlrd:rvb i="5641"/>
        </ext>
      </extLst>
    </bk>
    <bk>
      <extLst>
        <ext uri="{3e2802c4-a4d2-4d8b-9148-e3be6c30e623}">
          <xlrd:rvb i="5642"/>
        </ext>
      </extLst>
    </bk>
    <bk>
      <extLst>
        <ext uri="{3e2802c4-a4d2-4d8b-9148-e3be6c30e623}">
          <xlrd:rvb i="5643"/>
        </ext>
      </extLst>
    </bk>
    <bk>
      <extLst>
        <ext uri="{3e2802c4-a4d2-4d8b-9148-e3be6c30e623}">
          <xlrd:rvb i="5644"/>
        </ext>
      </extLst>
    </bk>
    <bk>
      <extLst>
        <ext uri="{3e2802c4-a4d2-4d8b-9148-e3be6c30e623}">
          <xlrd:rvb i="5645"/>
        </ext>
      </extLst>
    </bk>
    <bk>
      <extLst>
        <ext uri="{3e2802c4-a4d2-4d8b-9148-e3be6c30e623}">
          <xlrd:rvb i="5646"/>
        </ext>
      </extLst>
    </bk>
    <bk>
      <extLst>
        <ext uri="{3e2802c4-a4d2-4d8b-9148-e3be6c30e623}">
          <xlrd:rvb i="5647"/>
        </ext>
      </extLst>
    </bk>
    <bk>
      <extLst>
        <ext uri="{3e2802c4-a4d2-4d8b-9148-e3be6c30e623}">
          <xlrd:rvb i="5648"/>
        </ext>
      </extLst>
    </bk>
    <bk>
      <extLst>
        <ext uri="{3e2802c4-a4d2-4d8b-9148-e3be6c30e623}">
          <xlrd:rvb i="5649"/>
        </ext>
      </extLst>
    </bk>
    <bk>
      <extLst>
        <ext uri="{3e2802c4-a4d2-4d8b-9148-e3be6c30e623}">
          <xlrd:rvb i="5650"/>
        </ext>
      </extLst>
    </bk>
    <bk>
      <extLst>
        <ext uri="{3e2802c4-a4d2-4d8b-9148-e3be6c30e623}">
          <xlrd:rvb i="5651"/>
        </ext>
      </extLst>
    </bk>
    <bk>
      <extLst>
        <ext uri="{3e2802c4-a4d2-4d8b-9148-e3be6c30e623}">
          <xlrd:rvb i="5652"/>
        </ext>
      </extLst>
    </bk>
    <bk>
      <extLst>
        <ext uri="{3e2802c4-a4d2-4d8b-9148-e3be6c30e623}">
          <xlrd:rvb i="5653"/>
        </ext>
      </extLst>
    </bk>
    <bk>
      <extLst>
        <ext uri="{3e2802c4-a4d2-4d8b-9148-e3be6c30e623}">
          <xlrd:rvb i="5654"/>
        </ext>
      </extLst>
    </bk>
    <bk>
      <extLst>
        <ext uri="{3e2802c4-a4d2-4d8b-9148-e3be6c30e623}">
          <xlrd:rvb i="5655"/>
        </ext>
      </extLst>
    </bk>
    <bk>
      <extLst>
        <ext uri="{3e2802c4-a4d2-4d8b-9148-e3be6c30e623}">
          <xlrd:rvb i="5656"/>
        </ext>
      </extLst>
    </bk>
    <bk>
      <extLst>
        <ext uri="{3e2802c4-a4d2-4d8b-9148-e3be6c30e623}">
          <xlrd:rvb i="5657"/>
        </ext>
      </extLst>
    </bk>
    <bk>
      <extLst>
        <ext uri="{3e2802c4-a4d2-4d8b-9148-e3be6c30e623}">
          <xlrd:rvb i="5658"/>
        </ext>
      </extLst>
    </bk>
    <bk>
      <extLst>
        <ext uri="{3e2802c4-a4d2-4d8b-9148-e3be6c30e623}">
          <xlrd:rvb i="5659"/>
        </ext>
      </extLst>
    </bk>
    <bk>
      <extLst>
        <ext uri="{3e2802c4-a4d2-4d8b-9148-e3be6c30e623}">
          <xlrd:rvb i="5660"/>
        </ext>
      </extLst>
    </bk>
    <bk>
      <extLst>
        <ext uri="{3e2802c4-a4d2-4d8b-9148-e3be6c30e623}">
          <xlrd:rvb i="5661"/>
        </ext>
      </extLst>
    </bk>
    <bk>
      <extLst>
        <ext uri="{3e2802c4-a4d2-4d8b-9148-e3be6c30e623}">
          <xlrd:rvb i="5662"/>
        </ext>
      </extLst>
    </bk>
    <bk>
      <extLst>
        <ext uri="{3e2802c4-a4d2-4d8b-9148-e3be6c30e623}">
          <xlrd:rvb i="5663"/>
        </ext>
      </extLst>
    </bk>
    <bk>
      <extLst>
        <ext uri="{3e2802c4-a4d2-4d8b-9148-e3be6c30e623}">
          <xlrd:rvb i="5664"/>
        </ext>
      </extLst>
    </bk>
    <bk>
      <extLst>
        <ext uri="{3e2802c4-a4d2-4d8b-9148-e3be6c30e623}">
          <xlrd:rvb i="5665"/>
        </ext>
      </extLst>
    </bk>
    <bk>
      <extLst>
        <ext uri="{3e2802c4-a4d2-4d8b-9148-e3be6c30e623}">
          <xlrd:rvb i="5666"/>
        </ext>
      </extLst>
    </bk>
    <bk>
      <extLst>
        <ext uri="{3e2802c4-a4d2-4d8b-9148-e3be6c30e623}">
          <xlrd:rvb i="5667"/>
        </ext>
      </extLst>
    </bk>
    <bk>
      <extLst>
        <ext uri="{3e2802c4-a4d2-4d8b-9148-e3be6c30e623}">
          <xlrd:rvb i="5668"/>
        </ext>
      </extLst>
    </bk>
    <bk>
      <extLst>
        <ext uri="{3e2802c4-a4d2-4d8b-9148-e3be6c30e623}">
          <xlrd:rvb i="5669"/>
        </ext>
      </extLst>
    </bk>
    <bk>
      <extLst>
        <ext uri="{3e2802c4-a4d2-4d8b-9148-e3be6c30e623}">
          <xlrd:rvb i="5670"/>
        </ext>
      </extLst>
    </bk>
    <bk>
      <extLst>
        <ext uri="{3e2802c4-a4d2-4d8b-9148-e3be6c30e623}">
          <xlrd:rvb i="5671"/>
        </ext>
      </extLst>
    </bk>
    <bk>
      <extLst>
        <ext uri="{3e2802c4-a4d2-4d8b-9148-e3be6c30e623}">
          <xlrd:rvb i="5672"/>
        </ext>
      </extLst>
    </bk>
    <bk>
      <extLst>
        <ext uri="{3e2802c4-a4d2-4d8b-9148-e3be6c30e623}">
          <xlrd:rvb i="5673"/>
        </ext>
      </extLst>
    </bk>
    <bk>
      <extLst>
        <ext uri="{3e2802c4-a4d2-4d8b-9148-e3be6c30e623}">
          <xlrd:rvb i="5674"/>
        </ext>
      </extLst>
    </bk>
    <bk>
      <extLst>
        <ext uri="{3e2802c4-a4d2-4d8b-9148-e3be6c30e623}">
          <xlrd:rvb i="5675"/>
        </ext>
      </extLst>
    </bk>
    <bk>
      <extLst>
        <ext uri="{3e2802c4-a4d2-4d8b-9148-e3be6c30e623}">
          <xlrd:rvb i="5676"/>
        </ext>
      </extLst>
    </bk>
    <bk>
      <extLst>
        <ext uri="{3e2802c4-a4d2-4d8b-9148-e3be6c30e623}">
          <xlrd:rvb i="5677"/>
        </ext>
      </extLst>
    </bk>
    <bk>
      <extLst>
        <ext uri="{3e2802c4-a4d2-4d8b-9148-e3be6c30e623}">
          <xlrd:rvb i="5678"/>
        </ext>
      </extLst>
    </bk>
    <bk>
      <extLst>
        <ext uri="{3e2802c4-a4d2-4d8b-9148-e3be6c30e623}">
          <xlrd:rvb i="5679"/>
        </ext>
      </extLst>
    </bk>
    <bk>
      <extLst>
        <ext uri="{3e2802c4-a4d2-4d8b-9148-e3be6c30e623}">
          <xlrd:rvb i="5680"/>
        </ext>
      </extLst>
    </bk>
    <bk>
      <extLst>
        <ext uri="{3e2802c4-a4d2-4d8b-9148-e3be6c30e623}">
          <xlrd:rvb i="5681"/>
        </ext>
      </extLst>
    </bk>
    <bk>
      <extLst>
        <ext uri="{3e2802c4-a4d2-4d8b-9148-e3be6c30e623}">
          <xlrd:rvb i="5682"/>
        </ext>
      </extLst>
    </bk>
    <bk>
      <extLst>
        <ext uri="{3e2802c4-a4d2-4d8b-9148-e3be6c30e623}">
          <xlrd:rvb i="5683"/>
        </ext>
      </extLst>
    </bk>
    <bk>
      <extLst>
        <ext uri="{3e2802c4-a4d2-4d8b-9148-e3be6c30e623}">
          <xlrd:rvb i="5684"/>
        </ext>
      </extLst>
    </bk>
    <bk>
      <extLst>
        <ext uri="{3e2802c4-a4d2-4d8b-9148-e3be6c30e623}">
          <xlrd:rvb i="5685"/>
        </ext>
      </extLst>
    </bk>
    <bk>
      <extLst>
        <ext uri="{3e2802c4-a4d2-4d8b-9148-e3be6c30e623}">
          <xlrd:rvb i="5686"/>
        </ext>
      </extLst>
    </bk>
    <bk>
      <extLst>
        <ext uri="{3e2802c4-a4d2-4d8b-9148-e3be6c30e623}">
          <xlrd:rvb i="5687"/>
        </ext>
      </extLst>
    </bk>
    <bk>
      <extLst>
        <ext uri="{3e2802c4-a4d2-4d8b-9148-e3be6c30e623}">
          <xlrd:rvb i="5688"/>
        </ext>
      </extLst>
    </bk>
    <bk>
      <extLst>
        <ext uri="{3e2802c4-a4d2-4d8b-9148-e3be6c30e623}">
          <xlrd:rvb i="5689"/>
        </ext>
      </extLst>
    </bk>
    <bk>
      <extLst>
        <ext uri="{3e2802c4-a4d2-4d8b-9148-e3be6c30e623}">
          <xlrd:rvb i="5690"/>
        </ext>
      </extLst>
    </bk>
    <bk>
      <extLst>
        <ext uri="{3e2802c4-a4d2-4d8b-9148-e3be6c30e623}">
          <xlrd:rvb i="5691"/>
        </ext>
      </extLst>
    </bk>
    <bk>
      <extLst>
        <ext uri="{3e2802c4-a4d2-4d8b-9148-e3be6c30e623}">
          <xlrd:rvb i="5692"/>
        </ext>
      </extLst>
    </bk>
    <bk>
      <extLst>
        <ext uri="{3e2802c4-a4d2-4d8b-9148-e3be6c30e623}">
          <xlrd:rvb i="5693"/>
        </ext>
      </extLst>
    </bk>
    <bk>
      <extLst>
        <ext uri="{3e2802c4-a4d2-4d8b-9148-e3be6c30e623}">
          <xlrd:rvb i="5694"/>
        </ext>
      </extLst>
    </bk>
    <bk>
      <extLst>
        <ext uri="{3e2802c4-a4d2-4d8b-9148-e3be6c30e623}">
          <xlrd:rvb i="5695"/>
        </ext>
      </extLst>
    </bk>
    <bk>
      <extLst>
        <ext uri="{3e2802c4-a4d2-4d8b-9148-e3be6c30e623}">
          <xlrd:rvb i="5696"/>
        </ext>
      </extLst>
    </bk>
    <bk>
      <extLst>
        <ext uri="{3e2802c4-a4d2-4d8b-9148-e3be6c30e623}">
          <xlrd:rvb i="5697"/>
        </ext>
      </extLst>
    </bk>
    <bk>
      <extLst>
        <ext uri="{3e2802c4-a4d2-4d8b-9148-e3be6c30e623}">
          <xlrd:rvb i="5698"/>
        </ext>
      </extLst>
    </bk>
    <bk>
      <extLst>
        <ext uri="{3e2802c4-a4d2-4d8b-9148-e3be6c30e623}">
          <xlrd:rvb i="5699"/>
        </ext>
      </extLst>
    </bk>
    <bk>
      <extLst>
        <ext uri="{3e2802c4-a4d2-4d8b-9148-e3be6c30e623}">
          <xlrd:rvb i="5700"/>
        </ext>
      </extLst>
    </bk>
    <bk>
      <extLst>
        <ext uri="{3e2802c4-a4d2-4d8b-9148-e3be6c30e623}">
          <xlrd:rvb i="5701"/>
        </ext>
      </extLst>
    </bk>
    <bk>
      <extLst>
        <ext uri="{3e2802c4-a4d2-4d8b-9148-e3be6c30e623}">
          <xlrd:rvb i="5702"/>
        </ext>
      </extLst>
    </bk>
    <bk>
      <extLst>
        <ext uri="{3e2802c4-a4d2-4d8b-9148-e3be6c30e623}">
          <xlrd:rvb i="5703"/>
        </ext>
      </extLst>
    </bk>
    <bk>
      <extLst>
        <ext uri="{3e2802c4-a4d2-4d8b-9148-e3be6c30e623}">
          <xlrd:rvb i="5704"/>
        </ext>
      </extLst>
    </bk>
    <bk>
      <extLst>
        <ext uri="{3e2802c4-a4d2-4d8b-9148-e3be6c30e623}">
          <xlrd:rvb i="5705"/>
        </ext>
      </extLst>
    </bk>
    <bk>
      <extLst>
        <ext uri="{3e2802c4-a4d2-4d8b-9148-e3be6c30e623}">
          <xlrd:rvb i="5706"/>
        </ext>
      </extLst>
    </bk>
    <bk>
      <extLst>
        <ext uri="{3e2802c4-a4d2-4d8b-9148-e3be6c30e623}">
          <xlrd:rvb i="5707"/>
        </ext>
      </extLst>
    </bk>
    <bk>
      <extLst>
        <ext uri="{3e2802c4-a4d2-4d8b-9148-e3be6c30e623}">
          <xlrd:rvb i="5708"/>
        </ext>
      </extLst>
    </bk>
    <bk>
      <extLst>
        <ext uri="{3e2802c4-a4d2-4d8b-9148-e3be6c30e623}">
          <xlrd:rvb i="5709"/>
        </ext>
      </extLst>
    </bk>
    <bk>
      <extLst>
        <ext uri="{3e2802c4-a4d2-4d8b-9148-e3be6c30e623}">
          <xlrd:rvb i="5710"/>
        </ext>
      </extLst>
    </bk>
    <bk>
      <extLst>
        <ext uri="{3e2802c4-a4d2-4d8b-9148-e3be6c30e623}">
          <xlrd:rvb i="5711"/>
        </ext>
      </extLst>
    </bk>
    <bk>
      <extLst>
        <ext uri="{3e2802c4-a4d2-4d8b-9148-e3be6c30e623}">
          <xlrd:rvb i="5712"/>
        </ext>
      </extLst>
    </bk>
    <bk>
      <extLst>
        <ext uri="{3e2802c4-a4d2-4d8b-9148-e3be6c30e623}">
          <xlrd:rvb i="5713"/>
        </ext>
      </extLst>
    </bk>
    <bk>
      <extLst>
        <ext uri="{3e2802c4-a4d2-4d8b-9148-e3be6c30e623}">
          <xlrd:rvb i="5714"/>
        </ext>
      </extLst>
    </bk>
    <bk>
      <extLst>
        <ext uri="{3e2802c4-a4d2-4d8b-9148-e3be6c30e623}">
          <xlrd:rvb i="5715"/>
        </ext>
      </extLst>
    </bk>
    <bk>
      <extLst>
        <ext uri="{3e2802c4-a4d2-4d8b-9148-e3be6c30e623}">
          <xlrd:rvb i="5716"/>
        </ext>
      </extLst>
    </bk>
    <bk>
      <extLst>
        <ext uri="{3e2802c4-a4d2-4d8b-9148-e3be6c30e623}">
          <xlrd:rvb i="5717"/>
        </ext>
      </extLst>
    </bk>
    <bk>
      <extLst>
        <ext uri="{3e2802c4-a4d2-4d8b-9148-e3be6c30e623}">
          <xlrd:rvb i="5718"/>
        </ext>
      </extLst>
    </bk>
    <bk>
      <extLst>
        <ext uri="{3e2802c4-a4d2-4d8b-9148-e3be6c30e623}">
          <xlrd:rvb i="5719"/>
        </ext>
      </extLst>
    </bk>
    <bk>
      <extLst>
        <ext uri="{3e2802c4-a4d2-4d8b-9148-e3be6c30e623}">
          <xlrd:rvb i="5720"/>
        </ext>
      </extLst>
    </bk>
    <bk>
      <extLst>
        <ext uri="{3e2802c4-a4d2-4d8b-9148-e3be6c30e623}">
          <xlrd:rvb i="5721"/>
        </ext>
      </extLst>
    </bk>
    <bk>
      <extLst>
        <ext uri="{3e2802c4-a4d2-4d8b-9148-e3be6c30e623}">
          <xlrd:rvb i="5722"/>
        </ext>
      </extLst>
    </bk>
    <bk>
      <extLst>
        <ext uri="{3e2802c4-a4d2-4d8b-9148-e3be6c30e623}">
          <xlrd:rvb i="5723"/>
        </ext>
      </extLst>
    </bk>
    <bk>
      <extLst>
        <ext uri="{3e2802c4-a4d2-4d8b-9148-e3be6c30e623}">
          <xlrd:rvb i="5724"/>
        </ext>
      </extLst>
    </bk>
    <bk>
      <extLst>
        <ext uri="{3e2802c4-a4d2-4d8b-9148-e3be6c30e623}">
          <xlrd:rvb i="5725"/>
        </ext>
      </extLst>
    </bk>
    <bk>
      <extLst>
        <ext uri="{3e2802c4-a4d2-4d8b-9148-e3be6c30e623}">
          <xlrd:rvb i="5726"/>
        </ext>
      </extLst>
    </bk>
    <bk>
      <extLst>
        <ext uri="{3e2802c4-a4d2-4d8b-9148-e3be6c30e623}">
          <xlrd:rvb i="5727"/>
        </ext>
      </extLst>
    </bk>
    <bk>
      <extLst>
        <ext uri="{3e2802c4-a4d2-4d8b-9148-e3be6c30e623}">
          <xlrd:rvb i="5728"/>
        </ext>
      </extLst>
    </bk>
    <bk>
      <extLst>
        <ext uri="{3e2802c4-a4d2-4d8b-9148-e3be6c30e623}">
          <xlrd:rvb i="5729"/>
        </ext>
      </extLst>
    </bk>
    <bk>
      <extLst>
        <ext uri="{3e2802c4-a4d2-4d8b-9148-e3be6c30e623}">
          <xlrd:rvb i="5730"/>
        </ext>
      </extLst>
    </bk>
    <bk>
      <extLst>
        <ext uri="{3e2802c4-a4d2-4d8b-9148-e3be6c30e623}">
          <xlrd:rvb i="5731"/>
        </ext>
      </extLst>
    </bk>
    <bk>
      <extLst>
        <ext uri="{3e2802c4-a4d2-4d8b-9148-e3be6c30e623}">
          <xlrd:rvb i="5732"/>
        </ext>
      </extLst>
    </bk>
    <bk>
      <extLst>
        <ext uri="{3e2802c4-a4d2-4d8b-9148-e3be6c30e623}">
          <xlrd:rvb i="5733"/>
        </ext>
      </extLst>
    </bk>
    <bk>
      <extLst>
        <ext uri="{3e2802c4-a4d2-4d8b-9148-e3be6c30e623}">
          <xlrd:rvb i="5734"/>
        </ext>
      </extLst>
    </bk>
    <bk>
      <extLst>
        <ext uri="{3e2802c4-a4d2-4d8b-9148-e3be6c30e623}">
          <xlrd:rvb i="5735"/>
        </ext>
      </extLst>
    </bk>
    <bk>
      <extLst>
        <ext uri="{3e2802c4-a4d2-4d8b-9148-e3be6c30e623}">
          <xlrd:rvb i="5736"/>
        </ext>
      </extLst>
    </bk>
    <bk>
      <extLst>
        <ext uri="{3e2802c4-a4d2-4d8b-9148-e3be6c30e623}">
          <xlrd:rvb i="5737"/>
        </ext>
      </extLst>
    </bk>
    <bk>
      <extLst>
        <ext uri="{3e2802c4-a4d2-4d8b-9148-e3be6c30e623}">
          <xlrd:rvb i="5738"/>
        </ext>
      </extLst>
    </bk>
    <bk>
      <extLst>
        <ext uri="{3e2802c4-a4d2-4d8b-9148-e3be6c30e623}">
          <xlrd:rvb i="5739"/>
        </ext>
      </extLst>
    </bk>
    <bk>
      <extLst>
        <ext uri="{3e2802c4-a4d2-4d8b-9148-e3be6c30e623}">
          <xlrd:rvb i="5740"/>
        </ext>
      </extLst>
    </bk>
    <bk>
      <extLst>
        <ext uri="{3e2802c4-a4d2-4d8b-9148-e3be6c30e623}">
          <xlrd:rvb i="5741"/>
        </ext>
      </extLst>
    </bk>
    <bk>
      <extLst>
        <ext uri="{3e2802c4-a4d2-4d8b-9148-e3be6c30e623}">
          <xlrd:rvb i="5742"/>
        </ext>
      </extLst>
    </bk>
    <bk>
      <extLst>
        <ext uri="{3e2802c4-a4d2-4d8b-9148-e3be6c30e623}">
          <xlrd:rvb i="5743"/>
        </ext>
      </extLst>
    </bk>
    <bk>
      <extLst>
        <ext uri="{3e2802c4-a4d2-4d8b-9148-e3be6c30e623}">
          <xlrd:rvb i="5744"/>
        </ext>
      </extLst>
    </bk>
    <bk>
      <extLst>
        <ext uri="{3e2802c4-a4d2-4d8b-9148-e3be6c30e623}">
          <xlrd:rvb i="5745"/>
        </ext>
      </extLst>
    </bk>
    <bk>
      <extLst>
        <ext uri="{3e2802c4-a4d2-4d8b-9148-e3be6c30e623}">
          <xlrd:rvb i="5746"/>
        </ext>
      </extLst>
    </bk>
    <bk>
      <extLst>
        <ext uri="{3e2802c4-a4d2-4d8b-9148-e3be6c30e623}">
          <xlrd:rvb i="5747"/>
        </ext>
      </extLst>
    </bk>
    <bk>
      <extLst>
        <ext uri="{3e2802c4-a4d2-4d8b-9148-e3be6c30e623}">
          <xlrd:rvb i="5748"/>
        </ext>
      </extLst>
    </bk>
    <bk>
      <extLst>
        <ext uri="{3e2802c4-a4d2-4d8b-9148-e3be6c30e623}">
          <xlrd:rvb i="5749"/>
        </ext>
      </extLst>
    </bk>
    <bk>
      <extLst>
        <ext uri="{3e2802c4-a4d2-4d8b-9148-e3be6c30e623}">
          <xlrd:rvb i="5750"/>
        </ext>
      </extLst>
    </bk>
    <bk>
      <extLst>
        <ext uri="{3e2802c4-a4d2-4d8b-9148-e3be6c30e623}">
          <xlrd:rvb i="5751"/>
        </ext>
      </extLst>
    </bk>
    <bk>
      <extLst>
        <ext uri="{3e2802c4-a4d2-4d8b-9148-e3be6c30e623}">
          <xlrd:rvb i="5752"/>
        </ext>
      </extLst>
    </bk>
    <bk>
      <extLst>
        <ext uri="{3e2802c4-a4d2-4d8b-9148-e3be6c30e623}">
          <xlrd:rvb i="5753"/>
        </ext>
      </extLst>
    </bk>
    <bk>
      <extLst>
        <ext uri="{3e2802c4-a4d2-4d8b-9148-e3be6c30e623}">
          <xlrd:rvb i="5754"/>
        </ext>
      </extLst>
    </bk>
    <bk>
      <extLst>
        <ext uri="{3e2802c4-a4d2-4d8b-9148-e3be6c30e623}">
          <xlrd:rvb i="5755"/>
        </ext>
      </extLst>
    </bk>
    <bk>
      <extLst>
        <ext uri="{3e2802c4-a4d2-4d8b-9148-e3be6c30e623}">
          <xlrd:rvb i="5756"/>
        </ext>
      </extLst>
    </bk>
    <bk>
      <extLst>
        <ext uri="{3e2802c4-a4d2-4d8b-9148-e3be6c30e623}">
          <xlrd:rvb i="5757"/>
        </ext>
      </extLst>
    </bk>
    <bk>
      <extLst>
        <ext uri="{3e2802c4-a4d2-4d8b-9148-e3be6c30e623}">
          <xlrd:rvb i="5758"/>
        </ext>
      </extLst>
    </bk>
    <bk>
      <extLst>
        <ext uri="{3e2802c4-a4d2-4d8b-9148-e3be6c30e623}">
          <xlrd:rvb i="5759"/>
        </ext>
      </extLst>
    </bk>
    <bk>
      <extLst>
        <ext uri="{3e2802c4-a4d2-4d8b-9148-e3be6c30e623}">
          <xlrd:rvb i="5760"/>
        </ext>
      </extLst>
    </bk>
    <bk>
      <extLst>
        <ext uri="{3e2802c4-a4d2-4d8b-9148-e3be6c30e623}">
          <xlrd:rvb i="5761"/>
        </ext>
      </extLst>
    </bk>
    <bk>
      <extLst>
        <ext uri="{3e2802c4-a4d2-4d8b-9148-e3be6c30e623}">
          <xlrd:rvb i="5762"/>
        </ext>
      </extLst>
    </bk>
    <bk>
      <extLst>
        <ext uri="{3e2802c4-a4d2-4d8b-9148-e3be6c30e623}">
          <xlrd:rvb i="5763"/>
        </ext>
      </extLst>
    </bk>
    <bk>
      <extLst>
        <ext uri="{3e2802c4-a4d2-4d8b-9148-e3be6c30e623}">
          <xlrd:rvb i="5764"/>
        </ext>
      </extLst>
    </bk>
    <bk>
      <extLst>
        <ext uri="{3e2802c4-a4d2-4d8b-9148-e3be6c30e623}">
          <xlrd:rvb i="5765"/>
        </ext>
      </extLst>
    </bk>
    <bk>
      <extLst>
        <ext uri="{3e2802c4-a4d2-4d8b-9148-e3be6c30e623}">
          <xlrd:rvb i="5766"/>
        </ext>
      </extLst>
    </bk>
    <bk>
      <extLst>
        <ext uri="{3e2802c4-a4d2-4d8b-9148-e3be6c30e623}">
          <xlrd:rvb i="5767"/>
        </ext>
      </extLst>
    </bk>
    <bk>
      <extLst>
        <ext uri="{3e2802c4-a4d2-4d8b-9148-e3be6c30e623}">
          <xlrd:rvb i="5768"/>
        </ext>
      </extLst>
    </bk>
    <bk>
      <extLst>
        <ext uri="{3e2802c4-a4d2-4d8b-9148-e3be6c30e623}">
          <xlrd:rvb i="5769"/>
        </ext>
      </extLst>
    </bk>
    <bk>
      <extLst>
        <ext uri="{3e2802c4-a4d2-4d8b-9148-e3be6c30e623}">
          <xlrd:rvb i="5770"/>
        </ext>
      </extLst>
    </bk>
    <bk>
      <extLst>
        <ext uri="{3e2802c4-a4d2-4d8b-9148-e3be6c30e623}">
          <xlrd:rvb i="5771"/>
        </ext>
      </extLst>
    </bk>
    <bk>
      <extLst>
        <ext uri="{3e2802c4-a4d2-4d8b-9148-e3be6c30e623}">
          <xlrd:rvb i="5772"/>
        </ext>
      </extLst>
    </bk>
    <bk>
      <extLst>
        <ext uri="{3e2802c4-a4d2-4d8b-9148-e3be6c30e623}">
          <xlrd:rvb i="5773"/>
        </ext>
      </extLst>
    </bk>
    <bk>
      <extLst>
        <ext uri="{3e2802c4-a4d2-4d8b-9148-e3be6c30e623}">
          <xlrd:rvb i="5774"/>
        </ext>
      </extLst>
    </bk>
    <bk>
      <extLst>
        <ext uri="{3e2802c4-a4d2-4d8b-9148-e3be6c30e623}">
          <xlrd:rvb i="5775"/>
        </ext>
      </extLst>
    </bk>
    <bk>
      <extLst>
        <ext uri="{3e2802c4-a4d2-4d8b-9148-e3be6c30e623}">
          <xlrd:rvb i="5776"/>
        </ext>
      </extLst>
    </bk>
    <bk>
      <extLst>
        <ext uri="{3e2802c4-a4d2-4d8b-9148-e3be6c30e623}">
          <xlrd:rvb i="5777"/>
        </ext>
      </extLst>
    </bk>
    <bk>
      <extLst>
        <ext uri="{3e2802c4-a4d2-4d8b-9148-e3be6c30e623}">
          <xlrd:rvb i="5778"/>
        </ext>
      </extLst>
    </bk>
    <bk>
      <extLst>
        <ext uri="{3e2802c4-a4d2-4d8b-9148-e3be6c30e623}">
          <xlrd:rvb i="5779"/>
        </ext>
      </extLst>
    </bk>
    <bk>
      <extLst>
        <ext uri="{3e2802c4-a4d2-4d8b-9148-e3be6c30e623}">
          <xlrd:rvb i="5780"/>
        </ext>
      </extLst>
    </bk>
    <bk>
      <extLst>
        <ext uri="{3e2802c4-a4d2-4d8b-9148-e3be6c30e623}">
          <xlrd:rvb i="5781"/>
        </ext>
      </extLst>
    </bk>
    <bk>
      <extLst>
        <ext uri="{3e2802c4-a4d2-4d8b-9148-e3be6c30e623}">
          <xlrd:rvb i="5782"/>
        </ext>
      </extLst>
    </bk>
    <bk>
      <extLst>
        <ext uri="{3e2802c4-a4d2-4d8b-9148-e3be6c30e623}">
          <xlrd:rvb i="5783"/>
        </ext>
      </extLst>
    </bk>
    <bk>
      <extLst>
        <ext uri="{3e2802c4-a4d2-4d8b-9148-e3be6c30e623}">
          <xlrd:rvb i="5784"/>
        </ext>
      </extLst>
    </bk>
    <bk>
      <extLst>
        <ext uri="{3e2802c4-a4d2-4d8b-9148-e3be6c30e623}">
          <xlrd:rvb i="5785"/>
        </ext>
      </extLst>
    </bk>
    <bk>
      <extLst>
        <ext uri="{3e2802c4-a4d2-4d8b-9148-e3be6c30e623}">
          <xlrd:rvb i="5786"/>
        </ext>
      </extLst>
    </bk>
    <bk>
      <extLst>
        <ext uri="{3e2802c4-a4d2-4d8b-9148-e3be6c30e623}">
          <xlrd:rvb i="5787"/>
        </ext>
      </extLst>
    </bk>
    <bk>
      <extLst>
        <ext uri="{3e2802c4-a4d2-4d8b-9148-e3be6c30e623}">
          <xlrd:rvb i="5788"/>
        </ext>
      </extLst>
    </bk>
    <bk>
      <extLst>
        <ext uri="{3e2802c4-a4d2-4d8b-9148-e3be6c30e623}">
          <xlrd:rvb i="5789"/>
        </ext>
      </extLst>
    </bk>
    <bk>
      <extLst>
        <ext uri="{3e2802c4-a4d2-4d8b-9148-e3be6c30e623}">
          <xlrd:rvb i="5790"/>
        </ext>
      </extLst>
    </bk>
    <bk>
      <extLst>
        <ext uri="{3e2802c4-a4d2-4d8b-9148-e3be6c30e623}">
          <xlrd:rvb i="5791"/>
        </ext>
      </extLst>
    </bk>
    <bk>
      <extLst>
        <ext uri="{3e2802c4-a4d2-4d8b-9148-e3be6c30e623}">
          <xlrd:rvb i="5792"/>
        </ext>
      </extLst>
    </bk>
    <bk>
      <extLst>
        <ext uri="{3e2802c4-a4d2-4d8b-9148-e3be6c30e623}">
          <xlrd:rvb i="5793"/>
        </ext>
      </extLst>
    </bk>
    <bk>
      <extLst>
        <ext uri="{3e2802c4-a4d2-4d8b-9148-e3be6c30e623}">
          <xlrd:rvb i="5794"/>
        </ext>
      </extLst>
    </bk>
    <bk>
      <extLst>
        <ext uri="{3e2802c4-a4d2-4d8b-9148-e3be6c30e623}">
          <xlrd:rvb i="5795"/>
        </ext>
      </extLst>
    </bk>
    <bk>
      <extLst>
        <ext uri="{3e2802c4-a4d2-4d8b-9148-e3be6c30e623}">
          <xlrd:rvb i="5796"/>
        </ext>
      </extLst>
    </bk>
    <bk>
      <extLst>
        <ext uri="{3e2802c4-a4d2-4d8b-9148-e3be6c30e623}">
          <xlrd:rvb i="5797"/>
        </ext>
      </extLst>
    </bk>
    <bk>
      <extLst>
        <ext uri="{3e2802c4-a4d2-4d8b-9148-e3be6c30e623}">
          <xlrd:rvb i="5798"/>
        </ext>
      </extLst>
    </bk>
    <bk>
      <extLst>
        <ext uri="{3e2802c4-a4d2-4d8b-9148-e3be6c30e623}">
          <xlrd:rvb i="5799"/>
        </ext>
      </extLst>
    </bk>
    <bk>
      <extLst>
        <ext uri="{3e2802c4-a4d2-4d8b-9148-e3be6c30e623}">
          <xlrd:rvb i="5800"/>
        </ext>
      </extLst>
    </bk>
    <bk>
      <extLst>
        <ext uri="{3e2802c4-a4d2-4d8b-9148-e3be6c30e623}">
          <xlrd:rvb i="5801"/>
        </ext>
      </extLst>
    </bk>
    <bk>
      <extLst>
        <ext uri="{3e2802c4-a4d2-4d8b-9148-e3be6c30e623}">
          <xlrd:rvb i="5802"/>
        </ext>
      </extLst>
    </bk>
    <bk>
      <extLst>
        <ext uri="{3e2802c4-a4d2-4d8b-9148-e3be6c30e623}">
          <xlrd:rvb i="5803"/>
        </ext>
      </extLst>
    </bk>
    <bk>
      <extLst>
        <ext uri="{3e2802c4-a4d2-4d8b-9148-e3be6c30e623}">
          <xlrd:rvb i="5804"/>
        </ext>
      </extLst>
    </bk>
    <bk>
      <extLst>
        <ext uri="{3e2802c4-a4d2-4d8b-9148-e3be6c30e623}">
          <xlrd:rvb i="5805"/>
        </ext>
      </extLst>
    </bk>
    <bk>
      <extLst>
        <ext uri="{3e2802c4-a4d2-4d8b-9148-e3be6c30e623}">
          <xlrd:rvb i="5806"/>
        </ext>
      </extLst>
    </bk>
    <bk>
      <extLst>
        <ext uri="{3e2802c4-a4d2-4d8b-9148-e3be6c30e623}">
          <xlrd:rvb i="5807"/>
        </ext>
      </extLst>
    </bk>
    <bk>
      <extLst>
        <ext uri="{3e2802c4-a4d2-4d8b-9148-e3be6c30e623}">
          <xlrd:rvb i="5808"/>
        </ext>
      </extLst>
    </bk>
    <bk>
      <extLst>
        <ext uri="{3e2802c4-a4d2-4d8b-9148-e3be6c30e623}">
          <xlrd:rvb i="5809"/>
        </ext>
      </extLst>
    </bk>
    <bk>
      <extLst>
        <ext uri="{3e2802c4-a4d2-4d8b-9148-e3be6c30e623}">
          <xlrd:rvb i="5810"/>
        </ext>
      </extLst>
    </bk>
    <bk>
      <extLst>
        <ext uri="{3e2802c4-a4d2-4d8b-9148-e3be6c30e623}">
          <xlrd:rvb i="5811"/>
        </ext>
      </extLst>
    </bk>
    <bk>
      <extLst>
        <ext uri="{3e2802c4-a4d2-4d8b-9148-e3be6c30e623}">
          <xlrd:rvb i="5812"/>
        </ext>
      </extLst>
    </bk>
    <bk>
      <extLst>
        <ext uri="{3e2802c4-a4d2-4d8b-9148-e3be6c30e623}">
          <xlrd:rvb i="5813"/>
        </ext>
      </extLst>
    </bk>
    <bk>
      <extLst>
        <ext uri="{3e2802c4-a4d2-4d8b-9148-e3be6c30e623}">
          <xlrd:rvb i="5814"/>
        </ext>
      </extLst>
    </bk>
    <bk>
      <extLst>
        <ext uri="{3e2802c4-a4d2-4d8b-9148-e3be6c30e623}">
          <xlrd:rvb i="5815"/>
        </ext>
      </extLst>
    </bk>
    <bk>
      <extLst>
        <ext uri="{3e2802c4-a4d2-4d8b-9148-e3be6c30e623}">
          <xlrd:rvb i="5816"/>
        </ext>
      </extLst>
    </bk>
    <bk>
      <extLst>
        <ext uri="{3e2802c4-a4d2-4d8b-9148-e3be6c30e623}">
          <xlrd:rvb i="5817"/>
        </ext>
      </extLst>
    </bk>
    <bk>
      <extLst>
        <ext uri="{3e2802c4-a4d2-4d8b-9148-e3be6c30e623}">
          <xlrd:rvb i="5818"/>
        </ext>
      </extLst>
    </bk>
    <bk>
      <extLst>
        <ext uri="{3e2802c4-a4d2-4d8b-9148-e3be6c30e623}">
          <xlrd:rvb i="5819"/>
        </ext>
      </extLst>
    </bk>
    <bk>
      <extLst>
        <ext uri="{3e2802c4-a4d2-4d8b-9148-e3be6c30e623}">
          <xlrd:rvb i="5820"/>
        </ext>
      </extLst>
    </bk>
    <bk>
      <extLst>
        <ext uri="{3e2802c4-a4d2-4d8b-9148-e3be6c30e623}">
          <xlrd:rvb i="5821"/>
        </ext>
      </extLst>
    </bk>
    <bk>
      <extLst>
        <ext uri="{3e2802c4-a4d2-4d8b-9148-e3be6c30e623}">
          <xlrd:rvb i="5822"/>
        </ext>
      </extLst>
    </bk>
    <bk>
      <extLst>
        <ext uri="{3e2802c4-a4d2-4d8b-9148-e3be6c30e623}">
          <xlrd:rvb i="5823"/>
        </ext>
      </extLst>
    </bk>
    <bk>
      <extLst>
        <ext uri="{3e2802c4-a4d2-4d8b-9148-e3be6c30e623}">
          <xlrd:rvb i="5824"/>
        </ext>
      </extLst>
    </bk>
    <bk>
      <extLst>
        <ext uri="{3e2802c4-a4d2-4d8b-9148-e3be6c30e623}">
          <xlrd:rvb i="5825"/>
        </ext>
      </extLst>
    </bk>
    <bk>
      <extLst>
        <ext uri="{3e2802c4-a4d2-4d8b-9148-e3be6c30e623}">
          <xlrd:rvb i="5826"/>
        </ext>
      </extLst>
    </bk>
    <bk>
      <extLst>
        <ext uri="{3e2802c4-a4d2-4d8b-9148-e3be6c30e623}">
          <xlrd:rvb i="5827"/>
        </ext>
      </extLst>
    </bk>
    <bk>
      <extLst>
        <ext uri="{3e2802c4-a4d2-4d8b-9148-e3be6c30e623}">
          <xlrd:rvb i="5828"/>
        </ext>
      </extLst>
    </bk>
    <bk>
      <extLst>
        <ext uri="{3e2802c4-a4d2-4d8b-9148-e3be6c30e623}">
          <xlrd:rvb i="5829"/>
        </ext>
      </extLst>
    </bk>
    <bk>
      <extLst>
        <ext uri="{3e2802c4-a4d2-4d8b-9148-e3be6c30e623}">
          <xlrd:rvb i="5830"/>
        </ext>
      </extLst>
    </bk>
    <bk>
      <extLst>
        <ext uri="{3e2802c4-a4d2-4d8b-9148-e3be6c30e623}">
          <xlrd:rvb i="5831"/>
        </ext>
      </extLst>
    </bk>
    <bk>
      <extLst>
        <ext uri="{3e2802c4-a4d2-4d8b-9148-e3be6c30e623}">
          <xlrd:rvb i="5832"/>
        </ext>
      </extLst>
    </bk>
    <bk>
      <extLst>
        <ext uri="{3e2802c4-a4d2-4d8b-9148-e3be6c30e623}">
          <xlrd:rvb i="5833"/>
        </ext>
      </extLst>
    </bk>
    <bk>
      <extLst>
        <ext uri="{3e2802c4-a4d2-4d8b-9148-e3be6c30e623}">
          <xlrd:rvb i="5834"/>
        </ext>
      </extLst>
    </bk>
    <bk>
      <extLst>
        <ext uri="{3e2802c4-a4d2-4d8b-9148-e3be6c30e623}">
          <xlrd:rvb i="5835"/>
        </ext>
      </extLst>
    </bk>
    <bk>
      <extLst>
        <ext uri="{3e2802c4-a4d2-4d8b-9148-e3be6c30e623}">
          <xlrd:rvb i="5836"/>
        </ext>
      </extLst>
    </bk>
    <bk>
      <extLst>
        <ext uri="{3e2802c4-a4d2-4d8b-9148-e3be6c30e623}">
          <xlrd:rvb i="5837"/>
        </ext>
      </extLst>
    </bk>
    <bk>
      <extLst>
        <ext uri="{3e2802c4-a4d2-4d8b-9148-e3be6c30e623}">
          <xlrd:rvb i="5838"/>
        </ext>
      </extLst>
    </bk>
    <bk>
      <extLst>
        <ext uri="{3e2802c4-a4d2-4d8b-9148-e3be6c30e623}">
          <xlrd:rvb i="5839"/>
        </ext>
      </extLst>
    </bk>
    <bk>
      <extLst>
        <ext uri="{3e2802c4-a4d2-4d8b-9148-e3be6c30e623}">
          <xlrd:rvb i="5840"/>
        </ext>
      </extLst>
    </bk>
    <bk>
      <extLst>
        <ext uri="{3e2802c4-a4d2-4d8b-9148-e3be6c30e623}">
          <xlrd:rvb i="5841"/>
        </ext>
      </extLst>
    </bk>
    <bk>
      <extLst>
        <ext uri="{3e2802c4-a4d2-4d8b-9148-e3be6c30e623}">
          <xlrd:rvb i="5842"/>
        </ext>
      </extLst>
    </bk>
    <bk>
      <extLst>
        <ext uri="{3e2802c4-a4d2-4d8b-9148-e3be6c30e623}">
          <xlrd:rvb i="5843"/>
        </ext>
      </extLst>
    </bk>
    <bk>
      <extLst>
        <ext uri="{3e2802c4-a4d2-4d8b-9148-e3be6c30e623}">
          <xlrd:rvb i="5844"/>
        </ext>
      </extLst>
    </bk>
    <bk>
      <extLst>
        <ext uri="{3e2802c4-a4d2-4d8b-9148-e3be6c30e623}">
          <xlrd:rvb i="5845"/>
        </ext>
      </extLst>
    </bk>
    <bk>
      <extLst>
        <ext uri="{3e2802c4-a4d2-4d8b-9148-e3be6c30e623}">
          <xlrd:rvb i="5846"/>
        </ext>
      </extLst>
    </bk>
    <bk>
      <extLst>
        <ext uri="{3e2802c4-a4d2-4d8b-9148-e3be6c30e623}">
          <xlrd:rvb i="5847"/>
        </ext>
      </extLst>
    </bk>
    <bk>
      <extLst>
        <ext uri="{3e2802c4-a4d2-4d8b-9148-e3be6c30e623}">
          <xlrd:rvb i="5848"/>
        </ext>
      </extLst>
    </bk>
    <bk>
      <extLst>
        <ext uri="{3e2802c4-a4d2-4d8b-9148-e3be6c30e623}">
          <xlrd:rvb i="5849"/>
        </ext>
      </extLst>
    </bk>
    <bk>
      <extLst>
        <ext uri="{3e2802c4-a4d2-4d8b-9148-e3be6c30e623}">
          <xlrd:rvb i="5850"/>
        </ext>
      </extLst>
    </bk>
    <bk>
      <extLst>
        <ext uri="{3e2802c4-a4d2-4d8b-9148-e3be6c30e623}">
          <xlrd:rvb i="5851"/>
        </ext>
      </extLst>
    </bk>
    <bk>
      <extLst>
        <ext uri="{3e2802c4-a4d2-4d8b-9148-e3be6c30e623}">
          <xlrd:rvb i="5852"/>
        </ext>
      </extLst>
    </bk>
    <bk>
      <extLst>
        <ext uri="{3e2802c4-a4d2-4d8b-9148-e3be6c30e623}">
          <xlrd:rvb i="5853"/>
        </ext>
      </extLst>
    </bk>
    <bk>
      <extLst>
        <ext uri="{3e2802c4-a4d2-4d8b-9148-e3be6c30e623}">
          <xlrd:rvb i="5854"/>
        </ext>
      </extLst>
    </bk>
    <bk>
      <extLst>
        <ext uri="{3e2802c4-a4d2-4d8b-9148-e3be6c30e623}">
          <xlrd:rvb i="5855"/>
        </ext>
      </extLst>
    </bk>
    <bk>
      <extLst>
        <ext uri="{3e2802c4-a4d2-4d8b-9148-e3be6c30e623}">
          <xlrd:rvb i="5856"/>
        </ext>
      </extLst>
    </bk>
    <bk>
      <extLst>
        <ext uri="{3e2802c4-a4d2-4d8b-9148-e3be6c30e623}">
          <xlrd:rvb i="5857"/>
        </ext>
      </extLst>
    </bk>
    <bk>
      <extLst>
        <ext uri="{3e2802c4-a4d2-4d8b-9148-e3be6c30e623}">
          <xlrd:rvb i="5858"/>
        </ext>
      </extLst>
    </bk>
    <bk>
      <extLst>
        <ext uri="{3e2802c4-a4d2-4d8b-9148-e3be6c30e623}">
          <xlrd:rvb i="5859"/>
        </ext>
      </extLst>
    </bk>
    <bk>
      <extLst>
        <ext uri="{3e2802c4-a4d2-4d8b-9148-e3be6c30e623}">
          <xlrd:rvb i="5860"/>
        </ext>
      </extLst>
    </bk>
    <bk>
      <extLst>
        <ext uri="{3e2802c4-a4d2-4d8b-9148-e3be6c30e623}">
          <xlrd:rvb i="5861"/>
        </ext>
      </extLst>
    </bk>
    <bk>
      <extLst>
        <ext uri="{3e2802c4-a4d2-4d8b-9148-e3be6c30e623}">
          <xlrd:rvb i="5862"/>
        </ext>
      </extLst>
    </bk>
    <bk>
      <extLst>
        <ext uri="{3e2802c4-a4d2-4d8b-9148-e3be6c30e623}">
          <xlrd:rvb i="5863"/>
        </ext>
      </extLst>
    </bk>
    <bk>
      <extLst>
        <ext uri="{3e2802c4-a4d2-4d8b-9148-e3be6c30e623}">
          <xlrd:rvb i="5864"/>
        </ext>
      </extLst>
    </bk>
    <bk>
      <extLst>
        <ext uri="{3e2802c4-a4d2-4d8b-9148-e3be6c30e623}">
          <xlrd:rvb i="5865"/>
        </ext>
      </extLst>
    </bk>
    <bk>
      <extLst>
        <ext uri="{3e2802c4-a4d2-4d8b-9148-e3be6c30e623}">
          <xlrd:rvb i="5866"/>
        </ext>
      </extLst>
    </bk>
    <bk>
      <extLst>
        <ext uri="{3e2802c4-a4d2-4d8b-9148-e3be6c30e623}">
          <xlrd:rvb i="5867"/>
        </ext>
      </extLst>
    </bk>
    <bk>
      <extLst>
        <ext uri="{3e2802c4-a4d2-4d8b-9148-e3be6c30e623}">
          <xlrd:rvb i="5868"/>
        </ext>
      </extLst>
    </bk>
    <bk>
      <extLst>
        <ext uri="{3e2802c4-a4d2-4d8b-9148-e3be6c30e623}">
          <xlrd:rvb i="5869"/>
        </ext>
      </extLst>
    </bk>
    <bk>
      <extLst>
        <ext uri="{3e2802c4-a4d2-4d8b-9148-e3be6c30e623}">
          <xlrd:rvb i="5870"/>
        </ext>
      </extLst>
    </bk>
    <bk>
      <extLst>
        <ext uri="{3e2802c4-a4d2-4d8b-9148-e3be6c30e623}">
          <xlrd:rvb i="5871"/>
        </ext>
      </extLst>
    </bk>
    <bk>
      <extLst>
        <ext uri="{3e2802c4-a4d2-4d8b-9148-e3be6c30e623}">
          <xlrd:rvb i="5872"/>
        </ext>
      </extLst>
    </bk>
    <bk>
      <extLst>
        <ext uri="{3e2802c4-a4d2-4d8b-9148-e3be6c30e623}">
          <xlrd:rvb i="5873"/>
        </ext>
      </extLst>
    </bk>
    <bk>
      <extLst>
        <ext uri="{3e2802c4-a4d2-4d8b-9148-e3be6c30e623}">
          <xlrd:rvb i="5874"/>
        </ext>
      </extLst>
    </bk>
    <bk>
      <extLst>
        <ext uri="{3e2802c4-a4d2-4d8b-9148-e3be6c30e623}">
          <xlrd:rvb i="5875"/>
        </ext>
      </extLst>
    </bk>
    <bk>
      <extLst>
        <ext uri="{3e2802c4-a4d2-4d8b-9148-e3be6c30e623}">
          <xlrd:rvb i="5876"/>
        </ext>
      </extLst>
    </bk>
    <bk>
      <extLst>
        <ext uri="{3e2802c4-a4d2-4d8b-9148-e3be6c30e623}">
          <xlrd:rvb i="5877"/>
        </ext>
      </extLst>
    </bk>
    <bk>
      <extLst>
        <ext uri="{3e2802c4-a4d2-4d8b-9148-e3be6c30e623}">
          <xlrd:rvb i="5878"/>
        </ext>
      </extLst>
    </bk>
    <bk>
      <extLst>
        <ext uri="{3e2802c4-a4d2-4d8b-9148-e3be6c30e623}">
          <xlrd:rvb i="5879"/>
        </ext>
      </extLst>
    </bk>
    <bk>
      <extLst>
        <ext uri="{3e2802c4-a4d2-4d8b-9148-e3be6c30e623}">
          <xlrd:rvb i="5880"/>
        </ext>
      </extLst>
    </bk>
    <bk>
      <extLst>
        <ext uri="{3e2802c4-a4d2-4d8b-9148-e3be6c30e623}">
          <xlrd:rvb i="5881"/>
        </ext>
      </extLst>
    </bk>
    <bk>
      <extLst>
        <ext uri="{3e2802c4-a4d2-4d8b-9148-e3be6c30e623}">
          <xlrd:rvb i="5882"/>
        </ext>
      </extLst>
    </bk>
    <bk>
      <extLst>
        <ext uri="{3e2802c4-a4d2-4d8b-9148-e3be6c30e623}">
          <xlrd:rvb i="5883"/>
        </ext>
      </extLst>
    </bk>
    <bk>
      <extLst>
        <ext uri="{3e2802c4-a4d2-4d8b-9148-e3be6c30e623}">
          <xlrd:rvb i="5884"/>
        </ext>
      </extLst>
    </bk>
    <bk>
      <extLst>
        <ext uri="{3e2802c4-a4d2-4d8b-9148-e3be6c30e623}">
          <xlrd:rvb i="5885"/>
        </ext>
      </extLst>
    </bk>
    <bk>
      <extLst>
        <ext uri="{3e2802c4-a4d2-4d8b-9148-e3be6c30e623}">
          <xlrd:rvb i="5886"/>
        </ext>
      </extLst>
    </bk>
    <bk>
      <extLst>
        <ext uri="{3e2802c4-a4d2-4d8b-9148-e3be6c30e623}">
          <xlrd:rvb i="5887"/>
        </ext>
      </extLst>
    </bk>
    <bk>
      <extLst>
        <ext uri="{3e2802c4-a4d2-4d8b-9148-e3be6c30e623}">
          <xlrd:rvb i="5888"/>
        </ext>
      </extLst>
    </bk>
    <bk>
      <extLst>
        <ext uri="{3e2802c4-a4d2-4d8b-9148-e3be6c30e623}">
          <xlrd:rvb i="5889"/>
        </ext>
      </extLst>
    </bk>
    <bk>
      <extLst>
        <ext uri="{3e2802c4-a4d2-4d8b-9148-e3be6c30e623}">
          <xlrd:rvb i="5890"/>
        </ext>
      </extLst>
    </bk>
    <bk>
      <extLst>
        <ext uri="{3e2802c4-a4d2-4d8b-9148-e3be6c30e623}">
          <xlrd:rvb i="5891"/>
        </ext>
      </extLst>
    </bk>
    <bk>
      <extLst>
        <ext uri="{3e2802c4-a4d2-4d8b-9148-e3be6c30e623}">
          <xlrd:rvb i="5892"/>
        </ext>
      </extLst>
    </bk>
    <bk>
      <extLst>
        <ext uri="{3e2802c4-a4d2-4d8b-9148-e3be6c30e623}">
          <xlrd:rvb i="5893"/>
        </ext>
      </extLst>
    </bk>
    <bk>
      <extLst>
        <ext uri="{3e2802c4-a4d2-4d8b-9148-e3be6c30e623}">
          <xlrd:rvb i="5894"/>
        </ext>
      </extLst>
    </bk>
    <bk>
      <extLst>
        <ext uri="{3e2802c4-a4d2-4d8b-9148-e3be6c30e623}">
          <xlrd:rvb i="5895"/>
        </ext>
      </extLst>
    </bk>
    <bk>
      <extLst>
        <ext uri="{3e2802c4-a4d2-4d8b-9148-e3be6c30e623}">
          <xlrd:rvb i="5896"/>
        </ext>
      </extLst>
    </bk>
    <bk>
      <extLst>
        <ext uri="{3e2802c4-a4d2-4d8b-9148-e3be6c30e623}">
          <xlrd:rvb i="5897"/>
        </ext>
      </extLst>
    </bk>
    <bk>
      <extLst>
        <ext uri="{3e2802c4-a4d2-4d8b-9148-e3be6c30e623}">
          <xlrd:rvb i="5898"/>
        </ext>
      </extLst>
    </bk>
    <bk>
      <extLst>
        <ext uri="{3e2802c4-a4d2-4d8b-9148-e3be6c30e623}">
          <xlrd:rvb i="5899"/>
        </ext>
      </extLst>
    </bk>
    <bk>
      <extLst>
        <ext uri="{3e2802c4-a4d2-4d8b-9148-e3be6c30e623}">
          <xlrd:rvb i="5900"/>
        </ext>
      </extLst>
    </bk>
    <bk>
      <extLst>
        <ext uri="{3e2802c4-a4d2-4d8b-9148-e3be6c30e623}">
          <xlrd:rvb i="5901"/>
        </ext>
      </extLst>
    </bk>
    <bk>
      <extLst>
        <ext uri="{3e2802c4-a4d2-4d8b-9148-e3be6c30e623}">
          <xlrd:rvb i="5902"/>
        </ext>
      </extLst>
    </bk>
    <bk>
      <extLst>
        <ext uri="{3e2802c4-a4d2-4d8b-9148-e3be6c30e623}">
          <xlrd:rvb i="5903"/>
        </ext>
      </extLst>
    </bk>
    <bk>
      <extLst>
        <ext uri="{3e2802c4-a4d2-4d8b-9148-e3be6c30e623}">
          <xlrd:rvb i="5904"/>
        </ext>
      </extLst>
    </bk>
    <bk>
      <extLst>
        <ext uri="{3e2802c4-a4d2-4d8b-9148-e3be6c30e623}">
          <xlrd:rvb i="5905"/>
        </ext>
      </extLst>
    </bk>
    <bk>
      <extLst>
        <ext uri="{3e2802c4-a4d2-4d8b-9148-e3be6c30e623}">
          <xlrd:rvb i="5906"/>
        </ext>
      </extLst>
    </bk>
    <bk>
      <extLst>
        <ext uri="{3e2802c4-a4d2-4d8b-9148-e3be6c30e623}">
          <xlrd:rvb i="5907"/>
        </ext>
      </extLst>
    </bk>
    <bk>
      <extLst>
        <ext uri="{3e2802c4-a4d2-4d8b-9148-e3be6c30e623}">
          <xlrd:rvb i="5908"/>
        </ext>
      </extLst>
    </bk>
    <bk>
      <extLst>
        <ext uri="{3e2802c4-a4d2-4d8b-9148-e3be6c30e623}">
          <xlrd:rvb i="5909"/>
        </ext>
      </extLst>
    </bk>
    <bk>
      <extLst>
        <ext uri="{3e2802c4-a4d2-4d8b-9148-e3be6c30e623}">
          <xlrd:rvb i="5910"/>
        </ext>
      </extLst>
    </bk>
    <bk>
      <extLst>
        <ext uri="{3e2802c4-a4d2-4d8b-9148-e3be6c30e623}">
          <xlrd:rvb i="5911"/>
        </ext>
      </extLst>
    </bk>
    <bk>
      <extLst>
        <ext uri="{3e2802c4-a4d2-4d8b-9148-e3be6c30e623}">
          <xlrd:rvb i="5912"/>
        </ext>
      </extLst>
    </bk>
    <bk>
      <extLst>
        <ext uri="{3e2802c4-a4d2-4d8b-9148-e3be6c30e623}">
          <xlrd:rvb i="5913"/>
        </ext>
      </extLst>
    </bk>
    <bk>
      <extLst>
        <ext uri="{3e2802c4-a4d2-4d8b-9148-e3be6c30e623}">
          <xlrd:rvb i="5914"/>
        </ext>
      </extLst>
    </bk>
    <bk>
      <extLst>
        <ext uri="{3e2802c4-a4d2-4d8b-9148-e3be6c30e623}">
          <xlrd:rvb i="5915"/>
        </ext>
      </extLst>
    </bk>
    <bk>
      <extLst>
        <ext uri="{3e2802c4-a4d2-4d8b-9148-e3be6c30e623}">
          <xlrd:rvb i="5916"/>
        </ext>
      </extLst>
    </bk>
    <bk>
      <extLst>
        <ext uri="{3e2802c4-a4d2-4d8b-9148-e3be6c30e623}">
          <xlrd:rvb i="5917"/>
        </ext>
      </extLst>
    </bk>
    <bk>
      <extLst>
        <ext uri="{3e2802c4-a4d2-4d8b-9148-e3be6c30e623}">
          <xlrd:rvb i="5918"/>
        </ext>
      </extLst>
    </bk>
    <bk>
      <extLst>
        <ext uri="{3e2802c4-a4d2-4d8b-9148-e3be6c30e623}">
          <xlrd:rvb i="5919"/>
        </ext>
      </extLst>
    </bk>
    <bk>
      <extLst>
        <ext uri="{3e2802c4-a4d2-4d8b-9148-e3be6c30e623}">
          <xlrd:rvb i="5920"/>
        </ext>
      </extLst>
    </bk>
    <bk>
      <extLst>
        <ext uri="{3e2802c4-a4d2-4d8b-9148-e3be6c30e623}">
          <xlrd:rvb i="5921"/>
        </ext>
      </extLst>
    </bk>
    <bk>
      <extLst>
        <ext uri="{3e2802c4-a4d2-4d8b-9148-e3be6c30e623}">
          <xlrd:rvb i="5922"/>
        </ext>
      </extLst>
    </bk>
    <bk>
      <extLst>
        <ext uri="{3e2802c4-a4d2-4d8b-9148-e3be6c30e623}">
          <xlrd:rvb i="5923"/>
        </ext>
      </extLst>
    </bk>
    <bk>
      <extLst>
        <ext uri="{3e2802c4-a4d2-4d8b-9148-e3be6c30e623}">
          <xlrd:rvb i="5924"/>
        </ext>
      </extLst>
    </bk>
    <bk>
      <extLst>
        <ext uri="{3e2802c4-a4d2-4d8b-9148-e3be6c30e623}">
          <xlrd:rvb i="5925"/>
        </ext>
      </extLst>
    </bk>
    <bk>
      <extLst>
        <ext uri="{3e2802c4-a4d2-4d8b-9148-e3be6c30e623}">
          <xlrd:rvb i="5926"/>
        </ext>
      </extLst>
    </bk>
    <bk>
      <extLst>
        <ext uri="{3e2802c4-a4d2-4d8b-9148-e3be6c30e623}">
          <xlrd:rvb i="5927"/>
        </ext>
      </extLst>
    </bk>
    <bk>
      <extLst>
        <ext uri="{3e2802c4-a4d2-4d8b-9148-e3be6c30e623}">
          <xlrd:rvb i="5928"/>
        </ext>
      </extLst>
    </bk>
    <bk>
      <extLst>
        <ext uri="{3e2802c4-a4d2-4d8b-9148-e3be6c30e623}">
          <xlrd:rvb i="5929"/>
        </ext>
      </extLst>
    </bk>
    <bk>
      <extLst>
        <ext uri="{3e2802c4-a4d2-4d8b-9148-e3be6c30e623}">
          <xlrd:rvb i="5930"/>
        </ext>
      </extLst>
    </bk>
    <bk>
      <extLst>
        <ext uri="{3e2802c4-a4d2-4d8b-9148-e3be6c30e623}">
          <xlrd:rvb i="5931"/>
        </ext>
      </extLst>
    </bk>
    <bk>
      <extLst>
        <ext uri="{3e2802c4-a4d2-4d8b-9148-e3be6c30e623}">
          <xlrd:rvb i="5932"/>
        </ext>
      </extLst>
    </bk>
    <bk>
      <extLst>
        <ext uri="{3e2802c4-a4d2-4d8b-9148-e3be6c30e623}">
          <xlrd:rvb i="5933"/>
        </ext>
      </extLst>
    </bk>
    <bk>
      <extLst>
        <ext uri="{3e2802c4-a4d2-4d8b-9148-e3be6c30e623}">
          <xlrd:rvb i="5934"/>
        </ext>
      </extLst>
    </bk>
    <bk>
      <extLst>
        <ext uri="{3e2802c4-a4d2-4d8b-9148-e3be6c30e623}">
          <xlrd:rvb i="5935"/>
        </ext>
      </extLst>
    </bk>
    <bk>
      <extLst>
        <ext uri="{3e2802c4-a4d2-4d8b-9148-e3be6c30e623}">
          <xlrd:rvb i="5936"/>
        </ext>
      </extLst>
    </bk>
    <bk>
      <extLst>
        <ext uri="{3e2802c4-a4d2-4d8b-9148-e3be6c30e623}">
          <xlrd:rvb i="5937"/>
        </ext>
      </extLst>
    </bk>
    <bk>
      <extLst>
        <ext uri="{3e2802c4-a4d2-4d8b-9148-e3be6c30e623}">
          <xlrd:rvb i="5938"/>
        </ext>
      </extLst>
    </bk>
    <bk>
      <extLst>
        <ext uri="{3e2802c4-a4d2-4d8b-9148-e3be6c30e623}">
          <xlrd:rvb i="5939"/>
        </ext>
      </extLst>
    </bk>
    <bk>
      <extLst>
        <ext uri="{3e2802c4-a4d2-4d8b-9148-e3be6c30e623}">
          <xlrd:rvb i="5940"/>
        </ext>
      </extLst>
    </bk>
    <bk>
      <extLst>
        <ext uri="{3e2802c4-a4d2-4d8b-9148-e3be6c30e623}">
          <xlrd:rvb i="5941"/>
        </ext>
      </extLst>
    </bk>
    <bk>
      <extLst>
        <ext uri="{3e2802c4-a4d2-4d8b-9148-e3be6c30e623}">
          <xlrd:rvb i="5942"/>
        </ext>
      </extLst>
    </bk>
    <bk>
      <extLst>
        <ext uri="{3e2802c4-a4d2-4d8b-9148-e3be6c30e623}">
          <xlrd:rvb i="5943"/>
        </ext>
      </extLst>
    </bk>
    <bk>
      <extLst>
        <ext uri="{3e2802c4-a4d2-4d8b-9148-e3be6c30e623}">
          <xlrd:rvb i="5944"/>
        </ext>
      </extLst>
    </bk>
    <bk>
      <extLst>
        <ext uri="{3e2802c4-a4d2-4d8b-9148-e3be6c30e623}">
          <xlrd:rvb i="5945"/>
        </ext>
      </extLst>
    </bk>
    <bk>
      <extLst>
        <ext uri="{3e2802c4-a4d2-4d8b-9148-e3be6c30e623}">
          <xlrd:rvb i="5946"/>
        </ext>
      </extLst>
    </bk>
    <bk>
      <extLst>
        <ext uri="{3e2802c4-a4d2-4d8b-9148-e3be6c30e623}">
          <xlrd:rvb i="5947"/>
        </ext>
      </extLst>
    </bk>
    <bk>
      <extLst>
        <ext uri="{3e2802c4-a4d2-4d8b-9148-e3be6c30e623}">
          <xlrd:rvb i="5948"/>
        </ext>
      </extLst>
    </bk>
    <bk>
      <extLst>
        <ext uri="{3e2802c4-a4d2-4d8b-9148-e3be6c30e623}">
          <xlrd:rvb i="5949"/>
        </ext>
      </extLst>
    </bk>
    <bk>
      <extLst>
        <ext uri="{3e2802c4-a4d2-4d8b-9148-e3be6c30e623}">
          <xlrd:rvb i="5950"/>
        </ext>
      </extLst>
    </bk>
    <bk>
      <extLst>
        <ext uri="{3e2802c4-a4d2-4d8b-9148-e3be6c30e623}">
          <xlrd:rvb i="5951"/>
        </ext>
      </extLst>
    </bk>
    <bk>
      <extLst>
        <ext uri="{3e2802c4-a4d2-4d8b-9148-e3be6c30e623}">
          <xlrd:rvb i="5952"/>
        </ext>
      </extLst>
    </bk>
    <bk>
      <extLst>
        <ext uri="{3e2802c4-a4d2-4d8b-9148-e3be6c30e623}">
          <xlrd:rvb i="5953"/>
        </ext>
      </extLst>
    </bk>
    <bk>
      <extLst>
        <ext uri="{3e2802c4-a4d2-4d8b-9148-e3be6c30e623}">
          <xlrd:rvb i="5954"/>
        </ext>
      </extLst>
    </bk>
    <bk>
      <extLst>
        <ext uri="{3e2802c4-a4d2-4d8b-9148-e3be6c30e623}">
          <xlrd:rvb i="5955"/>
        </ext>
      </extLst>
    </bk>
    <bk>
      <extLst>
        <ext uri="{3e2802c4-a4d2-4d8b-9148-e3be6c30e623}">
          <xlrd:rvb i="5956"/>
        </ext>
      </extLst>
    </bk>
    <bk>
      <extLst>
        <ext uri="{3e2802c4-a4d2-4d8b-9148-e3be6c30e623}">
          <xlrd:rvb i="5957"/>
        </ext>
      </extLst>
    </bk>
    <bk>
      <extLst>
        <ext uri="{3e2802c4-a4d2-4d8b-9148-e3be6c30e623}">
          <xlrd:rvb i="5958"/>
        </ext>
      </extLst>
    </bk>
    <bk>
      <extLst>
        <ext uri="{3e2802c4-a4d2-4d8b-9148-e3be6c30e623}">
          <xlrd:rvb i="5959"/>
        </ext>
      </extLst>
    </bk>
    <bk>
      <extLst>
        <ext uri="{3e2802c4-a4d2-4d8b-9148-e3be6c30e623}">
          <xlrd:rvb i="5960"/>
        </ext>
      </extLst>
    </bk>
    <bk>
      <extLst>
        <ext uri="{3e2802c4-a4d2-4d8b-9148-e3be6c30e623}">
          <xlrd:rvb i="5961"/>
        </ext>
      </extLst>
    </bk>
    <bk>
      <extLst>
        <ext uri="{3e2802c4-a4d2-4d8b-9148-e3be6c30e623}">
          <xlrd:rvb i="5962"/>
        </ext>
      </extLst>
    </bk>
    <bk>
      <extLst>
        <ext uri="{3e2802c4-a4d2-4d8b-9148-e3be6c30e623}">
          <xlrd:rvb i="5963"/>
        </ext>
      </extLst>
    </bk>
    <bk>
      <extLst>
        <ext uri="{3e2802c4-a4d2-4d8b-9148-e3be6c30e623}">
          <xlrd:rvb i="5964"/>
        </ext>
      </extLst>
    </bk>
    <bk>
      <extLst>
        <ext uri="{3e2802c4-a4d2-4d8b-9148-e3be6c30e623}">
          <xlrd:rvb i="5965"/>
        </ext>
      </extLst>
    </bk>
    <bk>
      <extLst>
        <ext uri="{3e2802c4-a4d2-4d8b-9148-e3be6c30e623}">
          <xlrd:rvb i="5966"/>
        </ext>
      </extLst>
    </bk>
    <bk>
      <extLst>
        <ext uri="{3e2802c4-a4d2-4d8b-9148-e3be6c30e623}">
          <xlrd:rvb i="5967"/>
        </ext>
      </extLst>
    </bk>
    <bk>
      <extLst>
        <ext uri="{3e2802c4-a4d2-4d8b-9148-e3be6c30e623}">
          <xlrd:rvb i="5968"/>
        </ext>
      </extLst>
    </bk>
    <bk>
      <extLst>
        <ext uri="{3e2802c4-a4d2-4d8b-9148-e3be6c30e623}">
          <xlrd:rvb i="5969"/>
        </ext>
      </extLst>
    </bk>
    <bk>
      <extLst>
        <ext uri="{3e2802c4-a4d2-4d8b-9148-e3be6c30e623}">
          <xlrd:rvb i="5970"/>
        </ext>
      </extLst>
    </bk>
    <bk>
      <extLst>
        <ext uri="{3e2802c4-a4d2-4d8b-9148-e3be6c30e623}">
          <xlrd:rvb i="5971"/>
        </ext>
      </extLst>
    </bk>
    <bk>
      <extLst>
        <ext uri="{3e2802c4-a4d2-4d8b-9148-e3be6c30e623}">
          <xlrd:rvb i="5972"/>
        </ext>
      </extLst>
    </bk>
    <bk>
      <extLst>
        <ext uri="{3e2802c4-a4d2-4d8b-9148-e3be6c30e623}">
          <xlrd:rvb i="5973"/>
        </ext>
      </extLst>
    </bk>
    <bk>
      <extLst>
        <ext uri="{3e2802c4-a4d2-4d8b-9148-e3be6c30e623}">
          <xlrd:rvb i="5974"/>
        </ext>
      </extLst>
    </bk>
    <bk>
      <extLst>
        <ext uri="{3e2802c4-a4d2-4d8b-9148-e3be6c30e623}">
          <xlrd:rvb i="5975"/>
        </ext>
      </extLst>
    </bk>
    <bk>
      <extLst>
        <ext uri="{3e2802c4-a4d2-4d8b-9148-e3be6c30e623}">
          <xlrd:rvb i="5976"/>
        </ext>
      </extLst>
    </bk>
    <bk>
      <extLst>
        <ext uri="{3e2802c4-a4d2-4d8b-9148-e3be6c30e623}">
          <xlrd:rvb i="5977"/>
        </ext>
      </extLst>
    </bk>
    <bk>
      <extLst>
        <ext uri="{3e2802c4-a4d2-4d8b-9148-e3be6c30e623}">
          <xlrd:rvb i="5978"/>
        </ext>
      </extLst>
    </bk>
    <bk>
      <extLst>
        <ext uri="{3e2802c4-a4d2-4d8b-9148-e3be6c30e623}">
          <xlrd:rvb i="5979"/>
        </ext>
      </extLst>
    </bk>
    <bk>
      <extLst>
        <ext uri="{3e2802c4-a4d2-4d8b-9148-e3be6c30e623}">
          <xlrd:rvb i="5980"/>
        </ext>
      </extLst>
    </bk>
    <bk>
      <extLst>
        <ext uri="{3e2802c4-a4d2-4d8b-9148-e3be6c30e623}">
          <xlrd:rvb i="5981"/>
        </ext>
      </extLst>
    </bk>
    <bk>
      <extLst>
        <ext uri="{3e2802c4-a4d2-4d8b-9148-e3be6c30e623}">
          <xlrd:rvb i="5982"/>
        </ext>
      </extLst>
    </bk>
    <bk>
      <extLst>
        <ext uri="{3e2802c4-a4d2-4d8b-9148-e3be6c30e623}">
          <xlrd:rvb i="5983"/>
        </ext>
      </extLst>
    </bk>
    <bk>
      <extLst>
        <ext uri="{3e2802c4-a4d2-4d8b-9148-e3be6c30e623}">
          <xlrd:rvb i="5984"/>
        </ext>
      </extLst>
    </bk>
    <bk>
      <extLst>
        <ext uri="{3e2802c4-a4d2-4d8b-9148-e3be6c30e623}">
          <xlrd:rvb i="5985"/>
        </ext>
      </extLst>
    </bk>
    <bk>
      <extLst>
        <ext uri="{3e2802c4-a4d2-4d8b-9148-e3be6c30e623}">
          <xlrd:rvb i="5986"/>
        </ext>
      </extLst>
    </bk>
    <bk>
      <extLst>
        <ext uri="{3e2802c4-a4d2-4d8b-9148-e3be6c30e623}">
          <xlrd:rvb i="5987"/>
        </ext>
      </extLst>
    </bk>
    <bk>
      <extLst>
        <ext uri="{3e2802c4-a4d2-4d8b-9148-e3be6c30e623}">
          <xlrd:rvb i="5988"/>
        </ext>
      </extLst>
    </bk>
    <bk>
      <extLst>
        <ext uri="{3e2802c4-a4d2-4d8b-9148-e3be6c30e623}">
          <xlrd:rvb i="5989"/>
        </ext>
      </extLst>
    </bk>
    <bk>
      <extLst>
        <ext uri="{3e2802c4-a4d2-4d8b-9148-e3be6c30e623}">
          <xlrd:rvb i="5990"/>
        </ext>
      </extLst>
    </bk>
    <bk>
      <extLst>
        <ext uri="{3e2802c4-a4d2-4d8b-9148-e3be6c30e623}">
          <xlrd:rvb i="5991"/>
        </ext>
      </extLst>
    </bk>
    <bk>
      <extLst>
        <ext uri="{3e2802c4-a4d2-4d8b-9148-e3be6c30e623}">
          <xlrd:rvb i="5992"/>
        </ext>
      </extLst>
    </bk>
    <bk>
      <extLst>
        <ext uri="{3e2802c4-a4d2-4d8b-9148-e3be6c30e623}">
          <xlrd:rvb i="5993"/>
        </ext>
      </extLst>
    </bk>
    <bk>
      <extLst>
        <ext uri="{3e2802c4-a4d2-4d8b-9148-e3be6c30e623}">
          <xlrd:rvb i="5994"/>
        </ext>
      </extLst>
    </bk>
    <bk>
      <extLst>
        <ext uri="{3e2802c4-a4d2-4d8b-9148-e3be6c30e623}">
          <xlrd:rvb i="5995"/>
        </ext>
      </extLst>
    </bk>
    <bk>
      <extLst>
        <ext uri="{3e2802c4-a4d2-4d8b-9148-e3be6c30e623}">
          <xlrd:rvb i="5996"/>
        </ext>
      </extLst>
    </bk>
    <bk>
      <extLst>
        <ext uri="{3e2802c4-a4d2-4d8b-9148-e3be6c30e623}">
          <xlrd:rvb i="5997"/>
        </ext>
      </extLst>
    </bk>
    <bk>
      <extLst>
        <ext uri="{3e2802c4-a4d2-4d8b-9148-e3be6c30e623}">
          <xlrd:rvb i="5998"/>
        </ext>
      </extLst>
    </bk>
    <bk>
      <extLst>
        <ext uri="{3e2802c4-a4d2-4d8b-9148-e3be6c30e623}">
          <xlrd:rvb i="5999"/>
        </ext>
      </extLst>
    </bk>
    <bk>
      <extLst>
        <ext uri="{3e2802c4-a4d2-4d8b-9148-e3be6c30e623}">
          <xlrd:rvb i="6000"/>
        </ext>
      </extLst>
    </bk>
    <bk>
      <extLst>
        <ext uri="{3e2802c4-a4d2-4d8b-9148-e3be6c30e623}">
          <xlrd:rvb i="6001"/>
        </ext>
      </extLst>
    </bk>
    <bk>
      <extLst>
        <ext uri="{3e2802c4-a4d2-4d8b-9148-e3be6c30e623}">
          <xlrd:rvb i="6002"/>
        </ext>
      </extLst>
    </bk>
    <bk>
      <extLst>
        <ext uri="{3e2802c4-a4d2-4d8b-9148-e3be6c30e623}">
          <xlrd:rvb i="6003"/>
        </ext>
      </extLst>
    </bk>
    <bk>
      <extLst>
        <ext uri="{3e2802c4-a4d2-4d8b-9148-e3be6c30e623}">
          <xlrd:rvb i="6004"/>
        </ext>
      </extLst>
    </bk>
    <bk>
      <extLst>
        <ext uri="{3e2802c4-a4d2-4d8b-9148-e3be6c30e623}">
          <xlrd:rvb i="6005"/>
        </ext>
      </extLst>
    </bk>
    <bk>
      <extLst>
        <ext uri="{3e2802c4-a4d2-4d8b-9148-e3be6c30e623}">
          <xlrd:rvb i="6006"/>
        </ext>
      </extLst>
    </bk>
    <bk>
      <extLst>
        <ext uri="{3e2802c4-a4d2-4d8b-9148-e3be6c30e623}">
          <xlrd:rvb i="6007"/>
        </ext>
      </extLst>
    </bk>
    <bk>
      <extLst>
        <ext uri="{3e2802c4-a4d2-4d8b-9148-e3be6c30e623}">
          <xlrd:rvb i="6008"/>
        </ext>
      </extLst>
    </bk>
    <bk>
      <extLst>
        <ext uri="{3e2802c4-a4d2-4d8b-9148-e3be6c30e623}">
          <xlrd:rvb i="6009"/>
        </ext>
      </extLst>
    </bk>
    <bk>
      <extLst>
        <ext uri="{3e2802c4-a4d2-4d8b-9148-e3be6c30e623}">
          <xlrd:rvb i="6010"/>
        </ext>
      </extLst>
    </bk>
    <bk>
      <extLst>
        <ext uri="{3e2802c4-a4d2-4d8b-9148-e3be6c30e623}">
          <xlrd:rvb i="6011"/>
        </ext>
      </extLst>
    </bk>
    <bk>
      <extLst>
        <ext uri="{3e2802c4-a4d2-4d8b-9148-e3be6c30e623}">
          <xlrd:rvb i="6012"/>
        </ext>
      </extLst>
    </bk>
    <bk>
      <extLst>
        <ext uri="{3e2802c4-a4d2-4d8b-9148-e3be6c30e623}">
          <xlrd:rvb i="6013"/>
        </ext>
      </extLst>
    </bk>
    <bk>
      <extLst>
        <ext uri="{3e2802c4-a4d2-4d8b-9148-e3be6c30e623}">
          <xlrd:rvb i="6014"/>
        </ext>
      </extLst>
    </bk>
    <bk>
      <extLst>
        <ext uri="{3e2802c4-a4d2-4d8b-9148-e3be6c30e623}">
          <xlrd:rvb i="6015"/>
        </ext>
      </extLst>
    </bk>
    <bk>
      <extLst>
        <ext uri="{3e2802c4-a4d2-4d8b-9148-e3be6c30e623}">
          <xlrd:rvb i="6016"/>
        </ext>
      </extLst>
    </bk>
    <bk>
      <extLst>
        <ext uri="{3e2802c4-a4d2-4d8b-9148-e3be6c30e623}">
          <xlrd:rvb i="6017"/>
        </ext>
      </extLst>
    </bk>
    <bk>
      <extLst>
        <ext uri="{3e2802c4-a4d2-4d8b-9148-e3be6c30e623}">
          <xlrd:rvb i="6018"/>
        </ext>
      </extLst>
    </bk>
    <bk>
      <extLst>
        <ext uri="{3e2802c4-a4d2-4d8b-9148-e3be6c30e623}">
          <xlrd:rvb i="6019"/>
        </ext>
      </extLst>
    </bk>
    <bk>
      <extLst>
        <ext uri="{3e2802c4-a4d2-4d8b-9148-e3be6c30e623}">
          <xlrd:rvb i="6020"/>
        </ext>
      </extLst>
    </bk>
    <bk>
      <extLst>
        <ext uri="{3e2802c4-a4d2-4d8b-9148-e3be6c30e623}">
          <xlrd:rvb i="6021"/>
        </ext>
      </extLst>
    </bk>
    <bk>
      <extLst>
        <ext uri="{3e2802c4-a4d2-4d8b-9148-e3be6c30e623}">
          <xlrd:rvb i="6022"/>
        </ext>
      </extLst>
    </bk>
    <bk>
      <extLst>
        <ext uri="{3e2802c4-a4d2-4d8b-9148-e3be6c30e623}">
          <xlrd:rvb i="6023"/>
        </ext>
      </extLst>
    </bk>
    <bk>
      <extLst>
        <ext uri="{3e2802c4-a4d2-4d8b-9148-e3be6c30e623}">
          <xlrd:rvb i="6024"/>
        </ext>
      </extLst>
    </bk>
    <bk>
      <extLst>
        <ext uri="{3e2802c4-a4d2-4d8b-9148-e3be6c30e623}">
          <xlrd:rvb i="6025"/>
        </ext>
      </extLst>
    </bk>
    <bk>
      <extLst>
        <ext uri="{3e2802c4-a4d2-4d8b-9148-e3be6c30e623}">
          <xlrd:rvb i="6026"/>
        </ext>
      </extLst>
    </bk>
    <bk>
      <extLst>
        <ext uri="{3e2802c4-a4d2-4d8b-9148-e3be6c30e623}">
          <xlrd:rvb i="6027"/>
        </ext>
      </extLst>
    </bk>
    <bk>
      <extLst>
        <ext uri="{3e2802c4-a4d2-4d8b-9148-e3be6c30e623}">
          <xlrd:rvb i="6028"/>
        </ext>
      </extLst>
    </bk>
    <bk>
      <extLst>
        <ext uri="{3e2802c4-a4d2-4d8b-9148-e3be6c30e623}">
          <xlrd:rvb i="6029"/>
        </ext>
      </extLst>
    </bk>
    <bk>
      <extLst>
        <ext uri="{3e2802c4-a4d2-4d8b-9148-e3be6c30e623}">
          <xlrd:rvb i="6030"/>
        </ext>
      </extLst>
    </bk>
    <bk>
      <extLst>
        <ext uri="{3e2802c4-a4d2-4d8b-9148-e3be6c30e623}">
          <xlrd:rvb i="6031"/>
        </ext>
      </extLst>
    </bk>
    <bk>
      <extLst>
        <ext uri="{3e2802c4-a4d2-4d8b-9148-e3be6c30e623}">
          <xlrd:rvb i="6032"/>
        </ext>
      </extLst>
    </bk>
    <bk>
      <extLst>
        <ext uri="{3e2802c4-a4d2-4d8b-9148-e3be6c30e623}">
          <xlrd:rvb i="6033"/>
        </ext>
      </extLst>
    </bk>
    <bk>
      <extLst>
        <ext uri="{3e2802c4-a4d2-4d8b-9148-e3be6c30e623}">
          <xlrd:rvb i="6034"/>
        </ext>
      </extLst>
    </bk>
    <bk>
      <extLst>
        <ext uri="{3e2802c4-a4d2-4d8b-9148-e3be6c30e623}">
          <xlrd:rvb i="6035"/>
        </ext>
      </extLst>
    </bk>
    <bk>
      <extLst>
        <ext uri="{3e2802c4-a4d2-4d8b-9148-e3be6c30e623}">
          <xlrd:rvb i="6036"/>
        </ext>
      </extLst>
    </bk>
    <bk>
      <extLst>
        <ext uri="{3e2802c4-a4d2-4d8b-9148-e3be6c30e623}">
          <xlrd:rvb i="6037"/>
        </ext>
      </extLst>
    </bk>
    <bk>
      <extLst>
        <ext uri="{3e2802c4-a4d2-4d8b-9148-e3be6c30e623}">
          <xlrd:rvb i="6038"/>
        </ext>
      </extLst>
    </bk>
    <bk>
      <extLst>
        <ext uri="{3e2802c4-a4d2-4d8b-9148-e3be6c30e623}">
          <xlrd:rvb i="6039"/>
        </ext>
      </extLst>
    </bk>
    <bk>
      <extLst>
        <ext uri="{3e2802c4-a4d2-4d8b-9148-e3be6c30e623}">
          <xlrd:rvb i="6040"/>
        </ext>
      </extLst>
    </bk>
    <bk>
      <extLst>
        <ext uri="{3e2802c4-a4d2-4d8b-9148-e3be6c30e623}">
          <xlrd:rvb i="6041"/>
        </ext>
      </extLst>
    </bk>
    <bk>
      <extLst>
        <ext uri="{3e2802c4-a4d2-4d8b-9148-e3be6c30e623}">
          <xlrd:rvb i="6042"/>
        </ext>
      </extLst>
    </bk>
    <bk>
      <extLst>
        <ext uri="{3e2802c4-a4d2-4d8b-9148-e3be6c30e623}">
          <xlrd:rvb i="6043"/>
        </ext>
      </extLst>
    </bk>
    <bk>
      <extLst>
        <ext uri="{3e2802c4-a4d2-4d8b-9148-e3be6c30e623}">
          <xlrd:rvb i="6044"/>
        </ext>
      </extLst>
    </bk>
    <bk>
      <extLst>
        <ext uri="{3e2802c4-a4d2-4d8b-9148-e3be6c30e623}">
          <xlrd:rvb i="6045"/>
        </ext>
      </extLst>
    </bk>
    <bk>
      <extLst>
        <ext uri="{3e2802c4-a4d2-4d8b-9148-e3be6c30e623}">
          <xlrd:rvb i="6046"/>
        </ext>
      </extLst>
    </bk>
    <bk>
      <extLst>
        <ext uri="{3e2802c4-a4d2-4d8b-9148-e3be6c30e623}">
          <xlrd:rvb i="6047"/>
        </ext>
      </extLst>
    </bk>
    <bk>
      <extLst>
        <ext uri="{3e2802c4-a4d2-4d8b-9148-e3be6c30e623}">
          <xlrd:rvb i="6048"/>
        </ext>
      </extLst>
    </bk>
    <bk>
      <extLst>
        <ext uri="{3e2802c4-a4d2-4d8b-9148-e3be6c30e623}">
          <xlrd:rvb i="6049"/>
        </ext>
      </extLst>
    </bk>
    <bk>
      <extLst>
        <ext uri="{3e2802c4-a4d2-4d8b-9148-e3be6c30e623}">
          <xlrd:rvb i="6050"/>
        </ext>
      </extLst>
    </bk>
    <bk>
      <extLst>
        <ext uri="{3e2802c4-a4d2-4d8b-9148-e3be6c30e623}">
          <xlrd:rvb i="6051"/>
        </ext>
      </extLst>
    </bk>
    <bk>
      <extLst>
        <ext uri="{3e2802c4-a4d2-4d8b-9148-e3be6c30e623}">
          <xlrd:rvb i="6052"/>
        </ext>
      </extLst>
    </bk>
    <bk>
      <extLst>
        <ext uri="{3e2802c4-a4d2-4d8b-9148-e3be6c30e623}">
          <xlrd:rvb i="6053"/>
        </ext>
      </extLst>
    </bk>
    <bk>
      <extLst>
        <ext uri="{3e2802c4-a4d2-4d8b-9148-e3be6c30e623}">
          <xlrd:rvb i="6054"/>
        </ext>
      </extLst>
    </bk>
    <bk>
      <extLst>
        <ext uri="{3e2802c4-a4d2-4d8b-9148-e3be6c30e623}">
          <xlrd:rvb i="6055"/>
        </ext>
      </extLst>
    </bk>
    <bk>
      <extLst>
        <ext uri="{3e2802c4-a4d2-4d8b-9148-e3be6c30e623}">
          <xlrd:rvb i="6056"/>
        </ext>
      </extLst>
    </bk>
    <bk>
      <extLst>
        <ext uri="{3e2802c4-a4d2-4d8b-9148-e3be6c30e623}">
          <xlrd:rvb i="6057"/>
        </ext>
      </extLst>
    </bk>
    <bk>
      <extLst>
        <ext uri="{3e2802c4-a4d2-4d8b-9148-e3be6c30e623}">
          <xlrd:rvb i="6058"/>
        </ext>
      </extLst>
    </bk>
    <bk>
      <extLst>
        <ext uri="{3e2802c4-a4d2-4d8b-9148-e3be6c30e623}">
          <xlrd:rvb i="6059"/>
        </ext>
      </extLst>
    </bk>
    <bk>
      <extLst>
        <ext uri="{3e2802c4-a4d2-4d8b-9148-e3be6c30e623}">
          <xlrd:rvb i="6060"/>
        </ext>
      </extLst>
    </bk>
    <bk>
      <extLst>
        <ext uri="{3e2802c4-a4d2-4d8b-9148-e3be6c30e623}">
          <xlrd:rvb i="6061"/>
        </ext>
      </extLst>
    </bk>
    <bk>
      <extLst>
        <ext uri="{3e2802c4-a4d2-4d8b-9148-e3be6c30e623}">
          <xlrd:rvb i="6062"/>
        </ext>
      </extLst>
    </bk>
    <bk>
      <extLst>
        <ext uri="{3e2802c4-a4d2-4d8b-9148-e3be6c30e623}">
          <xlrd:rvb i="6063"/>
        </ext>
      </extLst>
    </bk>
    <bk>
      <extLst>
        <ext uri="{3e2802c4-a4d2-4d8b-9148-e3be6c30e623}">
          <xlrd:rvb i="6064"/>
        </ext>
      </extLst>
    </bk>
    <bk>
      <extLst>
        <ext uri="{3e2802c4-a4d2-4d8b-9148-e3be6c30e623}">
          <xlrd:rvb i="6065"/>
        </ext>
      </extLst>
    </bk>
    <bk>
      <extLst>
        <ext uri="{3e2802c4-a4d2-4d8b-9148-e3be6c30e623}">
          <xlrd:rvb i="6066"/>
        </ext>
      </extLst>
    </bk>
    <bk>
      <extLst>
        <ext uri="{3e2802c4-a4d2-4d8b-9148-e3be6c30e623}">
          <xlrd:rvb i="6067"/>
        </ext>
      </extLst>
    </bk>
    <bk>
      <extLst>
        <ext uri="{3e2802c4-a4d2-4d8b-9148-e3be6c30e623}">
          <xlrd:rvb i="6068"/>
        </ext>
      </extLst>
    </bk>
    <bk>
      <extLst>
        <ext uri="{3e2802c4-a4d2-4d8b-9148-e3be6c30e623}">
          <xlrd:rvb i="6069"/>
        </ext>
      </extLst>
    </bk>
    <bk>
      <extLst>
        <ext uri="{3e2802c4-a4d2-4d8b-9148-e3be6c30e623}">
          <xlrd:rvb i="6070"/>
        </ext>
      </extLst>
    </bk>
    <bk>
      <extLst>
        <ext uri="{3e2802c4-a4d2-4d8b-9148-e3be6c30e623}">
          <xlrd:rvb i="6071"/>
        </ext>
      </extLst>
    </bk>
    <bk>
      <extLst>
        <ext uri="{3e2802c4-a4d2-4d8b-9148-e3be6c30e623}">
          <xlrd:rvb i="6072"/>
        </ext>
      </extLst>
    </bk>
    <bk>
      <extLst>
        <ext uri="{3e2802c4-a4d2-4d8b-9148-e3be6c30e623}">
          <xlrd:rvb i="6073"/>
        </ext>
      </extLst>
    </bk>
    <bk>
      <extLst>
        <ext uri="{3e2802c4-a4d2-4d8b-9148-e3be6c30e623}">
          <xlrd:rvb i="6074"/>
        </ext>
      </extLst>
    </bk>
    <bk>
      <extLst>
        <ext uri="{3e2802c4-a4d2-4d8b-9148-e3be6c30e623}">
          <xlrd:rvb i="6075"/>
        </ext>
      </extLst>
    </bk>
    <bk>
      <extLst>
        <ext uri="{3e2802c4-a4d2-4d8b-9148-e3be6c30e623}">
          <xlrd:rvb i="6076"/>
        </ext>
      </extLst>
    </bk>
    <bk>
      <extLst>
        <ext uri="{3e2802c4-a4d2-4d8b-9148-e3be6c30e623}">
          <xlrd:rvb i="6077"/>
        </ext>
      </extLst>
    </bk>
    <bk>
      <extLst>
        <ext uri="{3e2802c4-a4d2-4d8b-9148-e3be6c30e623}">
          <xlrd:rvb i="6078"/>
        </ext>
      </extLst>
    </bk>
    <bk>
      <extLst>
        <ext uri="{3e2802c4-a4d2-4d8b-9148-e3be6c30e623}">
          <xlrd:rvb i="6079"/>
        </ext>
      </extLst>
    </bk>
    <bk>
      <extLst>
        <ext uri="{3e2802c4-a4d2-4d8b-9148-e3be6c30e623}">
          <xlrd:rvb i="6080"/>
        </ext>
      </extLst>
    </bk>
    <bk>
      <extLst>
        <ext uri="{3e2802c4-a4d2-4d8b-9148-e3be6c30e623}">
          <xlrd:rvb i="6081"/>
        </ext>
      </extLst>
    </bk>
    <bk>
      <extLst>
        <ext uri="{3e2802c4-a4d2-4d8b-9148-e3be6c30e623}">
          <xlrd:rvb i="6082"/>
        </ext>
      </extLst>
    </bk>
    <bk>
      <extLst>
        <ext uri="{3e2802c4-a4d2-4d8b-9148-e3be6c30e623}">
          <xlrd:rvb i="6083"/>
        </ext>
      </extLst>
    </bk>
    <bk>
      <extLst>
        <ext uri="{3e2802c4-a4d2-4d8b-9148-e3be6c30e623}">
          <xlrd:rvb i="6084"/>
        </ext>
      </extLst>
    </bk>
    <bk>
      <extLst>
        <ext uri="{3e2802c4-a4d2-4d8b-9148-e3be6c30e623}">
          <xlrd:rvb i="6085"/>
        </ext>
      </extLst>
    </bk>
    <bk>
      <extLst>
        <ext uri="{3e2802c4-a4d2-4d8b-9148-e3be6c30e623}">
          <xlrd:rvb i="6086"/>
        </ext>
      </extLst>
    </bk>
    <bk>
      <extLst>
        <ext uri="{3e2802c4-a4d2-4d8b-9148-e3be6c30e623}">
          <xlrd:rvb i="6087"/>
        </ext>
      </extLst>
    </bk>
    <bk>
      <extLst>
        <ext uri="{3e2802c4-a4d2-4d8b-9148-e3be6c30e623}">
          <xlrd:rvb i="6088"/>
        </ext>
      </extLst>
    </bk>
    <bk>
      <extLst>
        <ext uri="{3e2802c4-a4d2-4d8b-9148-e3be6c30e623}">
          <xlrd:rvb i="6089"/>
        </ext>
      </extLst>
    </bk>
    <bk>
      <extLst>
        <ext uri="{3e2802c4-a4d2-4d8b-9148-e3be6c30e623}">
          <xlrd:rvb i="6090"/>
        </ext>
      </extLst>
    </bk>
    <bk>
      <extLst>
        <ext uri="{3e2802c4-a4d2-4d8b-9148-e3be6c30e623}">
          <xlrd:rvb i="6091"/>
        </ext>
      </extLst>
    </bk>
    <bk>
      <extLst>
        <ext uri="{3e2802c4-a4d2-4d8b-9148-e3be6c30e623}">
          <xlrd:rvb i="6092"/>
        </ext>
      </extLst>
    </bk>
    <bk>
      <extLst>
        <ext uri="{3e2802c4-a4d2-4d8b-9148-e3be6c30e623}">
          <xlrd:rvb i="6093"/>
        </ext>
      </extLst>
    </bk>
    <bk>
      <extLst>
        <ext uri="{3e2802c4-a4d2-4d8b-9148-e3be6c30e623}">
          <xlrd:rvb i="6094"/>
        </ext>
      </extLst>
    </bk>
    <bk>
      <extLst>
        <ext uri="{3e2802c4-a4d2-4d8b-9148-e3be6c30e623}">
          <xlrd:rvb i="6095"/>
        </ext>
      </extLst>
    </bk>
    <bk>
      <extLst>
        <ext uri="{3e2802c4-a4d2-4d8b-9148-e3be6c30e623}">
          <xlrd:rvb i="6096"/>
        </ext>
      </extLst>
    </bk>
    <bk>
      <extLst>
        <ext uri="{3e2802c4-a4d2-4d8b-9148-e3be6c30e623}">
          <xlrd:rvb i="6097"/>
        </ext>
      </extLst>
    </bk>
    <bk>
      <extLst>
        <ext uri="{3e2802c4-a4d2-4d8b-9148-e3be6c30e623}">
          <xlrd:rvb i="6098"/>
        </ext>
      </extLst>
    </bk>
    <bk>
      <extLst>
        <ext uri="{3e2802c4-a4d2-4d8b-9148-e3be6c30e623}">
          <xlrd:rvb i="6099"/>
        </ext>
      </extLst>
    </bk>
    <bk>
      <extLst>
        <ext uri="{3e2802c4-a4d2-4d8b-9148-e3be6c30e623}">
          <xlrd:rvb i="6100"/>
        </ext>
      </extLst>
    </bk>
    <bk>
      <extLst>
        <ext uri="{3e2802c4-a4d2-4d8b-9148-e3be6c30e623}">
          <xlrd:rvb i="6101"/>
        </ext>
      </extLst>
    </bk>
    <bk>
      <extLst>
        <ext uri="{3e2802c4-a4d2-4d8b-9148-e3be6c30e623}">
          <xlrd:rvb i="6102"/>
        </ext>
      </extLst>
    </bk>
    <bk>
      <extLst>
        <ext uri="{3e2802c4-a4d2-4d8b-9148-e3be6c30e623}">
          <xlrd:rvb i="6103"/>
        </ext>
      </extLst>
    </bk>
    <bk>
      <extLst>
        <ext uri="{3e2802c4-a4d2-4d8b-9148-e3be6c30e623}">
          <xlrd:rvb i="6104"/>
        </ext>
      </extLst>
    </bk>
    <bk>
      <extLst>
        <ext uri="{3e2802c4-a4d2-4d8b-9148-e3be6c30e623}">
          <xlrd:rvb i="6105"/>
        </ext>
      </extLst>
    </bk>
    <bk>
      <extLst>
        <ext uri="{3e2802c4-a4d2-4d8b-9148-e3be6c30e623}">
          <xlrd:rvb i="6106"/>
        </ext>
      </extLst>
    </bk>
    <bk>
      <extLst>
        <ext uri="{3e2802c4-a4d2-4d8b-9148-e3be6c30e623}">
          <xlrd:rvb i="6107"/>
        </ext>
      </extLst>
    </bk>
    <bk>
      <extLst>
        <ext uri="{3e2802c4-a4d2-4d8b-9148-e3be6c30e623}">
          <xlrd:rvb i="6108"/>
        </ext>
      </extLst>
    </bk>
    <bk>
      <extLst>
        <ext uri="{3e2802c4-a4d2-4d8b-9148-e3be6c30e623}">
          <xlrd:rvb i="6109"/>
        </ext>
      </extLst>
    </bk>
    <bk>
      <extLst>
        <ext uri="{3e2802c4-a4d2-4d8b-9148-e3be6c30e623}">
          <xlrd:rvb i="6110"/>
        </ext>
      </extLst>
    </bk>
    <bk>
      <extLst>
        <ext uri="{3e2802c4-a4d2-4d8b-9148-e3be6c30e623}">
          <xlrd:rvb i="6111"/>
        </ext>
      </extLst>
    </bk>
    <bk>
      <extLst>
        <ext uri="{3e2802c4-a4d2-4d8b-9148-e3be6c30e623}">
          <xlrd:rvb i="6112"/>
        </ext>
      </extLst>
    </bk>
    <bk>
      <extLst>
        <ext uri="{3e2802c4-a4d2-4d8b-9148-e3be6c30e623}">
          <xlrd:rvb i="6113"/>
        </ext>
      </extLst>
    </bk>
    <bk>
      <extLst>
        <ext uri="{3e2802c4-a4d2-4d8b-9148-e3be6c30e623}">
          <xlrd:rvb i="6114"/>
        </ext>
      </extLst>
    </bk>
    <bk>
      <extLst>
        <ext uri="{3e2802c4-a4d2-4d8b-9148-e3be6c30e623}">
          <xlrd:rvb i="6115"/>
        </ext>
      </extLst>
    </bk>
    <bk>
      <extLst>
        <ext uri="{3e2802c4-a4d2-4d8b-9148-e3be6c30e623}">
          <xlrd:rvb i="6116"/>
        </ext>
      </extLst>
    </bk>
    <bk>
      <extLst>
        <ext uri="{3e2802c4-a4d2-4d8b-9148-e3be6c30e623}">
          <xlrd:rvb i="6117"/>
        </ext>
      </extLst>
    </bk>
    <bk>
      <extLst>
        <ext uri="{3e2802c4-a4d2-4d8b-9148-e3be6c30e623}">
          <xlrd:rvb i="6118"/>
        </ext>
      </extLst>
    </bk>
    <bk>
      <extLst>
        <ext uri="{3e2802c4-a4d2-4d8b-9148-e3be6c30e623}">
          <xlrd:rvb i="6119"/>
        </ext>
      </extLst>
    </bk>
    <bk>
      <extLst>
        <ext uri="{3e2802c4-a4d2-4d8b-9148-e3be6c30e623}">
          <xlrd:rvb i="6120"/>
        </ext>
      </extLst>
    </bk>
    <bk>
      <extLst>
        <ext uri="{3e2802c4-a4d2-4d8b-9148-e3be6c30e623}">
          <xlrd:rvb i="6121"/>
        </ext>
      </extLst>
    </bk>
    <bk>
      <extLst>
        <ext uri="{3e2802c4-a4d2-4d8b-9148-e3be6c30e623}">
          <xlrd:rvb i="6122"/>
        </ext>
      </extLst>
    </bk>
    <bk>
      <extLst>
        <ext uri="{3e2802c4-a4d2-4d8b-9148-e3be6c30e623}">
          <xlrd:rvb i="6123"/>
        </ext>
      </extLst>
    </bk>
    <bk>
      <extLst>
        <ext uri="{3e2802c4-a4d2-4d8b-9148-e3be6c30e623}">
          <xlrd:rvb i="6124"/>
        </ext>
      </extLst>
    </bk>
    <bk>
      <extLst>
        <ext uri="{3e2802c4-a4d2-4d8b-9148-e3be6c30e623}">
          <xlrd:rvb i="6125"/>
        </ext>
      </extLst>
    </bk>
    <bk>
      <extLst>
        <ext uri="{3e2802c4-a4d2-4d8b-9148-e3be6c30e623}">
          <xlrd:rvb i="6126"/>
        </ext>
      </extLst>
    </bk>
    <bk>
      <extLst>
        <ext uri="{3e2802c4-a4d2-4d8b-9148-e3be6c30e623}">
          <xlrd:rvb i="6127"/>
        </ext>
      </extLst>
    </bk>
    <bk>
      <extLst>
        <ext uri="{3e2802c4-a4d2-4d8b-9148-e3be6c30e623}">
          <xlrd:rvb i="6128"/>
        </ext>
      </extLst>
    </bk>
    <bk>
      <extLst>
        <ext uri="{3e2802c4-a4d2-4d8b-9148-e3be6c30e623}">
          <xlrd:rvb i="6129"/>
        </ext>
      </extLst>
    </bk>
    <bk>
      <extLst>
        <ext uri="{3e2802c4-a4d2-4d8b-9148-e3be6c30e623}">
          <xlrd:rvb i="6130"/>
        </ext>
      </extLst>
    </bk>
    <bk>
      <extLst>
        <ext uri="{3e2802c4-a4d2-4d8b-9148-e3be6c30e623}">
          <xlrd:rvb i="6131"/>
        </ext>
      </extLst>
    </bk>
    <bk>
      <extLst>
        <ext uri="{3e2802c4-a4d2-4d8b-9148-e3be6c30e623}">
          <xlrd:rvb i="6132"/>
        </ext>
      </extLst>
    </bk>
    <bk>
      <extLst>
        <ext uri="{3e2802c4-a4d2-4d8b-9148-e3be6c30e623}">
          <xlrd:rvb i="6133"/>
        </ext>
      </extLst>
    </bk>
    <bk>
      <extLst>
        <ext uri="{3e2802c4-a4d2-4d8b-9148-e3be6c30e623}">
          <xlrd:rvb i="6134"/>
        </ext>
      </extLst>
    </bk>
    <bk>
      <extLst>
        <ext uri="{3e2802c4-a4d2-4d8b-9148-e3be6c30e623}">
          <xlrd:rvb i="6135"/>
        </ext>
      </extLst>
    </bk>
    <bk>
      <extLst>
        <ext uri="{3e2802c4-a4d2-4d8b-9148-e3be6c30e623}">
          <xlrd:rvb i="6136"/>
        </ext>
      </extLst>
    </bk>
    <bk>
      <extLst>
        <ext uri="{3e2802c4-a4d2-4d8b-9148-e3be6c30e623}">
          <xlrd:rvb i="6137"/>
        </ext>
      </extLst>
    </bk>
    <bk>
      <extLst>
        <ext uri="{3e2802c4-a4d2-4d8b-9148-e3be6c30e623}">
          <xlrd:rvb i="6138"/>
        </ext>
      </extLst>
    </bk>
    <bk>
      <extLst>
        <ext uri="{3e2802c4-a4d2-4d8b-9148-e3be6c30e623}">
          <xlrd:rvb i="6139"/>
        </ext>
      </extLst>
    </bk>
    <bk>
      <extLst>
        <ext uri="{3e2802c4-a4d2-4d8b-9148-e3be6c30e623}">
          <xlrd:rvb i="6140"/>
        </ext>
      </extLst>
    </bk>
    <bk>
      <extLst>
        <ext uri="{3e2802c4-a4d2-4d8b-9148-e3be6c30e623}">
          <xlrd:rvb i="6141"/>
        </ext>
      </extLst>
    </bk>
    <bk>
      <extLst>
        <ext uri="{3e2802c4-a4d2-4d8b-9148-e3be6c30e623}">
          <xlrd:rvb i="6142"/>
        </ext>
      </extLst>
    </bk>
    <bk>
      <extLst>
        <ext uri="{3e2802c4-a4d2-4d8b-9148-e3be6c30e623}">
          <xlrd:rvb i="6143"/>
        </ext>
      </extLst>
    </bk>
    <bk>
      <extLst>
        <ext uri="{3e2802c4-a4d2-4d8b-9148-e3be6c30e623}">
          <xlrd:rvb i="6144"/>
        </ext>
      </extLst>
    </bk>
    <bk>
      <extLst>
        <ext uri="{3e2802c4-a4d2-4d8b-9148-e3be6c30e623}">
          <xlrd:rvb i="6145"/>
        </ext>
      </extLst>
    </bk>
    <bk>
      <extLst>
        <ext uri="{3e2802c4-a4d2-4d8b-9148-e3be6c30e623}">
          <xlrd:rvb i="6146"/>
        </ext>
      </extLst>
    </bk>
    <bk>
      <extLst>
        <ext uri="{3e2802c4-a4d2-4d8b-9148-e3be6c30e623}">
          <xlrd:rvb i="6147"/>
        </ext>
      </extLst>
    </bk>
    <bk>
      <extLst>
        <ext uri="{3e2802c4-a4d2-4d8b-9148-e3be6c30e623}">
          <xlrd:rvb i="6148"/>
        </ext>
      </extLst>
    </bk>
    <bk>
      <extLst>
        <ext uri="{3e2802c4-a4d2-4d8b-9148-e3be6c30e623}">
          <xlrd:rvb i="6149"/>
        </ext>
      </extLst>
    </bk>
    <bk>
      <extLst>
        <ext uri="{3e2802c4-a4d2-4d8b-9148-e3be6c30e623}">
          <xlrd:rvb i="6150"/>
        </ext>
      </extLst>
    </bk>
    <bk>
      <extLst>
        <ext uri="{3e2802c4-a4d2-4d8b-9148-e3be6c30e623}">
          <xlrd:rvb i="6151"/>
        </ext>
      </extLst>
    </bk>
    <bk>
      <extLst>
        <ext uri="{3e2802c4-a4d2-4d8b-9148-e3be6c30e623}">
          <xlrd:rvb i="6152"/>
        </ext>
      </extLst>
    </bk>
    <bk>
      <extLst>
        <ext uri="{3e2802c4-a4d2-4d8b-9148-e3be6c30e623}">
          <xlrd:rvb i="6153"/>
        </ext>
      </extLst>
    </bk>
    <bk>
      <extLst>
        <ext uri="{3e2802c4-a4d2-4d8b-9148-e3be6c30e623}">
          <xlrd:rvb i="6154"/>
        </ext>
      </extLst>
    </bk>
    <bk>
      <extLst>
        <ext uri="{3e2802c4-a4d2-4d8b-9148-e3be6c30e623}">
          <xlrd:rvb i="6155"/>
        </ext>
      </extLst>
    </bk>
    <bk>
      <extLst>
        <ext uri="{3e2802c4-a4d2-4d8b-9148-e3be6c30e623}">
          <xlrd:rvb i="6156"/>
        </ext>
      </extLst>
    </bk>
    <bk>
      <extLst>
        <ext uri="{3e2802c4-a4d2-4d8b-9148-e3be6c30e623}">
          <xlrd:rvb i="6157"/>
        </ext>
      </extLst>
    </bk>
    <bk>
      <extLst>
        <ext uri="{3e2802c4-a4d2-4d8b-9148-e3be6c30e623}">
          <xlrd:rvb i="6158"/>
        </ext>
      </extLst>
    </bk>
    <bk>
      <extLst>
        <ext uri="{3e2802c4-a4d2-4d8b-9148-e3be6c30e623}">
          <xlrd:rvb i="6159"/>
        </ext>
      </extLst>
    </bk>
    <bk>
      <extLst>
        <ext uri="{3e2802c4-a4d2-4d8b-9148-e3be6c30e623}">
          <xlrd:rvb i="6160"/>
        </ext>
      </extLst>
    </bk>
    <bk>
      <extLst>
        <ext uri="{3e2802c4-a4d2-4d8b-9148-e3be6c30e623}">
          <xlrd:rvb i="6161"/>
        </ext>
      </extLst>
    </bk>
    <bk>
      <extLst>
        <ext uri="{3e2802c4-a4d2-4d8b-9148-e3be6c30e623}">
          <xlrd:rvb i="6162"/>
        </ext>
      </extLst>
    </bk>
    <bk>
      <extLst>
        <ext uri="{3e2802c4-a4d2-4d8b-9148-e3be6c30e623}">
          <xlrd:rvb i="6163"/>
        </ext>
      </extLst>
    </bk>
    <bk>
      <extLst>
        <ext uri="{3e2802c4-a4d2-4d8b-9148-e3be6c30e623}">
          <xlrd:rvb i="6164"/>
        </ext>
      </extLst>
    </bk>
    <bk>
      <extLst>
        <ext uri="{3e2802c4-a4d2-4d8b-9148-e3be6c30e623}">
          <xlrd:rvb i="6165"/>
        </ext>
      </extLst>
    </bk>
    <bk>
      <extLst>
        <ext uri="{3e2802c4-a4d2-4d8b-9148-e3be6c30e623}">
          <xlrd:rvb i="6166"/>
        </ext>
      </extLst>
    </bk>
    <bk>
      <extLst>
        <ext uri="{3e2802c4-a4d2-4d8b-9148-e3be6c30e623}">
          <xlrd:rvb i="6167"/>
        </ext>
      </extLst>
    </bk>
    <bk>
      <extLst>
        <ext uri="{3e2802c4-a4d2-4d8b-9148-e3be6c30e623}">
          <xlrd:rvb i="6168"/>
        </ext>
      </extLst>
    </bk>
    <bk>
      <extLst>
        <ext uri="{3e2802c4-a4d2-4d8b-9148-e3be6c30e623}">
          <xlrd:rvb i="6169"/>
        </ext>
      </extLst>
    </bk>
    <bk>
      <extLst>
        <ext uri="{3e2802c4-a4d2-4d8b-9148-e3be6c30e623}">
          <xlrd:rvb i="6170"/>
        </ext>
      </extLst>
    </bk>
    <bk>
      <extLst>
        <ext uri="{3e2802c4-a4d2-4d8b-9148-e3be6c30e623}">
          <xlrd:rvb i="6171"/>
        </ext>
      </extLst>
    </bk>
    <bk>
      <extLst>
        <ext uri="{3e2802c4-a4d2-4d8b-9148-e3be6c30e623}">
          <xlrd:rvb i="6172"/>
        </ext>
      </extLst>
    </bk>
    <bk>
      <extLst>
        <ext uri="{3e2802c4-a4d2-4d8b-9148-e3be6c30e623}">
          <xlrd:rvb i="6173"/>
        </ext>
      </extLst>
    </bk>
    <bk>
      <extLst>
        <ext uri="{3e2802c4-a4d2-4d8b-9148-e3be6c30e623}">
          <xlrd:rvb i="6174"/>
        </ext>
      </extLst>
    </bk>
    <bk>
      <extLst>
        <ext uri="{3e2802c4-a4d2-4d8b-9148-e3be6c30e623}">
          <xlrd:rvb i="6175"/>
        </ext>
      </extLst>
    </bk>
    <bk>
      <extLst>
        <ext uri="{3e2802c4-a4d2-4d8b-9148-e3be6c30e623}">
          <xlrd:rvb i="6176"/>
        </ext>
      </extLst>
    </bk>
    <bk>
      <extLst>
        <ext uri="{3e2802c4-a4d2-4d8b-9148-e3be6c30e623}">
          <xlrd:rvb i="6177"/>
        </ext>
      </extLst>
    </bk>
    <bk>
      <extLst>
        <ext uri="{3e2802c4-a4d2-4d8b-9148-e3be6c30e623}">
          <xlrd:rvb i="6178"/>
        </ext>
      </extLst>
    </bk>
    <bk>
      <extLst>
        <ext uri="{3e2802c4-a4d2-4d8b-9148-e3be6c30e623}">
          <xlrd:rvb i="6179"/>
        </ext>
      </extLst>
    </bk>
    <bk>
      <extLst>
        <ext uri="{3e2802c4-a4d2-4d8b-9148-e3be6c30e623}">
          <xlrd:rvb i="6180"/>
        </ext>
      </extLst>
    </bk>
    <bk>
      <extLst>
        <ext uri="{3e2802c4-a4d2-4d8b-9148-e3be6c30e623}">
          <xlrd:rvb i="6181"/>
        </ext>
      </extLst>
    </bk>
    <bk>
      <extLst>
        <ext uri="{3e2802c4-a4d2-4d8b-9148-e3be6c30e623}">
          <xlrd:rvb i="6182"/>
        </ext>
      </extLst>
    </bk>
    <bk>
      <extLst>
        <ext uri="{3e2802c4-a4d2-4d8b-9148-e3be6c30e623}">
          <xlrd:rvb i="6183"/>
        </ext>
      </extLst>
    </bk>
    <bk>
      <extLst>
        <ext uri="{3e2802c4-a4d2-4d8b-9148-e3be6c30e623}">
          <xlrd:rvb i="6184"/>
        </ext>
      </extLst>
    </bk>
    <bk>
      <extLst>
        <ext uri="{3e2802c4-a4d2-4d8b-9148-e3be6c30e623}">
          <xlrd:rvb i="6185"/>
        </ext>
      </extLst>
    </bk>
    <bk>
      <extLst>
        <ext uri="{3e2802c4-a4d2-4d8b-9148-e3be6c30e623}">
          <xlrd:rvb i="6186"/>
        </ext>
      </extLst>
    </bk>
    <bk>
      <extLst>
        <ext uri="{3e2802c4-a4d2-4d8b-9148-e3be6c30e623}">
          <xlrd:rvb i="6187"/>
        </ext>
      </extLst>
    </bk>
    <bk>
      <extLst>
        <ext uri="{3e2802c4-a4d2-4d8b-9148-e3be6c30e623}">
          <xlrd:rvb i="6188"/>
        </ext>
      </extLst>
    </bk>
    <bk>
      <extLst>
        <ext uri="{3e2802c4-a4d2-4d8b-9148-e3be6c30e623}">
          <xlrd:rvb i="6189"/>
        </ext>
      </extLst>
    </bk>
    <bk>
      <extLst>
        <ext uri="{3e2802c4-a4d2-4d8b-9148-e3be6c30e623}">
          <xlrd:rvb i="6190"/>
        </ext>
      </extLst>
    </bk>
    <bk>
      <extLst>
        <ext uri="{3e2802c4-a4d2-4d8b-9148-e3be6c30e623}">
          <xlrd:rvb i="6191"/>
        </ext>
      </extLst>
    </bk>
    <bk>
      <extLst>
        <ext uri="{3e2802c4-a4d2-4d8b-9148-e3be6c30e623}">
          <xlrd:rvb i="6192"/>
        </ext>
      </extLst>
    </bk>
    <bk>
      <extLst>
        <ext uri="{3e2802c4-a4d2-4d8b-9148-e3be6c30e623}">
          <xlrd:rvb i="6193"/>
        </ext>
      </extLst>
    </bk>
    <bk>
      <extLst>
        <ext uri="{3e2802c4-a4d2-4d8b-9148-e3be6c30e623}">
          <xlrd:rvb i="6194"/>
        </ext>
      </extLst>
    </bk>
    <bk>
      <extLst>
        <ext uri="{3e2802c4-a4d2-4d8b-9148-e3be6c30e623}">
          <xlrd:rvb i="6195"/>
        </ext>
      </extLst>
    </bk>
    <bk>
      <extLst>
        <ext uri="{3e2802c4-a4d2-4d8b-9148-e3be6c30e623}">
          <xlrd:rvb i="6196"/>
        </ext>
      </extLst>
    </bk>
    <bk>
      <extLst>
        <ext uri="{3e2802c4-a4d2-4d8b-9148-e3be6c30e623}">
          <xlrd:rvb i="6197"/>
        </ext>
      </extLst>
    </bk>
    <bk>
      <extLst>
        <ext uri="{3e2802c4-a4d2-4d8b-9148-e3be6c30e623}">
          <xlrd:rvb i="6198"/>
        </ext>
      </extLst>
    </bk>
    <bk>
      <extLst>
        <ext uri="{3e2802c4-a4d2-4d8b-9148-e3be6c30e623}">
          <xlrd:rvb i="6199"/>
        </ext>
      </extLst>
    </bk>
    <bk>
      <extLst>
        <ext uri="{3e2802c4-a4d2-4d8b-9148-e3be6c30e623}">
          <xlrd:rvb i="6200"/>
        </ext>
      </extLst>
    </bk>
    <bk>
      <extLst>
        <ext uri="{3e2802c4-a4d2-4d8b-9148-e3be6c30e623}">
          <xlrd:rvb i="6201"/>
        </ext>
      </extLst>
    </bk>
    <bk>
      <extLst>
        <ext uri="{3e2802c4-a4d2-4d8b-9148-e3be6c30e623}">
          <xlrd:rvb i="6202"/>
        </ext>
      </extLst>
    </bk>
    <bk>
      <extLst>
        <ext uri="{3e2802c4-a4d2-4d8b-9148-e3be6c30e623}">
          <xlrd:rvb i="6203"/>
        </ext>
      </extLst>
    </bk>
    <bk>
      <extLst>
        <ext uri="{3e2802c4-a4d2-4d8b-9148-e3be6c30e623}">
          <xlrd:rvb i="6204"/>
        </ext>
      </extLst>
    </bk>
    <bk>
      <extLst>
        <ext uri="{3e2802c4-a4d2-4d8b-9148-e3be6c30e623}">
          <xlrd:rvb i="6205"/>
        </ext>
      </extLst>
    </bk>
    <bk>
      <extLst>
        <ext uri="{3e2802c4-a4d2-4d8b-9148-e3be6c30e623}">
          <xlrd:rvb i="6206"/>
        </ext>
      </extLst>
    </bk>
    <bk>
      <extLst>
        <ext uri="{3e2802c4-a4d2-4d8b-9148-e3be6c30e623}">
          <xlrd:rvb i="6207"/>
        </ext>
      </extLst>
    </bk>
    <bk>
      <extLst>
        <ext uri="{3e2802c4-a4d2-4d8b-9148-e3be6c30e623}">
          <xlrd:rvb i="6208"/>
        </ext>
      </extLst>
    </bk>
    <bk>
      <extLst>
        <ext uri="{3e2802c4-a4d2-4d8b-9148-e3be6c30e623}">
          <xlrd:rvb i="6209"/>
        </ext>
      </extLst>
    </bk>
    <bk>
      <extLst>
        <ext uri="{3e2802c4-a4d2-4d8b-9148-e3be6c30e623}">
          <xlrd:rvb i="6210"/>
        </ext>
      </extLst>
    </bk>
    <bk>
      <extLst>
        <ext uri="{3e2802c4-a4d2-4d8b-9148-e3be6c30e623}">
          <xlrd:rvb i="6211"/>
        </ext>
      </extLst>
    </bk>
    <bk>
      <extLst>
        <ext uri="{3e2802c4-a4d2-4d8b-9148-e3be6c30e623}">
          <xlrd:rvb i="6212"/>
        </ext>
      </extLst>
    </bk>
    <bk>
      <extLst>
        <ext uri="{3e2802c4-a4d2-4d8b-9148-e3be6c30e623}">
          <xlrd:rvb i="6213"/>
        </ext>
      </extLst>
    </bk>
    <bk>
      <extLst>
        <ext uri="{3e2802c4-a4d2-4d8b-9148-e3be6c30e623}">
          <xlrd:rvb i="6214"/>
        </ext>
      </extLst>
    </bk>
    <bk>
      <extLst>
        <ext uri="{3e2802c4-a4d2-4d8b-9148-e3be6c30e623}">
          <xlrd:rvb i="6215"/>
        </ext>
      </extLst>
    </bk>
    <bk>
      <extLst>
        <ext uri="{3e2802c4-a4d2-4d8b-9148-e3be6c30e623}">
          <xlrd:rvb i="6216"/>
        </ext>
      </extLst>
    </bk>
    <bk>
      <extLst>
        <ext uri="{3e2802c4-a4d2-4d8b-9148-e3be6c30e623}">
          <xlrd:rvb i="6217"/>
        </ext>
      </extLst>
    </bk>
    <bk>
      <extLst>
        <ext uri="{3e2802c4-a4d2-4d8b-9148-e3be6c30e623}">
          <xlrd:rvb i="6218"/>
        </ext>
      </extLst>
    </bk>
    <bk>
      <extLst>
        <ext uri="{3e2802c4-a4d2-4d8b-9148-e3be6c30e623}">
          <xlrd:rvb i="6219"/>
        </ext>
      </extLst>
    </bk>
    <bk>
      <extLst>
        <ext uri="{3e2802c4-a4d2-4d8b-9148-e3be6c30e623}">
          <xlrd:rvb i="6220"/>
        </ext>
      </extLst>
    </bk>
    <bk>
      <extLst>
        <ext uri="{3e2802c4-a4d2-4d8b-9148-e3be6c30e623}">
          <xlrd:rvb i="6221"/>
        </ext>
      </extLst>
    </bk>
    <bk>
      <extLst>
        <ext uri="{3e2802c4-a4d2-4d8b-9148-e3be6c30e623}">
          <xlrd:rvb i="6222"/>
        </ext>
      </extLst>
    </bk>
    <bk>
      <extLst>
        <ext uri="{3e2802c4-a4d2-4d8b-9148-e3be6c30e623}">
          <xlrd:rvb i="6223"/>
        </ext>
      </extLst>
    </bk>
    <bk>
      <extLst>
        <ext uri="{3e2802c4-a4d2-4d8b-9148-e3be6c30e623}">
          <xlrd:rvb i="6224"/>
        </ext>
      </extLst>
    </bk>
    <bk>
      <extLst>
        <ext uri="{3e2802c4-a4d2-4d8b-9148-e3be6c30e623}">
          <xlrd:rvb i="6225"/>
        </ext>
      </extLst>
    </bk>
    <bk>
      <extLst>
        <ext uri="{3e2802c4-a4d2-4d8b-9148-e3be6c30e623}">
          <xlrd:rvb i="6226"/>
        </ext>
      </extLst>
    </bk>
    <bk>
      <extLst>
        <ext uri="{3e2802c4-a4d2-4d8b-9148-e3be6c30e623}">
          <xlrd:rvb i="6227"/>
        </ext>
      </extLst>
    </bk>
    <bk>
      <extLst>
        <ext uri="{3e2802c4-a4d2-4d8b-9148-e3be6c30e623}">
          <xlrd:rvb i="6228"/>
        </ext>
      </extLst>
    </bk>
    <bk>
      <extLst>
        <ext uri="{3e2802c4-a4d2-4d8b-9148-e3be6c30e623}">
          <xlrd:rvb i="6229"/>
        </ext>
      </extLst>
    </bk>
    <bk>
      <extLst>
        <ext uri="{3e2802c4-a4d2-4d8b-9148-e3be6c30e623}">
          <xlrd:rvb i="6230"/>
        </ext>
      </extLst>
    </bk>
    <bk>
      <extLst>
        <ext uri="{3e2802c4-a4d2-4d8b-9148-e3be6c30e623}">
          <xlrd:rvb i="6231"/>
        </ext>
      </extLst>
    </bk>
    <bk>
      <extLst>
        <ext uri="{3e2802c4-a4d2-4d8b-9148-e3be6c30e623}">
          <xlrd:rvb i="6232"/>
        </ext>
      </extLst>
    </bk>
    <bk>
      <extLst>
        <ext uri="{3e2802c4-a4d2-4d8b-9148-e3be6c30e623}">
          <xlrd:rvb i="6233"/>
        </ext>
      </extLst>
    </bk>
    <bk>
      <extLst>
        <ext uri="{3e2802c4-a4d2-4d8b-9148-e3be6c30e623}">
          <xlrd:rvb i="6234"/>
        </ext>
      </extLst>
    </bk>
    <bk>
      <extLst>
        <ext uri="{3e2802c4-a4d2-4d8b-9148-e3be6c30e623}">
          <xlrd:rvb i="6235"/>
        </ext>
      </extLst>
    </bk>
    <bk>
      <extLst>
        <ext uri="{3e2802c4-a4d2-4d8b-9148-e3be6c30e623}">
          <xlrd:rvb i="6236"/>
        </ext>
      </extLst>
    </bk>
    <bk>
      <extLst>
        <ext uri="{3e2802c4-a4d2-4d8b-9148-e3be6c30e623}">
          <xlrd:rvb i="6237"/>
        </ext>
      </extLst>
    </bk>
    <bk>
      <extLst>
        <ext uri="{3e2802c4-a4d2-4d8b-9148-e3be6c30e623}">
          <xlrd:rvb i="6238"/>
        </ext>
      </extLst>
    </bk>
    <bk>
      <extLst>
        <ext uri="{3e2802c4-a4d2-4d8b-9148-e3be6c30e623}">
          <xlrd:rvb i="6239"/>
        </ext>
      </extLst>
    </bk>
    <bk>
      <extLst>
        <ext uri="{3e2802c4-a4d2-4d8b-9148-e3be6c30e623}">
          <xlrd:rvb i="6240"/>
        </ext>
      </extLst>
    </bk>
    <bk>
      <extLst>
        <ext uri="{3e2802c4-a4d2-4d8b-9148-e3be6c30e623}">
          <xlrd:rvb i="6241"/>
        </ext>
      </extLst>
    </bk>
    <bk>
      <extLst>
        <ext uri="{3e2802c4-a4d2-4d8b-9148-e3be6c30e623}">
          <xlrd:rvb i="6242"/>
        </ext>
      </extLst>
    </bk>
    <bk>
      <extLst>
        <ext uri="{3e2802c4-a4d2-4d8b-9148-e3be6c30e623}">
          <xlrd:rvb i="6243"/>
        </ext>
      </extLst>
    </bk>
    <bk>
      <extLst>
        <ext uri="{3e2802c4-a4d2-4d8b-9148-e3be6c30e623}">
          <xlrd:rvb i="6244"/>
        </ext>
      </extLst>
    </bk>
    <bk>
      <extLst>
        <ext uri="{3e2802c4-a4d2-4d8b-9148-e3be6c30e623}">
          <xlrd:rvb i="6245"/>
        </ext>
      </extLst>
    </bk>
    <bk>
      <extLst>
        <ext uri="{3e2802c4-a4d2-4d8b-9148-e3be6c30e623}">
          <xlrd:rvb i="6246"/>
        </ext>
      </extLst>
    </bk>
    <bk>
      <extLst>
        <ext uri="{3e2802c4-a4d2-4d8b-9148-e3be6c30e623}">
          <xlrd:rvb i="6247"/>
        </ext>
      </extLst>
    </bk>
    <bk>
      <extLst>
        <ext uri="{3e2802c4-a4d2-4d8b-9148-e3be6c30e623}">
          <xlrd:rvb i="6248"/>
        </ext>
      </extLst>
    </bk>
    <bk>
      <extLst>
        <ext uri="{3e2802c4-a4d2-4d8b-9148-e3be6c30e623}">
          <xlrd:rvb i="6249"/>
        </ext>
      </extLst>
    </bk>
    <bk>
      <extLst>
        <ext uri="{3e2802c4-a4d2-4d8b-9148-e3be6c30e623}">
          <xlrd:rvb i="6250"/>
        </ext>
      </extLst>
    </bk>
    <bk>
      <extLst>
        <ext uri="{3e2802c4-a4d2-4d8b-9148-e3be6c30e623}">
          <xlrd:rvb i="6251"/>
        </ext>
      </extLst>
    </bk>
    <bk>
      <extLst>
        <ext uri="{3e2802c4-a4d2-4d8b-9148-e3be6c30e623}">
          <xlrd:rvb i="6252"/>
        </ext>
      </extLst>
    </bk>
    <bk>
      <extLst>
        <ext uri="{3e2802c4-a4d2-4d8b-9148-e3be6c30e623}">
          <xlrd:rvb i="6253"/>
        </ext>
      </extLst>
    </bk>
    <bk>
      <extLst>
        <ext uri="{3e2802c4-a4d2-4d8b-9148-e3be6c30e623}">
          <xlrd:rvb i="6254"/>
        </ext>
      </extLst>
    </bk>
    <bk>
      <extLst>
        <ext uri="{3e2802c4-a4d2-4d8b-9148-e3be6c30e623}">
          <xlrd:rvb i="6255"/>
        </ext>
      </extLst>
    </bk>
    <bk>
      <extLst>
        <ext uri="{3e2802c4-a4d2-4d8b-9148-e3be6c30e623}">
          <xlrd:rvb i="6256"/>
        </ext>
      </extLst>
    </bk>
    <bk>
      <extLst>
        <ext uri="{3e2802c4-a4d2-4d8b-9148-e3be6c30e623}">
          <xlrd:rvb i="6257"/>
        </ext>
      </extLst>
    </bk>
    <bk>
      <extLst>
        <ext uri="{3e2802c4-a4d2-4d8b-9148-e3be6c30e623}">
          <xlrd:rvb i="6258"/>
        </ext>
      </extLst>
    </bk>
    <bk>
      <extLst>
        <ext uri="{3e2802c4-a4d2-4d8b-9148-e3be6c30e623}">
          <xlrd:rvb i="6259"/>
        </ext>
      </extLst>
    </bk>
    <bk>
      <extLst>
        <ext uri="{3e2802c4-a4d2-4d8b-9148-e3be6c30e623}">
          <xlrd:rvb i="6260"/>
        </ext>
      </extLst>
    </bk>
    <bk>
      <extLst>
        <ext uri="{3e2802c4-a4d2-4d8b-9148-e3be6c30e623}">
          <xlrd:rvb i="6261"/>
        </ext>
      </extLst>
    </bk>
    <bk>
      <extLst>
        <ext uri="{3e2802c4-a4d2-4d8b-9148-e3be6c30e623}">
          <xlrd:rvb i="6262"/>
        </ext>
      </extLst>
    </bk>
    <bk>
      <extLst>
        <ext uri="{3e2802c4-a4d2-4d8b-9148-e3be6c30e623}">
          <xlrd:rvb i="6263"/>
        </ext>
      </extLst>
    </bk>
    <bk>
      <extLst>
        <ext uri="{3e2802c4-a4d2-4d8b-9148-e3be6c30e623}">
          <xlrd:rvb i="6264"/>
        </ext>
      </extLst>
    </bk>
    <bk>
      <extLst>
        <ext uri="{3e2802c4-a4d2-4d8b-9148-e3be6c30e623}">
          <xlrd:rvb i="6265"/>
        </ext>
      </extLst>
    </bk>
    <bk>
      <extLst>
        <ext uri="{3e2802c4-a4d2-4d8b-9148-e3be6c30e623}">
          <xlrd:rvb i="6266"/>
        </ext>
      </extLst>
    </bk>
    <bk>
      <extLst>
        <ext uri="{3e2802c4-a4d2-4d8b-9148-e3be6c30e623}">
          <xlrd:rvb i="6267"/>
        </ext>
      </extLst>
    </bk>
    <bk>
      <extLst>
        <ext uri="{3e2802c4-a4d2-4d8b-9148-e3be6c30e623}">
          <xlrd:rvb i="6268"/>
        </ext>
      </extLst>
    </bk>
    <bk>
      <extLst>
        <ext uri="{3e2802c4-a4d2-4d8b-9148-e3be6c30e623}">
          <xlrd:rvb i="6269"/>
        </ext>
      </extLst>
    </bk>
    <bk>
      <extLst>
        <ext uri="{3e2802c4-a4d2-4d8b-9148-e3be6c30e623}">
          <xlrd:rvb i="6270"/>
        </ext>
      </extLst>
    </bk>
    <bk>
      <extLst>
        <ext uri="{3e2802c4-a4d2-4d8b-9148-e3be6c30e623}">
          <xlrd:rvb i="6271"/>
        </ext>
      </extLst>
    </bk>
    <bk>
      <extLst>
        <ext uri="{3e2802c4-a4d2-4d8b-9148-e3be6c30e623}">
          <xlrd:rvb i="6272"/>
        </ext>
      </extLst>
    </bk>
    <bk>
      <extLst>
        <ext uri="{3e2802c4-a4d2-4d8b-9148-e3be6c30e623}">
          <xlrd:rvb i="6273"/>
        </ext>
      </extLst>
    </bk>
    <bk>
      <extLst>
        <ext uri="{3e2802c4-a4d2-4d8b-9148-e3be6c30e623}">
          <xlrd:rvb i="6274"/>
        </ext>
      </extLst>
    </bk>
    <bk>
      <extLst>
        <ext uri="{3e2802c4-a4d2-4d8b-9148-e3be6c30e623}">
          <xlrd:rvb i="6275"/>
        </ext>
      </extLst>
    </bk>
    <bk>
      <extLst>
        <ext uri="{3e2802c4-a4d2-4d8b-9148-e3be6c30e623}">
          <xlrd:rvb i="6276"/>
        </ext>
      </extLst>
    </bk>
    <bk>
      <extLst>
        <ext uri="{3e2802c4-a4d2-4d8b-9148-e3be6c30e623}">
          <xlrd:rvb i="6277"/>
        </ext>
      </extLst>
    </bk>
    <bk>
      <extLst>
        <ext uri="{3e2802c4-a4d2-4d8b-9148-e3be6c30e623}">
          <xlrd:rvb i="6278"/>
        </ext>
      </extLst>
    </bk>
    <bk>
      <extLst>
        <ext uri="{3e2802c4-a4d2-4d8b-9148-e3be6c30e623}">
          <xlrd:rvb i="6279"/>
        </ext>
      </extLst>
    </bk>
    <bk>
      <extLst>
        <ext uri="{3e2802c4-a4d2-4d8b-9148-e3be6c30e623}">
          <xlrd:rvb i="6280"/>
        </ext>
      </extLst>
    </bk>
    <bk>
      <extLst>
        <ext uri="{3e2802c4-a4d2-4d8b-9148-e3be6c30e623}">
          <xlrd:rvb i="6281"/>
        </ext>
      </extLst>
    </bk>
    <bk>
      <extLst>
        <ext uri="{3e2802c4-a4d2-4d8b-9148-e3be6c30e623}">
          <xlrd:rvb i="6282"/>
        </ext>
      </extLst>
    </bk>
    <bk>
      <extLst>
        <ext uri="{3e2802c4-a4d2-4d8b-9148-e3be6c30e623}">
          <xlrd:rvb i="6283"/>
        </ext>
      </extLst>
    </bk>
    <bk>
      <extLst>
        <ext uri="{3e2802c4-a4d2-4d8b-9148-e3be6c30e623}">
          <xlrd:rvb i="6284"/>
        </ext>
      </extLst>
    </bk>
    <bk>
      <extLst>
        <ext uri="{3e2802c4-a4d2-4d8b-9148-e3be6c30e623}">
          <xlrd:rvb i="6285"/>
        </ext>
      </extLst>
    </bk>
    <bk>
      <extLst>
        <ext uri="{3e2802c4-a4d2-4d8b-9148-e3be6c30e623}">
          <xlrd:rvb i="6286"/>
        </ext>
      </extLst>
    </bk>
    <bk>
      <extLst>
        <ext uri="{3e2802c4-a4d2-4d8b-9148-e3be6c30e623}">
          <xlrd:rvb i="6287"/>
        </ext>
      </extLst>
    </bk>
    <bk>
      <extLst>
        <ext uri="{3e2802c4-a4d2-4d8b-9148-e3be6c30e623}">
          <xlrd:rvb i="6288"/>
        </ext>
      </extLst>
    </bk>
    <bk>
      <extLst>
        <ext uri="{3e2802c4-a4d2-4d8b-9148-e3be6c30e623}">
          <xlrd:rvb i="6289"/>
        </ext>
      </extLst>
    </bk>
    <bk>
      <extLst>
        <ext uri="{3e2802c4-a4d2-4d8b-9148-e3be6c30e623}">
          <xlrd:rvb i="6290"/>
        </ext>
      </extLst>
    </bk>
    <bk>
      <extLst>
        <ext uri="{3e2802c4-a4d2-4d8b-9148-e3be6c30e623}">
          <xlrd:rvb i="6291"/>
        </ext>
      </extLst>
    </bk>
    <bk>
      <extLst>
        <ext uri="{3e2802c4-a4d2-4d8b-9148-e3be6c30e623}">
          <xlrd:rvb i="6292"/>
        </ext>
      </extLst>
    </bk>
    <bk>
      <extLst>
        <ext uri="{3e2802c4-a4d2-4d8b-9148-e3be6c30e623}">
          <xlrd:rvb i="6293"/>
        </ext>
      </extLst>
    </bk>
    <bk>
      <extLst>
        <ext uri="{3e2802c4-a4d2-4d8b-9148-e3be6c30e623}">
          <xlrd:rvb i="6294"/>
        </ext>
      </extLst>
    </bk>
    <bk>
      <extLst>
        <ext uri="{3e2802c4-a4d2-4d8b-9148-e3be6c30e623}">
          <xlrd:rvb i="6295"/>
        </ext>
      </extLst>
    </bk>
    <bk>
      <extLst>
        <ext uri="{3e2802c4-a4d2-4d8b-9148-e3be6c30e623}">
          <xlrd:rvb i="6296"/>
        </ext>
      </extLst>
    </bk>
    <bk>
      <extLst>
        <ext uri="{3e2802c4-a4d2-4d8b-9148-e3be6c30e623}">
          <xlrd:rvb i="6297"/>
        </ext>
      </extLst>
    </bk>
    <bk>
      <extLst>
        <ext uri="{3e2802c4-a4d2-4d8b-9148-e3be6c30e623}">
          <xlrd:rvb i="6298"/>
        </ext>
      </extLst>
    </bk>
    <bk>
      <extLst>
        <ext uri="{3e2802c4-a4d2-4d8b-9148-e3be6c30e623}">
          <xlrd:rvb i="6299"/>
        </ext>
      </extLst>
    </bk>
    <bk>
      <extLst>
        <ext uri="{3e2802c4-a4d2-4d8b-9148-e3be6c30e623}">
          <xlrd:rvb i="6300"/>
        </ext>
      </extLst>
    </bk>
    <bk>
      <extLst>
        <ext uri="{3e2802c4-a4d2-4d8b-9148-e3be6c30e623}">
          <xlrd:rvb i="6301"/>
        </ext>
      </extLst>
    </bk>
    <bk>
      <extLst>
        <ext uri="{3e2802c4-a4d2-4d8b-9148-e3be6c30e623}">
          <xlrd:rvb i="6302"/>
        </ext>
      </extLst>
    </bk>
    <bk>
      <extLst>
        <ext uri="{3e2802c4-a4d2-4d8b-9148-e3be6c30e623}">
          <xlrd:rvb i="6303"/>
        </ext>
      </extLst>
    </bk>
    <bk>
      <extLst>
        <ext uri="{3e2802c4-a4d2-4d8b-9148-e3be6c30e623}">
          <xlrd:rvb i="6304"/>
        </ext>
      </extLst>
    </bk>
    <bk>
      <extLst>
        <ext uri="{3e2802c4-a4d2-4d8b-9148-e3be6c30e623}">
          <xlrd:rvb i="6305"/>
        </ext>
      </extLst>
    </bk>
    <bk>
      <extLst>
        <ext uri="{3e2802c4-a4d2-4d8b-9148-e3be6c30e623}">
          <xlrd:rvb i="6306"/>
        </ext>
      </extLst>
    </bk>
    <bk>
      <extLst>
        <ext uri="{3e2802c4-a4d2-4d8b-9148-e3be6c30e623}">
          <xlrd:rvb i="6307"/>
        </ext>
      </extLst>
    </bk>
    <bk>
      <extLst>
        <ext uri="{3e2802c4-a4d2-4d8b-9148-e3be6c30e623}">
          <xlrd:rvb i="6308"/>
        </ext>
      </extLst>
    </bk>
    <bk>
      <extLst>
        <ext uri="{3e2802c4-a4d2-4d8b-9148-e3be6c30e623}">
          <xlrd:rvb i="6309"/>
        </ext>
      </extLst>
    </bk>
    <bk>
      <extLst>
        <ext uri="{3e2802c4-a4d2-4d8b-9148-e3be6c30e623}">
          <xlrd:rvb i="6310"/>
        </ext>
      </extLst>
    </bk>
    <bk>
      <extLst>
        <ext uri="{3e2802c4-a4d2-4d8b-9148-e3be6c30e623}">
          <xlrd:rvb i="6311"/>
        </ext>
      </extLst>
    </bk>
    <bk>
      <extLst>
        <ext uri="{3e2802c4-a4d2-4d8b-9148-e3be6c30e623}">
          <xlrd:rvb i="6312"/>
        </ext>
      </extLst>
    </bk>
    <bk>
      <extLst>
        <ext uri="{3e2802c4-a4d2-4d8b-9148-e3be6c30e623}">
          <xlrd:rvb i="6313"/>
        </ext>
      </extLst>
    </bk>
    <bk>
      <extLst>
        <ext uri="{3e2802c4-a4d2-4d8b-9148-e3be6c30e623}">
          <xlrd:rvb i="6314"/>
        </ext>
      </extLst>
    </bk>
    <bk>
      <extLst>
        <ext uri="{3e2802c4-a4d2-4d8b-9148-e3be6c30e623}">
          <xlrd:rvb i="6315"/>
        </ext>
      </extLst>
    </bk>
    <bk>
      <extLst>
        <ext uri="{3e2802c4-a4d2-4d8b-9148-e3be6c30e623}">
          <xlrd:rvb i="6316"/>
        </ext>
      </extLst>
    </bk>
    <bk>
      <extLst>
        <ext uri="{3e2802c4-a4d2-4d8b-9148-e3be6c30e623}">
          <xlrd:rvb i="6317"/>
        </ext>
      </extLst>
    </bk>
    <bk>
      <extLst>
        <ext uri="{3e2802c4-a4d2-4d8b-9148-e3be6c30e623}">
          <xlrd:rvb i="6318"/>
        </ext>
      </extLst>
    </bk>
    <bk>
      <extLst>
        <ext uri="{3e2802c4-a4d2-4d8b-9148-e3be6c30e623}">
          <xlrd:rvb i="6319"/>
        </ext>
      </extLst>
    </bk>
    <bk>
      <extLst>
        <ext uri="{3e2802c4-a4d2-4d8b-9148-e3be6c30e623}">
          <xlrd:rvb i="6320"/>
        </ext>
      </extLst>
    </bk>
    <bk>
      <extLst>
        <ext uri="{3e2802c4-a4d2-4d8b-9148-e3be6c30e623}">
          <xlrd:rvb i="6321"/>
        </ext>
      </extLst>
    </bk>
    <bk>
      <extLst>
        <ext uri="{3e2802c4-a4d2-4d8b-9148-e3be6c30e623}">
          <xlrd:rvb i="6322"/>
        </ext>
      </extLst>
    </bk>
    <bk>
      <extLst>
        <ext uri="{3e2802c4-a4d2-4d8b-9148-e3be6c30e623}">
          <xlrd:rvb i="6323"/>
        </ext>
      </extLst>
    </bk>
    <bk>
      <extLst>
        <ext uri="{3e2802c4-a4d2-4d8b-9148-e3be6c30e623}">
          <xlrd:rvb i="6324"/>
        </ext>
      </extLst>
    </bk>
    <bk>
      <extLst>
        <ext uri="{3e2802c4-a4d2-4d8b-9148-e3be6c30e623}">
          <xlrd:rvb i="6325"/>
        </ext>
      </extLst>
    </bk>
    <bk>
      <extLst>
        <ext uri="{3e2802c4-a4d2-4d8b-9148-e3be6c30e623}">
          <xlrd:rvb i="6326"/>
        </ext>
      </extLst>
    </bk>
    <bk>
      <extLst>
        <ext uri="{3e2802c4-a4d2-4d8b-9148-e3be6c30e623}">
          <xlrd:rvb i="6327"/>
        </ext>
      </extLst>
    </bk>
    <bk>
      <extLst>
        <ext uri="{3e2802c4-a4d2-4d8b-9148-e3be6c30e623}">
          <xlrd:rvb i="6328"/>
        </ext>
      </extLst>
    </bk>
    <bk>
      <extLst>
        <ext uri="{3e2802c4-a4d2-4d8b-9148-e3be6c30e623}">
          <xlrd:rvb i="6329"/>
        </ext>
      </extLst>
    </bk>
    <bk>
      <extLst>
        <ext uri="{3e2802c4-a4d2-4d8b-9148-e3be6c30e623}">
          <xlrd:rvb i="6330"/>
        </ext>
      </extLst>
    </bk>
    <bk>
      <extLst>
        <ext uri="{3e2802c4-a4d2-4d8b-9148-e3be6c30e623}">
          <xlrd:rvb i="6331"/>
        </ext>
      </extLst>
    </bk>
    <bk>
      <extLst>
        <ext uri="{3e2802c4-a4d2-4d8b-9148-e3be6c30e623}">
          <xlrd:rvb i="6332"/>
        </ext>
      </extLst>
    </bk>
    <bk>
      <extLst>
        <ext uri="{3e2802c4-a4d2-4d8b-9148-e3be6c30e623}">
          <xlrd:rvb i="6333"/>
        </ext>
      </extLst>
    </bk>
    <bk>
      <extLst>
        <ext uri="{3e2802c4-a4d2-4d8b-9148-e3be6c30e623}">
          <xlrd:rvb i="6334"/>
        </ext>
      </extLst>
    </bk>
    <bk>
      <extLst>
        <ext uri="{3e2802c4-a4d2-4d8b-9148-e3be6c30e623}">
          <xlrd:rvb i="6335"/>
        </ext>
      </extLst>
    </bk>
    <bk>
      <extLst>
        <ext uri="{3e2802c4-a4d2-4d8b-9148-e3be6c30e623}">
          <xlrd:rvb i="6336"/>
        </ext>
      </extLst>
    </bk>
    <bk>
      <extLst>
        <ext uri="{3e2802c4-a4d2-4d8b-9148-e3be6c30e623}">
          <xlrd:rvb i="6337"/>
        </ext>
      </extLst>
    </bk>
    <bk>
      <extLst>
        <ext uri="{3e2802c4-a4d2-4d8b-9148-e3be6c30e623}">
          <xlrd:rvb i="6338"/>
        </ext>
      </extLst>
    </bk>
    <bk>
      <extLst>
        <ext uri="{3e2802c4-a4d2-4d8b-9148-e3be6c30e623}">
          <xlrd:rvb i="6339"/>
        </ext>
      </extLst>
    </bk>
    <bk>
      <extLst>
        <ext uri="{3e2802c4-a4d2-4d8b-9148-e3be6c30e623}">
          <xlrd:rvb i="6340"/>
        </ext>
      </extLst>
    </bk>
    <bk>
      <extLst>
        <ext uri="{3e2802c4-a4d2-4d8b-9148-e3be6c30e623}">
          <xlrd:rvb i="6341"/>
        </ext>
      </extLst>
    </bk>
    <bk>
      <extLst>
        <ext uri="{3e2802c4-a4d2-4d8b-9148-e3be6c30e623}">
          <xlrd:rvb i="6342"/>
        </ext>
      </extLst>
    </bk>
    <bk>
      <extLst>
        <ext uri="{3e2802c4-a4d2-4d8b-9148-e3be6c30e623}">
          <xlrd:rvb i="6343"/>
        </ext>
      </extLst>
    </bk>
    <bk>
      <extLst>
        <ext uri="{3e2802c4-a4d2-4d8b-9148-e3be6c30e623}">
          <xlrd:rvb i="6344"/>
        </ext>
      </extLst>
    </bk>
    <bk>
      <extLst>
        <ext uri="{3e2802c4-a4d2-4d8b-9148-e3be6c30e623}">
          <xlrd:rvb i="6345"/>
        </ext>
      </extLst>
    </bk>
    <bk>
      <extLst>
        <ext uri="{3e2802c4-a4d2-4d8b-9148-e3be6c30e623}">
          <xlrd:rvb i="6346"/>
        </ext>
      </extLst>
    </bk>
    <bk>
      <extLst>
        <ext uri="{3e2802c4-a4d2-4d8b-9148-e3be6c30e623}">
          <xlrd:rvb i="6347"/>
        </ext>
      </extLst>
    </bk>
    <bk>
      <extLst>
        <ext uri="{3e2802c4-a4d2-4d8b-9148-e3be6c30e623}">
          <xlrd:rvb i="6348"/>
        </ext>
      </extLst>
    </bk>
    <bk>
      <extLst>
        <ext uri="{3e2802c4-a4d2-4d8b-9148-e3be6c30e623}">
          <xlrd:rvb i="6349"/>
        </ext>
      </extLst>
    </bk>
    <bk>
      <extLst>
        <ext uri="{3e2802c4-a4d2-4d8b-9148-e3be6c30e623}">
          <xlrd:rvb i="6350"/>
        </ext>
      </extLst>
    </bk>
    <bk>
      <extLst>
        <ext uri="{3e2802c4-a4d2-4d8b-9148-e3be6c30e623}">
          <xlrd:rvb i="6351"/>
        </ext>
      </extLst>
    </bk>
    <bk>
      <extLst>
        <ext uri="{3e2802c4-a4d2-4d8b-9148-e3be6c30e623}">
          <xlrd:rvb i="6352"/>
        </ext>
      </extLst>
    </bk>
    <bk>
      <extLst>
        <ext uri="{3e2802c4-a4d2-4d8b-9148-e3be6c30e623}">
          <xlrd:rvb i="6353"/>
        </ext>
      </extLst>
    </bk>
    <bk>
      <extLst>
        <ext uri="{3e2802c4-a4d2-4d8b-9148-e3be6c30e623}">
          <xlrd:rvb i="6354"/>
        </ext>
      </extLst>
    </bk>
    <bk>
      <extLst>
        <ext uri="{3e2802c4-a4d2-4d8b-9148-e3be6c30e623}">
          <xlrd:rvb i="6355"/>
        </ext>
      </extLst>
    </bk>
    <bk>
      <extLst>
        <ext uri="{3e2802c4-a4d2-4d8b-9148-e3be6c30e623}">
          <xlrd:rvb i="6356"/>
        </ext>
      </extLst>
    </bk>
    <bk>
      <extLst>
        <ext uri="{3e2802c4-a4d2-4d8b-9148-e3be6c30e623}">
          <xlrd:rvb i="6357"/>
        </ext>
      </extLst>
    </bk>
    <bk>
      <extLst>
        <ext uri="{3e2802c4-a4d2-4d8b-9148-e3be6c30e623}">
          <xlrd:rvb i="6358"/>
        </ext>
      </extLst>
    </bk>
    <bk>
      <extLst>
        <ext uri="{3e2802c4-a4d2-4d8b-9148-e3be6c30e623}">
          <xlrd:rvb i="6359"/>
        </ext>
      </extLst>
    </bk>
    <bk>
      <extLst>
        <ext uri="{3e2802c4-a4d2-4d8b-9148-e3be6c30e623}">
          <xlrd:rvb i="6360"/>
        </ext>
      </extLst>
    </bk>
    <bk>
      <extLst>
        <ext uri="{3e2802c4-a4d2-4d8b-9148-e3be6c30e623}">
          <xlrd:rvb i="6361"/>
        </ext>
      </extLst>
    </bk>
    <bk>
      <extLst>
        <ext uri="{3e2802c4-a4d2-4d8b-9148-e3be6c30e623}">
          <xlrd:rvb i="6362"/>
        </ext>
      </extLst>
    </bk>
    <bk>
      <extLst>
        <ext uri="{3e2802c4-a4d2-4d8b-9148-e3be6c30e623}">
          <xlrd:rvb i="6363"/>
        </ext>
      </extLst>
    </bk>
    <bk>
      <extLst>
        <ext uri="{3e2802c4-a4d2-4d8b-9148-e3be6c30e623}">
          <xlrd:rvb i="6364"/>
        </ext>
      </extLst>
    </bk>
    <bk>
      <extLst>
        <ext uri="{3e2802c4-a4d2-4d8b-9148-e3be6c30e623}">
          <xlrd:rvb i="6365"/>
        </ext>
      </extLst>
    </bk>
    <bk>
      <extLst>
        <ext uri="{3e2802c4-a4d2-4d8b-9148-e3be6c30e623}">
          <xlrd:rvb i="6366"/>
        </ext>
      </extLst>
    </bk>
    <bk>
      <extLst>
        <ext uri="{3e2802c4-a4d2-4d8b-9148-e3be6c30e623}">
          <xlrd:rvb i="6367"/>
        </ext>
      </extLst>
    </bk>
    <bk>
      <extLst>
        <ext uri="{3e2802c4-a4d2-4d8b-9148-e3be6c30e623}">
          <xlrd:rvb i="6368"/>
        </ext>
      </extLst>
    </bk>
    <bk>
      <extLst>
        <ext uri="{3e2802c4-a4d2-4d8b-9148-e3be6c30e623}">
          <xlrd:rvb i="6369"/>
        </ext>
      </extLst>
    </bk>
    <bk>
      <extLst>
        <ext uri="{3e2802c4-a4d2-4d8b-9148-e3be6c30e623}">
          <xlrd:rvb i="6370"/>
        </ext>
      </extLst>
    </bk>
    <bk>
      <extLst>
        <ext uri="{3e2802c4-a4d2-4d8b-9148-e3be6c30e623}">
          <xlrd:rvb i="6371"/>
        </ext>
      </extLst>
    </bk>
    <bk>
      <extLst>
        <ext uri="{3e2802c4-a4d2-4d8b-9148-e3be6c30e623}">
          <xlrd:rvb i="6372"/>
        </ext>
      </extLst>
    </bk>
    <bk>
      <extLst>
        <ext uri="{3e2802c4-a4d2-4d8b-9148-e3be6c30e623}">
          <xlrd:rvb i="6373"/>
        </ext>
      </extLst>
    </bk>
    <bk>
      <extLst>
        <ext uri="{3e2802c4-a4d2-4d8b-9148-e3be6c30e623}">
          <xlrd:rvb i="6374"/>
        </ext>
      </extLst>
    </bk>
    <bk>
      <extLst>
        <ext uri="{3e2802c4-a4d2-4d8b-9148-e3be6c30e623}">
          <xlrd:rvb i="6375"/>
        </ext>
      </extLst>
    </bk>
    <bk>
      <extLst>
        <ext uri="{3e2802c4-a4d2-4d8b-9148-e3be6c30e623}">
          <xlrd:rvb i="6376"/>
        </ext>
      </extLst>
    </bk>
    <bk>
      <extLst>
        <ext uri="{3e2802c4-a4d2-4d8b-9148-e3be6c30e623}">
          <xlrd:rvb i="6377"/>
        </ext>
      </extLst>
    </bk>
    <bk>
      <extLst>
        <ext uri="{3e2802c4-a4d2-4d8b-9148-e3be6c30e623}">
          <xlrd:rvb i="6378"/>
        </ext>
      </extLst>
    </bk>
    <bk>
      <extLst>
        <ext uri="{3e2802c4-a4d2-4d8b-9148-e3be6c30e623}">
          <xlrd:rvb i="6379"/>
        </ext>
      </extLst>
    </bk>
    <bk>
      <extLst>
        <ext uri="{3e2802c4-a4d2-4d8b-9148-e3be6c30e623}">
          <xlrd:rvb i="6380"/>
        </ext>
      </extLst>
    </bk>
    <bk>
      <extLst>
        <ext uri="{3e2802c4-a4d2-4d8b-9148-e3be6c30e623}">
          <xlrd:rvb i="6381"/>
        </ext>
      </extLst>
    </bk>
    <bk>
      <extLst>
        <ext uri="{3e2802c4-a4d2-4d8b-9148-e3be6c30e623}">
          <xlrd:rvb i="6382"/>
        </ext>
      </extLst>
    </bk>
    <bk>
      <extLst>
        <ext uri="{3e2802c4-a4d2-4d8b-9148-e3be6c30e623}">
          <xlrd:rvb i="6383"/>
        </ext>
      </extLst>
    </bk>
    <bk>
      <extLst>
        <ext uri="{3e2802c4-a4d2-4d8b-9148-e3be6c30e623}">
          <xlrd:rvb i="6384"/>
        </ext>
      </extLst>
    </bk>
    <bk>
      <extLst>
        <ext uri="{3e2802c4-a4d2-4d8b-9148-e3be6c30e623}">
          <xlrd:rvb i="6385"/>
        </ext>
      </extLst>
    </bk>
    <bk>
      <extLst>
        <ext uri="{3e2802c4-a4d2-4d8b-9148-e3be6c30e623}">
          <xlrd:rvb i="6386"/>
        </ext>
      </extLst>
    </bk>
    <bk>
      <extLst>
        <ext uri="{3e2802c4-a4d2-4d8b-9148-e3be6c30e623}">
          <xlrd:rvb i="6387"/>
        </ext>
      </extLst>
    </bk>
    <bk>
      <extLst>
        <ext uri="{3e2802c4-a4d2-4d8b-9148-e3be6c30e623}">
          <xlrd:rvb i="6388"/>
        </ext>
      </extLst>
    </bk>
    <bk>
      <extLst>
        <ext uri="{3e2802c4-a4d2-4d8b-9148-e3be6c30e623}">
          <xlrd:rvb i="6389"/>
        </ext>
      </extLst>
    </bk>
    <bk>
      <extLst>
        <ext uri="{3e2802c4-a4d2-4d8b-9148-e3be6c30e623}">
          <xlrd:rvb i="6390"/>
        </ext>
      </extLst>
    </bk>
    <bk>
      <extLst>
        <ext uri="{3e2802c4-a4d2-4d8b-9148-e3be6c30e623}">
          <xlrd:rvb i="6391"/>
        </ext>
      </extLst>
    </bk>
    <bk>
      <extLst>
        <ext uri="{3e2802c4-a4d2-4d8b-9148-e3be6c30e623}">
          <xlrd:rvb i="6392"/>
        </ext>
      </extLst>
    </bk>
    <bk>
      <extLst>
        <ext uri="{3e2802c4-a4d2-4d8b-9148-e3be6c30e623}">
          <xlrd:rvb i="6393"/>
        </ext>
      </extLst>
    </bk>
    <bk>
      <extLst>
        <ext uri="{3e2802c4-a4d2-4d8b-9148-e3be6c30e623}">
          <xlrd:rvb i="6394"/>
        </ext>
      </extLst>
    </bk>
    <bk>
      <extLst>
        <ext uri="{3e2802c4-a4d2-4d8b-9148-e3be6c30e623}">
          <xlrd:rvb i="6395"/>
        </ext>
      </extLst>
    </bk>
    <bk>
      <extLst>
        <ext uri="{3e2802c4-a4d2-4d8b-9148-e3be6c30e623}">
          <xlrd:rvb i="6396"/>
        </ext>
      </extLst>
    </bk>
    <bk>
      <extLst>
        <ext uri="{3e2802c4-a4d2-4d8b-9148-e3be6c30e623}">
          <xlrd:rvb i="6397"/>
        </ext>
      </extLst>
    </bk>
    <bk>
      <extLst>
        <ext uri="{3e2802c4-a4d2-4d8b-9148-e3be6c30e623}">
          <xlrd:rvb i="6398"/>
        </ext>
      </extLst>
    </bk>
    <bk>
      <extLst>
        <ext uri="{3e2802c4-a4d2-4d8b-9148-e3be6c30e623}">
          <xlrd:rvb i="6399"/>
        </ext>
      </extLst>
    </bk>
    <bk>
      <extLst>
        <ext uri="{3e2802c4-a4d2-4d8b-9148-e3be6c30e623}">
          <xlrd:rvb i="6400"/>
        </ext>
      </extLst>
    </bk>
    <bk>
      <extLst>
        <ext uri="{3e2802c4-a4d2-4d8b-9148-e3be6c30e623}">
          <xlrd:rvb i="6401"/>
        </ext>
      </extLst>
    </bk>
    <bk>
      <extLst>
        <ext uri="{3e2802c4-a4d2-4d8b-9148-e3be6c30e623}">
          <xlrd:rvb i="6402"/>
        </ext>
      </extLst>
    </bk>
    <bk>
      <extLst>
        <ext uri="{3e2802c4-a4d2-4d8b-9148-e3be6c30e623}">
          <xlrd:rvb i="6403"/>
        </ext>
      </extLst>
    </bk>
    <bk>
      <extLst>
        <ext uri="{3e2802c4-a4d2-4d8b-9148-e3be6c30e623}">
          <xlrd:rvb i="6404"/>
        </ext>
      </extLst>
    </bk>
    <bk>
      <extLst>
        <ext uri="{3e2802c4-a4d2-4d8b-9148-e3be6c30e623}">
          <xlrd:rvb i="6405"/>
        </ext>
      </extLst>
    </bk>
    <bk>
      <extLst>
        <ext uri="{3e2802c4-a4d2-4d8b-9148-e3be6c30e623}">
          <xlrd:rvb i="6406"/>
        </ext>
      </extLst>
    </bk>
    <bk>
      <extLst>
        <ext uri="{3e2802c4-a4d2-4d8b-9148-e3be6c30e623}">
          <xlrd:rvb i="6407"/>
        </ext>
      </extLst>
    </bk>
    <bk>
      <extLst>
        <ext uri="{3e2802c4-a4d2-4d8b-9148-e3be6c30e623}">
          <xlrd:rvb i="6408"/>
        </ext>
      </extLst>
    </bk>
    <bk>
      <extLst>
        <ext uri="{3e2802c4-a4d2-4d8b-9148-e3be6c30e623}">
          <xlrd:rvb i="6409"/>
        </ext>
      </extLst>
    </bk>
    <bk>
      <extLst>
        <ext uri="{3e2802c4-a4d2-4d8b-9148-e3be6c30e623}">
          <xlrd:rvb i="6410"/>
        </ext>
      </extLst>
    </bk>
    <bk>
      <extLst>
        <ext uri="{3e2802c4-a4d2-4d8b-9148-e3be6c30e623}">
          <xlrd:rvb i="6411"/>
        </ext>
      </extLst>
    </bk>
    <bk>
      <extLst>
        <ext uri="{3e2802c4-a4d2-4d8b-9148-e3be6c30e623}">
          <xlrd:rvb i="6412"/>
        </ext>
      </extLst>
    </bk>
    <bk>
      <extLst>
        <ext uri="{3e2802c4-a4d2-4d8b-9148-e3be6c30e623}">
          <xlrd:rvb i="6413"/>
        </ext>
      </extLst>
    </bk>
    <bk>
      <extLst>
        <ext uri="{3e2802c4-a4d2-4d8b-9148-e3be6c30e623}">
          <xlrd:rvb i="6414"/>
        </ext>
      </extLst>
    </bk>
    <bk>
      <extLst>
        <ext uri="{3e2802c4-a4d2-4d8b-9148-e3be6c30e623}">
          <xlrd:rvb i="6415"/>
        </ext>
      </extLst>
    </bk>
    <bk>
      <extLst>
        <ext uri="{3e2802c4-a4d2-4d8b-9148-e3be6c30e623}">
          <xlrd:rvb i="6416"/>
        </ext>
      </extLst>
    </bk>
    <bk>
      <extLst>
        <ext uri="{3e2802c4-a4d2-4d8b-9148-e3be6c30e623}">
          <xlrd:rvb i="6417"/>
        </ext>
      </extLst>
    </bk>
    <bk>
      <extLst>
        <ext uri="{3e2802c4-a4d2-4d8b-9148-e3be6c30e623}">
          <xlrd:rvb i="6418"/>
        </ext>
      </extLst>
    </bk>
    <bk>
      <extLst>
        <ext uri="{3e2802c4-a4d2-4d8b-9148-e3be6c30e623}">
          <xlrd:rvb i="6419"/>
        </ext>
      </extLst>
    </bk>
    <bk>
      <extLst>
        <ext uri="{3e2802c4-a4d2-4d8b-9148-e3be6c30e623}">
          <xlrd:rvb i="6420"/>
        </ext>
      </extLst>
    </bk>
    <bk>
      <extLst>
        <ext uri="{3e2802c4-a4d2-4d8b-9148-e3be6c30e623}">
          <xlrd:rvb i="6421"/>
        </ext>
      </extLst>
    </bk>
    <bk>
      <extLst>
        <ext uri="{3e2802c4-a4d2-4d8b-9148-e3be6c30e623}">
          <xlrd:rvb i="6422"/>
        </ext>
      </extLst>
    </bk>
    <bk>
      <extLst>
        <ext uri="{3e2802c4-a4d2-4d8b-9148-e3be6c30e623}">
          <xlrd:rvb i="6423"/>
        </ext>
      </extLst>
    </bk>
    <bk>
      <extLst>
        <ext uri="{3e2802c4-a4d2-4d8b-9148-e3be6c30e623}">
          <xlrd:rvb i="6424"/>
        </ext>
      </extLst>
    </bk>
    <bk>
      <extLst>
        <ext uri="{3e2802c4-a4d2-4d8b-9148-e3be6c30e623}">
          <xlrd:rvb i="6425"/>
        </ext>
      </extLst>
    </bk>
    <bk>
      <extLst>
        <ext uri="{3e2802c4-a4d2-4d8b-9148-e3be6c30e623}">
          <xlrd:rvb i="6426"/>
        </ext>
      </extLst>
    </bk>
    <bk>
      <extLst>
        <ext uri="{3e2802c4-a4d2-4d8b-9148-e3be6c30e623}">
          <xlrd:rvb i="6427"/>
        </ext>
      </extLst>
    </bk>
    <bk>
      <extLst>
        <ext uri="{3e2802c4-a4d2-4d8b-9148-e3be6c30e623}">
          <xlrd:rvb i="6428"/>
        </ext>
      </extLst>
    </bk>
    <bk>
      <extLst>
        <ext uri="{3e2802c4-a4d2-4d8b-9148-e3be6c30e623}">
          <xlrd:rvb i="6429"/>
        </ext>
      </extLst>
    </bk>
    <bk>
      <extLst>
        <ext uri="{3e2802c4-a4d2-4d8b-9148-e3be6c30e623}">
          <xlrd:rvb i="6430"/>
        </ext>
      </extLst>
    </bk>
    <bk>
      <extLst>
        <ext uri="{3e2802c4-a4d2-4d8b-9148-e3be6c30e623}">
          <xlrd:rvb i="6431"/>
        </ext>
      </extLst>
    </bk>
    <bk>
      <extLst>
        <ext uri="{3e2802c4-a4d2-4d8b-9148-e3be6c30e623}">
          <xlrd:rvb i="6432"/>
        </ext>
      </extLst>
    </bk>
    <bk>
      <extLst>
        <ext uri="{3e2802c4-a4d2-4d8b-9148-e3be6c30e623}">
          <xlrd:rvb i="6433"/>
        </ext>
      </extLst>
    </bk>
    <bk>
      <extLst>
        <ext uri="{3e2802c4-a4d2-4d8b-9148-e3be6c30e623}">
          <xlrd:rvb i="6434"/>
        </ext>
      </extLst>
    </bk>
    <bk>
      <extLst>
        <ext uri="{3e2802c4-a4d2-4d8b-9148-e3be6c30e623}">
          <xlrd:rvb i="6435"/>
        </ext>
      </extLst>
    </bk>
    <bk>
      <extLst>
        <ext uri="{3e2802c4-a4d2-4d8b-9148-e3be6c30e623}">
          <xlrd:rvb i="6436"/>
        </ext>
      </extLst>
    </bk>
    <bk>
      <extLst>
        <ext uri="{3e2802c4-a4d2-4d8b-9148-e3be6c30e623}">
          <xlrd:rvb i="6437"/>
        </ext>
      </extLst>
    </bk>
    <bk>
      <extLst>
        <ext uri="{3e2802c4-a4d2-4d8b-9148-e3be6c30e623}">
          <xlrd:rvb i="6438"/>
        </ext>
      </extLst>
    </bk>
    <bk>
      <extLst>
        <ext uri="{3e2802c4-a4d2-4d8b-9148-e3be6c30e623}">
          <xlrd:rvb i="6439"/>
        </ext>
      </extLst>
    </bk>
    <bk>
      <extLst>
        <ext uri="{3e2802c4-a4d2-4d8b-9148-e3be6c30e623}">
          <xlrd:rvb i="6440"/>
        </ext>
      </extLst>
    </bk>
    <bk>
      <extLst>
        <ext uri="{3e2802c4-a4d2-4d8b-9148-e3be6c30e623}">
          <xlrd:rvb i="6441"/>
        </ext>
      </extLst>
    </bk>
    <bk>
      <extLst>
        <ext uri="{3e2802c4-a4d2-4d8b-9148-e3be6c30e623}">
          <xlrd:rvb i="6442"/>
        </ext>
      </extLst>
    </bk>
    <bk>
      <extLst>
        <ext uri="{3e2802c4-a4d2-4d8b-9148-e3be6c30e623}">
          <xlrd:rvb i="6443"/>
        </ext>
      </extLst>
    </bk>
    <bk>
      <extLst>
        <ext uri="{3e2802c4-a4d2-4d8b-9148-e3be6c30e623}">
          <xlrd:rvb i="6444"/>
        </ext>
      </extLst>
    </bk>
    <bk>
      <extLst>
        <ext uri="{3e2802c4-a4d2-4d8b-9148-e3be6c30e623}">
          <xlrd:rvb i="6445"/>
        </ext>
      </extLst>
    </bk>
    <bk>
      <extLst>
        <ext uri="{3e2802c4-a4d2-4d8b-9148-e3be6c30e623}">
          <xlrd:rvb i="6446"/>
        </ext>
      </extLst>
    </bk>
    <bk>
      <extLst>
        <ext uri="{3e2802c4-a4d2-4d8b-9148-e3be6c30e623}">
          <xlrd:rvb i="6447"/>
        </ext>
      </extLst>
    </bk>
    <bk>
      <extLst>
        <ext uri="{3e2802c4-a4d2-4d8b-9148-e3be6c30e623}">
          <xlrd:rvb i="6448"/>
        </ext>
      </extLst>
    </bk>
    <bk>
      <extLst>
        <ext uri="{3e2802c4-a4d2-4d8b-9148-e3be6c30e623}">
          <xlrd:rvb i="6449"/>
        </ext>
      </extLst>
    </bk>
    <bk>
      <extLst>
        <ext uri="{3e2802c4-a4d2-4d8b-9148-e3be6c30e623}">
          <xlrd:rvb i="6450"/>
        </ext>
      </extLst>
    </bk>
    <bk>
      <extLst>
        <ext uri="{3e2802c4-a4d2-4d8b-9148-e3be6c30e623}">
          <xlrd:rvb i="6451"/>
        </ext>
      </extLst>
    </bk>
    <bk>
      <extLst>
        <ext uri="{3e2802c4-a4d2-4d8b-9148-e3be6c30e623}">
          <xlrd:rvb i="6452"/>
        </ext>
      </extLst>
    </bk>
    <bk>
      <extLst>
        <ext uri="{3e2802c4-a4d2-4d8b-9148-e3be6c30e623}">
          <xlrd:rvb i="6453"/>
        </ext>
      </extLst>
    </bk>
    <bk>
      <extLst>
        <ext uri="{3e2802c4-a4d2-4d8b-9148-e3be6c30e623}">
          <xlrd:rvb i="6454"/>
        </ext>
      </extLst>
    </bk>
    <bk>
      <extLst>
        <ext uri="{3e2802c4-a4d2-4d8b-9148-e3be6c30e623}">
          <xlrd:rvb i="6455"/>
        </ext>
      </extLst>
    </bk>
    <bk>
      <extLst>
        <ext uri="{3e2802c4-a4d2-4d8b-9148-e3be6c30e623}">
          <xlrd:rvb i="6456"/>
        </ext>
      </extLst>
    </bk>
    <bk>
      <extLst>
        <ext uri="{3e2802c4-a4d2-4d8b-9148-e3be6c30e623}">
          <xlrd:rvb i="6457"/>
        </ext>
      </extLst>
    </bk>
    <bk>
      <extLst>
        <ext uri="{3e2802c4-a4d2-4d8b-9148-e3be6c30e623}">
          <xlrd:rvb i="6458"/>
        </ext>
      </extLst>
    </bk>
    <bk>
      <extLst>
        <ext uri="{3e2802c4-a4d2-4d8b-9148-e3be6c30e623}">
          <xlrd:rvb i="6459"/>
        </ext>
      </extLst>
    </bk>
    <bk>
      <extLst>
        <ext uri="{3e2802c4-a4d2-4d8b-9148-e3be6c30e623}">
          <xlrd:rvb i="6460"/>
        </ext>
      </extLst>
    </bk>
    <bk>
      <extLst>
        <ext uri="{3e2802c4-a4d2-4d8b-9148-e3be6c30e623}">
          <xlrd:rvb i="6461"/>
        </ext>
      </extLst>
    </bk>
    <bk>
      <extLst>
        <ext uri="{3e2802c4-a4d2-4d8b-9148-e3be6c30e623}">
          <xlrd:rvb i="6462"/>
        </ext>
      </extLst>
    </bk>
    <bk>
      <extLst>
        <ext uri="{3e2802c4-a4d2-4d8b-9148-e3be6c30e623}">
          <xlrd:rvb i="6463"/>
        </ext>
      </extLst>
    </bk>
    <bk>
      <extLst>
        <ext uri="{3e2802c4-a4d2-4d8b-9148-e3be6c30e623}">
          <xlrd:rvb i="6464"/>
        </ext>
      </extLst>
    </bk>
    <bk>
      <extLst>
        <ext uri="{3e2802c4-a4d2-4d8b-9148-e3be6c30e623}">
          <xlrd:rvb i="6465"/>
        </ext>
      </extLst>
    </bk>
    <bk>
      <extLst>
        <ext uri="{3e2802c4-a4d2-4d8b-9148-e3be6c30e623}">
          <xlrd:rvb i="6466"/>
        </ext>
      </extLst>
    </bk>
    <bk>
      <extLst>
        <ext uri="{3e2802c4-a4d2-4d8b-9148-e3be6c30e623}">
          <xlrd:rvb i="6467"/>
        </ext>
      </extLst>
    </bk>
    <bk>
      <extLst>
        <ext uri="{3e2802c4-a4d2-4d8b-9148-e3be6c30e623}">
          <xlrd:rvb i="6468"/>
        </ext>
      </extLst>
    </bk>
    <bk>
      <extLst>
        <ext uri="{3e2802c4-a4d2-4d8b-9148-e3be6c30e623}">
          <xlrd:rvb i="6469"/>
        </ext>
      </extLst>
    </bk>
    <bk>
      <extLst>
        <ext uri="{3e2802c4-a4d2-4d8b-9148-e3be6c30e623}">
          <xlrd:rvb i="6470"/>
        </ext>
      </extLst>
    </bk>
    <bk>
      <extLst>
        <ext uri="{3e2802c4-a4d2-4d8b-9148-e3be6c30e623}">
          <xlrd:rvb i="6471"/>
        </ext>
      </extLst>
    </bk>
    <bk>
      <extLst>
        <ext uri="{3e2802c4-a4d2-4d8b-9148-e3be6c30e623}">
          <xlrd:rvb i="6472"/>
        </ext>
      </extLst>
    </bk>
    <bk>
      <extLst>
        <ext uri="{3e2802c4-a4d2-4d8b-9148-e3be6c30e623}">
          <xlrd:rvb i="6473"/>
        </ext>
      </extLst>
    </bk>
    <bk>
      <extLst>
        <ext uri="{3e2802c4-a4d2-4d8b-9148-e3be6c30e623}">
          <xlrd:rvb i="6474"/>
        </ext>
      </extLst>
    </bk>
    <bk>
      <extLst>
        <ext uri="{3e2802c4-a4d2-4d8b-9148-e3be6c30e623}">
          <xlrd:rvb i="6475"/>
        </ext>
      </extLst>
    </bk>
    <bk>
      <extLst>
        <ext uri="{3e2802c4-a4d2-4d8b-9148-e3be6c30e623}">
          <xlrd:rvb i="6476"/>
        </ext>
      </extLst>
    </bk>
    <bk>
      <extLst>
        <ext uri="{3e2802c4-a4d2-4d8b-9148-e3be6c30e623}">
          <xlrd:rvb i="6477"/>
        </ext>
      </extLst>
    </bk>
    <bk>
      <extLst>
        <ext uri="{3e2802c4-a4d2-4d8b-9148-e3be6c30e623}">
          <xlrd:rvb i="6478"/>
        </ext>
      </extLst>
    </bk>
    <bk>
      <extLst>
        <ext uri="{3e2802c4-a4d2-4d8b-9148-e3be6c30e623}">
          <xlrd:rvb i="6479"/>
        </ext>
      </extLst>
    </bk>
    <bk>
      <extLst>
        <ext uri="{3e2802c4-a4d2-4d8b-9148-e3be6c30e623}">
          <xlrd:rvb i="6480"/>
        </ext>
      </extLst>
    </bk>
    <bk>
      <extLst>
        <ext uri="{3e2802c4-a4d2-4d8b-9148-e3be6c30e623}">
          <xlrd:rvb i="6481"/>
        </ext>
      </extLst>
    </bk>
    <bk>
      <extLst>
        <ext uri="{3e2802c4-a4d2-4d8b-9148-e3be6c30e623}">
          <xlrd:rvb i="6482"/>
        </ext>
      </extLst>
    </bk>
    <bk>
      <extLst>
        <ext uri="{3e2802c4-a4d2-4d8b-9148-e3be6c30e623}">
          <xlrd:rvb i="6483"/>
        </ext>
      </extLst>
    </bk>
    <bk>
      <extLst>
        <ext uri="{3e2802c4-a4d2-4d8b-9148-e3be6c30e623}">
          <xlrd:rvb i="6484"/>
        </ext>
      </extLst>
    </bk>
    <bk>
      <extLst>
        <ext uri="{3e2802c4-a4d2-4d8b-9148-e3be6c30e623}">
          <xlrd:rvb i="6485"/>
        </ext>
      </extLst>
    </bk>
    <bk>
      <extLst>
        <ext uri="{3e2802c4-a4d2-4d8b-9148-e3be6c30e623}">
          <xlrd:rvb i="6486"/>
        </ext>
      </extLst>
    </bk>
    <bk>
      <extLst>
        <ext uri="{3e2802c4-a4d2-4d8b-9148-e3be6c30e623}">
          <xlrd:rvb i="6487"/>
        </ext>
      </extLst>
    </bk>
    <bk>
      <extLst>
        <ext uri="{3e2802c4-a4d2-4d8b-9148-e3be6c30e623}">
          <xlrd:rvb i="6488"/>
        </ext>
      </extLst>
    </bk>
    <bk>
      <extLst>
        <ext uri="{3e2802c4-a4d2-4d8b-9148-e3be6c30e623}">
          <xlrd:rvb i="6489"/>
        </ext>
      </extLst>
    </bk>
    <bk>
      <extLst>
        <ext uri="{3e2802c4-a4d2-4d8b-9148-e3be6c30e623}">
          <xlrd:rvb i="6490"/>
        </ext>
      </extLst>
    </bk>
    <bk>
      <extLst>
        <ext uri="{3e2802c4-a4d2-4d8b-9148-e3be6c30e623}">
          <xlrd:rvb i="6491"/>
        </ext>
      </extLst>
    </bk>
    <bk>
      <extLst>
        <ext uri="{3e2802c4-a4d2-4d8b-9148-e3be6c30e623}">
          <xlrd:rvb i="6492"/>
        </ext>
      </extLst>
    </bk>
    <bk>
      <extLst>
        <ext uri="{3e2802c4-a4d2-4d8b-9148-e3be6c30e623}">
          <xlrd:rvb i="6493"/>
        </ext>
      </extLst>
    </bk>
    <bk>
      <extLst>
        <ext uri="{3e2802c4-a4d2-4d8b-9148-e3be6c30e623}">
          <xlrd:rvb i="6494"/>
        </ext>
      </extLst>
    </bk>
    <bk>
      <extLst>
        <ext uri="{3e2802c4-a4d2-4d8b-9148-e3be6c30e623}">
          <xlrd:rvb i="6495"/>
        </ext>
      </extLst>
    </bk>
    <bk>
      <extLst>
        <ext uri="{3e2802c4-a4d2-4d8b-9148-e3be6c30e623}">
          <xlrd:rvb i="6496"/>
        </ext>
      </extLst>
    </bk>
    <bk>
      <extLst>
        <ext uri="{3e2802c4-a4d2-4d8b-9148-e3be6c30e623}">
          <xlrd:rvb i="6497"/>
        </ext>
      </extLst>
    </bk>
    <bk>
      <extLst>
        <ext uri="{3e2802c4-a4d2-4d8b-9148-e3be6c30e623}">
          <xlrd:rvb i="6498"/>
        </ext>
      </extLst>
    </bk>
    <bk>
      <extLst>
        <ext uri="{3e2802c4-a4d2-4d8b-9148-e3be6c30e623}">
          <xlrd:rvb i="6499"/>
        </ext>
      </extLst>
    </bk>
    <bk>
      <extLst>
        <ext uri="{3e2802c4-a4d2-4d8b-9148-e3be6c30e623}">
          <xlrd:rvb i="6500"/>
        </ext>
      </extLst>
    </bk>
    <bk>
      <extLst>
        <ext uri="{3e2802c4-a4d2-4d8b-9148-e3be6c30e623}">
          <xlrd:rvb i="6501"/>
        </ext>
      </extLst>
    </bk>
    <bk>
      <extLst>
        <ext uri="{3e2802c4-a4d2-4d8b-9148-e3be6c30e623}">
          <xlrd:rvb i="6502"/>
        </ext>
      </extLst>
    </bk>
    <bk>
      <extLst>
        <ext uri="{3e2802c4-a4d2-4d8b-9148-e3be6c30e623}">
          <xlrd:rvb i="6503"/>
        </ext>
      </extLst>
    </bk>
    <bk>
      <extLst>
        <ext uri="{3e2802c4-a4d2-4d8b-9148-e3be6c30e623}">
          <xlrd:rvb i="6504"/>
        </ext>
      </extLst>
    </bk>
    <bk>
      <extLst>
        <ext uri="{3e2802c4-a4d2-4d8b-9148-e3be6c30e623}">
          <xlrd:rvb i="6505"/>
        </ext>
      </extLst>
    </bk>
    <bk>
      <extLst>
        <ext uri="{3e2802c4-a4d2-4d8b-9148-e3be6c30e623}">
          <xlrd:rvb i="6506"/>
        </ext>
      </extLst>
    </bk>
    <bk>
      <extLst>
        <ext uri="{3e2802c4-a4d2-4d8b-9148-e3be6c30e623}">
          <xlrd:rvb i="6507"/>
        </ext>
      </extLst>
    </bk>
    <bk>
      <extLst>
        <ext uri="{3e2802c4-a4d2-4d8b-9148-e3be6c30e623}">
          <xlrd:rvb i="6508"/>
        </ext>
      </extLst>
    </bk>
    <bk>
      <extLst>
        <ext uri="{3e2802c4-a4d2-4d8b-9148-e3be6c30e623}">
          <xlrd:rvb i="6509"/>
        </ext>
      </extLst>
    </bk>
    <bk>
      <extLst>
        <ext uri="{3e2802c4-a4d2-4d8b-9148-e3be6c30e623}">
          <xlrd:rvb i="6510"/>
        </ext>
      </extLst>
    </bk>
    <bk>
      <extLst>
        <ext uri="{3e2802c4-a4d2-4d8b-9148-e3be6c30e623}">
          <xlrd:rvb i="6511"/>
        </ext>
      </extLst>
    </bk>
    <bk>
      <extLst>
        <ext uri="{3e2802c4-a4d2-4d8b-9148-e3be6c30e623}">
          <xlrd:rvb i="6512"/>
        </ext>
      </extLst>
    </bk>
    <bk>
      <extLst>
        <ext uri="{3e2802c4-a4d2-4d8b-9148-e3be6c30e623}">
          <xlrd:rvb i="6513"/>
        </ext>
      </extLst>
    </bk>
    <bk>
      <extLst>
        <ext uri="{3e2802c4-a4d2-4d8b-9148-e3be6c30e623}">
          <xlrd:rvb i="6514"/>
        </ext>
      </extLst>
    </bk>
    <bk>
      <extLst>
        <ext uri="{3e2802c4-a4d2-4d8b-9148-e3be6c30e623}">
          <xlrd:rvb i="6515"/>
        </ext>
      </extLst>
    </bk>
    <bk>
      <extLst>
        <ext uri="{3e2802c4-a4d2-4d8b-9148-e3be6c30e623}">
          <xlrd:rvb i="6516"/>
        </ext>
      </extLst>
    </bk>
    <bk>
      <extLst>
        <ext uri="{3e2802c4-a4d2-4d8b-9148-e3be6c30e623}">
          <xlrd:rvb i="6517"/>
        </ext>
      </extLst>
    </bk>
    <bk>
      <extLst>
        <ext uri="{3e2802c4-a4d2-4d8b-9148-e3be6c30e623}">
          <xlrd:rvb i="6518"/>
        </ext>
      </extLst>
    </bk>
    <bk>
      <extLst>
        <ext uri="{3e2802c4-a4d2-4d8b-9148-e3be6c30e623}">
          <xlrd:rvb i="6519"/>
        </ext>
      </extLst>
    </bk>
    <bk>
      <extLst>
        <ext uri="{3e2802c4-a4d2-4d8b-9148-e3be6c30e623}">
          <xlrd:rvb i="6520"/>
        </ext>
      </extLst>
    </bk>
    <bk>
      <extLst>
        <ext uri="{3e2802c4-a4d2-4d8b-9148-e3be6c30e623}">
          <xlrd:rvb i="6521"/>
        </ext>
      </extLst>
    </bk>
    <bk>
      <extLst>
        <ext uri="{3e2802c4-a4d2-4d8b-9148-e3be6c30e623}">
          <xlrd:rvb i="6522"/>
        </ext>
      </extLst>
    </bk>
    <bk>
      <extLst>
        <ext uri="{3e2802c4-a4d2-4d8b-9148-e3be6c30e623}">
          <xlrd:rvb i="6523"/>
        </ext>
      </extLst>
    </bk>
    <bk>
      <extLst>
        <ext uri="{3e2802c4-a4d2-4d8b-9148-e3be6c30e623}">
          <xlrd:rvb i="6524"/>
        </ext>
      </extLst>
    </bk>
    <bk>
      <extLst>
        <ext uri="{3e2802c4-a4d2-4d8b-9148-e3be6c30e623}">
          <xlrd:rvb i="6525"/>
        </ext>
      </extLst>
    </bk>
    <bk>
      <extLst>
        <ext uri="{3e2802c4-a4d2-4d8b-9148-e3be6c30e623}">
          <xlrd:rvb i="6526"/>
        </ext>
      </extLst>
    </bk>
    <bk>
      <extLst>
        <ext uri="{3e2802c4-a4d2-4d8b-9148-e3be6c30e623}">
          <xlrd:rvb i="6527"/>
        </ext>
      </extLst>
    </bk>
    <bk>
      <extLst>
        <ext uri="{3e2802c4-a4d2-4d8b-9148-e3be6c30e623}">
          <xlrd:rvb i="6528"/>
        </ext>
      </extLst>
    </bk>
    <bk>
      <extLst>
        <ext uri="{3e2802c4-a4d2-4d8b-9148-e3be6c30e623}">
          <xlrd:rvb i="6529"/>
        </ext>
      </extLst>
    </bk>
    <bk>
      <extLst>
        <ext uri="{3e2802c4-a4d2-4d8b-9148-e3be6c30e623}">
          <xlrd:rvb i="6530"/>
        </ext>
      </extLst>
    </bk>
    <bk>
      <extLst>
        <ext uri="{3e2802c4-a4d2-4d8b-9148-e3be6c30e623}">
          <xlrd:rvb i="6531"/>
        </ext>
      </extLst>
    </bk>
    <bk>
      <extLst>
        <ext uri="{3e2802c4-a4d2-4d8b-9148-e3be6c30e623}">
          <xlrd:rvb i="6532"/>
        </ext>
      </extLst>
    </bk>
    <bk>
      <extLst>
        <ext uri="{3e2802c4-a4d2-4d8b-9148-e3be6c30e623}">
          <xlrd:rvb i="6533"/>
        </ext>
      </extLst>
    </bk>
    <bk>
      <extLst>
        <ext uri="{3e2802c4-a4d2-4d8b-9148-e3be6c30e623}">
          <xlrd:rvb i="6534"/>
        </ext>
      </extLst>
    </bk>
    <bk>
      <extLst>
        <ext uri="{3e2802c4-a4d2-4d8b-9148-e3be6c30e623}">
          <xlrd:rvb i="6535"/>
        </ext>
      </extLst>
    </bk>
    <bk>
      <extLst>
        <ext uri="{3e2802c4-a4d2-4d8b-9148-e3be6c30e623}">
          <xlrd:rvb i="6536"/>
        </ext>
      </extLst>
    </bk>
    <bk>
      <extLst>
        <ext uri="{3e2802c4-a4d2-4d8b-9148-e3be6c30e623}">
          <xlrd:rvb i="6537"/>
        </ext>
      </extLst>
    </bk>
    <bk>
      <extLst>
        <ext uri="{3e2802c4-a4d2-4d8b-9148-e3be6c30e623}">
          <xlrd:rvb i="6538"/>
        </ext>
      </extLst>
    </bk>
    <bk>
      <extLst>
        <ext uri="{3e2802c4-a4d2-4d8b-9148-e3be6c30e623}">
          <xlrd:rvb i="6539"/>
        </ext>
      </extLst>
    </bk>
    <bk>
      <extLst>
        <ext uri="{3e2802c4-a4d2-4d8b-9148-e3be6c30e623}">
          <xlrd:rvb i="6540"/>
        </ext>
      </extLst>
    </bk>
    <bk>
      <extLst>
        <ext uri="{3e2802c4-a4d2-4d8b-9148-e3be6c30e623}">
          <xlrd:rvb i="6541"/>
        </ext>
      </extLst>
    </bk>
    <bk>
      <extLst>
        <ext uri="{3e2802c4-a4d2-4d8b-9148-e3be6c30e623}">
          <xlrd:rvb i="6542"/>
        </ext>
      </extLst>
    </bk>
    <bk>
      <extLst>
        <ext uri="{3e2802c4-a4d2-4d8b-9148-e3be6c30e623}">
          <xlrd:rvb i="6543"/>
        </ext>
      </extLst>
    </bk>
    <bk>
      <extLst>
        <ext uri="{3e2802c4-a4d2-4d8b-9148-e3be6c30e623}">
          <xlrd:rvb i="6544"/>
        </ext>
      </extLst>
    </bk>
    <bk>
      <extLst>
        <ext uri="{3e2802c4-a4d2-4d8b-9148-e3be6c30e623}">
          <xlrd:rvb i="6545"/>
        </ext>
      </extLst>
    </bk>
    <bk>
      <extLst>
        <ext uri="{3e2802c4-a4d2-4d8b-9148-e3be6c30e623}">
          <xlrd:rvb i="6546"/>
        </ext>
      </extLst>
    </bk>
    <bk>
      <extLst>
        <ext uri="{3e2802c4-a4d2-4d8b-9148-e3be6c30e623}">
          <xlrd:rvb i="6547"/>
        </ext>
      </extLst>
    </bk>
    <bk>
      <extLst>
        <ext uri="{3e2802c4-a4d2-4d8b-9148-e3be6c30e623}">
          <xlrd:rvb i="6548"/>
        </ext>
      </extLst>
    </bk>
    <bk>
      <extLst>
        <ext uri="{3e2802c4-a4d2-4d8b-9148-e3be6c30e623}">
          <xlrd:rvb i="6549"/>
        </ext>
      </extLst>
    </bk>
    <bk>
      <extLst>
        <ext uri="{3e2802c4-a4d2-4d8b-9148-e3be6c30e623}">
          <xlrd:rvb i="6550"/>
        </ext>
      </extLst>
    </bk>
    <bk>
      <extLst>
        <ext uri="{3e2802c4-a4d2-4d8b-9148-e3be6c30e623}">
          <xlrd:rvb i="6551"/>
        </ext>
      </extLst>
    </bk>
    <bk>
      <extLst>
        <ext uri="{3e2802c4-a4d2-4d8b-9148-e3be6c30e623}">
          <xlrd:rvb i="6552"/>
        </ext>
      </extLst>
    </bk>
    <bk>
      <extLst>
        <ext uri="{3e2802c4-a4d2-4d8b-9148-e3be6c30e623}">
          <xlrd:rvb i="6553"/>
        </ext>
      </extLst>
    </bk>
    <bk>
      <extLst>
        <ext uri="{3e2802c4-a4d2-4d8b-9148-e3be6c30e623}">
          <xlrd:rvb i="6554"/>
        </ext>
      </extLst>
    </bk>
    <bk>
      <extLst>
        <ext uri="{3e2802c4-a4d2-4d8b-9148-e3be6c30e623}">
          <xlrd:rvb i="6555"/>
        </ext>
      </extLst>
    </bk>
    <bk>
      <extLst>
        <ext uri="{3e2802c4-a4d2-4d8b-9148-e3be6c30e623}">
          <xlrd:rvb i="6556"/>
        </ext>
      </extLst>
    </bk>
    <bk>
      <extLst>
        <ext uri="{3e2802c4-a4d2-4d8b-9148-e3be6c30e623}">
          <xlrd:rvb i="6557"/>
        </ext>
      </extLst>
    </bk>
    <bk>
      <extLst>
        <ext uri="{3e2802c4-a4d2-4d8b-9148-e3be6c30e623}">
          <xlrd:rvb i="6558"/>
        </ext>
      </extLst>
    </bk>
    <bk>
      <extLst>
        <ext uri="{3e2802c4-a4d2-4d8b-9148-e3be6c30e623}">
          <xlrd:rvb i="6559"/>
        </ext>
      </extLst>
    </bk>
    <bk>
      <extLst>
        <ext uri="{3e2802c4-a4d2-4d8b-9148-e3be6c30e623}">
          <xlrd:rvb i="6560"/>
        </ext>
      </extLst>
    </bk>
    <bk>
      <extLst>
        <ext uri="{3e2802c4-a4d2-4d8b-9148-e3be6c30e623}">
          <xlrd:rvb i="6561"/>
        </ext>
      </extLst>
    </bk>
    <bk>
      <extLst>
        <ext uri="{3e2802c4-a4d2-4d8b-9148-e3be6c30e623}">
          <xlrd:rvb i="6562"/>
        </ext>
      </extLst>
    </bk>
    <bk>
      <extLst>
        <ext uri="{3e2802c4-a4d2-4d8b-9148-e3be6c30e623}">
          <xlrd:rvb i="6563"/>
        </ext>
      </extLst>
    </bk>
    <bk>
      <extLst>
        <ext uri="{3e2802c4-a4d2-4d8b-9148-e3be6c30e623}">
          <xlrd:rvb i="6564"/>
        </ext>
      </extLst>
    </bk>
    <bk>
      <extLst>
        <ext uri="{3e2802c4-a4d2-4d8b-9148-e3be6c30e623}">
          <xlrd:rvb i="6565"/>
        </ext>
      </extLst>
    </bk>
    <bk>
      <extLst>
        <ext uri="{3e2802c4-a4d2-4d8b-9148-e3be6c30e623}">
          <xlrd:rvb i="6566"/>
        </ext>
      </extLst>
    </bk>
    <bk>
      <extLst>
        <ext uri="{3e2802c4-a4d2-4d8b-9148-e3be6c30e623}">
          <xlrd:rvb i="6567"/>
        </ext>
      </extLst>
    </bk>
    <bk>
      <extLst>
        <ext uri="{3e2802c4-a4d2-4d8b-9148-e3be6c30e623}">
          <xlrd:rvb i="6568"/>
        </ext>
      </extLst>
    </bk>
    <bk>
      <extLst>
        <ext uri="{3e2802c4-a4d2-4d8b-9148-e3be6c30e623}">
          <xlrd:rvb i="6569"/>
        </ext>
      </extLst>
    </bk>
    <bk>
      <extLst>
        <ext uri="{3e2802c4-a4d2-4d8b-9148-e3be6c30e623}">
          <xlrd:rvb i="6570"/>
        </ext>
      </extLst>
    </bk>
    <bk>
      <extLst>
        <ext uri="{3e2802c4-a4d2-4d8b-9148-e3be6c30e623}">
          <xlrd:rvb i="6571"/>
        </ext>
      </extLst>
    </bk>
    <bk>
      <extLst>
        <ext uri="{3e2802c4-a4d2-4d8b-9148-e3be6c30e623}">
          <xlrd:rvb i="6572"/>
        </ext>
      </extLst>
    </bk>
    <bk>
      <extLst>
        <ext uri="{3e2802c4-a4d2-4d8b-9148-e3be6c30e623}">
          <xlrd:rvb i="6573"/>
        </ext>
      </extLst>
    </bk>
    <bk>
      <extLst>
        <ext uri="{3e2802c4-a4d2-4d8b-9148-e3be6c30e623}">
          <xlrd:rvb i="6574"/>
        </ext>
      </extLst>
    </bk>
    <bk>
      <extLst>
        <ext uri="{3e2802c4-a4d2-4d8b-9148-e3be6c30e623}">
          <xlrd:rvb i="6575"/>
        </ext>
      </extLst>
    </bk>
    <bk>
      <extLst>
        <ext uri="{3e2802c4-a4d2-4d8b-9148-e3be6c30e623}">
          <xlrd:rvb i="6576"/>
        </ext>
      </extLst>
    </bk>
    <bk>
      <extLst>
        <ext uri="{3e2802c4-a4d2-4d8b-9148-e3be6c30e623}">
          <xlrd:rvb i="6577"/>
        </ext>
      </extLst>
    </bk>
    <bk>
      <extLst>
        <ext uri="{3e2802c4-a4d2-4d8b-9148-e3be6c30e623}">
          <xlrd:rvb i="6578"/>
        </ext>
      </extLst>
    </bk>
    <bk>
      <extLst>
        <ext uri="{3e2802c4-a4d2-4d8b-9148-e3be6c30e623}">
          <xlrd:rvb i="6579"/>
        </ext>
      </extLst>
    </bk>
    <bk>
      <extLst>
        <ext uri="{3e2802c4-a4d2-4d8b-9148-e3be6c30e623}">
          <xlrd:rvb i="6580"/>
        </ext>
      </extLst>
    </bk>
    <bk>
      <extLst>
        <ext uri="{3e2802c4-a4d2-4d8b-9148-e3be6c30e623}">
          <xlrd:rvb i="6581"/>
        </ext>
      </extLst>
    </bk>
    <bk>
      <extLst>
        <ext uri="{3e2802c4-a4d2-4d8b-9148-e3be6c30e623}">
          <xlrd:rvb i="6582"/>
        </ext>
      </extLst>
    </bk>
    <bk>
      <extLst>
        <ext uri="{3e2802c4-a4d2-4d8b-9148-e3be6c30e623}">
          <xlrd:rvb i="6583"/>
        </ext>
      </extLst>
    </bk>
    <bk>
      <extLst>
        <ext uri="{3e2802c4-a4d2-4d8b-9148-e3be6c30e623}">
          <xlrd:rvb i="6584"/>
        </ext>
      </extLst>
    </bk>
    <bk>
      <extLst>
        <ext uri="{3e2802c4-a4d2-4d8b-9148-e3be6c30e623}">
          <xlrd:rvb i="6585"/>
        </ext>
      </extLst>
    </bk>
    <bk>
      <extLst>
        <ext uri="{3e2802c4-a4d2-4d8b-9148-e3be6c30e623}">
          <xlrd:rvb i="6586"/>
        </ext>
      </extLst>
    </bk>
    <bk>
      <extLst>
        <ext uri="{3e2802c4-a4d2-4d8b-9148-e3be6c30e623}">
          <xlrd:rvb i="6587"/>
        </ext>
      </extLst>
    </bk>
    <bk>
      <extLst>
        <ext uri="{3e2802c4-a4d2-4d8b-9148-e3be6c30e623}">
          <xlrd:rvb i="6588"/>
        </ext>
      </extLst>
    </bk>
    <bk>
      <extLst>
        <ext uri="{3e2802c4-a4d2-4d8b-9148-e3be6c30e623}">
          <xlrd:rvb i="6589"/>
        </ext>
      </extLst>
    </bk>
    <bk>
      <extLst>
        <ext uri="{3e2802c4-a4d2-4d8b-9148-e3be6c30e623}">
          <xlrd:rvb i="6590"/>
        </ext>
      </extLst>
    </bk>
    <bk>
      <extLst>
        <ext uri="{3e2802c4-a4d2-4d8b-9148-e3be6c30e623}">
          <xlrd:rvb i="6591"/>
        </ext>
      </extLst>
    </bk>
    <bk>
      <extLst>
        <ext uri="{3e2802c4-a4d2-4d8b-9148-e3be6c30e623}">
          <xlrd:rvb i="6592"/>
        </ext>
      </extLst>
    </bk>
    <bk>
      <extLst>
        <ext uri="{3e2802c4-a4d2-4d8b-9148-e3be6c30e623}">
          <xlrd:rvb i="6593"/>
        </ext>
      </extLst>
    </bk>
    <bk>
      <extLst>
        <ext uri="{3e2802c4-a4d2-4d8b-9148-e3be6c30e623}">
          <xlrd:rvb i="6594"/>
        </ext>
      </extLst>
    </bk>
    <bk>
      <extLst>
        <ext uri="{3e2802c4-a4d2-4d8b-9148-e3be6c30e623}">
          <xlrd:rvb i="6595"/>
        </ext>
      </extLst>
    </bk>
    <bk>
      <extLst>
        <ext uri="{3e2802c4-a4d2-4d8b-9148-e3be6c30e623}">
          <xlrd:rvb i="6596"/>
        </ext>
      </extLst>
    </bk>
    <bk>
      <extLst>
        <ext uri="{3e2802c4-a4d2-4d8b-9148-e3be6c30e623}">
          <xlrd:rvb i="6597"/>
        </ext>
      </extLst>
    </bk>
    <bk>
      <extLst>
        <ext uri="{3e2802c4-a4d2-4d8b-9148-e3be6c30e623}">
          <xlrd:rvb i="6598"/>
        </ext>
      </extLst>
    </bk>
    <bk>
      <extLst>
        <ext uri="{3e2802c4-a4d2-4d8b-9148-e3be6c30e623}">
          <xlrd:rvb i="6599"/>
        </ext>
      </extLst>
    </bk>
    <bk>
      <extLst>
        <ext uri="{3e2802c4-a4d2-4d8b-9148-e3be6c30e623}">
          <xlrd:rvb i="6600"/>
        </ext>
      </extLst>
    </bk>
    <bk>
      <extLst>
        <ext uri="{3e2802c4-a4d2-4d8b-9148-e3be6c30e623}">
          <xlrd:rvb i="6601"/>
        </ext>
      </extLst>
    </bk>
    <bk>
      <extLst>
        <ext uri="{3e2802c4-a4d2-4d8b-9148-e3be6c30e623}">
          <xlrd:rvb i="6602"/>
        </ext>
      </extLst>
    </bk>
    <bk>
      <extLst>
        <ext uri="{3e2802c4-a4d2-4d8b-9148-e3be6c30e623}">
          <xlrd:rvb i="6603"/>
        </ext>
      </extLst>
    </bk>
    <bk>
      <extLst>
        <ext uri="{3e2802c4-a4d2-4d8b-9148-e3be6c30e623}">
          <xlrd:rvb i="6604"/>
        </ext>
      </extLst>
    </bk>
    <bk>
      <extLst>
        <ext uri="{3e2802c4-a4d2-4d8b-9148-e3be6c30e623}">
          <xlrd:rvb i="6605"/>
        </ext>
      </extLst>
    </bk>
    <bk>
      <extLst>
        <ext uri="{3e2802c4-a4d2-4d8b-9148-e3be6c30e623}">
          <xlrd:rvb i="6606"/>
        </ext>
      </extLst>
    </bk>
    <bk>
      <extLst>
        <ext uri="{3e2802c4-a4d2-4d8b-9148-e3be6c30e623}">
          <xlrd:rvb i="6607"/>
        </ext>
      </extLst>
    </bk>
    <bk>
      <extLst>
        <ext uri="{3e2802c4-a4d2-4d8b-9148-e3be6c30e623}">
          <xlrd:rvb i="6608"/>
        </ext>
      </extLst>
    </bk>
    <bk>
      <extLst>
        <ext uri="{3e2802c4-a4d2-4d8b-9148-e3be6c30e623}">
          <xlrd:rvb i="6609"/>
        </ext>
      </extLst>
    </bk>
    <bk>
      <extLst>
        <ext uri="{3e2802c4-a4d2-4d8b-9148-e3be6c30e623}">
          <xlrd:rvb i="6610"/>
        </ext>
      </extLst>
    </bk>
    <bk>
      <extLst>
        <ext uri="{3e2802c4-a4d2-4d8b-9148-e3be6c30e623}">
          <xlrd:rvb i="6611"/>
        </ext>
      </extLst>
    </bk>
    <bk>
      <extLst>
        <ext uri="{3e2802c4-a4d2-4d8b-9148-e3be6c30e623}">
          <xlrd:rvb i="6612"/>
        </ext>
      </extLst>
    </bk>
    <bk>
      <extLst>
        <ext uri="{3e2802c4-a4d2-4d8b-9148-e3be6c30e623}">
          <xlrd:rvb i="6613"/>
        </ext>
      </extLst>
    </bk>
    <bk>
      <extLst>
        <ext uri="{3e2802c4-a4d2-4d8b-9148-e3be6c30e623}">
          <xlrd:rvb i="6614"/>
        </ext>
      </extLst>
    </bk>
    <bk>
      <extLst>
        <ext uri="{3e2802c4-a4d2-4d8b-9148-e3be6c30e623}">
          <xlrd:rvb i="6615"/>
        </ext>
      </extLst>
    </bk>
    <bk>
      <extLst>
        <ext uri="{3e2802c4-a4d2-4d8b-9148-e3be6c30e623}">
          <xlrd:rvb i="6616"/>
        </ext>
      </extLst>
    </bk>
    <bk>
      <extLst>
        <ext uri="{3e2802c4-a4d2-4d8b-9148-e3be6c30e623}">
          <xlrd:rvb i="6617"/>
        </ext>
      </extLst>
    </bk>
    <bk>
      <extLst>
        <ext uri="{3e2802c4-a4d2-4d8b-9148-e3be6c30e623}">
          <xlrd:rvb i="6618"/>
        </ext>
      </extLst>
    </bk>
    <bk>
      <extLst>
        <ext uri="{3e2802c4-a4d2-4d8b-9148-e3be6c30e623}">
          <xlrd:rvb i="6619"/>
        </ext>
      </extLst>
    </bk>
    <bk>
      <extLst>
        <ext uri="{3e2802c4-a4d2-4d8b-9148-e3be6c30e623}">
          <xlrd:rvb i="6620"/>
        </ext>
      </extLst>
    </bk>
    <bk>
      <extLst>
        <ext uri="{3e2802c4-a4d2-4d8b-9148-e3be6c30e623}">
          <xlrd:rvb i="6621"/>
        </ext>
      </extLst>
    </bk>
    <bk>
      <extLst>
        <ext uri="{3e2802c4-a4d2-4d8b-9148-e3be6c30e623}">
          <xlrd:rvb i="6622"/>
        </ext>
      </extLst>
    </bk>
    <bk>
      <extLst>
        <ext uri="{3e2802c4-a4d2-4d8b-9148-e3be6c30e623}">
          <xlrd:rvb i="6623"/>
        </ext>
      </extLst>
    </bk>
    <bk>
      <extLst>
        <ext uri="{3e2802c4-a4d2-4d8b-9148-e3be6c30e623}">
          <xlrd:rvb i="6624"/>
        </ext>
      </extLst>
    </bk>
    <bk>
      <extLst>
        <ext uri="{3e2802c4-a4d2-4d8b-9148-e3be6c30e623}">
          <xlrd:rvb i="6625"/>
        </ext>
      </extLst>
    </bk>
    <bk>
      <extLst>
        <ext uri="{3e2802c4-a4d2-4d8b-9148-e3be6c30e623}">
          <xlrd:rvb i="6626"/>
        </ext>
      </extLst>
    </bk>
    <bk>
      <extLst>
        <ext uri="{3e2802c4-a4d2-4d8b-9148-e3be6c30e623}">
          <xlrd:rvb i="6627"/>
        </ext>
      </extLst>
    </bk>
    <bk>
      <extLst>
        <ext uri="{3e2802c4-a4d2-4d8b-9148-e3be6c30e623}">
          <xlrd:rvb i="6628"/>
        </ext>
      </extLst>
    </bk>
    <bk>
      <extLst>
        <ext uri="{3e2802c4-a4d2-4d8b-9148-e3be6c30e623}">
          <xlrd:rvb i="6629"/>
        </ext>
      </extLst>
    </bk>
    <bk>
      <extLst>
        <ext uri="{3e2802c4-a4d2-4d8b-9148-e3be6c30e623}">
          <xlrd:rvb i="6630"/>
        </ext>
      </extLst>
    </bk>
    <bk>
      <extLst>
        <ext uri="{3e2802c4-a4d2-4d8b-9148-e3be6c30e623}">
          <xlrd:rvb i="6631"/>
        </ext>
      </extLst>
    </bk>
    <bk>
      <extLst>
        <ext uri="{3e2802c4-a4d2-4d8b-9148-e3be6c30e623}">
          <xlrd:rvb i="6632"/>
        </ext>
      </extLst>
    </bk>
    <bk>
      <extLst>
        <ext uri="{3e2802c4-a4d2-4d8b-9148-e3be6c30e623}">
          <xlrd:rvb i="6633"/>
        </ext>
      </extLst>
    </bk>
    <bk>
      <extLst>
        <ext uri="{3e2802c4-a4d2-4d8b-9148-e3be6c30e623}">
          <xlrd:rvb i="6634"/>
        </ext>
      </extLst>
    </bk>
    <bk>
      <extLst>
        <ext uri="{3e2802c4-a4d2-4d8b-9148-e3be6c30e623}">
          <xlrd:rvb i="6635"/>
        </ext>
      </extLst>
    </bk>
    <bk>
      <extLst>
        <ext uri="{3e2802c4-a4d2-4d8b-9148-e3be6c30e623}">
          <xlrd:rvb i="6636"/>
        </ext>
      </extLst>
    </bk>
    <bk>
      <extLst>
        <ext uri="{3e2802c4-a4d2-4d8b-9148-e3be6c30e623}">
          <xlrd:rvb i="6637"/>
        </ext>
      </extLst>
    </bk>
    <bk>
      <extLst>
        <ext uri="{3e2802c4-a4d2-4d8b-9148-e3be6c30e623}">
          <xlrd:rvb i="6638"/>
        </ext>
      </extLst>
    </bk>
    <bk>
      <extLst>
        <ext uri="{3e2802c4-a4d2-4d8b-9148-e3be6c30e623}">
          <xlrd:rvb i="6639"/>
        </ext>
      </extLst>
    </bk>
    <bk>
      <extLst>
        <ext uri="{3e2802c4-a4d2-4d8b-9148-e3be6c30e623}">
          <xlrd:rvb i="6640"/>
        </ext>
      </extLst>
    </bk>
    <bk>
      <extLst>
        <ext uri="{3e2802c4-a4d2-4d8b-9148-e3be6c30e623}">
          <xlrd:rvb i="6641"/>
        </ext>
      </extLst>
    </bk>
    <bk>
      <extLst>
        <ext uri="{3e2802c4-a4d2-4d8b-9148-e3be6c30e623}">
          <xlrd:rvb i="6642"/>
        </ext>
      </extLst>
    </bk>
    <bk>
      <extLst>
        <ext uri="{3e2802c4-a4d2-4d8b-9148-e3be6c30e623}">
          <xlrd:rvb i="6643"/>
        </ext>
      </extLst>
    </bk>
    <bk>
      <extLst>
        <ext uri="{3e2802c4-a4d2-4d8b-9148-e3be6c30e623}">
          <xlrd:rvb i="6644"/>
        </ext>
      </extLst>
    </bk>
    <bk>
      <extLst>
        <ext uri="{3e2802c4-a4d2-4d8b-9148-e3be6c30e623}">
          <xlrd:rvb i="6645"/>
        </ext>
      </extLst>
    </bk>
    <bk>
      <extLst>
        <ext uri="{3e2802c4-a4d2-4d8b-9148-e3be6c30e623}">
          <xlrd:rvb i="6646"/>
        </ext>
      </extLst>
    </bk>
    <bk>
      <extLst>
        <ext uri="{3e2802c4-a4d2-4d8b-9148-e3be6c30e623}">
          <xlrd:rvb i="6647"/>
        </ext>
      </extLst>
    </bk>
    <bk>
      <extLst>
        <ext uri="{3e2802c4-a4d2-4d8b-9148-e3be6c30e623}">
          <xlrd:rvb i="6648"/>
        </ext>
      </extLst>
    </bk>
    <bk>
      <extLst>
        <ext uri="{3e2802c4-a4d2-4d8b-9148-e3be6c30e623}">
          <xlrd:rvb i="6649"/>
        </ext>
      </extLst>
    </bk>
    <bk>
      <extLst>
        <ext uri="{3e2802c4-a4d2-4d8b-9148-e3be6c30e623}">
          <xlrd:rvb i="6650"/>
        </ext>
      </extLst>
    </bk>
    <bk>
      <extLst>
        <ext uri="{3e2802c4-a4d2-4d8b-9148-e3be6c30e623}">
          <xlrd:rvb i="6651"/>
        </ext>
      </extLst>
    </bk>
    <bk>
      <extLst>
        <ext uri="{3e2802c4-a4d2-4d8b-9148-e3be6c30e623}">
          <xlrd:rvb i="6652"/>
        </ext>
      </extLst>
    </bk>
    <bk>
      <extLst>
        <ext uri="{3e2802c4-a4d2-4d8b-9148-e3be6c30e623}">
          <xlrd:rvb i="6653"/>
        </ext>
      </extLst>
    </bk>
    <bk>
      <extLst>
        <ext uri="{3e2802c4-a4d2-4d8b-9148-e3be6c30e623}">
          <xlrd:rvb i="6654"/>
        </ext>
      </extLst>
    </bk>
    <bk>
      <extLst>
        <ext uri="{3e2802c4-a4d2-4d8b-9148-e3be6c30e623}">
          <xlrd:rvb i="6655"/>
        </ext>
      </extLst>
    </bk>
    <bk>
      <extLst>
        <ext uri="{3e2802c4-a4d2-4d8b-9148-e3be6c30e623}">
          <xlrd:rvb i="6656"/>
        </ext>
      </extLst>
    </bk>
    <bk>
      <extLst>
        <ext uri="{3e2802c4-a4d2-4d8b-9148-e3be6c30e623}">
          <xlrd:rvb i="6657"/>
        </ext>
      </extLst>
    </bk>
    <bk>
      <extLst>
        <ext uri="{3e2802c4-a4d2-4d8b-9148-e3be6c30e623}">
          <xlrd:rvb i="6658"/>
        </ext>
      </extLst>
    </bk>
    <bk>
      <extLst>
        <ext uri="{3e2802c4-a4d2-4d8b-9148-e3be6c30e623}">
          <xlrd:rvb i="6659"/>
        </ext>
      </extLst>
    </bk>
    <bk>
      <extLst>
        <ext uri="{3e2802c4-a4d2-4d8b-9148-e3be6c30e623}">
          <xlrd:rvb i="6660"/>
        </ext>
      </extLst>
    </bk>
    <bk>
      <extLst>
        <ext uri="{3e2802c4-a4d2-4d8b-9148-e3be6c30e623}">
          <xlrd:rvb i="6661"/>
        </ext>
      </extLst>
    </bk>
    <bk>
      <extLst>
        <ext uri="{3e2802c4-a4d2-4d8b-9148-e3be6c30e623}">
          <xlrd:rvb i="6662"/>
        </ext>
      </extLst>
    </bk>
    <bk>
      <extLst>
        <ext uri="{3e2802c4-a4d2-4d8b-9148-e3be6c30e623}">
          <xlrd:rvb i="6663"/>
        </ext>
      </extLst>
    </bk>
    <bk>
      <extLst>
        <ext uri="{3e2802c4-a4d2-4d8b-9148-e3be6c30e623}">
          <xlrd:rvb i="6664"/>
        </ext>
      </extLst>
    </bk>
    <bk>
      <extLst>
        <ext uri="{3e2802c4-a4d2-4d8b-9148-e3be6c30e623}">
          <xlrd:rvb i="6665"/>
        </ext>
      </extLst>
    </bk>
    <bk>
      <extLst>
        <ext uri="{3e2802c4-a4d2-4d8b-9148-e3be6c30e623}">
          <xlrd:rvb i="6666"/>
        </ext>
      </extLst>
    </bk>
    <bk>
      <extLst>
        <ext uri="{3e2802c4-a4d2-4d8b-9148-e3be6c30e623}">
          <xlrd:rvb i="6667"/>
        </ext>
      </extLst>
    </bk>
    <bk>
      <extLst>
        <ext uri="{3e2802c4-a4d2-4d8b-9148-e3be6c30e623}">
          <xlrd:rvb i="6668"/>
        </ext>
      </extLst>
    </bk>
    <bk>
      <extLst>
        <ext uri="{3e2802c4-a4d2-4d8b-9148-e3be6c30e623}">
          <xlrd:rvb i="6669"/>
        </ext>
      </extLst>
    </bk>
    <bk>
      <extLst>
        <ext uri="{3e2802c4-a4d2-4d8b-9148-e3be6c30e623}">
          <xlrd:rvb i="6670"/>
        </ext>
      </extLst>
    </bk>
    <bk>
      <extLst>
        <ext uri="{3e2802c4-a4d2-4d8b-9148-e3be6c30e623}">
          <xlrd:rvb i="6671"/>
        </ext>
      </extLst>
    </bk>
    <bk>
      <extLst>
        <ext uri="{3e2802c4-a4d2-4d8b-9148-e3be6c30e623}">
          <xlrd:rvb i="6672"/>
        </ext>
      </extLst>
    </bk>
    <bk>
      <extLst>
        <ext uri="{3e2802c4-a4d2-4d8b-9148-e3be6c30e623}">
          <xlrd:rvb i="6673"/>
        </ext>
      </extLst>
    </bk>
    <bk>
      <extLst>
        <ext uri="{3e2802c4-a4d2-4d8b-9148-e3be6c30e623}">
          <xlrd:rvb i="6674"/>
        </ext>
      </extLst>
    </bk>
    <bk>
      <extLst>
        <ext uri="{3e2802c4-a4d2-4d8b-9148-e3be6c30e623}">
          <xlrd:rvb i="6675"/>
        </ext>
      </extLst>
    </bk>
    <bk>
      <extLst>
        <ext uri="{3e2802c4-a4d2-4d8b-9148-e3be6c30e623}">
          <xlrd:rvb i="6676"/>
        </ext>
      </extLst>
    </bk>
    <bk>
      <extLst>
        <ext uri="{3e2802c4-a4d2-4d8b-9148-e3be6c30e623}">
          <xlrd:rvb i="6677"/>
        </ext>
      </extLst>
    </bk>
    <bk>
      <extLst>
        <ext uri="{3e2802c4-a4d2-4d8b-9148-e3be6c30e623}">
          <xlrd:rvb i="6678"/>
        </ext>
      </extLst>
    </bk>
    <bk>
      <extLst>
        <ext uri="{3e2802c4-a4d2-4d8b-9148-e3be6c30e623}">
          <xlrd:rvb i="6679"/>
        </ext>
      </extLst>
    </bk>
    <bk>
      <extLst>
        <ext uri="{3e2802c4-a4d2-4d8b-9148-e3be6c30e623}">
          <xlrd:rvb i="6680"/>
        </ext>
      </extLst>
    </bk>
    <bk>
      <extLst>
        <ext uri="{3e2802c4-a4d2-4d8b-9148-e3be6c30e623}">
          <xlrd:rvb i="6681"/>
        </ext>
      </extLst>
    </bk>
    <bk>
      <extLst>
        <ext uri="{3e2802c4-a4d2-4d8b-9148-e3be6c30e623}">
          <xlrd:rvb i="6682"/>
        </ext>
      </extLst>
    </bk>
    <bk>
      <extLst>
        <ext uri="{3e2802c4-a4d2-4d8b-9148-e3be6c30e623}">
          <xlrd:rvb i="6683"/>
        </ext>
      </extLst>
    </bk>
    <bk>
      <extLst>
        <ext uri="{3e2802c4-a4d2-4d8b-9148-e3be6c30e623}">
          <xlrd:rvb i="6684"/>
        </ext>
      </extLst>
    </bk>
    <bk>
      <extLst>
        <ext uri="{3e2802c4-a4d2-4d8b-9148-e3be6c30e623}">
          <xlrd:rvb i="6685"/>
        </ext>
      </extLst>
    </bk>
    <bk>
      <extLst>
        <ext uri="{3e2802c4-a4d2-4d8b-9148-e3be6c30e623}">
          <xlrd:rvb i="6686"/>
        </ext>
      </extLst>
    </bk>
    <bk>
      <extLst>
        <ext uri="{3e2802c4-a4d2-4d8b-9148-e3be6c30e623}">
          <xlrd:rvb i="6687"/>
        </ext>
      </extLst>
    </bk>
    <bk>
      <extLst>
        <ext uri="{3e2802c4-a4d2-4d8b-9148-e3be6c30e623}">
          <xlrd:rvb i="6688"/>
        </ext>
      </extLst>
    </bk>
    <bk>
      <extLst>
        <ext uri="{3e2802c4-a4d2-4d8b-9148-e3be6c30e623}">
          <xlrd:rvb i="6689"/>
        </ext>
      </extLst>
    </bk>
    <bk>
      <extLst>
        <ext uri="{3e2802c4-a4d2-4d8b-9148-e3be6c30e623}">
          <xlrd:rvb i="6690"/>
        </ext>
      </extLst>
    </bk>
    <bk>
      <extLst>
        <ext uri="{3e2802c4-a4d2-4d8b-9148-e3be6c30e623}">
          <xlrd:rvb i="6691"/>
        </ext>
      </extLst>
    </bk>
    <bk>
      <extLst>
        <ext uri="{3e2802c4-a4d2-4d8b-9148-e3be6c30e623}">
          <xlrd:rvb i="6692"/>
        </ext>
      </extLst>
    </bk>
    <bk>
      <extLst>
        <ext uri="{3e2802c4-a4d2-4d8b-9148-e3be6c30e623}">
          <xlrd:rvb i="6693"/>
        </ext>
      </extLst>
    </bk>
    <bk>
      <extLst>
        <ext uri="{3e2802c4-a4d2-4d8b-9148-e3be6c30e623}">
          <xlrd:rvb i="6694"/>
        </ext>
      </extLst>
    </bk>
    <bk>
      <extLst>
        <ext uri="{3e2802c4-a4d2-4d8b-9148-e3be6c30e623}">
          <xlrd:rvb i="6695"/>
        </ext>
      </extLst>
    </bk>
    <bk>
      <extLst>
        <ext uri="{3e2802c4-a4d2-4d8b-9148-e3be6c30e623}">
          <xlrd:rvb i="6696"/>
        </ext>
      </extLst>
    </bk>
    <bk>
      <extLst>
        <ext uri="{3e2802c4-a4d2-4d8b-9148-e3be6c30e623}">
          <xlrd:rvb i="6697"/>
        </ext>
      </extLst>
    </bk>
    <bk>
      <extLst>
        <ext uri="{3e2802c4-a4d2-4d8b-9148-e3be6c30e623}">
          <xlrd:rvb i="6698"/>
        </ext>
      </extLst>
    </bk>
    <bk>
      <extLst>
        <ext uri="{3e2802c4-a4d2-4d8b-9148-e3be6c30e623}">
          <xlrd:rvb i="6699"/>
        </ext>
      </extLst>
    </bk>
    <bk>
      <extLst>
        <ext uri="{3e2802c4-a4d2-4d8b-9148-e3be6c30e623}">
          <xlrd:rvb i="6700"/>
        </ext>
      </extLst>
    </bk>
    <bk>
      <extLst>
        <ext uri="{3e2802c4-a4d2-4d8b-9148-e3be6c30e623}">
          <xlrd:rvb i="6701"/>
        </ext>
      </extLst>
    </bk>
    <bk>
      <extLst>
        <ext uri="{3e2802c4-a4d2-4d8b-9148-e3be6c30e623}">
          <xlrd:rvb i="6702"/>
        </ext>
      </extLst>
    </bk>
    <bk>
      <extLst>
        <ext uri="{3e2802c4-a4d2-4d8b-9148-e3be6c30e623}">
          <xlrd:rvb i="6703"/>
        </ext>
      </extLst>
    </bk>
    <bk>
      <extLst>
        <ext uri="{3e2802c4-a4d2-4d8b-9148-e3be6c30e623}">
          <xlrd:rvb i="6704"/>
        </ext>
      </extLst>
    </bk>
    <bk>
      <extLst>
        <ext uri="{3e2802c4-a4d2-4d8b-9148-e3be6c30e623}">
          <xlrd:rvb i="6705"/>
        </ext>
      </extLst>
    </bk>
    <bk>
      <extLst>
        <ext uri="{3e2802c4-a4d2-4d8b-9148-e3be6c30e623}">
          <xlrd:rvb i="6706"/>
        </ext>
      </extLst>
    </bk>
    <bk>
      <extLst>
        <ext uri="{3e2802c4-a4d2-4d8b-9148-e3be6c30e623}">
          <xlrd:rvb i="6707"/>
        </ext>
      </extLst>
    </bk>
    <bk>
      <extLst>
        <ext uri="{3e2802c4-a4d2-4d8b-9148-e3be6c30e623}">
          <xlrd:rvb i="6708"/>
        </ext>
      </extLst>
    </bk>
    <bk>
      <extLst>
        <ext uri="{3e2802c4-a4d2-4d8b-9148-e3be6c30e623}">
          <xlrd:rvb i="6709"/>
        </ext>
      </extLst>
    </bk>
    <bk>
      <extLst>
        <ext uri="{3e2802c4-a4d2-4d8b-9148-e3be6c30e623}">
          <xlrd:rvb i="6710"/>
        </ext>
      </extLst>
    </bk>
    <bk>
      <extLst>
        <ext uri="{3e2802c4-a4d2-4d8b-9148-e3be6c30e623}">
          <xlrd:rvb i="6711"/>
        </ext>
      </extLst>
    </bk>
    <bk>
      <extLst>
        <ext uri="{3e2802c4-a4d2-4d8b-9148-e3be6c30e623}">
          <xlrd:rvb i="6712"/>
        </ext>
      </extLst>
    </bk>
    <bk>
      <extLst>
        <ext uri="{3e2802c4-a4d2-4d8b-9148-e3be6c30e623}">
          <xlrd:rvb i="6713"/>
        </ext>
      </extLst>
    </bk>
    <bk>
      <extLst>
        <ext uri="{3e2802c4-a4d2-4d8b-9148-e3be6c30e623}">
          <xlrd:rvb i="6714"/>
        </ext>
      </extLst>
    </bk>
    <bk>
      <extLst>
        <ext uri="{3e2802c4-a4d2-4d8b-9148-e3be6c30e623}">
          <xlrd:rvb i="6715"/>
        </ext>
      </extLst>
    </bk>
    <bk>
      <extLst>
        <ext uri="{3e2802c4-a4d2-4d8b-9148-e3be6c30e623}">
          <xlrd:rvb i="6716"/>
        </ext>
      </extLst>
    </bk>
    <bk>
      <extLst>
        <ext uri="{3e2802c4-a4d2-4d8b-9148-e3be6c30e623}">
          <xlrd:rvb i="6717"/>
        </ext>
      </extLst>
    </bk>
    <bk>
      <extLst>
        <ext uri="{3e2802c4-a4d2-4d8b-9148-e3be6c30e623}">
          <xlrd:rvb i="6718"/>
        </ext>
      </extLst>
    </bk>
    <bk>
      <extLst>
        <ext uri="{3e2802c4-a4d2-4d8b-9148-e3be6c30e623}">
          <xlrd:rvb i="6719"/>
        </ext>
      </extLst>
    </bk>
    <bk>
      <extLst>
        <ext uri="{3e2802c4-a4d2-4d8b-9148-e3be6c30e623}">
          <xlrd:rvb i="6720"/>
        </ext>
      </extLst>
    </bk>
    <bk>
      <extLst>
        <ext uri="{3e2802c4-a4d2-4d8b-9148-e3be6c30e623}">
          <xlrd:rvb i="6721"/>
        </ext>
      </extLst>
    </bk>
    <bk>
      <extLst>
        <ext uri="{3e2802c4-a4d2-4d8b-9148-e3be6c30e623}">
          <xlrd:rvb i="6722"/>
        </ext>
      </extLst>
    </bk>
    <bk>
      <extLst>
        <ext uri="{3e2802c4-a4d2-4d8b-9148-e3be6c30e623}">
          <xlrd:rvb i="6723"/>
        </ext>
      </extLst>
    </bk>
    <bk>
      <extLst>
        <ext uri="{3e2802c4-a4d2-4d8b-9148-e3be6c30e623}">
          <xlrd:rvb i="6724"/>
        </ext>
      </extLst>
    </bk>
    <bk>
      <extLst>
        <ext uri="{3e2802c4-a4d2-4d8b-9148-e3be6c30e623}">
          <xlrd:rvb i="6725"/>
        </ext>
      </extLst>
    </bk>
    <bk>
      <extLst>
        <ext uri="{3e2802c4-a4d2-4d8b-9148-e3be6c30e623}">
          <xlrd:rvb i="6726"/>
        </ext>
      </extLst>
    </bk>
    <bk>
      <extLst>
        <ext uri="{3e2802c4-a4d2-4d8b-9148-e3be6c30e623}">
          <xlrd:rvb i="6727"/>
        </ext>
      </extLst>
    </bk>
    <bk>
      <extLst>
        <ext uri="{3e2802c4-a4d2-4d8b-9148-e3be6c30e623}">
          <xlrd:rvb i="6728"/>
        </ext>
      </extLst>
    </bk>
    <bk>
      <extLst>
        <ext uri="{3e2802c4-a4d2-4d8b-9148-e3be6c30e623}">
          <xlrd:rvb i="6729"/>
        </ext>
      </extLst>
    </bk>
    <bk>
      <extLst>
        <ext uri="{3e2802c4-a4d2-4d8b-9148-e3be6c30e623}">
          <xlrd:rvb i="6730"/>
        </ext>
      </extLst>
    </bk>
    <bk>
      <extLst>
        <ext uri="{3e2802c4-a4d2-4d8b-9148-e3be6c30e623}">
          <xlrd:rvb i="6731"/>
        </ext>
      </extLst>
    </bk>
    <bk>
      <extLst>
        <ext uri="{3e2802c4-a4d2-4d8b-9148-e3be6c30e623}">
          <xlrd:rvb i="6732"/>
        </ext>
      </extLst>
    </bk>
    <bk>
      <extLst>
        <ext uri="{3e2802c4-a4d2-4d8b-9148-e3be6c30e623}">
          <xlrd:rvb i="6733"/>
        </ext>
      </extLst>
    </bk>
    <bk>
      <extLst>
        <ext uri="{3e2802c4-a4d2-4d8b-9148-e3be6c30e623}">
          <xlrd:rvb i="6734"/>
        </ext>
      </extLst>
    </bk>
    <bk>
      <extLst>
        <ext uri="{3e2802c4-a4d2-4d8b-9148-e3be6c30e623}">
          <xlrd:rvb i="6735"/>
        </ext>
      </extLst>
    </bk>
    <bk>
      <extLst>
        <ext uri="{3e2802c4-a4d2-4d8b-9148-e3be6c30e623}">
          <xlrd:rvb i="6738"/>
        </ext>
      </extLst>
    </bk>
    <bk>
      <extLst>
        <ext uri="{3e2802c4-a4d2-4d8b-9148-e3be6c30e623}">
          <xlrd:rvb i="6739"/>
        </ext>
      </extLst>
    </bk>
    <bk>
      <extLst>
        <ext uri="{3e2802c4-a4d2-4d8b-9148-e3be6c30e623}">
          <xlrd:rvb i="6740"/>
        </ext>
      </extLst>
    </bk>
    <bk>
      <extLst>
        <ext uri="{3e2802c4-a4d2-4d8b-9148-e3be6c30e623}">
          <xlrd:rvb i="6741"/>
        </ext>
      </extLst>
    </bk>
    <bk>
      <extLst>
        <ext uri="{3e2802c4-a4d2-4d8b-9148-e3be6c30e623}">
          <xlrd:rvb i="6742"/>
        </ext>
      </extLst>
    </bk>
    <bk>
      <extLst>
        <ext uri="{3e2802c4-a4d2-4d8b-9148-e3be6c30e623}">
          <xlrd:rvb i="6743"/>
        </ext>
      </extLst>
    </bk>
    <bk>
      <extLst>
        <ext uri="{3e2802c4-a4d2-4d8b-9148-e3be6c30e623}">
          <xlrd:rvb i="6744"/>
        </ext>
      </extLst>
    </bk>
    <bk>
      <extLst>
        <ext uri="{3e2802c4-a4d2-4d8b-9148-e3be6c30e623}">
          <xlrd:rvb i="6745"/>
        </ext>
      </extLst>
    </bk>
    <bk>
      <extLst>
        <ext uri="{3e2802c4-a4d2-4d8b-9148-e3be6c30e623}">
          <xlrd:rvb i="6746"/>
        </ext>
      </extLst>
    </bk>
    <bk>
      <extLst>
        <ext uri="{3e2802c4-a4d2-4d8b-9148-e3be6c30e623}">
          <xlrd:rvb i="6747"/>
        </ext>
      </extLst>
    </bk>
    <bk>
      <extLst>
        <ext uri="{3e2802c4-a4d2-4d8b-9148-e3be6c30e623}">
          <xlrd:rvb i="6748"/>
        </ext>
      </extLst>
    </bk>
    <bk>
      <extLst>
        <ext uri="{3e2802c4-a4d2-4d8b-9148-e3be6c30e623}">
          <xlrd:rvb i="6749"/>
        </ext>
      </extLst>
    </bk>
    <bk>
      <extLst>
        <ext uri="{3e2802c4-a4d2-4d8b-9148-e3be6c30e623}">
          <xlrd:rvb i="6750"/>
        </ext>
      </extLst>
    </bk>
    <bk>
      <extLst>
        <ext uri="{3e2802c4-a4d2-4d8b-9148-e3be6c30e623}">
          <xlrd:rvb i="6751"/>
        </ext>
      </extLst>
    </bk>
    <bk>
      <extLst>
        <ext uri="{3e2802c4-a4d2-4d8b-9148-e3be6c30e623}">
          <xlrd:rvb i="6752"/>
        </ext>
      </extLst>
    </bk>
    <bk>
      <extLst>
        <ext uri="{3e2802c4-a4d2-4d8b-9148-e3be6c30e623}">
          <xlrd:rvb i="6753"/>
        </ext>
      </extLst>
    </bk>
    <bk>
      <extLst>
        <ext uri="{3e2802c4-a4d2-4d8b-9148-e3be6c30e623}">
          <xlrd:rvb i="6754"/>
        </ext>
      </extLst>
    </bk>
    <bk>
      <extLst>
        <ext uri="{3e2802c4-a4d2-4d8b-9148-e3be6c30e623}">
          <xlrd:rvb i="6755"/>
        </ext>
      </extLst>
    </bk>
    <bk>
      <extLst>
        <ext uri="{3e2802c4-a4d2-4d8b-9148-e3be6c30e623}">
          <xlrd:rvb i="6756"/>
        </ext>
      </extLst>
    </bk>
    <bk>
      <extLst>
        <ext uri="{3e2802c4-a4d2-4d8b-9148-e3be6c30e623}">
          <xlrd:rvb i="6757"/>
        </ext>
      </extLst>
    </bk>
    <bk>
      <extLst>
        <ext uri="{3e2802c4-a4d2-4d8b-9148-e3be6c30e623}">
          <xlrd:rvb i="6758"/>
        </ext>
      </extLst>
    </bk>
    <bk>
      <extLst>
        <ext uri="{3e2802c4-a4d2-4d8b-9148-e3be6c30e623}">
          <xlrd:rvb i="6759"/>
        </ext>
      </extLst>
    </bk>
    <bk>
      <extLst>
        <ext uri="{3e2802c4-a4d2-4d8b-9148-e3be6c30e623}">
          <xlrd:rvb i="6760"/>
        </ext>
      </extLst>
    </bk>
    <bk>
      <extLst>
        <ext uri="{3e2802c4-a4d2-4d8b-9148-e3be6c30e623}">
          <xlrd:rvb i="6761"/>
        </ext>
      </extLst>
    </bk>
    <bk>
      <extLst>
        <ext uri="{3e2802c4-a4d2-4d8b-9148-e3be6c30e623}">
          <xlrd:rvb i="6762"/>
        </ext>
      </extLst>
    </bk>
    <bk>
      <extLst>
        <ext uri="{3e2802c4-a4d2-4d8b-9148-e3be6c30e623}">
          <xlrd:rvb i="6763"/>
        </ext>
      </extLst>
    </bk>
    <bk>
      <extLst>
        <ext uri="{3e2802c4-a4d2-4d8b-9148-e3be6c30e623}">
          <xlrd:rvb i="6764"/>
        </ext>
      </extLst>
    </bk>
    <bk>
      <extLst>
        <ext uri="{3e2802c4-a4d2-4d8b-9148-e3be6c30e623}">
          <xlrd:rvb i="6765"/>
        </ext>
      </extLst>
    </bk>
    <bk>
      <extLst>
        <ext uri="{3e2802c4-a4d2-4d8b-9148-e3be6c30e623}">
          <xlrd:rvb i="6766"/>
        </ext>
      </extLst>
    </bk>
    <bk>
      <extLst>
        <ext uri="{3e2802c4-a4d2-4d8b-9148-e3be6c30e623}">
          <xlrd:rvb i="6767"/>
        </ext>
      </extLst>
    </bk>
    <bk>
      <extLst>
        <ext uri="{3e2802c4-a4d2-4d8b-9148-e3be6c30e623}">
          <xlrd:rvb i="6768"/>
        </ext>
      </extLst>
    </bk>
    <bk>
      <extLst>
        <ext uri="{3e2802c4-a4d2-4d8b-9148-e3be6c30e623}">
          <xlrd:rvb i="6769"/>
        </ext>
      </extLst>
    </bk>
    <bk>
      <extLst>
        <ext uri="{3e2802c4-a4d2-4d8b-9148-e3be6c30e623}">
          <xlrd:rvb i="6770"/>
        </ext>
      </extLst>
    </bk>
    <bk>
      <extLst>
        <ext uri="{3e2802c4-a4d2-4d8b-9148-e3be6c30e623}">
          <xlrd:rvb i="6771"/>
        </ext>
      </extLst>
    </bk>
    <bk>
      <extLst>
        <ext uri="{3e2802c4-a4d2-4d8b-9148-e3be6c30e623}">
          <xlrd:rvb i="6772"/>
        </ext>
      </extLst>
    </bk>
    <bk>
      <extLst>
        <ext uri="{3e2802c4-a4d2-4d8b-9148-e3be6c30e623}">
          <xlrd:rvb i="6773"/>
        </ext>
      </extLst>
    </bk>
    <bk>
      <extLst>
        <ext uri="{3e2802c4-a4d2-4d8b-9148-e3be6c30e623}">
          <xlrd:rvb i="6774"/>
        </ext>
      </extLst>
    </bk>
    <bk>
      <extLst>
        <ext uri="{3e2802c4-a4d2-4d8b-9148-e3be6c30e623}">
          <xlrd:rvb i="6775"/>
        </ext>
      </extLst>
    </bk>
    <bk>
      <extLst>
        <ext uri="{3e2802c4-a4d2-4d8b-9148-e3be6c30e623}">
          <xlrd:rvb i="6776"/>
        </ext>
      </extLst>
    </bk>
    <bk>
      <extLst>
        <ext uri="{3e2802c4-a4d2-4d8b-9148-e3be6c30e623}">
          <xlrd:rvb i="6777"/>
        </ext>
      </extLst>
    </bk>
    <bk>
      <extLst>
        <ext uri="{3e2802c4-a4d2-4d8b-9148-e3be6c30e623}">
          <xlrd:rvb i="6778"/>
        </ext>
      </extLst>
    </bk>
    <bk>
      <extLst>
        <ext uri="{3e2802c4-a4d2-4d8b-9148-e3be6c30e623}">
          <xlrd:rvb i="6779"/>
        </ext>
      </extLst>
    </bk>
    <bk>
      <extLst>
        <ext uri="{3e2802c4-a4d2-4d8b-9148-e3be6c30e623}">
          <xlrd:rvb i="6780"/>
        </ext>
      </extLst>
    </bk>
    <bk>
      <extLst>
        <ext uri="{3e2802c4-a4d2-4d8b-9148-e3be6c30e623}">
          <xlrd:rvb i="6781"/>
        </ext>
      </extLst>
    </bk>
    <bk>
      <extLst>
        <ext uri="{3e2802c4-a4d2-4d8b-9148-e3be6c30e623}">
          <xlrd:rvb i="6782"/>
        </ext>
      </extLst>
    </bk>
    <bk>
      <extLst>
        <ext uri="{3e2802c4-a4d2-4d8b-9148-e3be6c30e623}">
          <xlrd:rvb i="6783"/>
        </ext>
      </extLst>
    </bk>
    <bk>
      <extLst>
        <ext uri="{3e2802c4-a4d2-4d8b-9148-e3be6c30e623}">
          <xlrd:rvb i="6784"/>
        </ext>
      </extLst>
    </bk>
    <bk>
      <extLst>
        <ext uri="{3e2802c4-a4d2-4d8b-9148-e3be6c30e623}">
          <xlrd:rvb i="6785"/>
        </ext>
      </extLst>
    </bk>
    <bk>
      <extLst>
        <ext uri="{3e2802c4-a4d2-4d8b-9148-e3be6c30e623}">
          <xlrd:rvb i="6786"/>
        </ext>
      </extLst>
    </bk>
    <bk>
      <extLst>
        <ext uri="{3e2802c4-a4d2-4d8b-9148-e3be6c30e623}">
          <xlrd:rvb i="6787"/>
        </ext>
      </extLst>
    </bk>
    <bk>
      <extLst>
        <ext uri="{3e2802c4-a4d2-4d8b-9148-e3be6c30e623}">
          <xlrd:rvb i="6788"/>
        </ext>
      </extLst>
    </bk>
    <bk>
      <extLst>
        <ext uri="{3e2802c4-a4d2-4d8b-9148-e3be6c30e623}">
          <xlrd:rvb i="6789"/>
        </ext>
      </extLst>
    </bk>
    <bk>
      <extLst>
        <ext uri="{3e2802c4-a4d2-4d8b-9148-e3be6c30e623}">
          <xlrd:rvb i="6790"/>
        </ext>
      </extLst>
    </bk>
    <bk>
      <extLst>
        <ext uri="{3e2802c4-a4d2-4d8b-9148-e3be6c30e623}">
          <xlrd:rvb i="6791"/>
        </ext>
      </extLst>
    </bk>
    <bk>
      <extLst>
        <ext uri="{3e2802c4-a4d2-4d8b-9148-e3be6c30e623}">
          <xlrd:rvb i="6792"/>
        </ext>
      </extLst>
    </bk>
    <bk>
      <extLst>
        <ext uri="{3e2802c4-a4d2-4d8b-9148-e3be6c30e623}">
          <xlrd:rvb i="6793"/>
        </ext>
      </extLst>
    </bk>
    <bk>
      <extLst>
        <ext uri="{3e2802c4-a4d2-4d8b-9148-e3be6c30e623}">
          <xlrd:rvb i="6794"/>
        </ext>
      </extLst>
    </bk>
    <bk>
      <extLst>
        <ext uri="{3e2802c4-a4d2-4d8b-9148-e3be6c30e623}">
          <xlrd:rvb i="6795"/>
        </ext>
      </extLst>
    </bk>
    <bk>
      <extLst>
        <ext uri="{3e2802c4-a4d2-4d8b-9148-e3be6c30e623}">
          <xlrd:rvb i="6796"/>
        </ext>
      </extLst>
    </bk>
    <bk>
      <extLst>
        <ext uri="{3e2802c4-a4d2-4d8b-9148-e3be6c30e623}">
          <xlrd:rvb i="6797"/>
        </ext>
      </extLst>
    </bk>
    <bk>
      <extLst>
        <ext uri="{3e2802c4-a4d2-4d8b-9148-e3be6c30e623}">
          <xlrd:rvb i="6798"/>
        </ext>
      </extLst>
    </bk>
    <bk>
      <extLst>
        <ext uri="{3e2802c4-a4d2-4d8b-9148-e3be6c30e623}">
          <xlrd:rvb i="6799"/>
        </ext>
      </extLst>
    </bk>
    <bk>
      <extLst>
        <ext uri="{3e2802c4-a4d2-4d8b-9148-e3be6c30e623}">
          <xlrd:rvb i="6800"/>
        </ext>
      </extLst>
    </bk>
    <bk>
      <extLst>
        <ext uri="{3e2802c4-a4d2-4d8b-9148-e3be6c30e623}">
          <xlrd:rvb i="6801"/>
        </ext>
      </extLst>
    </bk>
    <bk>
      <extLst>
        <ext uri="{3e2802c4-a4d2-4d8b-9148-e3be6c30e623}">
          <xlrd:rvb i="6802"/>
        </ext>
      </extLst>
    </bk>
    <bk>
      <extLst>
        <ext uri="{3e2802c4-a4d2-4d8b-9148-e3be6c30e623}">
          <xlrd:rvb i="6803"/>
        </ext>
      </extLst>
    </bk>
    <bk>
      <extLst>
        <ext uri="{3e2802c4-a4d2-4d8b-9148-e3be6c30e623}">
          <xlrd:rvb i="6804"/>
        </ext>
      </extLst>
    </bk>
    <bk>
      <extLst>
        <ext uri="{3e2802c4-a4d2-4d8b-9148-e3be6c30e623}">
          <xlrd:rvb i="6805"/>
        </ext>
      </extLst>
    </bk>
    <bk>
      <extLst>
        <ext uri="{3e2802c4-a4d2-4d8b-9148-e3be6c30e623}">
          <xlrd:rvb i="6806"/>
        </ext>
      </extLst>
    </bk>
    <bk>
      <extLst>
        <ext uri="{3e2802c4-a4d2-4d8b-9148-e3be6c30e623}">
          <xlrd:rvb i="6807"/>
        </ext>
      </extLst>
    </bk>
    <bk>
      <extLst>
        <ext uri="{3e2802c4-a4d2-4d8b-9148-e3be6c30e623}">
          <xlrd:rvb i="6808"/>
        </ext>
      </extLst>
    </bk>
    <bk>
      <extLst>
        <ext uri="{3e2802c4-a4d2-4d8b-9148-e3be6c30e623}">
          <xlrd:rvb i="6809"/>
        </ext>
      </extLst>
    </bk>
    <bk>
      <extLst>
        <ext uri="{3e2802c4-a4d2-4d8b-9148-e3be6c30e623}">
          <xlrd:rvb i="6810"/>
        </ext>
      </extLst>
    </bk>
    <bk>
      <extLst>
        <ext uri="{3e2802c4-a4d2-4d8b-9148-e3be6c30e623}">
          <xlrd:rvb i="6811"/>
        </ext>
      </extLst>
    </bk>
    <bk>
      <extLst>
        <ext uri="{3e2802c4-a4d2-4d8b-9148-e3be6c30e623}">
          <xlrd:rvb i="6812"/>
        </ext>
      </extLst>
    </bk>
    <bk>
      <extLst>
        <ext uri="{3e2802c4-a4d2-4d8b-9148-e3be6c30e623}">
          <xlrd:rvb i="6813"/>
        </ext>
      </extLst>
    </bk>
    <bk>
      <extLst>
        <ext uri="{3e2802c4-a4d2-4d8b-9148-e3be6c30e623}">
          <xlrd:rvb i="6814"/>
        </ext>
      </extLst>
    </bk>
    <bk>
      <extLst>
        <ext uri="{3e2802c4-a4d2-4d8b-9148-e3be6c30e623}">
          <xlrd:rvb i="6815"/>
        </ext>
      </extLst>
    </bk>
    <bk>
      <extLst>
        <ext uri="{3e2802c4-a4d2-4d8b-9148-e3be6c30e623}">
          <xlrd:rvb i="6816"/>
        </ext>
      </extLst>
    </bk>
    <bk>
      <extLst>
        <ext uri="{3e2802c4-a4d2-4d8b-9148-e3be6c30e623}">
          <xlrd:rvb i="6817"/>
        </ext>
      </extLst>
    </bk>
    <bk>
      <extLst>
        <ext uri="{3e2802c4-a4d2-4d8b-9148-e3be6c30e623}">
          <xlrd:rvb i="6818"/>
        </ext>
      </extLst>
    </bk>
    <bk>
      <extLst>
        <ext uri="{3e2802c4-a4d2-4d8b-9148-e3be6c30e623}">
          <xlrd:rvb i="6819"/>
        </ext>
      </extLst>
    </bk>
    <bk>
      <extLst>
        <ext uri="{3e2802c4-a4d2-4d8b-9148-e3be6c30e623}">
          <xlrd:rvb i="6820"/>
        </ext>
      </extLst>
    </bk>
    <bk>
      <extLst>
        <ext uri="{3e2802c4-a4d2-4d8b-9148-e3be6c30e623}">
          <xlrd:rvb i="6821"/>
        </ext>
      </extLst>
    </bk>
    <bk>
      <extLst>
        <ext uri="{3e2802c4-a4d2-4d8b-9148-e3be6c30e623}">
          <xlrd:rvb i="6822"/>
        </ext>
      </extLst>
    </bk>
    <bk>
      <extLst>
        <ext uri="{3e2802c4-a4d2-4d8b-9148-e3be6c30e623}">
          <xlrd:rvb i="6823"/>
        </ext>
      </extLst>
    </bk>
    <bk>
      <extLst>
        <ext uri="{3e2802c4-a4d2-4d8b-9148-e3be6c30e623}">
          <xlrd:rvb i="6824"/>
        </ext>
      </extLst>
    </bk>
    <bk>
      <extLst>
        <ext uri="{3e2802c4-a4d2-4d8b-9148-e3be6c30e623}">
          <xlrd:rvb i="6825"/>
        </ext>
      </extLst>
    </bk>
    <bk>
      <extLst>
        <ext uri="{3e2802c4-a4d2-4d8b-9148-e3be6c30e623}">
          <xlrd:rvb i="6826"/>
        </ext>
      </extLst>
    </bk>
    <bk>
      <extLst>
        <ext uri="{3e2802c4-a4d2-4d8b-9148-e3be6c30e623}">
          <xlrd:rvb i="6827"/>
        </ext>
      </extLst>
    </bk>
    <bk>
      <extLst>
        <ext uri="{3e2802c4-a4d2-4d8b-9148-e3be6c30e623}">
          <xlrd:rvb i="6828"/>
        </ext>
      </extLst>
    </bk>
    <bk>
      <extLst>
        <ext uri="{3e2802c4-a4d2-4d8b-9148-e3be6c30e623}">
          <xlrd:rvb i="6829"/>
        </ext>
      </extLst>
    </bk>
    <bk>
      <extLst>
        <ext uri="{3e2802c4-a4d2-4d8b-9148-e3be6c30e623}">
          <xlrd:rvb i="6830"/>
        </ext>
      </extLst>
    </bk>
    <bk>
      <extLst>
        <ext uri="{3e2802c4-a4d2-4d8b-9148-e3be6c30e623}">
          <xlrd:rvb i="6831"/>
        </ext>
      </extLst>
    </bk>
    <bk>
      <extLst>
        <ext uri="{3e2802c4-a4d2-4d8b-9148-e3be6c30e623}">
          <xlrd:rvb i="6832"/>
        </ext>
      </extLst>
    </bk>
    <bk>
      <extLst>
        <ext uri="{3e2802c4-a4d2-4d8b-9148-e3be6c30e623}">
          <xlrd:rvb i="6833"/>
        </ext>
      </extLst>
    </bk>
    <bk>
      <extLst>
        <ext uri="{3e2802c4-a4d2-4d8b-9148-e3be6c30e623}">
          <xlrd:rvb i="6834"/>
        </ext>
      </extLst>
    </bk>
    <bk>
      <extLst>
        <ext uri="{3e2802c4-a4d2-4d8b-9148-e3be6c30e623}">
          <xlrd:rvb i="6835"/>
        </ext>
      </extLst>
    </bk>
    <bk>
      <extLst>
        <ext uri="{3e2802c4-a4d2-4d8b-9148-e3be6c30e623}">
          <xlrd:rvb i="6836"/>
        </ext>
      </extLst>
    </bk>
    <bk>
      <extLst>
        <ext uri="{3e2802c4-a4d2-4d8b-9148-e3be6c30e623}">
          <xlrd:rvb i="6837"/>
        </ext>
      </extLst>
    </bk>
    <bk>
      <extLst>
        <ext uri="{3e2802c4-a4d2-4d8b-9148-e3be6c30e623}">
          <xlrd:rvb i="6838"/>
        </ext>
      </extLst>
    </bk>
    <bk>
      <extLst>
        <ext uri="{3e2802c4-a4d2-4d8b-9148-e3be6c30e623}">
          <xlrd:rvb i="6839"/>
        </ext>
      </extLst>
    </bk>
    <bk>
      <extLst>
        <ext uri="{3e2802c4-a4d2-4d8b-9148-e3be6c30e623}">
          <xlrd:rvb i="6840"/>
        </ext>
      </extLst>
    </bk>
    <bk>
      <extLst>
        <ext uri="{3e2802c4-a4d2-4d8b-9148-e3be6c30e623}">
          <xlrd:rvb i="6841"/>
        </ext>
      </extLst>
    </bk>
    <bk>
      <extLst>
        <ext uri="{3e2802c4-a4d2-4d8b-9148-e3be6c30e623}">
          <xlrd:rvb i="6842"/>
        </ext>
      </extLst>
    </bk>
    <bk>
      <extLst>
        <ext uri="{3e2802c4-a4d2-4d8b-9148-e3be6c30e623}">
          <xlrd:rvb i="6843"/>
        </ext>
      </extLst>
    </bk>
    <bk>
      <extLst>
        <ext uri="{3e2802c4-a4d2-4d8b-9148-e3be6c30e623}">
          <xlrd:rvb i="6844"/>
        </ext>
      </extLst>
    </bk>
    <bk>
      <extLst>
        <ext uri="{3e2802c4-a4d2-4d8b-9148-e3be6c30e623}">
          <xlrd:rvb i="6845"/>
        </ext>
      </extLst>
    </bk>
    <bk>
      <extLst>
        <ext uri="{3e2802c4-a4d2-4d8b-9148-e3be6c30e623}">
          <xlrd:rvb i="6846"/>
        </ext>
      </extLst>
    </bk>
    <bk>
      <extLst>
        <ext uri="{3e2802c4-a4d2-4d8b-9148-e3be6c30e623}">
          <xlrd:rvb i="6847"/>
        </ext>
      </extLst>
    </bk>
    <bk>
      <extLst>
        <ext uri="{3e2802c4-a4d2-4d8b-9148-e3be6c30e623}">
          <xlrd:rvb i="6848"/>
        </ext>
      </extLst>
    </bk>
    <bk>
      <extLst>
        <ext uri="{3e2802c4-a4d2-4d8b-9148-e3be6c30e623}">
          <xlrd:rvb i="6849"/>
        </ext>
      </extLst>
    </bk>
    <bk>
      <extLst>
        <ext uri="{3e2802c4-a4d2-4d8b-9148-e3be6c30e623}">
          <xlrd:rvb i="6850"/>
        </ext>
      </extLst>
    </bk>
    <bk>
      <extLst>
        <ext uri="{3e2802c4-a4d2-4d8b-9148-e3be6c30e623}">
          <xlrd:rvb i="6851"/>
        </ext>
      </extLst>
    </bk>
    <bk>
      <extLst>
        <ext uri="{3e2802c4-a4d2-4d8b-9148-e3be6c30e623}">
          <xlrd:rvb i="6852"/>
        </ext>
      </extLst>
    </bk>
    <bk>
      <extLst>
        <ext uri="{3e2802c4-a4d2-4d8b-9148-e3be6c30e623}">
          <xlrd:rvb i="6853"/>
        </ext>
      </extLst>
    </bk>
    <bk>
      <extLst>
        <ext uri="{3e2802c4-a4d2-4d8b-9148-e3be6c30e623}">
          <xlrd:rvb i="6854"/>
        </ext>
      </extLst>
    </bk>
    <bk>
      <extLst>
        <ext uri="{3e2802c4-a4d2-4d8b-9148-e3be6c30e623}">
          <xlrd:rvb i="6855"/>
        </ext>
      </extLst>
    </bk>
    <bk>
      <extLst>
        <ext uri="{3e2802c4-a4d2-4d8b-9148-e3be6c30e623}">
          <xlrd:rvb i="6856"/>
        </ext>
      </extLst>
    </bk>
    <bk>
      <extLst>
        <ext uri="{3e2802c4-a4d2-4d8b-9148-e3be6c30e623}">
          <xlrd:rvb i="6857"/>
        </ext>
      </extLst>
    </bk>
    <bk>
      <extLst>
        <ext uri="{3e2802c4-a4d2-4d8b-9148-e3be6c30e623}">
          <xlrd:rvb i="6858"/>
        </ext>
      </extLst>
    </bk>
    <bk>
      <extLst>
        <ext uri="{3e2802c4-a4d2-4d8b-9148-e3be6c30e623}">
          <xlrd:rvb i="6859"/>
        </ext>
      </extLst>
    </bk>
    <bk>
      <extLst>
        <ext uri="{3e2802c4-a4d2-4d8b-9148-e3be6c30e623}">
          <xlrd:rvb i="6860"/>
        </ext>
      </extLst>
    </bk>
    <bk>
      <extLst>
        <ext uri="{3e2802c4-a4d2-4d8b-9148-e3be6c30e623}">
          <xlrd:rvb i="6861"/>
        </ext>
      </extLst>
    </bk>
    <bk>
      <extLst>
        <ext uri="{3e2802c4-a4d2-4d8b-9148-e3be6c30e623}">
          <xlrd:rvb i="6862"/>
        </ext>
      </extLst>
    </bk>
    <bk>
      <extLst>
        <ext uri="{3e2802c4-a4d2-4d8b-9148-e3be6c30e623}">
          <xlrd:rvb i="6863"/>
        </ext>
      </extLst>
    </bk>
    <bk>
      <extLst>
        <ext uri="{3e2802c4-a4d2-4d8b-9148-e3be6c30e623}">
          <xlrd:rvb i="6864"/>
        </ext>
      </extLst>
    </bk>
    <bk>
      <extLst>
        <ext uri="{3e2802c4-a4d2-4d8b-9148-e3be6c30e623}">
          <xlrd:rvb i="6865"/>
        </ext>
      </extLst>
    </bk>
    <bk>
      <extLst>
        <ext uri="{3e2802c4-a4d2-4d8b-9148-e3be6c30e623}">
          <xlrd:rvb i="6866"/>
        </ext>
      </extLst>
    </bk>
    <bk>
      <extLst>
        <ext uri="{3e2802c4-a4d2-4d8b-9148-e3be6c30e623}">
          <xlrd:rvb i="6867"/>
        </ext>
      </extLst>
    </bk>
    <bk>
      <extLst>
        <ext uri="{3e2802c4-a4d2-4d8b-9148-e3be6c30e623}">
          <xlrd:rvb i="6868"/>
        </ext>
      </extLst>
    </bk>
    <bk>
      <extLst>
        <ext uri="{3e2802c4-a4d2-4d8b-9148-e3be6c30e623}">
          <xlrd:rvb i="6869"/>
        </ext>
      </extLst>
    </bk>
    <bk>
      <extLst>
        <ext uri="{3e2802c4-a4d2-4d8b-9148-e3be6c30e623}">
          <xlrd:rvb i="6870"/>
        </ext>
      </extLst>
    </bk>
    <bk>
      <extLst>
        <ext uri="{3e2802c4-a4d2-4d8b-9148-e3be6c30e623}">
          <xlrd:rvb i="6871"/>
        </ext>
      </extLst>
    </bk>
    <bk>
      <extLst>
        <ext uri="{3e2802c4-a4d2-4d8b-9148-e3be6c30e623}">
          <xlrd:rvb i="6872"/>
        </ext>
      </extLst>
    </bk>
    <bk>
      <extLst>
        <ext uri="{3e2802c4-a4d2-4d8b-9148-e3be6c30e623}">
          <xlrd:rvb i="6873"/>
        </ext>
      </extLst>
    </bk>
    <bk>
      <extLst>
        <ext uri="{3e2802c4-a4d2-4d8b-9148-e3be6c30e623}">
          <xlrd:rvb i="6874"/>
        </ext>
      </extLst>
    </bk>
    <bk>
      <extLst>
        <ext uri="{3e2802c4-a4d2-4d8b-9148-e3be6c30e623}">
          <xlrd:rvb i="6875"/>
        </ext>
      </extLst>
    </bk>
    <bk>
      <extLst>
        <ext uri="{3e2802c4-a4d2-4d8b-9148-e3be6c30e623}">
          <xlrd:rvb i="6876"/>
        </ext>
      </extLst>
    </bk>
    <bk>
      <extLst>
        <ext uri="{3e2802c4-a4d2-4d8b-9148-e3be6c30e623}">
          <xlrd:rvb i="6877"/>
        </ext>
      </extLst>
    </bk>
    <bk>
      <extLst>
        <ext uri="{3e2802c4-a4d2-4d8b-9148-e3be6c30e623}">
          <xlrd:rvb i="6878"/>
        </ext>
      </extLst>
    </bk>
    <bk>
      <extLst>
        <ext uri="{3e2802c4-a4d2-4d8b-9148-e3be6c30e623}">
          <xlrd:rvb i="6879"/>
        </ext>
      </extLst>
    </bk>
    <bk>
      <extLst>
        <ext uri="{3e2802c4-a4d2-4d8b-9148-e3be6c30e623}">
          <xlrd:rvb i="6880"/>
        </ext>
      </extLst>
    </bk>
    <bk>
      <extLst>
        <ext uri="{3e2802c4-a4d2-4d8b-9148-e3be6c30e623}">
          <xlrd:rvb i="6881"/>
        </ext>
      </extLst>
    </bk>
    <bk>
      <extLst>
        <ext uri="{3e2802c4-a4d2-4d8b-9148-e3be6c30e623}">
          <xlrd:rvb i="6882"/>
        </ext>
      </extLst>
    </bk>
    <bk>
      <extLst>
        <ext uri="{3e2802c4-a4d2-4d8b-9148-e3be6c30e623}">
          <xlrd:rvb i="6883"/>
        </ext>
      </extLst>
    </bk>
    <bk>
      <extLst>
        <ext uri="{3e2802c4-a4d2-4d8b-9148-e3be6c30e623}">
          <xlrd:rvb i="6884"/>
        </ext>
      </extLst>
    </bk>
    <bk>
      <extLst>
        <ext uri="{3e2802c4-a4d2-4d8b-9148-e3be6c30e623}">
          <xlrd:rvb i="6885"/>
        </ext>
      </extLst>
    </bk>
    <bk>
      <extLst>
        <ext uri="{3e2802c4-a4d2-4d8b-9148-e3be6c30e623}">
          <xlrd:rvb i="6886"/>
        </ext>
      </extLst>
    </bk>
    <bk>
      <extLst>
        <ext uri="{3e2802c4-a4d2-4d8b-9148-e3be6c30e623}">
          <xlrd:rvb i="6887"/>
        </ext>
      </extLst>
    </bk>
    <bk>
      <extLst>
        <ext uri="{3e2802c4-a4d2-4d8b-9148-e3be6c30e623}">
          <xlrd:rvb i="6888"/>
        </ext>
      </extLst>
    </bk>
    <bk>
      <extLst>
        <ext uri="{3e2802c4-a4d2-4d8b-9148-e3be6c30e623}">
          <xlrd:rvb i="6889"/>
        </ext>
      </extLst>
    </bk>
    <bk>
      <extLst>
        <ext uri="{3e2802c4-a4d2-4d8b-9148-e3be6c30e623}">
          <xlrd:rvb i="6890"/>
        </ext>
      </extLst>
    </bk>
    <bk>
      <extLst>
        <ext uri="{3e2802c4-a4d2-4d8b-9148-e3be6c30e623}">
          <xlrd:rvb i="6891"/>
        </ext>
      </extLst>
    </bk>
    <bk>
      <extLst>
        <ext uri="{3e2802c4-a4d2-4d8b-9148-e3be6c30e623}">
          <xlrd:rvb i="6892"/>
        </ext>
      </extLst>
    </bk>
    <bk>
      <extLst>
        <ext uri="{3e2802c4-a4d2-4d8b-9148-e3be6c30e623}">
          <xlrd:rvb i="6893"/>
        </ext>
      </extLst>
    </bk>
    <bk>
      <extLst>
        <ext uri="{3e2802c4-a4d2-4d8b-9148-e3be6c30e623}">
          <xlrd:rvb i="6894"/>
        </ext>
      </extLst>
    </bk>
    <bk>
      <extLst>
        <ext uri="{3e2802c4-a4d2-4d8b-9148-e3be6c30e623}">
          <xlrd:rvb i="6895"/>
        </ext>
      </extLst>
    </bk>
    <bk>
      <extLst>
        <ext uri="{3e2802c4-a4d2-4d8b-9148-e3be6c30e623}">
          <xlrd:rvb i="6896"/>
        </ext>
      </extLst>
    </bk>
    <bk>
      <extLst>
        <ext uri="{3e2802c4-a4d2-4d8b-9148-e3be6c30e623}">
          <xlrd:rvb i="6897"/>
        </ext>
      </extLst>
    </bk>
    <bk>
      <extLst>
        <ext uri="{3e2802c4-a4d2-4d8b-9148-e3be6c30e623}">
          <xlrd:rvb i="6898"/>
        </ext>
      </extLst>
    </bk>
    <bk>
      <extLst>
        <ext uri="{3e2802c4-a4d2-4d8b-9148-e3be6c30e623}">
          <xlrd:rvb i="6899"/>
        </ext>
      </extLst>
    </bk>
    <bk>
      <extLst>
        <ext uri="{3e2802c4-a4d2-4d8b-9148-e3be6c30e623}">
          <xlrd:rvb i="6900"/>
        </ext>
      </extLst>
    </bk>
    <bk>
      <extLst>
        <ext uri="{3e2802c4-a4d2-4d8b-9148-e3be6c30e623}">
          <xlrd:rvb i="6901"/>
        </ext>
      </extLst>
    </bk>
    <bk>
      <extLst>
        <ext uri="{3e2802c4-a4d2-4d8b-9148-e3be6c30e623}">
          <xlrd:rvb i="6902"/>
        </ext>
      </extLst>
    </bk>
    <bk>
      <extLst>
        <ext uri="{3e2802c4-a4d2-4d8b-9148-e3be6c30e623}">
          <xlrd:rvb i="6903"/>
        </ext>
      </extLst>
    </bk>
    <bk>
      <extLst>
        <ext uri="{3e2802c4-a4d2-4d8b-9148-e3be6c30e623}">
          <xlrd:rvb i="6904"/>
        </ext>
      </extLst>
    </bk>
    <bk>
      <extLst>
        <ext uri="{3e2802c4-a4d2-4d8b-9148-e3be6c30e623}">
          <xlrd:rvb i="6905"/>
        </ext>
      </extLst>
    </bk>
    <bk>
      <extLst>
        <ext uri="{3e2802c4-a4d2-4d8b-9148-e3be6c30e623}">
          <xlrd:rvb i="6906"/>
        </ext>
      </extLst>
    </bk>
    <bk>
      <extLst>
        <ext uri="{3e2802c4-a4d2-4d8b-9148-e3be6c30e623}">
          <xlrd:rvb i="6907"/>
        </ext>
      </extLst>
    </bk>
    <bk>
      <extLst>
        <ext uri="{3e2802c4-a4d2-4d8b-9148-e3be6c30e623}">
          <xlrd:rvb i="6908"/>
        </ext>
      </extLst>
    </bk>
    <bk>
      <extLst>
        <ext uri="{3e2802c4-a4d2-4d8b-9148-e3be6c30e623}">
          <xlrd:rvb i="6909"/>
        </ext>
      </extLst>
    </bk>
    <bk>
      <extLst>
        <ext uri="{3e2802c4-a4d2-4d8b-9148-e3be6c30e623}">
          <xlrd:rvb i="6910"/>
        </ext>
      </extLst>
    </bk>
    <bk>
      <extLst>
        <ext uri="{3e2802c4-a4d2-4d8b-9148-e3be6c30e623}">
          <xlrd:rvb i="6911"/>
        </ext>
      </extLst>
    </bk>
    <bk>
      <extLst>
        <ext uri="{3e2802c4-a4d2-4d8b-9148-e3be6c30e623}">
          <xlrd:rvb i="6912"/>
        </ext>
      </extLst>
    </bk>
    <bk>
      <extLst>
        <ext uri="{3e2802c4-a4d2-4d8b-9148-e3be6c30e623}">
          <xlrd:rvb i="6913"/>
        </ext>
      </extLst>
    </bk>
    <bk>
      <extLst>
        <ext uri="{3e2802c4-a4d2-4d8b-9148-e3be6c30e623}">
          <xlrd:rvb i="6914"/>
        </ext>
      </extLst>
    </bk>
    <bk>
      <extLst>
        <ext uri="{3e2802c4-a4d2-4d8b-9148-e3be6c30e623}">
          <xlrd:rvb i="6915"/>
        </ext>
      </extLst>
    </bk>
    <bk>
      <extLst>
        <ext uri="{3e2802c4-a4d2-4d8b-9148-e3be6c30e623}">
          <xlrd:rvb i="6916"/>
        </ext>
      </extLst>
    </bk>
    <bk>
      <extLst>
        <ext uri="{3e2802c4-a4d2-4d8b-9148-e3be6c30e623}">
          <xlrd:rvb i="6917"/>
        </ext>
      </extLst>
    </bk>
    <bk>
      <extLst>
        <ext uri="{3e2802c4-a4d2-4d8b-9148-e3be6c30e623}">
          <xlrd:rvb i="6918"/>
        </ext>
      </extLst>
    </bk>
    <bk>
      <extLst>
        <ext uri="{3e2802c4-a4d2-4d8b-9148-e3be6c30e623}">
          <xlrd:rvb i="6919"/>
        </ext>
      </extLst>
    </bk>
    <bk>
      <extLst>
        <ext uri="{3e2802c4-a4d2-4d8b-9148-e3be6c30e623}">
          <xlrd:rvb i="6920"/>
        </ext>
      </extLst>
    </bk>
    <bk>
      <extLst>
        <ext uri="{3e2802c4-a4d2-4d8b-9148-e3be6c30e623}">
          <xlrd:rvb i="6921"/>
        </ext>
      </extLst>
    </bk>
    <bk>
      <extLst>
        <ext uri="{3e2802c4-a4d2-4d8b-9148-e3be6c30e623}">
          <xlrd:rvb i="6922"/>
        </ext>
      </extLst>
    </bk>
    <bk>
      <extLst>
        <ext uri="{3e2802c4-a4d2-4d8b-9148-e3be6c30e623}">
          <xlrd:rvb i="6923"/>
        </ext>
      </extLst>
    </bk>
    <bk>
      <extLst>
        <ext uri="{3e2802c4-a4d2-4d8b-9148-e3be6c30e623}">
          <xlrd:rvb i="6924"/>
        </ext>
      </extLst>
    </bk>
    <bk>
      <extLst>
        <ext uri="{3e2802c4-a4d2-4d8b-9148-e3be6c30e623}">
          <xlrd:rvb i="6925"/>
        </ext>
      </extLst>
    </bk>
    <bk>
      <extLst>
        <ext uri="{3e2802c4-a4d2-4d8b-9148-e3be6c30e623}">
          <xlrd:rvb i="6926"/>
        </ext>
      </extLst>
    </bk>
    <bk>
      <extLst>
        <ext uri="{3e2802c4-a4d2-4d8b-9148-e3be6c30e623}">
          <xlrd:rvb i="6927"/>
        </ext>
      </extLst>
    </bk>
    <bk>
      <extLst>
        <ext uri="{3e2802c4-a4d2-4d8b-9148-e3be6c30e623}">
          <xlrd:rvb i="6928"/>
        </ext>
      </extLst>
    </bk>
    <bk>
      <extLst>
        <ext uri="{3e2802c4-a4d2-4d8b-9148-e3be6c30e623}">
          <xlrd:rvb i="6929"/>
        </ext>
      </extLst>
    </bk>
    <bk>
      <extLst>
        <ext uri="{3e2802c4-a4d2-4d8b-9148-e3be6c30e623}">
          <xlrd:rvb i="6930"/>
        </ext>
      </extLst>
    </bk>
    <bk>
      <extLst>
        <ext uri="{3e2802c4-a4d2-4d8b-9148-e3be6c30e623}">
          <xlrd:rvb i="6931"/>
        </ext>
      </extLst>
    </bk>
    <bk>
      <extLst>
        <ext uri="{3e2802c4-a4d2-4d8b-9148-e3be6c30e623}">
          <xlrd:rvb i="6932"/>
        </ext>
      </extLst>
    </bk>
    <bk>
      <extLst>
        <ext uri="{3e2802c4-a4d2-4d8b-9148-e3be6c30e623}">
          <xlrd:rvb i="6933"/>
        </ext>
      </extLst>
    </bk>
    <bk>
      <extLst>
        <ext uri="{3e2802c4-a4d2-4d8b-9148-e3be6c30e623}">
          <xlrd:rvb i="6934"/>
        </ext>
      </extLst>
    </bk>
    <bk>
      <extLst>
        <ext uri="{3e2802c4-a4d2-4d8b-9148-e3be6c30e623}">
          <xlrd:rvb i="6935"/>
        </ext>
      </extLst>
    </bk>
    <bk>
      <extLst>
        <ext uri="{3e2802c4-a4d2-4d8b-9148-e3be6c30e623}">
          <xlrd:rvb i="6936"/>
        </ext>
      </extLst>
    </bk>
    <bk>
      <extLst>
        <ext uri="{3e2802c4-a4d2-4d8b-9148-e3be6c30e623}">
          <xlrd:rvb i="6937"/>
        </ext>
      </extLst>
    </bk>
    <bk>
      <extLst>
        <ext uri="{3e2802c4-a4d2-4d8b-9148-e3be6c30e623}">
          <xlrd:rvb i="6938"/>
        </ext>
      </extLst>
    </bk>
    <bk>
      <extLst>
        <ext uri="{3e2802c4-a4d2-4d8b-9148-e3be6c30e623}">
          <xlrd:rvb i="6939"/>
        </ext>
      </extLst>
    </bk>
    <bk>
      <extLst>
        <ext uri="{3e2802c4-a4d2-4d8b-9148-e3be6c30e623}">
          <xlrd:rvb i="6940"/>
        </ext>
      </extLst>
    </bk>
    <bk>
      <extLst>
        <ext uri="{3e2802c4-a4d2-4d8b-9148-e3be6c30e623}">
          <xlrd:rvb i="6941"/>
        </ext>
      </extLst>
    </bk>
    <bk>
      <extLst>
        <ext uri="{3e2802c4-a4d2-4d8b-9148-e3be6c30e623}">
          <xlrd:rvb i="6942"/>
        </ext>
      </extLst>
    </bk>
    <bk>
      <extLst>
        <ext uri="{3e2802c4-a4d2-4d8b-9148-e3be6c30e623}">
          <xlrd:rvb i="6943"/>
        </ext>
      </extLst>
    </bk>
    <bk>
      <extLst>
        <ext uri="{3e2802c4-a4d2-4d8b-9148-e3be6c30e623}">
          <xlrd:rvb i="6944"/>
        </ext>
      </extLst>
    </bk>
    <bk>
      <extLst>
        <ext uri="{3e2802c4-a4d2-4d8b-9148-e3be6c30e623}">
          <xlrd:rvb i="6945"/>
        </ext>
      </extLst>
    </bk>
    <bk>
      <extLst>
        <ext uri="{3e2802c4-a4d2-4d8b-9148-e3be6c30e623}">
          <xlrd:rvb i="6946"/>
        </ext>
      </extLst>
    </bk>
    <bk>
      <extLst>
        <ext uri="{3e2802c4-a4d2-4d8b-9148-e3be6c30e623}">
          <xlrd:rvb i="6947"/>
        </ext>
      </extLst>
    </bk>
    <bk>
      <extLst>
        <ext uri="{3e2802c4-a4d2-4d8b-9148-e3be6c30e623}">
          <xlrd:rvb i="6948"/>
        </ext>
      </extLst>
    </bk>
    <bk>
      <extLst>
        <ext uri="{3e2802c4-a4d2-4d8b-9148-e3be6c30e623}">
          <xlrd:rvb i="6949"/>
        </ext>
      </extLst>
    </bk>
    <bk>
      <extLst>
        <ext uri="{3e2802c4-a4d2-4d8b-9148-e3be6c30e623}">
          <xlrd:rvb i="6950"/>
        </ext>
      </extLst>
    </bk>
    <bk>
      <extLst>
        <ext uri="{3e2802c4-a4d2-4d8b-9148-e3be6c30e623}">
          <xlrd:rvb i="6951"/>
        </ext>
      </extLst>
    </bk>
    <bk>
      <extLst>
        <ext uri="{3e2802c4-a4d2-4d8b-9148-e3be6c30e623}">
          <xlrd:rvb i="6952"/>
        </ext>
      </extLst>
    </bk>
    <bk>
      <extLst>
        <ext uri="{3e2802c4-a4d2-4d8b-9148-e3be6c30e623}">
          <xlrd:rvb i="6953"/>
        </ext>
      </extLst>
    </bk>
    <bk>
      <extLst>
        <ext uri="{3e2802c4-a4d2-4d8b-9148-e3be6c30e623}">
          <xlrd:rvb i="6954"/>
        </ext>
      </extLst>
    </bk>
    <bk>
      <extLst>
        <ext uri="{3e2802c4-a4d2-4d8b-9148-e3be6c30e623}">
          <xlrd:rvb i="6955"/>
        </ext>
      </extLst>
    </bk>
    <bk>
      <extLst>
        <ext uri="{3e2802c4-a4d2-4d8b-9148-e3be6c30e623}">
          <xlrd:rvb i="6956"/>
        </ext>
      </extLst>
    </bk>
    <bk>
      <extLst>
        <ext uri="{3e2802c4-a4d2-4d8b-9148-e3be6c30e623}">
          <xlrd:rvb i="6957"/>
        </ext>
      </extLst>
    </bk>
    <bk>
      <extLst>
        <ext uri="{3e2802c4-a4d2-4d8b-9148-e3be6c30e623}">
          <xlrd:rvb i="6958"/>
        </ext>
      </extLst>
    </bk>
    <bk>
      <extLst>
        <ext uri="{3e2802c4-a4d2-4d8b-9148-e3be6c30e623}">
          <xlrd:rvb i="6959"/>
        </ext>
      </extLst>
    </bk>
    <bk>
      <extLst>
        <ext uri="{3e2802c4-a4d2-4d8b-9148-e3be6c30e623}">
          <xlrd:rvb i="6960"/>
        </ext>
      </extLst>
    </bk>
    <bk>
      <extLst>
        <ext uri="{3e2802c4-a4d2-4d8b-9148-e3be6c30e623}">
          <xlrd:rvb i="6961"/>
        </ext>
      </extLst>
    </bk>
    <bk>
      <extLst>
        <ext uri="{3e2802c4-a4d2-4d8b-9148-e3be6c30e623}">
          <xlrd:rvb i="6962"/>
        </ext>
      </extLst>
    </bk>
    <bk>
      <extLst>
        <ext uri="{3e2802c4-a4d2-4d8b-9148-e3be6c30e623}">
          <xlrd:rvb i="6963"/>
        </ext>
      </extLst>
    </bk>
    <bk>
      <extLst>
        <ext uri="{3e2802c4-a4d2-4d8b-9148-e3be6c30e623}">
          <xlrd:rvb i="6964"/>
        </ext>
      </extLst>
    </bk>
    <bk>
      <extLst>
        <ext uri="{3e2802c4-a4d2-4d8b-9148-e3be6c30e623}">
          <xlrd:rvb i="6965"/>
        </ext>
      </extLst>
    </bk>
    <bk>
      <extLst>
        <ext uri="{3e2802c4-a4d2-4d8b-9148-e3be6c30e623}">
          <xlrd:rvb i="6966"/>
        </ext>
      </extLst>
    </bk>
    <bk>
      <extLst>
        <ext uri="{3e2802c4-a4d2-4d8b-9148-e3be6c30e623}">
          <xlrd:rvb i="6967"/>
        </ext>
      </extLst>
    </bk>
    <bk>
      <extLst>
        <ext uri="{3e2802c4-a4d2-4d8b-9148-e3be6c30e623}">
          <xlrd:rvb i="6968"/>
        </ext>
      </extLst>
    </bk>
    <bk>
      <extLst>
        <ext uri="{3e2802c4-a4d2-4d8b-9148-e3be6c30e623}">
          <xlrd:rvb i="6969"/>
        </ext>
      </extLst>
    </bk>
    <bk>
      <extLst>
        <ext uri="{3e2802c4-a4d2-4d8b-9148-e3be6c30e623}">
          <xlrd:rvb i="6970"/>
        </ext>
      </extLst>
    </bk>
    <bk>
      <extLst>
        <ext uri="{3e2802c4-a4d2-4d8b-9148-e3be6c30e623}">
          <xlrd:rvb i="6971"/>
        </ext>
      </extLst>
    </bk>
    <bk>
      <extLst>
        <ext uri="{3e2802c4-a4d2-4d8b-9148-e3be6c30e623}">
          <xlrd:rvb i="6972"/>
        </ext>
      </extLst>
    </bk>
    <bk>
      <extLst>
        <ext uri="{3e2802c4-a4d2-4d8b-9148-e3be6c30e623}">
          <xlrd:rvb i="6973"/>
        </ext>
      </extLst>
    </bk>
    <bk>
      <extLst>
        <ext uri="{3e2802c4-a4d2-4d8b-9148-e3be6c30e623}">
          <xlrd:rvb i="6974"/>
        </ext>
      </extLst>
    </bk>
    <bk>
      <extLst>
        <ext uri="{3e2802c4-a4d2-4d8b-9148-e3be6c30e623}">
          <xlrd:rvb i="6975"/>
        </ext>
      </extLst>
    </bk>
    <bk>
      <extLst>
        <ext uri="{3e2802c4-a4d2-4d8b-9148-e3be6c30e623}">
          <xlrd:rvb i="6976"/>
        </ext>
      </extLst>
    </bk>
    <bk>
      <extLst>
        <ext uri="{3e2802c4-a4d2-4d8b-9148-e3be6c30e623}">
          <xlrd:rvb i="6977"/>
        </ext>
      </extLst>
    </bk>
    <bk>
      <extLst>
        <ext uri="{3e2802c4-a4d2-4d8b-9148-e3be6c30e623}">
          <xlrd:rvb i="6978"/>
        </ext>
      </extLst>
    </bk>
    <bk>
      <extLst>
        <ext uri="{3e2802c4-a4d2-4d8b-9148-e3be6c30e623}">
          <xlrd:rvb i="6979"/>
        </ext>
      </extLst>
    </bk>
    <bk>
      <extLst>
        <ext uri="{3e2802c4-a4d2-4d8b-9148-e3be6c30e623}">
          <xlrd:rvb i="6980"/>
        </ext>
      </extLst>
    </bk>
    <bk>
      <extLst>
        <ext uri="{3e2802c4-a4d2-4d8b-9148-e3be6c30e623}">
          <xlrd:rvb i="6981"/>
        </ext>
      </extLst>
    </bk>
    <bk>
      <extLst>
        <ext uri="{3e2802c4-a4d2-4d8b-9148-e3be6c30e623}">
          <xlrd:rvb i="6982"/>
        </ext>
      </extLst>
    </bk>
    <bk>
      <extLst>
        <ext uri="{3e2802c4-a4d2-4d8b-9148-e3be6c30e623}">
          <xlrd:rvb i="6983"/>
        </ext>
      </extLst>
    </bk>
    <bk>
      <extLst>
        <ext uri="{3e2802c4-a4d2-4d8b-9148-e3be6c30e623}">
          <xlrd:rvb i="6984"/>
        </ext>
      </extLst>
    </bk>
    <bk>
      <extLst>
        <ext uri="{3e2802c4-a4d2-4d8b-9148-e3be6c30e623}">
          <xlrd:rvb i="6985"/>
        </ext>
      </extLst>
    </bk>
    <bk>
      <extLst>
        <ext uri="{3e2802c4-a4d2-4d8b-9148-e3be6c30e623}">
          <xlrd:rvb i="6986"/>
        </ext>
      </extLst>
    </bk>
    <bk>
      <extLst>
        <ext uri="{3e2802c4-a4d2-4d8b-9148-e3be6c30e623}">
          <xlrd:rvb i="6987"/>
        </ext>
      </extLst>
    </bk>
    <bk>
      <extLst>
        <ext uri="{3e2802c4-a4d2-4d8b-9148-e3be6c30e623}">
          <xlrd:rvb i="6988"/>
        </ext>
      </extLst>
    </bk>
    <bk>
      <extLst>
        <ext uri="{3e2802c4-a4d2-4d8b-9148-e3be6c30e623}">
          <xlrd:rvb i="6989"/>
        </ext>
      </extLst>
    </bk>
    <bk>
      <extLst>
        <ext uri="{3e2802c4-a4d2-4d8b-9148-e3be6c30e623}">
          <xlrd:rvb i="6990"/>
        </ext>
      </extLst>
    </bk>
    <bk>
      <extLst>
        <ext uri="{3e2802c4-a4d2-4d8b-9148-e3be6c30e623}">
          <xlrd:rvb i="6991"/>
        </ext>
      </extLst>
    </bk>
    <bk>
      <extLst>
        <ext uri="{3e2802c4-a4d2-4d8b-9148-e3be6c30e623}">
          <xlrd:rvb i="6992"/>
        </ext>
      </extLst>
    </bk>
    <bk>
      <extLst>
        <ext uri="{3e2802c4-a4d2-4d8b-9148-e3be6c30e623}">
          <xlrd:rvb i="6993"/>
        </ext>
      </extLst>
    </bk>
    <bk>
      <extLst>
        <ext uri="{3e2802c4-a4d2-4d8b-9148-e3be6c30e623}">
          <xlrd:rvb i="6994"/>
        </ext>
      </extLst>
    </bk>
    <bk>
      <extLst>
        <ext uri="{3e2802c4-a4d2-4d8b-9148-e3be6c30e623}">
          <xlrd:rvb i="6995"/>
        </ext>
      </extLst>
    </bk>
    <bk>
      <extLst>
        <ext uri="{3e2802c4-a4d2-4d8b-9148-e3be6c30e623}">
          <xlrd:rvb i="6996"/>
        </ext>
      </extLst>
    </bk>
    <bk>
      <extLst>
        <ext uri="{3e2802c4-a4d2-4d8b-9148-e3be6c30e623}">
          <xlrd:rvb i="6997"/>
        </ext>
      </extLst>
    </bk>
    <bk>
      <extLst>
        <ext uri="{3e2802c4-a4d2-4d8b-9148-e3be6c30e623}">
          <xlrd:rvb i="6998"/>
        </ext>
      </extLst>
    </bk>
    <bk>
      <extLst>
        <ext uri="{3e2802c4-a4d2-4d8b-9148-e3be6c30e623}">
          <xlrd:rvb i="6999"/>
        </ext>
      </extLst>
    </bk>
    <bk>
      <extLst>
        <ext uri="{3e2802c4-a4d2-4d8b-9148-e3be6c30e623}">
          <xlrd:rvb i="7000"/>
        </ext>
      </extLst>
    </bk>
    <bk>
      <extLst>
        <ext uri="{3e2802c4-a4d2-4d8b-9148-e3be6c30e623}">
          <xlrd:rvb i="7001"/>
        </ext>
      </extLst>
    </bk>
    <bk>
      <extLst>
        <ext uri="{3e2802c4-a4d2-4d8b-9148-e3be6c30e623}">
          <xlrd:rvb i="7002"/>
        </ext>
      </extLst>
    </bk>
    <bk>
      <extLst>
        <ext uri="{3e2802c4-a4d2-4d8b-9148-e3be6c30e623}">
          <xlrd:rvb i="7003"/>
        </ext>
      </extLst>
    </bk>
    <bk>
      <extLst>
        <ext uri="{3e2802c4-a4d2-4d8b-9148-e3be6c30e623}">
          <xlrd:rvb i="7004"/>
        </ext>
      </extLst>
    </bk>
    <bk>
      <extLst>
        <ext uri="{3e2802c4-a4d2-4d8b-9148-e3be6c30e623}">
          <xlrd:rvb i="7005"/>
        </ext>
      </extLst>
    </bk>
    <bk>
      <extLst>
        <ext uri="{3e2802c4-a4d2-4d8b-9148-e3be6c30e623}">
          <xlrd:rvb i="7006"/>
        </ext>
      </extLst>
    </bk>
    <bk>
      <extLst>
        <ext uri="{3e2802c4-a4d2-4d8b-9148-e3be6c30e623}">
          <xlrd:rvb i="7007"/>
        </ext>
      </extLst>
    </bk>
    <bk>
      <extLst>
        <ext uri="{3e2802c4-a4d2-4d8b-9148-e3be6c30e623}">
          <xlrd:rvb i="7008"/>
        </ext>
      </extLst>
    </bk>
    <bk>
      <extLst>
        <ext uri="{3e2802c4-a4d2-4d8b-9148-e3be6c30e623}">
          <xlrd:rvb i="7009"/>
        </ext>
      </extLst>
    </bk>
    <bk>
      <extLst>
        <ext uri="{3e2802c4-a4d2-4d8b-9148-e3be6c30e623}">
          <xlrd:rvb i="7010"/>
        </ext>
      </extLst>
    </bk>
    <bk>
      <extLst>
        <ext uri="{3e2802c4-a4d2-4d8b-9148-e3be6c30e623}">
          <xlrd:rvb i="7011"/>
        </ext>
      </extLst>
    </bk>
    <bk>
      <extLst>
        <ext uri="{3e2802c4-a4d2-4d8b-9148-e3be6c30e623}">
          <xlrd:rvb i="7012"/>
        </ext>
      </extLst>
    </bk>
    <bk>
      <extLst>
        <ext uri="{3e2802c4-a4d2-4d8b-9148-e3be6c30e623}">
          <xlrd:rvb i="7013"/>
        </ext>
      </extLst>
    </bk>
    <bk>
      <extLst>
        <ext uri="{3e2802c4-a4d2-4d8b-9148-e3be6c30e623}">
          <xlrd:rvb i="7014"/>
        </ext>
      </extLst>
    </bk>
    <bk>
      <extLst>
        <ext uri="{3e2802c4-a4d2-4d8b-9148-e3be6c30e623}">
          <xlrd:rvb i="7015"/>
        </ext>
      </extLst>
    </bk>
    <bk>
      <extLst>
        <ext uri="{3e2802c4-a4d2-4d8b-9148-e3be6c30e623}">
          <xlrd:rvb i="7016"/>
        </ext>
      </extLst>
    </bk>
    <bk>
      <extLst>
        <ext uri="{3e2802c4-a4d2-4d8b-9148-e3be6c30e623}">
          <xlrd:rvb i="7017"/>
        </ext>
      </extLst>
    </bk>
    <bk>
      <extLst>
        <ext uri="{3e2802c4-a4d2-4d8b-9148-e3be6c30e623}">
          <xlrd:rvb i="7018"/>
        </ext>
      </extLst>
    </bk>
    <bk>
      <extLst>
        <ext uri="{3e2802c4-a4d2-4d8b-9148-e3be6c30e623}">
          <xlrd:rvb i="7019"/>
        </ext>
      </extLst>
    </bk>
    <bk>
      <extLst>
        <ext uri="{3e2802c4-a4d2-4d8b-9148-e3be6c30e623}">
          <xlrd:rvb i="7020"/>
        </ext>
      </extLst>
    </bk>
    <bk>
      <extLst>
        <ext uri="{3e2802c4-a4d2-4d8b-9148-e3be6c30e623}">
          <xlrd:rvb i="7021"/>
        </ext>
      </extLst>
    </bk>
    <bk>
      <extLst>
        <ext uri="{3e2802c4-a4d2-4d8b-9148-e3be6c30e623}">
          <xlrd:rvb i="7022"/>
        </ext>
      </extLst>
    </bk>
    <bk>
      <extLst>
        <ext uri="{3e2802c4-a4d2-4d8b-9148-e3be6c30e623}">
          <xlrd:rvb i="7023"/>
        </ext>
      </extLst>
    </bk>
    <bk>
      <extLst>
        <ext uri="{3e2802c4-a4d2-4d8b-9148-e3be6c30e623}">
          <xlrd:rvb i="7024"/>
        </ext>
      </extLst>
    </bk>
    <bk>
      <extLst>
        <ext uri="{3e2802c4-a4d2-4d8b-9148-e3be6c30e623}">
          <xlrd:rvb i="7025"/>
        </ext>
      </extLst>
    </bk>
    <bk>
      <extLst>
        <ext uri="{3e2802c4-a4d2-4d8b-9148-e3be6c30e623}">
          <xlrd:rvb i="7026"/>
        </ext>
      </extLst>
    </bk>
    <bk>
      <extLst>
        <ext uri="{3e2802c4-a4d2-4d8b-9148-e3be6c30e623}">
          <xlrd:rvb i="7027"/>
        </ext>
      </extLst>
    </bk>
    <bk>
      <extLst>
        <ext uri="{3e2802c4-a4d2-4d8b-9148-e3be6c30e623}">
          <xlrd:rvb i="7028"/>
        </ext>
      </extLst>
    </bk>
    <bk>
      <extLst>
        <ext uri="{3e2802c4-a4d2-4d8b-9148-e3be6c30e623}">
          <xlrd:rvb i="7029"/>
        </ext>
      </extLst>
    </bk>
    <bk>
      <extLst>
        <ext uri="{3e2802c4-a4d2-4d8b-9148-e3be6c30e623}">
          <xlrd:rvb i="7030"/>
        </ext>
      </extLst>
    </bk>
    <bk>
      <extLst>
        <ext uri="{3e2802c4-a4d2-4d8b-9148-e3be6c30e623}">
          <xlrd:rvb i="7031"/>
        </ext>
      </extLst>
    </bk>
    <bk>
      <extLst>
        <ext uri="{3e2802c4-a4d2-4d8b-9148-e3be6c30e623}">
          <xlrd:rvb i="7032"/>
        </ext>
      </extLst>
    </bk>
    <bk>
      <extLst>
        <ext uri="{3e2802c4-a4d2-4d8b-9148-e3be6c30e623}">
          <xlrd:rvb i="7033"/>
        </ext>
      </extLst>
    </bk>
    <bk>
      <extLst>
        <ext uri="{3e2802c4-a4d2-4d8b-9148-e3be6c30e623}">
          <xlrd:rvb i="7034"/>
        </ext>
      </extLst>
    </bk>
    <bk>
      <extLst>
        <ext uri="{3e2802c4-a4d2-4d8b-9148-e3be6c30e623}">
          <xlrd:rvb i="7035"/>
        </ext>
      </extLst>
    </bk>
    <bk>
      <extLst>
        <ext uri="{3e2802c4-a4d2-4d8b-9148-e3be6c30e623}">
          <xlrd:rvb i="7036"/>
        </ext>
      </extLst>
    </bk>
    <bk>
      <extLst>
        <ext uri="{3e2802c4-a4d2-4d8b-9148-e3be6c30e623}">
          <xlrd:rvb i="7037"/>
        </ext>
      </extLst>
    </bk>
    <bk>
      <extLst>
        <ext uri="{3e2802c4-a4d2-4d8b-9148-e3be6c30e623}">
          <xlrd:rvb i="7038"/>
        </ext>
      </extLst>
    </bk>
    <bk>
      <extLst>
        <ext uri="{3e2802c4-a4d2-4d8b-9148-e3be6c30e623}">
          <xlrd:rvb i="7039"/>
        </ext>
      </extLst>
    </bk>
    <bk>
      <extLst>
        <ext uri="{3e2802c4-a4d2-4d8b-9148-e3be6c30e623}">
          <xlrd:rvb i="7040"/>
        </ext>
      </extLst>
    </bk>
    <bk>
      <extLst>
        <ext uri="{3e2802c4-a4d2-4d8b-9148-e3be6c30e623}">
          <xlrd:rvb i="7041"/>
        </ext>
      </extLst>
    </bk>
    <bk>
      <extLst>
        <ext uri="{3e2802c4-a4d2-4d8b-9148-e3be6c30e623}">
          <xlrd:rvb i="7042"/>
        </ext>
      </extLst>
    </bk>
    <bk>
      <extLst>
        <ext uri="{3e2802c4-a4d2-4d8b-9148-e3be6c30e623}">
          <xlrd:rvb i="7043"/>
        </ext>
      </extLst>
    </bk>
    <bk>
      <extLst>
        <ext uri="{3e2802c4-a4d2-4d8b-9148-e3be6c30e623}">
          <xlrd:rvb i="7044"/>
        </ext>
      </extLst>
    </bk>
    <bk>
      <extLst>
        <ext uri="{3e2802c4-a4d2-4d8b-9148-e3be6c30e623}">
          <xlrd:rvb i="7045"/>
        </ext>
      </extLst>
    </bk>
    <bk>
      <extLst>
        <ext uri="{3e2802c4-a4d2-4d8b-9148-e3be6c30e623}">
          <xlrd:rvb i="7046"/>
        </ext>
      </extLst>
    </bk>
    <bk>
      <extLst>
        <ext uri="{3e2802c4-a4d2-4d8b-9148-e3be6c30e623}">
          <xlrd:rvb i="7047"/>
        </ext>
      </extLst>
    </bk>
    <bk>
      <extLst>
        <ext uri="{3e2802c4-a4d2-4d8b-9148-e3be6c30e623}">
          <xlrd:rvb i="7048"/>
        </ext>
      </extLst>
    </bk>
    <bk>
      <extLst>
        <ext uri="{3e2802c4-a4d2-4d8b-9148-e3be6c30e623}">
          <xlrd:rvb i="7049"/>
        </ext>
      </extLst>
    </bk>
    <bk>
      <extLst>
        <ext uri="{3e2802c4-a4d2-4d8b-9148-e3be6c30e623}">
          <xlrd:rvb i="7050"/>
        </ext>
      </extLst>
    </bk>
    <bk>
      <extLst>
        <ext uri="{3e2802c4-a4d2-4d8b-9148-e3be6c30e623}">
          <xlrd:rvb i="7051"/>
        </ext>
      </extLst>
    </bk>
    <bk>
      <extLst>
        <ext uri="{3e2802c4-a4d2-4d8b-9148-e3be6c30e623}">
          <xlrd:rvb i="7052"/>
        </ext>
      </extLst>
    </bk>
    <bk>
      <extLst>
        <ext uri="{3e2802c4-a4d2-4d8b-9148-e3be6c30e623}">
          <xlrd:rvb i="7053"/>
        </ext>
      </extLst>
    </bk>
    <bk>
      <extLst>
        <ext uri="{3e2802c4-a4d2-4d8b-9148-e3be6c30e623}">
          <xlrd:rvb i="7054"/>
        </ext>
      </extLst>
    </bk>
    <bk>
      <extLst>
        <ext uri="{3e2802c4-a4d2-4d8b-9148-e3be6c30e623}">
          <xlrd:rvb i="7055"/>
        </ext>
      </extLst>
    </bk>
    <bk>
      <extLst>
        <ext uri="{3e2802c4-a4d2-4d8b-9148-e3be6c30e623}">
          <xlrd:rvb i="7056"/>
        </ext>
      </extLst>
    </bk>
    <bk>
      <extLst>
        <ext uri="{3e2802c4-a4d2-4d8b-9148-e3be6c30e623}">
          <xlrd:rvb i="7057"/>
        </ext>
      </extLst>
    </bk>
    <bk>
      <extLst>
        <ext uri="{3e2802c4-a4d2-4d8b-9148-e3be6c30e623}">
          <xlrd:rvb i="7058"/>
        </ext>
      </extLst>
    </bk>
    <bk>
      <extLst>
        <ext uri="{3e2802c4-a4d2-4d8b-9148-e3be6c30e623}">
          <xlrd:rvb i="7059"/>
        </ext>
      </extLst>
    </bk>
    <bk>
      <extLst>
        <ext uri="{3e2802c4-a4d2-4d8b-9148-e3be6c30e623}">
          <xlrd:rvb i="7060"/>
        </ext>
      </extLst>
    </bk>
    <bk>
      <extLst>
        <ext uri="{3e2802c4-a4d2-4d8b-9148-e3be6c30e623}">
          <xlrd:rvb i="7061"/>
        </ext>
      </extLst>
    </bk>
    <bk>
      <extLst>
        <ext uri="{3e2802c4-a4d2-4d8b-9148-e3be6c30e623}">
          <xlrd:rvb i="7062"/>
        </ext>
      </extLst>
    </bk>
    <bk>
      <extLst>
        <ext uri="{3e2802c4-a4d2-4d8b-9148-e3be6c30e623}">
          <xlrd:rvb i="7063"/>
        </ext>
      </extLst>
    </bk>
    <bk>
      <extLst>
        <ext uri="{3e2802c4-a4d2-4d8b-9148-e3be6c30e623}">
          <xlrd:rvb i="7064"/>
        </ext>
      </extLst>
    </bk>
    <bk>
      <extLst>
        <ext uri="{3e2802c4-a4d2-4d8b-9148-e3be6c30e623}">
          <xlrd:rvb i="7065"/>
        </ext>
      </extLst>
    </bk>
    <bk>
      <extLst>
        <ext uri="{3e2802c4-a4d2-4d8b-9148-e3be6c30e623}">
          <xlrd:rvb i="7066"/>
        </ext>
      </extLst>
    </bk>
    <bk>
      <extLst>
        <ext uri="{3e2802c4-a4d2-4d8b-9148-e3be6c30e623}">
          <xlrd:rvb i="7067"/>
        </ext>
      </extLst>
    </bk>
    <bk>
      <extLst>
        <ext uri="{3e2802c4-a4d2-4d8b-9148-e3be6c30e623}">
          <xlrd:rvb i="7068"/>
        </ext>
      </extLst>
    </bk>
    <bk>
      <extLst>
        <ext uri="{3e2802c4-a4d2-4d8b-9148-e3be6c30e623}">
          <xlrd:rvb i="7069"/>
        </ext>
      </extLst>
    </bk>
    <bk>
      <extLst>
        <ext uri="{3e2802c4-a4d2-4d8b-9148-e3be6c30e623}">
          <xlrd:rvb i="7070"/>
        </ext>
      </extLst>
    </bk>
    <bk>
      <extLst>
        <ext uri="{3e2802c4-a4d2-4d8b-9148-e3be6c30e623}">
          <xlrd:rvb i="7071"/>
        </ext>
      </extLst>
    </bk>
    <bk>
      <extLst>
        <ext uri="{3e2802c4-a4d2-4d8b-9148-e3be6c30e623}">
          <xlrd:rvb i="7072"/>
        </ext>
      </extLst>
    </bk>
    <bk>
      <extLst>
        <ext uri="{3e2802c4-a4d2-4d8b-9148-e3be6c30e623}">
          <xlrd:rvb i="7073"/>
        </ext>
      </extLst>
    </bk>
    <bk>
      <extLst>
        <ext uri="{3e2802c4-a4d2-4d8b-9148-e3be6c30e623}">
          <xlrd:rvb i="7074"/>
        </ext>
      </extLst>
    </bk>
    <bk>
      <extLst>
        <ext uri="{3e2802c4-a4d2-4d8b-9148-e3be6c30e623}">
          <xlrd:rvb i="7075"/>
        </ext>
      </extLst>
    </bk>
    <bk>
      <extLst>
        <ext uri="{3e2802c4-a4d2-4d8b-9148-e3be6c30e623}">
          <xlrd:rvb i="7076"/>
        </ext>
      </extLst>
    </bk>
    <bk>
      <extLst>
        <ext uri="{3e2802c4-a4d2-4d8b-9148-e3be6c30e623}">
          <xlrd:rvb i="7077"/>
        </ext>
      </extLst>
    </bk>
    <bk>
      <extLst>
        <ext uri="{3e2802c4-a4d2-4d8b-9148-e3be6c30e623}">
          <xlrd:rvb i="7078"/>
        </ext>
      </extLst>
    </bk>
    <bk>
      <extLst>
        <ext uri="{3e2802c4-a4d2-4d8b-9148-e3be6c30e623}">
          <xlrd:rvb i="7079"/>
        </ext>
      </extLst>
    </bk>
    <bk>
      <extLst>
        <ext uri="{3e2802c4-a4d2-4d8b-9148-e3be6c30e623}">
          <xlrd:rvb i="7080"/>
        </ext>
      </extLst>
    </bk>
    <bk>
      <extLst>
        <ext uri="{3e2802c4-a4d2-4d8b-9148-e3be6c30e623}">
          <xlrd:rvb i="7081"/>
        </ext>
      </extLst>
    </bk>
    <bk>
      <extLst>
        <ext uri="{3e2802c4-a4d2-4d8b-9148-e3be6c30e623}">
          <xlrd:rvb i="7082"/>
        </ext>
      </extLst>
    </bk>
    <bk>
      <extLst>
        <ext uri="{3e2802c4-a4d2-4d8b-9148-e3be6c30e623}">
          <xlrd:rvb i="7083"/>
        </ext>
      </extLst>
    </bk>
    <bk>
      <extLst>
        <ext uri="{3e2802c4-a4d2-4d8b-9148-e3be6c30e623}">
          <xlrd:rvb i="7084"/>
        </ext>
      </extLst>
    </bk>
    <bk>
      <extLst>
        <ext uri="{3e2802c4-a4d2-4d8b-9148-e3be6c30e623}">
          <xlrd:rvb i="7085"/>
        </ext>
      </extLst>
    </bk>
    <bk>
      <extLst>
        <ext uri="{3e2802c4-a4d2-4d8b-9148-e3be6c30e623}">
          <xlrd:rvb i="7086"/>
        </ext>
      </extLst>
    </bk>
    <bk>
      <extLst>
        <ext uri="{3e2802c4-a4d2-4d8b-9148-e3be6c30e623}">
          <xlrd:rvb i="7087"/>
        </ext>
      </extLst>
    </bk>
    <bk>
      <extLst>
        <ext uri="{3e2802c4-a4d2-4d8b-9148-e3be6c30e623}">
          <xlrd:rvb i="7088"/>
        </ext>
      </extLst>
    </bk>
    <bk>
      <extLst>
        <ext uri="{3e2802c4-a4d2-4d8b-9148-e3be6c30e623}">
          <xlrd:rvb i="7089"/>
        </ext>
      </extLst>
    </bk>
    <bk>
      <extLst>
        <ext uri="{3e2802c4-a4d2-4d8b-9148-e3be6c30e623}">
          <xlrd:rvb i="7090"/>
        </ext>
      </extLst>
    </bk>
    <bk>
      <extLst>
        <ext uri="{3e2802c4-a4d2-4d8b-9148-e3be6c30e623}">
          <xlrd:rvb i="7091"/>
        </ext>
      </extLst>
    </bk>
    <bk>
      <extLst>
        <ext uri="{3e2802c4-a4d2-4d8b-9148-e3be6c30e623}">
          <xlrd:rvb i="7092"/>
        </ext>
      </extLst>
    </bk>
    <bk>
      <extLst>
        <ext uri="{3e2802c4-a4d2-4d8b-9148-e3be6c30e623}">
          <xlrd:rvb i="7093"/>
        </ext>
      </extLst>
    </bk>
    <bk>
      <extLst>
        <ext uri="{3e2802c4-a4d2-4d8b-9148-e3be6c30e623}">
          <xlrd:rvb i="7094"/>
        </ext>
      </extLst>
    </bk>
    <bk>
      <extLst>
        <ext uri="{3e2802c4-a4d2-4d8b-9148-e3be6c30e623}">
          <xlrd:rvb i="7095"/>
        </ext>
      </extLst>
    </bk>
    <bk>
      <extLst>
        <ext uri="{3e2802c4-a4d2-4d8b-9148-e3be6c30e623}">
          <xlrd:rvb i="7096"/>
        </ext>
      </extLst>
    </bk>
    <bk>
      <extLst>
        <ext uri="{3e2802c4-a4d2-4d8b-9148-e3be6c30e623}">
          <xlrd:rvb i="7097"/>
        </ext>
      </extLst>
    </bk>
    <bk>
      <extLst>
        <ext uri="{3e2802c4-a4d2-4d8b-9148-e3be6c30e623}">
          <xlrd:rvb i="7098"/>
        </ext>
      </extLst>
    </bk>
    <bk>
      <extLst>
        <ext uri="{3e2802c4-a4d2-4d8b-9148-e3be6c30e623}">
          <xlrd:rvb i="7099"/>
        </ext>
      </extLst>
    </bk>
    <bk>
      <extLst>
        <ext uri="{3e2802c4-a4d2-4d8b-9148-e3be6c30e623}">
          <xlrd:rvb i="7100"/>
        </ext>
      </extLst>
    </bk>
    <bk>
      <extLst>
        <ext uri="{3e2802c4-a4d2-4d8b-9148-e3be6c30e623}">
          <xlrd:rvb i="7101"/>
        </ext>
      </extLst>
    </bk>
    <bk>
      <extLst>
        <ext uri="{3e2802c4-a4d2-4d8b-9148-e3be6c30e623}">
          <xlrd:rvb i="7102"/>
        </ext>
      </extLst>
    </bk>
    <bk>
      <extLst>
        <ext uri="{3e2802c4-a4d2-4d8b-9148-e3be6c30e623}">
          <xlrd:rvb i="7103"/>
        </ext>
      </extLst>
    </bk>
    <bk>
      <extLst>
        <ext uri="{3e2802c4-a4d2-4d8b-9148-e3be6c30e623}">
          <xlrd:rvb i="7104"/>
        </ext>
      </extLst>
    </bk>
    <bk>
      <extLst>
        <ext uri="{3e2802c4-a4d2-4d8b-9148-e3be6c30e623}">
          <xlrd:rvb i="7105"/>
        </ext>
      </extLst>
    </bk>
    <bk>
      <extLst>
        <ext uri="{3e2802c4-a4d2-4d8b-9148-e3be6c30e623}">
          <xlrd:rvb i="7106"/>
        </ext>
      </extLst>
    </bk>
    <bk>
      <extLst>
        <ext uri="{3e2802c4-a4d2-4d8b-9148-e3be6c30e623}">
          <xlrd:rvb i="7107"/>
        </ext>
      </extLst>
    </bk>
    <bk>
      <extLst>
        <ext uri="{3e2802c4-a4d2-4d8b-9148-e3be6c30e623}">
          <xlrd:rvb i="7108"/>
        </ext>
      </extLst>
    </bk>
    <bk>
      <extLst>
        <ext uri="{3e2802c4-a4d2-4d8b-9148-e3be6c30e623}">
          <xlrd:rvb i="7109"/>
        </ext>
      </extLst>
    </bk>
    <bk>
      <extLst>
        <ext uri="{3e2802c4-a4d2-4d8b-9148-e3be6c30e623}">
          <xlrd:rvb i="7110"/>
        </ext>
      </extLst>
    </bk>
    <bk>
      <extLst>
        <ext uri="{3e2802c4-a4d2-4d8b-9148-e3be6c30e623}">
          <xlrd:rvb i="7111"/>
        </ext>
      </extLst>
    </bk>
    <bk>
      <extLst>
        <ext uri="{3e2802c4-a4d2-4d8b-9148-e3be6c30e623}">
          <xlrd:rvb i="7112"/>
        </ext>
      </extLst>
    </bk>
    <bk>
      <extLst>
        <ext uri="{3e2802c4-a4d2-4d8b-9148-e3be6c30e623}">
          <xlrd:rvb i="7113"/>
        </ext>
      </extLst>
    </bk>
    <bk>
      <extLst>
        <ext uri="{3e2802c4-a4d2-4d8b-9148-e3be6c30e623}">
          <xlrd:rvb i="7114"/>
        </ext>
      </extLst>
    </bk>
    <bk>
      <extLst>
        <ext uri="{3e2802c4-a4d2-4d8b-9148-e3be6c30e623}">
          <xlrd:rvb i="7115"/>
        </ext>
      </extLst>
    </bk>
    <bk>
      <extLst>
        <ext uri="{3e2802c4-a4d2-4d8b-9148-e3be6c30e623}">
          <xlrd:rvb i="7116"/>
        </ext>
      </extLst>
    </bk>
    <bk>
      <extLst>
        <ext uri="{3e2802c4-a4d2-4d8b-9148-e3be6c30e623}">
          <xlrd:rvb i="7117"/>
        </ext>
      </extLst>
    </bk>
    <bk>
      <extLst>
        <ext uri="{3e2802c4-a4d2-4d8b-9148-e3be6c30e623}">
          <xlrd:rvb i="7118"/>
        </ext>
      </extLst>
    </bk>
    <bk>
      <extLst>
        <ext uri="{3e2802c4-a4d2-4d8b-9148-e3be6c30e623}">
          <xlrd:rvb i="7119"/>
        </ext>
      </extLst>
    </bk>
    <bk>
      <extLst>
        <ext uri="{3e2802c4-a4d2-4d8b-9148-e3be6c30e623}">
          <xlrd:rvb i="7120"/>
        </ext>
      </extLst>
    </bk>
    <bk>
      <extLst>
        <ext uri="{3e2802c4-a4d2-4d8b-9148-e3be6c30e623}">
          <xlrd:rvb i="7121"/>
        </ext>
      </extLst>
    </bk>
    <bk>
      <extLst>
        <ext uri="{3e2802c4-a4d2-4d8b-9148-e3be6c30e623}">
          <xlrd:rvb i="7122"/>
        </ext>
      </extLst>
    </bk>
    <bk>
      <extLst>
        <ext uri="{3e2802c4-a4d2-4d8b-9148-e3be6c30e623}">
          <xlrd:rvb i="7123"/>
        </ext>
      </extLst>
    </bk>
    <bk>
      <extLst>
        <ext uri="{3e2802c4-a4d2-4d8b-9148-e3be6c30e623}">
          <xlrd:rvb i="7124"/>
        </ext>
      </extLst>
    </bk>
    <bk>
      <extLst>
        <ext uri="{3e2802c4-a4d2-4d8b-9148-e3be6c30e623}">
          <xlrd:rvb i="7125"/>
        </ext>
      </extLst>
    </bk>
    <bk>
      <extLst>
        <ext uri="{3e2802c4-a4d2-4d8b-9148-e3be6c30e623}">
          <xlrd:rvb i="7126"/>
        </ext>
      </extLst>
    </bk>
    <bk>
      <extLst>
        <ext uri="{3e2802c4-a4d2-4d8b-9148-e3be6c30e623}">
          <xlrd:rvb i="7127"/>
        </ext>
      </extLst>
    </bk>
    <bk>
      <extLst>
        <ext uri="{3e2802c4-a4d2-4d8b-9148-e3be6c30e623}">
          <xlrd:rvb i="7128"/>
        </ext>
      </extLst>
    </bk>
    <bk>
      <extLst>
        <ext uri="{3e2802c4-a4d2-4d8b-9148-e3be6c30e623}">
          <xlrd:rvb i="7129"/>
        </ext>
      </extLst>
    </bk>
    <bk>
      <extLst>
        <ext uri="{3e2802c4-a4d2-4d8b-9148-e3be6c30e623}">
          <xlrd:rvb i="7130"/>
        </ext>
      </extLst>
    </bk>
    <bk>
      <extLst>
        <ext uri="{3e2802c4-a4d2-4d8b-9148-e3be6c30e623}">
          <xlrd:rvb i="7131"/>
        </ext>
      </extLst>
    </bk>
    <bk>
      <extLst>
        <ext uri="{3e2802c4-a4d2-4d8b-9148-e3be6c30e623}">
          <xlrd:rvb i="7132"/>
        </ext>
      </extLst>
    </bk>
    <bk>
      <extLst>
        <ext uri="{3e2802c4-a4d2-4d8b-9148-e3be6c30e623}">
          <xlrd:rvb i="7133"/>
        </ext>
      </extLst>
    </bk>
    <bk>
      <extLst>
        <ext uri="{3e2802c4-a4d2-4d8b-9148-e3be6c30e623}">
          <xlrd:rvb i="7134"/>
        </ext>
      </extLst>
    </bk>
    <bk>
      <extLst>
        <ext uri="{3e2802c4-a4d2-4d8b-9148-e3be6c30e623}">
          <xlrd:rvb i="7135"/>
        </ext>
      </extLst>
    </bk>
    <bk>
      <extLst>
        <ext uri="{3e2802c4-a4d2-4d8b-9148-e3be6c30e623}">
          <xlrd:rvb i="7136"/>
        </ext>
      </extLst>
    </bk>
    <bk>
      <extLst>
        <ext uri="{3e2802c4-a4d2-4d8b-9148-e3be6c30e623}">
          <xlrd:rvb i="7137"/>
        </ext>
      </extLst>
    </bk>
    <bk>
      <extLst>
        <ext uri="{3e2802c4-a4d2-4d8b-9148-e3be6c30e623}">
          <xlrd:rvb i="7138"/>
        </ext>
      </extLst>
    </bk>
    <bk>
      <extLst>
        <ext uri="{3e2802c4-a4d2-4d8b-9148-e3be6c30e623}">
          <xlrd:rvb i="7139"/>
        </ext>
      </extLst>
    </bk>
    <bk>
      <extLst>
        <ext uri="{3e2802c4-a4d2-4d8b-9148-e3be6c30e623}">
          <xlrd:rvb i="7140"/>
        </ext>
      </extLst>
    </bk>
    <bk>
      <extLst>
        <ext uri="{3e2802c4-a4d2-4d8b-9148-e3be6c30e623}">
          <xlrd:rvb i="7141"/>
        </ext>
      </extLst>
    </bk>
    <bk>
      <extLst>
        <ext uri="{3e2802c4-a4d2-4d8b-9148-e3be6c30e623}">
          <xlrd:rvb i="7142"/>
        </ext>
      </extLst>
    </bk>
    <bk>
      <extLst>
        <ext uri="{3e2802c4-a4d2-4d8b-9148-e3be6c30e623}">
          <xlrd:rvb i="7143"/>
        </ext>
      </extLst>
    </bk>
    <bk>
      <extLst>
        <ext uri="{3e2802c4-a4d2-4d8b-9148-e3be6c30e623}">
          <xlrd:rvb i="7144"/>
        </ext>
      </extLst>
    </bk>
    <bk>
      <extLst>
        <ext uri="{3e2802c4-a4d2-4d8b-9148-e3be6c30e623}">
          <xlrd:rvb i="7145"/>
        </ext>
      </extLst>
    </bk>
    <bk>
      <extLst>
        <ext uri="{3e2802c4-a4d2-4d8b-9148-e3be6c30e623}">
          <xlrd:rvb i="7146"/>
        </ext>
      </extLst>
    </bk>
    <bk>
      <extLst>
        <ext uri="{3e2802c4-a4d2-4d8b-9148-e3be6c30e623}">
          <xlrd:rvb i="7147"/>
        </ext>
      </extLst>
    </bk>
    <bk>
      <extLst>
        <ext uri="{3e2802c4-a4d2-4d8b-9148-e3be6c30e623}">
          <xlrd:rvb i="7148"/>
        </ext>
      </extLst>
    </bk>
    <bk>
      <extLst>
        <ext uri="{3e2802c4-a4d2-4d8b-9148-e3be6c30e623}">
          <xlrd:rvb i="7149"/>
        </ext>
      </extLst>
    </bk>
    <bk>
      <extLst>
        <ext uri="{3e2802c4-a4d2-4d8b-9148-e3be6c30e623}">
          <xlrd:rvb i="7150"/>
        </ext>
      </extLst>
    </bk>
    <bk>
      <extLst>
        <ext uri="{3e2802c4-a4d2-4d8b-9148-e3be6c30e623}">
          <xlrd:rvb i="7151"/>
        </ext>
      </extLst>
    </bk>
    <bk>
      <extLst>
        <ext uri="{3e2802c4-a4d2-4d8b-9148-e3be6c30e623}">
          <xlrd:rvb i="7152"/>
        </ext>
      </extLst>
    </bk>
    <bk>
      <extLst>
        <ext uri="{3e2802c4-a4d2-4d8b-9148-e3be6c30e623}">
          <xlrd:rvb i="7153"/>
        </ext>
      </extLst>
    </bk>
    <bk>
      <extLst>
        <ext uri="{3e2802c4-a4d2-4d8b-9148-e3be6c30e623}">
          <xlrd:rvb i="7154"/>
        </ext>
      </extLst>
    </bk>
    <bk>
      <extLst>
        <ext uri="{3e2802c4-a4d2-4d8b-9148-e3be6c30e623}">
          <xlrd:rvb i="7155"/>
        </ext>
      </extLst>
    </bk>
    <bk>
      <extLst>
        <ext uri="{3e2802c4-a4d2-4d8b-9148-e3be6c30e623}">
          <xlrd:rvb i="7156"/>
        </ext>
      </extLst>
    </bk>
    <bk>
      <extLst>
        <ext uri="{3e2802c4-a4d2-4d8b-9148-e3be6c30e623}">
          <xlrd:rvb i="7157"/>
        </ext>
      </extLst>
    </bk>
    <bk>
      <extLst>
        <ext uri="{3e2802c4-a4d2-4d8b-9148-e3be6c30e623}">
          <xlrd:rvb i="7158"/>
        </ext>
      </extLst>
    </bk>
    <bk>
      <extLst>
        <ext uri="{3e2802c4-a4d2-4d8b-9148-e3be6c30e623}">
          <xlrd:rvb i="7159"/>
        </ext>
      </extLst>
    </bk>
    <bk>
      <extLst>
        <ext uri="{3e2802c4-a4d2-4d8b-9148-e3be6c30e623}">
          <xlrd:rvb i="7160"/>
        </ext>
      </extLst>
    </bk>
    <bk>
      <extLst>
        <ext uri="{3e2802c4-a4d2-4d8b-9148-e3be6c30e623}">
          <xlrd:rvb i="7161"/>
        </ext>
      </extLst>
    </bk>
    <bk>
      <extLst>
        <ext uri="{3e2802c4-a4d2-4d8b-9148-e3be6c30e623}">
          <xlrd:rvb i="7162"/>
        </ext>
      </extLst>
    </bk>
    <bk>
      <extLst>
        <ext uri="{3e2802c4-a4d2-4d8b-9148-e3be6c30e623}">
          <xlrd:rvb i="7163"/>
        </ext>
      </extLst>
    </bk>
    <bk>
      <extLst>
        <ext uri="{3e2802c4-a4d2-4d8b-9148-e3be6c30e623}">
          <xlrd:rvb i="7164"/>
        </ext>
      </extLst>
    </bk>
    <bk>
      <extLst>
        <ext uri="{3e2802c4-a4d2-4d8b-9148-e3be6c30e623}">
          <xlrd:rvb i="7165"/>
        </ext>
      </extLst>
    </bk>
    <bk>
      <extLst>
        <ext uri="{3e2802c4-a4d2-4d8b-9148-e3be6c30e623}">
          <xlrd:rvb i="7166"/>
        </ext>
      </extLst>
    </bk>
    <bk>
      <extLst>
        <ext uri="{3e2802c4-a4d2-4d8b-9148-e3be6c30e623}">
          <xlrd:rvb i="7167"/>
        </ext>
      </extLst>
    </bk>
    <bk>
      <extLst>
        <ext uri="{3e2802c4-a4d2-4d8b-9148-e3be6c30e623}">
          <xlrd:rvb i="7168"/>
        </ext>
      </extLst>
    </bk>
    <bk>
      <extLst>
        <ext uri="{3e2802c4-a4d2-4d8b-9148-e3be6c30e623}">
          <xlrd:rvb i="7169"/>
        </ext>
      </extLst>
    </bk>
    <bk>
      <extLst>
        <ext uri="{3e2802c4-a4d2-4d8b-9148-e3be6c30e623}">
          <xlrd:rvb i="7170"/>
        </ext>
      </extLst>
    </bk>
    <bk>
      <extLst>
        <ext uri="{3e2802c4-a4d2-4d8b-9148-e3be6c30e623}">
          <xlrd:rvb i="7171"/>
        </ext>
      </extLst>
    </bk>
    <bk>
      <extLst>
        <ext uri="{3e2802c4-a4d2-4d8b-9148-e3be6c30e623}">
          <xlrd:rvb i="7172"/>
        </ext>
      </extLst>
    </bk>
    <bk>
      <extLst>
        <ext uri="{3e2802c4-a4d2-4d8b-9148-e3be6c30e623}">
          <xlrd:rvb i="7173"/>
        </ext>
      </extLst>
    </bk>
    <bk>
      <extLst>
        <ext uri="{3e2802c4-a4d2-4d8b-9148-e3be6c30e623}">
          <xlrd:rvb i="7174"/>
        </ext>
      </extLst>
    </bk>
    <bk>
      <extLst>
        <ext uri="{3e2802c4-a4d2-4d8b-9148-e3be6c30e623}">
          <xlrd:rvb i="7175"/>
        </ext>
      </extLst>
    </bk>
    <bk>
      <extLst>
        <ext uri="{3e2802c4-a4d2-4d8b-9148-e3be6c30e623}">
          <xlrd:rvb i="7176"/>
        </ext>
      </extLst>
    </bk>
    <bk>
      <extLst>
        <ext uri="{3e2802c4-a4d2-4d8b-9148-e3be6c30e623}">
          <xlrd:rvb i="7177"/>
        </ext>
      </extLst>
    </bk>
    <bk>
      <extLst>
        <ext uri="{3e2802c4-a4d2-4d8b-9148-e3be6c30e623}">
          <xlrd:rvb i="7178"/>
        </ext>
      </extLst>
    </bk>
    <bk>
      <extLst>
        <ext uri="{3e2802c4-a4d2-4d8b-9148-e3be6c30e623}">
          <xlrd:rvb i="7179"/>
        </ext>
      </extLst>
    </bk>
    <bk>
      <extLst>
        <ext uri="{3e2802c4-a4d2-4d8b-9148-e3be6c30e623}">
          <xlrd:rvb i="7180"/>
        </ext>
      </extLst>
    </bk>
    <bk>
      <extLst>
        <ext uri="{3e2802c4-a4d2-4d8b-9148-e3be6c30e623}">
          <xlrd:rvb i="7181"/>
        </ext>
      </extLst>
    </bk>
    <bk>
      <extLst>
        <ext uri="{3e2802c4-a4d2-4d8b-9148-e3be6c30e623}">
          <xlrd:rvb i="7182"/>
        </ext>
      </extLst>
    </bk>
    <bk>
      <extLst>
        <ext uri="{3e2802c4-a4d2-4d8b-9148-e3be6c30e623}">
          <xlrd:rvb i="7183"/>
        </ext>
      </extLst>
    </bk>
    <bk>
      <extLst>
        <ext uri="{3e2802c4-a4d2-4d8b-9148-e3be6c30e623}">
          <xlrd:rvb i="7184"/>
        </ext>
      </extLst>
    </bk>
    <bk>
      <extLst>
        <ext uri="{3e2802c4-a4d2-4d8b-9148-e3be6c30e623}">
          <xlrd:rvb i="7185"/>
        </ext>
      </extLst>
    </bk>
    <bk>
      <extLst>
        <ext uri="{3e2802c4-a4d2-4d8b-9148-e3be6c30e623}">
          <xlrd:rvb i="7186"/>
        </ext>
      </extLst>
    </bk>
    <bk>
      <extLst>
        <ext uri="{3e2802c4-a4d2-4d8b-9148-e3be6c30e623}">
          <xlrd:rvb i="7187"/>
        </ext>
      </extLst>
    </bk>
    <bk>
      <extLst>
        <ext uri="{3e2802c4-a4d2-4d8b-9148-e3be6c30e623}">
          <xlrd:rvb i="7188"/>
        </ext>
      </extLst>
    </bk>
    <bk>
      <extLst>
        <ext uri="{3e2802c4-a4d2-4d8b-9148-e3be6c30e623}">
          <xlrd:rvb i="7189"/>
        </ext>
      </extLst>
    </bk>
    <bk>
      <extLst>
        <ext uri="{3e2802c4-a4d2-4d8b-9148-e3be6c30e623}">
          <xlrd:rvb i="7190"/>
        </ext>
      </extLst>
    </bk>
    <bk>
      <extLst>
        <ext uri="{3e2802c4-a4d2-4d8b-9148-e3be6c30e623}">
          <xlrd:rvb i="7191"/>
        </ext>
      </extLst>
    </bk>
    <bk>
      <extLst>
        <ext uri="{3e2802c4-a4d2-4d8b-9148-e3be6c30e623}">
          <xlrd:rvb i="7192"/>
        </ext>
      </extLst>
    </bk>
    <bk>
      <extLst>
        <ext uri="{3e2802c4-a4d2-4d8b-9148-e3be6c30e623}">
          <xlrd:rvb i="7193"/>
        </ext>
      </extLst>
    </bk>
    <bk>
      <extLst>
        <ext uri="{3e2802c4-a4d2-4d8b-9148-e3be6c30e623}">
          <xlrd:rvb i="7194"/>
        </ext>
      </extLst>
    </bk>
    <bk>
      <extLst>
        <ext uri="{3e2802c4-a4d2-4d8b-9148-e3be6c30e623}">
          <xlrd:rvb i="7195"/>
        </ext>
      </extLst>
    </bk>
    <bk>
      <extLst>
        <ext uri="{3e2802c4-a4d2-4d8b-9148-e3be6c30e623}">
          <xlrd:rvb i="7196"/>
        </ext>
      </extLst>
    </bk>
    <bk>
      <extLst>
        <ext uri="{3e2802c4-a4d2-4d8b-9148-e3be6c30e623}">
          <xlrd:rvb i="7197"/>
        </ext>
      </extLst>
    </bk>
    <bk>
      <extLst>
        <ext uri="{3e2802c4-a4d2-4d8b-9148-e3be6c30e623}">
          <xlrd:rvb i="7198"/>
        </ext>
      </extLst>
    </bk>
    <bk>
      <extLst>
        <ext uri="{3e2802c4-a4d2-4d8b-9148-e3be6c30e623}">
          <xlrd:rvb i="7199"/>
        </ext>
      </extLst>
    </bk>
    <bk>
      <extLst>
        <ext uri="{3e2802c4-a4d2-4d8b-9148-e3be6c30e623}">
          <xlrd:rvb i="7200"/>
        </ext>
      </extLst>
    </bk>
    <bk>
      <extLst>
        <ext uri="{3e2802c4-a4d2-4d8b-9148-e3be6c30e623}">
          <xlrd:rvb i="7201"/>
        </ext>
      </extLst>
    </bk>
    <bk>
      <extLst>
        <ext uri="{3e2802c4-a4d2-4d8b-9148-e3be6c30e623}">
          <xlrd:rvb i="7202"/>
        </ext>
      </extLst>
    </bk>
    <bk>
      <extLst>
        <ext uri="{3e2802c4-a4d2-4d8b-9148-e3be6c30e623}">
          <xlrd:rvb i="7203"/>
        </ext>
      </extLst>
    </bk>
    <bk>
      <extLst>
        <ext uri="{3e2802c4-a4d2-4d8b-9148-e3be6c30e623}">
          <xlrd:rvb i="7204"/>
        </ext>
      </extLst>
    </bk>
    <bk>
      <extLst>
        <ext uri="{3e2802c4-a4d2-4d8b-9148-e3be6c30e623}">
          <xlrd:rvb i="7205"/>
        </ext>
      </extLst>
    </bk>
    <bk>
      <extLst>
        <ext uri="{3e2802c4-a4d2-4d8b-9148-e3be6c30e623}">
          <xlrd:rvb i="7206"/>
        </ext>
      </extLst>
    </bk>
    <bk>
      <extLst>
        <ext uri="{3e2802c4-a4d2-4d8b-9148-e3be6c30e623}">
          <xlrd:rvb i="7207"/>
        </ext>
      </extLst>
    </bk>
    <bk>
      <extLst>
        <ext uri="{3e2802c4-a4d2-4d8b-9148-e3be6c30e623}">
          <xlrd:rvb i="7208"/>
        </ext>
      </extLst>
    </bk>
    <bk>
      <extLst>
        <ext uri="{3e2802c4-a4d2-4d8b-9148-e3be6c30e623}">
          <xlrd:rvb i="7209"/>
        </ext>
      </extLst>
    </bk>
    <bk>
      <extLst>
        <ext uri="{3e2802c4-a4d2-4d8b-9148-e3be6c30e623}">
          <xlrd:rvb i="7210"/>
        </ext>
      </extLst>
    </bk>
    <bk>
      <extLst>
        <ext uri="{3e2802c4-a4d2-4d8b-9148-e3be6c30e623}">
          <xlrd:rvb i="7211"/>
        </ext>
      </extLst>
    </bk>
    <bk>
      <extLst>
        <ext uri="{3e2802c4-a4d2-4d8b-9148-e3be6c30e623}">
          <xlrd:rvb i="7212"/>
        </ext>
      </extLst>
    </bk>
    <bk>
      <extLst>
        <ext uri="{3e2802c4-a4d2-4d8b-9148-e3be6c30e623}">
          <xlrd:rvb i="7213"/>
        </ext>
      </extLst>
    </bk>
    <bk>
      <extLst>
        <ext uri="{3e2802c4-a4d2-4d8b-9148-e3be6c30e623}">
          <xlrd:rvb i="7214"/>
        </ext>
      </extLst>
    </bk>
    <bk>
      <extLst>
        <ext uri="{3e2802c4-a4d2-4d8b-9148-e3be6c30e623}">
          <xlrd:rvb i="7215"/>
        </ext>
      </extLst>
    </bk>
    <bk>
      <extLst>
        <ext uri="{3e2802c4-a4d2-4d8b-9148-e3be6c30e623}">
          <xlrd:rvb i="7216"/>
        </ext>
      </extLst>
    </bk>
    <bk>
      <extLst>
        <ext uri="{3e2802c4-a4d2-4d8b-9148-e3be6c30e623}">
          <xlrd:rvb i="7217"/>
        </ext>
      </extLst>
    </bk>
    <bk>
      <extLst>
        <ext uri="{3e2802c4-a4d2-4d8b-9148-e3be6c30e623}">
          <xlrd:rvb i="7218"/>
        </ext>
      </extLst>
    </bk>
    <bk>
      <extLst>
        <ext uri="{3e2802c4-a4d2-4d8b-9148-e3be6c30e623}">
          <xlrd:rvb i="7219"/>
        </ext>
      </extLst>
    </bk>
    <bk>
      <extLst>
        <ext uri="{3e2802c4-a4d2-4d8b-9148-e3be6c30e623}">
          <xlrd:rvb i="7220"/>
        </ext>
      </extLst>
    </bk>
    <bk>
      <extLst>
        <ext uri="{3e2802c4-a4d2-4d8b-9148-e3be6c30e623}">
          <xlrd:rvb i="7221"/>
        </ext>
      </extLst>
    </bk>
    <bk>
      <extLst>
        <ext uri="{3e2802c4-a4d2-4d8b-9148-e3be6c30e623}">
          <xlrd:rvb i="7222"/>
        </ext>
      </extLst>
    </bk>
    <bk>
      <extLst>
        <ext uri="{3e2802c4-a4d2-4d8b-9148-e3be6c30e623}">
          <xlrd:rvb i="7223"/>
        </ext>
      </extLst>
    </bk>
    <bk>
      <extLst>
        <ext uri="{3e2802c4-a4d2-4d8b-9148-e3be6c30e623}">
          <xlrd:rvb i="7224"/>
        </ext>
      </extLst>
    </bk>
    <bk>
      <extLst>
        <ext uri="{3e2802c4-a4d2-4d8b-9148-e3be6c30e623}">
          <xlrd:rvb i="7225"/>
        </ext>
      </extLst>
    </bk>
    <bk>
      <extLst>
        <ext uri="{3e2802c4-a4d2-4d8b-9148-e3be6c30e623}">
          <xlrd:rvb i="7226"/>
        </ext>
      </extLst>
    </bk>
    <bk>
      <extLst>
        <ext uri="{3e2802c4-a4d2-4d8b-9148-e3be6c30e623}">
          <xlrd:rvb i="7227"/>
        </ext>
      </extLst>
    </bk>
    <bk>
      <extLst>
        <ext uri="{3e2802c4-a4d2-4d8b-9148-e3be6c30e623}">
          <xlrd:rvb i="7228"/>
        </ext>
      </extLst>
    </bk>
    <bk>
      <extLst>
        <ext uri="{3e2802c4-a4d2-4d8b-9148-e3be6c30e623}">
          <xlrd:rvb i="7229"/>
        </ext>
      </extLst>
    </bk>
    <bk>
      <extLst>
        <ext uri="{3e2802c4-a4d2-4d8b-9148-e3be6c30e623}">
          <xlrd:rvb i="7230"/>
        </ext>
      </extLst>
    </bk>
    <bk>
      <extLst>
        <ext uri="{3e2802c4-a4d2-4d8b-9148-e3be6c30e623}">
          <xlrd:rvb i="7231"/>
        </ext>
      </extLst>
    </bk>
    <bk>
      <extLst>
        <ext uri="{3e2802c4-a4d2-4d8b-9148-e3be6c30e623}">
          <xlrd:rvb i="7232"/>
        </ext>
      </extLst>
    </bk>
    <bk>
      <extLst>
        <ext uri="{3e2802c4-a4d2-4d8b-9148-e3be6c30e623}">
          <xlrd:rvb i="7233"/>
        </ext>
      </extLst>
    </bk>
    <bk>
      <extLst>
        <ext uri="{3e2802c4-a4d2-4d8b-9148-e3be6c30e623}">
          <xlrd:rvb i="7234"/>
        </ext>
      </extLst>
    </bk>
    <bk>
      <extLst>
        <ext uri="{3e2802c4-a4d2-4d8b-9148-e3be6c30e623}">
          <xlrd:rvb i="7235"/>
        </ext>
      </extLst>
    </bk>
    <bk>
      <extLst>
        <ext uri="{3e2802c4-a4d2-4d8b-9148-e3be6c30e623}">
          <xlrd:rvb i="7236"/>
        </ext>
      </extLst>
    </bk>
    <bk>
      <extLst>
        <ext uri="{3e2802c4-a4d2-4d8b-9148-e3be6c30e623}">
          <xlrd:rvb i="7237"/>
        </ext>
      </extLst>
    </bk>
    <bk>
      <extLst>
        <ext uri="{3e2802c4-a4d2-4d8b-9148-e3be6c30e623}">
          <xlrd:rvb i="7238"/>
        </ext>
      </extLst>
    </bk>
    <bk>
      <extLst>
        <ext uri="{3e2802c4-a4d2-4d8b-9148-e3be6c30e623}">
          <xlrd:rvb i="7239"/>
        </ext>
      </extLst>
    </bk>
    <bk>
      <extLst>
        <ext uri="{3e2802c4-a4d2-4d8b-9148-e3be6c30e623}">
          <xlrd:rvb i="7240"/>
        </ext>
      </extLst>
    </bk>
    <bk>
      <extLst>
        <ext uri="{3e2802c4-a4d2-4d8b-9148-e3be6c30e623}">
          <xlrd:rvb i="7241"/>
        </ext>
      </extLst>
    </bk>
    <bk>
      <extLst>
        <ext uri="{3e2802c4-a4d2-4d8b-9148-e3be6c30e623}">
          <xlrd:rvb i="7242"/>
        </ext>
      </extLst>
    </bk>
    <bk>
      <extLst>
        <ext uri="{3e2802c4-a4d2-4d8b-9148-e3be6c30e623}">
          <xlrd:rvb i="7243"/>
        </ext>
      </extLst>
    </bk>
    <bk>
      <extLst>
        <ext uri="{3e2802c4-a4d2-4d8b-9148-e3be6c30e623}">
          <xlrd:rvb i="7244"/>
        </ext>
      </extLst>
    </bk>
    <bk>
      <extLst>
        <ext uri="{3e2802c4-a4d2-4d8b-9148-e3be6c30e623}">
          <xlrd:rvb i="7245"/>
        </ext>
      </extLst>
    </bk>
    <bk>
      <extLst>
        <ext uri="{3e2802c4-a4d2-4d8b-9148-e3be6c30e623}">
          <xlrd:rvb i="7246"/>
        </ext>
      </extLst>
    </bk>
    <bk>
      <extLst>
        <ext uri="{3e2802c4-a4d2-4d8b-9148-e3be6c30e623}">
          <xlrd:rvb i="7247"/>
        </ext>
      </extLst>
    </bk>
    <bk>
      <extLst>
        <ext uri="{3e2802c4-a4d2-4d8b-9148-e3be6c30e623}">
          <xlrd:rvb i="7248"/>
        </ext>
      </extLst>
    </bk>
    <bk>
      <extLst>
        <ext uri="{3e2802c4-a4d2-4d8b-9148-e3be6c30e623}">
          <xlrd:rvb i="7249"/>
        </ext>
      </extLst>
    </bk>
    <bk>
      <extLst>
        <ext uri="{3e2802c4-a4d2-4d8b-9148-e3be6c30e623}">
          <xlrd:rvb i="7250"/>
        </ext>
      </extLst>
    </bk>
    <bk>
      <extLst>
        <ext uri="{3e2802c4-a4d2-4d8b-9148-e3be6c30e623}">
          <xlrd:rvb i="7251"/>
        </ext>
      </extLst>
    </bk>
    <bk>
      <extLst>
        <ext uri="{3e2802c4-a4d2-4d8b-9148-e3be6c30e623}">
          <xlrd:rvb i="7252"/>
        </ext>
      </extLst>
    </bk>
    <bk>
      <extLst>
        <ext uri="{3e2802c4-a4d2-4d8b-9148-e3be6c30e623}">
          <xlrd:rvb i="7253"/>
        </ext>
      </extLst>
    </bk>
    <bk>
      <extLst>
        <ext uri="{3e2802c4-a4d2-4d8b-9148-e3be6c30e623}">
          <xlrd:rvb i="7254"/>
        </ext>
      </extLst>
    </bk>
    <bk>
      <extLst>
        <ext uri="{3e2802c4-a4d2-4d8b-9148-e3be6c30e623}">
          <xlrd:rvb i="7255"/>
        </ext>
      </extLst>
    </bk>
    <bk>
      <extLst>
        <ext uri="{3e2802c4-a4d2-4d8b-9148-e3be6c30e623}">
          <xlrd:rvb i="7256"/>
        </ext>
      </extLst>
    </bk>
    <bk>
      <extLst>
        <ext uri="{3e2802c4-a4d2-4d8b-9148-e3be6c30e623}">
          <xlrd:rvb i="7257"/>
        </ext>
      </extLst>
    </bk>
    <bk>
      <extLst>
        <ext uri="{3e2802c4-a4d2-4d8b-9148-e3be6c30e623}">
          <xlrd:rvb i="7258"/>
        </ext>
      </extLst>
    </bk>
    <bk>
      <extLst>
        <ext uri="{3e2802c4-a4d2-4d8b-9148-e3be6c30e623}">
          <xlrd:rvb i="7259"/>
        </ext>
      </extLst>
    </bk>
    <bk>
      <extLst>
        <ext uri="{3e2802c4-a4d2-4d8b-9148-e3be6c30e623}">
          <xlrd:rvb i="7260"/>
        </ext>
      </extLst>
    </bk>
    <bk>
      <extLst>
        <ext uri="{3e2802c4-a4d2-4d8b-9148-e3be6c30e623}">
          <xlrd:rvb i="7261"/>
        </ext>
      </extLst>
    </bk>
    <bk>
      <extLst>
        <ext uri="{3e2802c4-a4d2-4d8b-9148-e3be6c30e623}">
          <xlrd:rvb i="7262"/>
        </ext>
      </extLst>
    </bk>
    <bk>
      <extLst>
        <ext uri="{3e2802c4-a4d2-4d8b-9148-e3be6c30e623}">
          <xlrd:rvb i="7263"/>
        </ext>
      </extLst>
    </bk>
    <bk>
      <extLst>
        <ext uri="{3e2802c4-a4d2-4d8b-9148-e3be6c30e623}">
          <xlrd:rvb i="7264"/>
        </ext>
      </extLst>
    </bk>
    <bk>
      <extLst>
        <ext uri="{3e2802c4-a4d2-4d8b-9148-e3be6c30e623}">
          <xlrd:rvb i="7265"/>
        </ext>
      </extLst>
    </bk>
    <bk>
      <extLst>
        <ext uri="{3e2802c4-a4d2-4d8b-9148-e3be6c30e623}">
          <xlrd:rvb i="7266"/>
        </ext>
      </extLst>
    </bk>
    <bk>
      <extLst>
        <ext uri="{3e2802c4-a4d2-4d8b-9148-e3be6c30e623}">
          <xlrd:rvb i="7267"/>
        </ext>
      </extLst>
    </bk>
    <bk>
      <extLst>
        <ext uri="{3e2802c4-a4d2-4d8b-9148-e3be6c30e623}">
          <xlrd:rvb i="7268"/>
        </ext>
      </extLst>
    </bk>
    <bk>
      <extLst>
        <ext uri="{3e2802c4-a4d2-4d8b-9148-e3be6c30e623}">
          <xlrd:rvb i="7269"/>
        </ext>
      </extLst>
    </bk>
    <bk>
      <extLst>
        <ext uri="{3e2802c4-a4d2-4d8b-9148-e3be6c30e623}">
          <xlrd:rvb i="7270"/>
        </ext>
      </extLst>
    </bk>
    <bk>
      <extLst>
        <ext uri="{3e2802c4-a4d2-4d8b-9148-e3be6c30e623}">
          <xlrd:rvb i="7271"/>
        </ext>
      </extLst>
    </bk>
    <bk>
      <extLst>
        <ext uri="{3e2802c4-a4d2-4d8b-9148-e3be6c30e623}">
          <xlrd:rvb i="7272"/>
        </ext>
      </extLst>
    </bk>
    <bk>
      <extLst>
        <ext uri="{3e2802c4-a4d2-4d8b-9148-e3be6c30e623}">
          <xlrd:rvb i="7273"/>
        </ext>
      </extLst>
    </bk>
    <bk>
      <extLst>
        <ext uri="{3e2802c4-a4d2-4d8b-9148-e3be6c30e623}">
          <xlrd:rvb i="7274"/>
        </ext>
      </extLst>
    </bk>
    <bk>
      <extLst>
        <ext uri="{3e2802c4-a4d2-4d8b-9148-e3be6c30e623}">
          <xlrd:rvb i="7275"/>
        </ext>
      </extLst>
    </bk>
    <bk>
      <extLst>
        <ext uri="{3e2802c4-a4d2-4d8b-9148-e3be6c30e623}">
          <xlrd:rvb i="7276"/>
        </ext>
      </extLst>
    </bk>
    <bk>
      <extLst>
        <ext uri="{3e2802c4-a4d2-4d8b-9148-e3be6c30e623}">
          <xlrd:rvb i="7277"/>
        </ext>
      </extLst>
    </bk>
    <bk>
      <extLst>
        <ext uri="{3e2802c4-a4d2-4d8b-9148-e3be6c30e623}">
          <xlrd:rvb i="7278"/>
        </ext>
      </extLst>
    </bk>
    <bk>
      <extLst>
        <ext uri="{3e2802c4-a4d2-4d8b-9148-e3be6c30e623}">
          <xlrd:rvb i="7279"/>
        </ext>
      </extLst>
    </bk>
    <bk>
      <extLst>
        <ext uri="{3e2802c4-a4d2-4d8b-9148-e3be6c30e623}">
          <xlrd:rvb i="7280"/>
        </ext>
      </extLst>
    </bk>
    <bk>
      <extLst>
        <ext uri="{3e2802c4-a4d2-4d8b-9148-e3be6c30e623}">
          <xlrd:rvb i="7281"/>
        </ext>
      </extLst>
    </bk>
    <bk>
      <extLst>
        <ext uri="{3e2802c4-a4d2-4d8b-9148-e3be6c30e623}">
          <xlrd:rvb i="7282"/>
        </ext>
      </extLst>
    </bk>
    <bk>
      <extLst>
        <ext uri="{3e2802c4-a4d2-4d8b-9148-e3be6c30e623}">
          <xlrd:rvb i="7283"/>
        </ext>
      </extLst>
    </bk>
    <bk>
      <extLst>
        <ext uri="{3e2802c4-a4d2-4d8b-9148-e3be6c30e623}">
          <xlrd:rvb i="7284"/>
        </ext>
      </extLst>
    </bk>
    <bk>
      <extLst>
        <ext uri="{3e2802c4-a4d2-4d8b-9148-e3be6c30e623}">
          <xlrd:rvb i="7285"/>
        </ext>
      </extLst>
    </bk>
    <bk>
      <extLst>
        <ext uri="{3e2802c4-a4d2-4d8b-9148-e3be6c30e623}">
          <xlrd:rvb i="7286"/>
        </ext>
      </extLst>
    </bk>
    <bk>
      <extLst>
        <ext uri="{3e2802c4-a4d2-4d8b-9148-e3be6c30e623}">
          <xlrd:rvb i="7287"/>
        </ext>
      </extLst>
    </bk>
    <bk>
      <extLst>
        <ext uri="{3e2802c4-a4d2-4d8b-9148-e3be6c30e623}">
          <xlrd:rvb i="7288"/>
        </ext>
      </extLst>
    </bk>
    <bk>
      <extLst>
        <ext uri="{3e2802c4-a4d2-4d8b-9148-e3be6c30e623}">
          <xlrd:rvb i="7289"/>
        </ext>
      </extLst>
    </bk>
    <bk>
      <extLst>
        <ext uri="{3e2802c4-a4d2-4d8b-9148-e3be6c30e623}">
          <xlrd:rvb i="7290"/>
        </ext>
      </extLst>
    </bk>
    <bk>
      <extLst>
        <ext uri="{3e2802c4-a4d2-4d8b-9148-e3be6c30e623}">
          <xlrd:rvb i="7291"/>
        </ext>
      </extLst>
    </bk>
    <bk>
      <extLst>
        <ext uri="{3e2802c4-a4d2-4d8b-9148-e3be6c30e623}">
          <xlrd:rvb i="7292"/>
        </ext>
      </extLst>
    </bk>
    <bk>
      <extLst>
        <ext uri="{3e2802c4-a4d2-4d8b-9148-e3be6c30e623}">
          <xlrd:rvb i="7293"/>
        </ext>
      </extLst>
    </bk>
    <bk>
      <extLst>
        <ext uri="{3e2802c4-a4d2-4d8b-9148-e3be6c30e623}">
          <xlrd:rvb i="7294"/>
        </ext>
      </extLst>
    </bk>
    <bk>
      <extLst>
        <ext uri="{3e2802c4-a4d2-4d8b-9148-e3be6c30e623}">
          <xlrd:rvb i="7295"/>
        </ext>
      </extLst>
    </bk>
    <bk>
      <extLst>
        <ext uri="{3e2802c4-a4d2-4d8b-9148-e3be6c30e623}">
          <xlrd:rvb i="7296"/>
        </ext>
      </extLst>
    </bk>
    <bk>
      <extLst>
        <ext uri="{3e2802c4-a4d2-4d8b-9148-e3be6c30e623}">
          <xlrd:rvb i="7297"/>
        </ext>
      </extLst>
    </bk>
    <bk>
      <extLst>
        <ext uri="{3e2802c4-a4d2-4d8b-9148-e3be6c30e623}">
          <xlrd:rvb i="7298"/>
        </ext>
      </extLst>
    </bk>
    <bk>
      <extLst>
        <ext uri="{3e2802c4-a4d2-4d8b-9148-e3be6c30e623}">
          <xlrd:rvb i="7299"/>
        </ext>
      </extLst>
    </bk>
    <bk>
      <extLst>
        <ext uri="{3e2802c4-a4d2-4d8b-9148-e3be6c30e623}">
          <xlrd:rvb i="7300"/>
        </ext>
      </extLst>
    </bk>
    <bk>
      <extLst>
        <ext uri="{3e2802c4-a4d2-4d8b-9148-e3be6c30e623}">
          <xlrd:rvb i="7301"/>
        </ext>
      </extLst>
    </bk>
    <bk>
      <extLst>
        <ext uri="{3e2802c4-a4d2-4d8b-9148-e3be6c30e623}">
          <xlrd:rvb i="7302"/>
        </ext>
      </extLst>
    </bk>
    <bk>
      <extLst>
        <ext uri="{3e2802c4-a4d2-4d8b-9148-e3be6c30e623}">
          <xlrd:rvb i="7303"/>
        </ext>
      </extLst>
    </bk>
    <bk>
      <extLst>
        <ext uri="{3e2802c4-a4d2-4d8b-9148-e3be6c30e623}">
          <xlrd:rvb i="7304"/>
        </ext>
      </extLst>
    </bk>
    <bk>
      <extLst>
        <ext uri="{3e2802c4-a4d2-4d8b-9148-e3be6c30e623}">
          <xlrd:rvb i="7305"/>
        </ext>
      </extLst>
    </bk>
    <bk>
      <extLst>
        <ext uri="{3e2802c4-a4d2-4d8b-9148-e3be6c30e623}">
          <xlrd:rvb i="7306"/>
        </ext>
      </extLst>
    </bk>
    <bk>
      <extLst>
        <ext uri="{3e2802c4-a4d2-4d8b-9148-e3be6c30e623}">
          <xlrd:rvb i="7307"/>
        </ext>
      </extLst>
    </bk>
    <bk>
      <extLst>
        <ext uri="{3e2802c4-a4d2-4d8b-9148-e3be6c30e623}">
          <xlrd:rvb i="7308"/>
        </ext>
      </extLst>
    </bk>
    <bk>
      <extLst>
        <ext uri="{3e2802c4-a4d2-4d8b-9148-e3be6c30e623}">
          <xlrd:rvb i="7309"/>
        </ext>
      </extLst>
    </bk>
    <bk>
      <extLst>
        <ext uri="{3e2802c4-a4d2-4d8b-9148-e3be6c30e623}">
          <xlrd:rvb i="7310"/>
        </ext>
      </extLst>
    </bk>
    <bk>
      <extLst>
        <ext uri="{3e2802c4-a4d2-4d8b-9148-e3be6c30e623}">
          <xlrd:rvb i="7311"/>
        </ext>
      </extLst>
    </bk>
    <bk>
      <extLst>
        <ext uri="{3e2802c4-a4d2-4d8b-9148-e3be6c30e623}">
          <xlrd:rvb i="7312"/>
        </ext>
      </extLst>
    </bk>
    <bk>
      <extLst>
        <ext uri="{3e2802c4-a4d2-4d8b-9148-e3be6c30e623}">
          <xlrd:rvb i="7313"/>
        </ext>
      </extLst>
    </bk>
    <bk>
      <extLst>
        <ext uri="{3e2802c4-a4d2-4d8b-9148-e3be6c30e623}">
          <xlrd:rvb i="7314"/>
        </ext>
      </extLst>
    </bk>
    <bk>
      <extLst>
        <ext uri="{3e2802c4-a4d2-4d8b-9148-e3be6c30e623}">
          <xlrd:rvb i="7315"/>
        </ext>
      </extLst>
    </bk>
    <bk>
      <extLst>
        <ext uri="{3e2802c4-a4d2-4d8b-9148-e3be6c30e623}">
          <xlrd:rvb i="7316"/>
        </ext>
      </extLst>
    </bk>
    <bk>
      <extLst>
        <ext uri="{3e2802c4-a4d2-4d8b-9148-e3be6c30e623}">
          <xlrd:rvb i="7317"/>
        </ext>
      </extLst>
    </bk>
    <bk>
      <extLst>
        <ext uri="{3e2802c4-a4d2-4d8b-9148-e3be6c30e623}">
          <xlrd:rvb i="7318"/>
        </ext>
      </extLst>
    </bk>
    <bk>
      <extLst>
        <ext uri="{3e2802c4-a4d2-4d8b-9148-e3be6c30e623}">
          <xlrd:rvb i="7319"/>
        </ext>
      </extLst>
    </bk>
    <bk>
      <extLst>
        <ext uri="{3e2802c4-a4d2-4d8b-9148-e3be6c30e623}">
          <xlrd:rvb i="7320"/>
        </ext>
      </extLst>
    </bk>
    <bk>
      <extLst>
        <ext uri="{3e2802c4-a4d2-4d8b-9148-e3be6c30e623}">
          <xlrd:rvb i="7321"/>
        </ext>
      </extLst>
    </bk>
    <bk>
      <extLst>
        <ext uri="{3e2802c4-a4d2-4d8b-9148-e3be6c30e623}">
          <xlrd:rvb i="7322"/>
        </ext>
      </extLst>
    </bk>
    <bk>
      <extLst>
        <ext uri="{3e2802c4-a4d2-4d8b-9148-e3be6c30e623}">
          <xlrd:rvb i="7323"/>
        </ext>
      </extLst>
    </bk>
    <bk>
      <extLst>
        <ext uri="{3e2802c4-a4d2-4d8b-9148-e3be6c30e623}">
          <xlrd:rvb i="7324"/>
        </ext>
      </extLst>
    </bk>
    <bk>
      <extLst>
        <ext uri="{3e2802c4-a4d2-4d8b-9148-e3be6c30e623}">
          <xlrd:rvb i="7325"/>
        </ext>
      </extLst>
    </bk>
    <bk>
      <extLst>
        <ext uri="{3e2802c4-a4d2-4d8b-9148-e3be6c30e623}">
          <xlrd:rvb i="7326"/>
        </ext>
      </extLst>
    </bk>
    <bk>
      <extLst>
        <ext uri="{3e2802c4-a4d2-4d8b-9148-e3be6c30e623}">
          <xlrd:rvb i="7327"/>
        </ext>
      </extLst>
    </bk>
    <bk>
      <extLst>
        <ext uri="{3e2802c4-a4d2-4d8b-9148-e3be6c30e623}">
          <xlrd:rvb i="7328"/>
        </ext>
      </extLst>
    </bk>
    <bk>
      <extLst>
        <ext uri="{3e2802c4-a4d2-4d8b-9148-e3be6c30e623}">
          <xlrd:rvb i="7329"/>
        </ext>
      </extLst>
    </bk>
    <bk>
      <extLst>
        <ext uri="{3e2802c4-a4d2-4d8b-9148-e3be6c30e623}">
          <xlrd:rvb i="7330"/>
        </ext>
      </extLst>
    </bk>
    <bk>
      <extLst>
        <ext uri="{3e2802c4-a4d2-4d8b-9148-e3be6c30e623}">
          <xlrd:rvb i="7331"/>
        </ext>
      </extLst>
    </bk>
    <bk>
      <extLst>
        <ext uri="{3e2802c4-a4d2-4d8b-9148-e3be6c30e623}">
          <xlrd:rvb i="7332"/>
        </ext>
      </extLst>
    </bk>
    <bk>
      <extLst>
        <ext uri="{3e2802c4-a4d2-4d8b-9148-e3be6c30e623}">
          <xlrd:rvb i="7333"/>
        </ext>
      </extLst>
    </bk>
    <bk>
      <extLst>
        <ext uri="{3e2802c4-a4d2-4d8b-9148-e3be6c30e623}">
          <xlrd:rvb i="7334"/>
        </ext>
      </extLst>
    </bk>
    <bk>
      <extLst>
        <ext uri="{3e2802c4-a4d2-4d8b-9148-e3be6c30e623}">
          <xlrd:rvb i="7335"/>
        </ext>
      </extLst>
    </bk>
    <bk>
      <extLst>
        <ext uri="{3e2802c4-a4d2-4d8b-9148-e3be6c30e623}">
          <xlrd:rvb i="7336"/>
        </ext>
      </extLst>
    </bk>
    <bk>
      <extLst>
        <ext uri="{3e2802c4-a4d2-4d8b-9148-e3be6c30e623}">
          <xlrd:rvb i="7337"/>
        </ext>
      </extLst>
    </bk>
    <bk>
      <extLst>
        <ext uri="{3e2802c4-a4d2-4d8b-9148-e3be6c30e623}">
          <xlrd:rvb i="7338"/>
        </ext>
      </extLst>
    </bk>
    <bk>
      <extLst>
        <ext uri="{3e2802c4-a4d2-4d8b-9148-e3be6c30e623}">
          <xlrd:rvb i="7339"/>
        </ext>
      </extLst>
    </bk>
    <bk>
      <extLst>
        <ext uri="{3e2802c4-a4d2-4d8b-9148-e3be6c30e623}">
          <xlrd:rvb i="7340"/>
        </ext>
      </extLst>
    </bk>
    <bk>
      <extLst>
        <ext uri="{3e2802c4-a4d2-4d8b-9148-e3be6c30e623}">
          <xlrd:rvb i="7341"/>
        </ext>
      </extLst>
    </bk>
    <bk>
      <extLst>
        <ext uri="{3e2802c4-a4d2-4d8b-9148-e3be6c30e623}">
          <xlrd:rvb i="7342"/>
        </ext>
      </extLst>
    </bk>
    <bk>
      <extLst>
        <ext uri="{3e2802c4-a4d2-4d8b-9148-e3be6c30e623}">
          <xlrd:rvb i="7343"/>
        </ext>
      </extLst>
    </bk>
    <bk>
      <extLst>
        <ext uri="{3e2802c4-a4d2-4d8b-9148-e3be6c30e623}">
          <xlrd:rvb i="7344"/>
        </ext>
      </extLst>
    </bk>
    <bk>
      <extLst>
        <ext uri="{3e2802c4-a4d2-4d8b-9148-e3be6c30e623}">
          <xlrd:rvb i="7345"/>
        </ext>
      </extLst>
    </bk>
    <bk>
      <extLst>
        <ext uri="{3e2802c4-a4d2-4d8b-9148-e3be6c30e623}">
          <xlrd:rvb i="7346"/>
        </ext>
      </extLst>
    </bk>
    <bk>
      <extLst>
        <ext uri="{3e2802c4-a4d2-4d8b-9148-e3be6c30e623}">
          <xlrd:rvb i="7347"/>
        </ext>
      </extLst>
    </bk>
    <bk>
      <extLst>
        <ext uri="{3e2802c4-a4d2-4d8b-9148-e3be6c30e623}">
          <xlrd:rvb i="7348"/>
        </ext>
      </extLst>
    </bk>
    <bk>
      <extLst>
        <ext uri="{3e2802c4-a4d2-4d8b-9148-e3be6c30e623}">
          <xlrd:rvb i="7349"/>
        </ext>
      </extLst>
    </bk>
    <bk>
      <extLst>
        <ext uri="{3e2802c4-a4d2-4d8b-9148-e3be6c30e623}">
          <xlrd:rvb i="7350"/>
        </ext>
      </extLst>
    </bk>
    <bk>
      <extLst>
        <ext uri="{3e2802c4-a4d2-4d8b-9148-e3be6c30e623}">
          <xlrd:rvb i="7351"/>
        </ext>
      </extLst>
    </bk>
    <bk>
      <extLst>
        <ext uri="{3e2802c4-a4d2-4d8b-9148-e3be6c30e623}">
          <xlrd:rvb i="7352"/>
        </ext>
      </extLst>
    </bk>
    <bk>
      <extLst>
        <ext uri="{3e2802c4-a4d2-4d8b-9148-e3be6c30e623}">
          <xlrd:rvb i="7353"/>
        </ext>
      </extLst>
    </bk>
    <bk>
      <extLst>
        <ext uri="{3e2802c4-a4d2-4d8b-9148-e3be6c30e623}">
          <xlrd:rvb i="7354"/>
        </ext>
      </extLst>
    </bk>
    <bk>
      <extLst>
        <ext uri="{3e2802c4-a4d2-4d8b-9148-e3be6c30e623}">
          <xlrd:rvb i="7355"/>
        </ext>
      </extLst>
    </bk>
    <bk>
      <extLst>
        <ext uri="{3e2802c4-a4d2-4d8b-9148-e3be6c30e623}">
          <xlrd:rvb i="7356"/>
        </ext>
      </extLst>
    </bk>
    <bk>
      <extLst>
        <ext uri="{3e2802c4-a4d2-4d8b-9148-e3be6c30e623}">
          <xlrd:rvb i="7357"/>
        </ext>
      </extLst>
    </bk>
    <bk>
      <extLst>
        <ext uri="{3e2802c4-a4d2-4d8b-9148-e3be6c30e623}">
          <xlrd:rvb i="7358"/>
        </ext>
      </extLst>
    </bk>
    <bk>
      <extLst>
        <ext uri="{3e2802c4-a4d2-4d8b-9148-e3be6c30e623}">
          <xlrd:rvb i="7359"/>
        </ext>
      </extLst>
    </bk>
    <bk>
      <extLst>
        <ext uri="{3e2802c4-a4d2-4d8b-9148-e3be6c30e623}">
          <xlrd:rvb i="7360"/>
        </ext>
      </extLst>
    </bk>
    <bk>
      <extLst>
        <ext uri="{3e2802c4-a4d2-4d8b-9148-e3be6c30e623}">
          <xlrd:rvb i="7361"/>
        </ext>
      </extLst>
    </bk>
    <bk>
      <extLst>
        <ext uri="{3e2802c4-a4d2-4d8b-9148-e3be6c30e623}">
          <xlrd:rvb i="7362"/>
        </ext>
      </extLst>
    </bk>
    <bk>
      <extLst>
        <ext uri="{3e2802c4-a4d2-4d8b-9148-e3be6c30e623}">
          <xlrd:rvb i="7363"/>
        </ext>
      </extLst>
    </bk>
    <bk>
      <extLst>
        <ext uri="{3e2802c4-a4d2-4d8b-9148-e3be6c30e623}">
          <xlrd:rvb i="7364"/>
        </ext>
      </extLst>
    </bk>
    <bk>
      <extLst>
        <ext uri="{3e2802c4-a4d2-4d8b-9148-e3be6c30e623}">
          <xlrd:rvb i="7365"/>
        </ext>
      </extLst>
    </bk>
    <bk>
      <extLst>
        <ext uri="{3e2802c4-a4d2-4d8b-9148-e3be6c30e623}">
          <xlrd:rvb i="7366"/>
        </ext>
      </extLst>
    </bk>
    <bk>
      <extLst>
        <ext uri="{3e2802c4-a4d2-4d8b-9148-e3be6c30e623}">
          <xlrd:rvb i="7367"/>
        </ext>
      </extLst>
    </bk>
    <bk>
      <extLst>
        <ext uri="{3e2802c4-a4d2-4d8b-9148-e3be6c30e623}">
          <xlrd:rvb i="7368"/>
        </ext>
      </extLst>
    </bk>
    <bk>
      <extLst>
        <ext uri="{3e2802c4-a4d2-4d8b-9148-e3be6c30e623}">
          <xlrd:rvb i="7369"/>
        </ext>
      </extLst>
    </bk>
    <bk>
      <extLst>
        <ext uri="{3e2802c4-a4d2-4d8b-9148-e3be6c30e623}">
          <xlrd:rvb i="7370"/>
        </ext>
      </extLst>
    </bk>
    <bk>
      <extLst>
        <ext uri="{3e2802c4-a4d2-4d8b-9148-e3be6c30e623}">
          <xlrd:rvb i="7371"/>
        </ext>
      </extLst>
    </bk>
    <bk>
      <extLst>
        <ext uri="{3e2802c4-a4d2-4d8b-9148-e3be6c30e623}">
          <xlrd:rvb i="7372"/>
        </ext>
      </extLst>
    </bk>
    <bk>
      <extLst>
        <ext uri="{3e2802c4-a4d2-4d8b-9148-e3be6c30e623}">
          <xlrd:rvb i="7373"/>
        </ext>
      </extLst>
    </bk>
    <bk>
      <extLst>
        <ext uri="{3e2802c4-a4d2-4d8b-9148-e3be6c30e623}">
          <xlrd:rvb i="7374"/>
        </ext>
      </extLst>
    </bk>
    <bk>
      <extLst>
        <ext uri="{3e2802c4-a4d2-4d8b-9148-e3be6c30e623}">
          <xlrd:rvb i="7375"/>
        </ext>
      </extLst>
    </bk>
    <bk>
      <extLst>
        <ext uri="{3e2802c4-a4d2-4d8b-9148-e3be6c30e623}">
          <xlrd:rvb i="7376"/>
        </ext>
      </extLst>
    </bk>
    <bk>
      <extLst>
        <ext uri="{3e2802c4-a4d2-4d8b-9148-e3be6c30e623}">
          <xlrd:rvb i="7377"/>
        </ext>
      </extLst>
    </bk>
    <bk>
      <extLst>
        <ext uri="{3e2802c4-a4d2-4d8b-9148-e3be6c30e623}">
          <xlrd:rvb i="7378"/>
        </ext>
      </extLst>
    </bk>
    <bk>
      <extLst>
        <ext uri="{3e2802c4-a4d2-4d8b-9148-e3be6c30e623}">
          <xlrd:rvb i="7379"/>
        </ext>
      </extLst>
    </bk>
    <bk>
      <extLst>
        <ext uri="{3e2802c4-a4d2-4d8b-9148-e3be6c30e623}">
          <xlrd:rvb i="7380"/>
        </ext>
      </extLst>
    </bk>
    <bk>
      <extLst>
        <ext uri="{3e2802c4-a4d2-4d8b-9148-e3be6c30e623}">
          <xlrd:rvb i="7381"/>
        </ext>
      </extLst>
    </bk>
    <bk>
      <extLst>
        <ext uri="{3e2802c4-a4d2-4d8b-9148-e3be6c30e623}">
          <xlrd:rvb i="7382"/>
        </ext>
      </extLst>
    </bk>
    <bk>
      <extLst>
        <ext uri="{3e2802c4-a4d2-4d8b-9148-e3be6c30e623}">
          <xlrd:rvb i="7383"/>
        </ext>
      </extLst>
    </bk>
    <bk>
      <extLst>
        <ext uri="{3e2802c4-a4d2-4d8b-9148-e3be6c30e623}">
          <xlrd:rvb i="7384"/>
        </ext>
      </extLst>
    </bk>
    <bk>
      <extLst>
        <ext uri="{3e2802c4-a4d2-4d8b-9148-e3be6c30e623}">
          <xlrd:rvb i="7385"/>
        </ext>
      </extLst>
    </bk>
    <bk>
      <extLst>
        <ext uri="{3e2802c4-a4d2-4d8b-9148-e3be6c30e623}">
          <xlrd:rvb i="7386"/>
        </ext>
      </extLst>
    </bk>
    <bk>
      <extLst>
        <ext uri="{3e2802c4-a4d2-4d8b-9148-e3be6c30e623}">
          <xlrd:rvb i="7387"/>
        </ext>
      </extLst>
    </bk>
    <bk>
      <extLst>
        <ext uri="{3e2802c4-a4d2-4d8b-9148-e3be6c30e623}">
          <xlrd:rvb i="7388"/>
        </ext>
      </extLst>
    </bk>
    <bk>
      <extLst>
        <ext uri="{3e2802c4-a4d2-4d8b-9148-e3be6c30e623}">
          <xlrd:rvb i="7389"/>
        </ext>
      </extLst>
    </bk>
    <bk>
      <extLst>
        <ext uri="{3e2802c4-a4d2-4d8b-9148-e3be6c30e623}">
          <xlrd:rvb i="7390"/>
        </ext>
      </extLst>
    </bk>
    <bk>
      <extLst>
        <ext uri="{3e2802c4-a4d2-4d8b-9148-e3be6c30e623}">
          <xlrd:rvb i="7391"/>
        </ext>
      </extLst>
    </bk>
    <bk>
      <extLst>
        <ext uri="{3e2802c4-a4d2-4d8b-9148-e3be6c30e623}">
          <xlrd:rvb i="7392"/>
        </ext>
      </extLst>
    </bk>
    <bk>
      <extLst>
        <ext uri="{3e2802c4-a4d2-4d8b-9148-e3be6c30e623}">
          <xlrd:rvb i="7393"/>
        </ext>
      </extLst>
    </bk>
    <bk>
      <extLst>
        <ext uri="{3e2802c4-a4d2-4d8b-9148-e3be6c30e623}">
          <xlrd:rvb i="7394"/>
        </ext>
      </extLst>
    </bk>
    <bk>
      <extLst>
        <ext uri="{3e2802c4-a4d2-4d8b-9148-e3be6c30e623}">
          <xlrd:rvb i="7395"/>
        </ext>
      </extLst>
    </bk>
    <bk>
      <extLst>
        <ext uri="{3e2802c4-a4d2-4d8b-9148-e3be6c30e623}">
          <xlrd:rvb i="7396"/>
        </ext>
      </extLst>
    </bk>
    <bk>
      <extLst>
        <ext uri="{3e2802c4-a4d2-4d8b-9148-e3be6c30e623}">
          <xlrd:rvb i="7397"/>
        </ext>
      </extLst>
    </bk>
    <bk>
      <extLst>
        <ext uri="{3e2802c4-a4d2-4d8b-9148-e3be6c30e623}">
          <xlrd:rvb i="7398"/>
        </ext>
      </extLst>
    </bk>
    <bk>
      <extLst>
        <ext uri="{3e2802c4-a4d2-4d8b-9148-e3be6c30e623}">
          <xlrd:rvb i="7399"/>
        </ext>
      </extLst>
    </bk>
    <bk>
      <extLst>
        <ext uri="{3e2802c4-a4d2-4d8b-9148-e3be6c30e623}">
          <xlrd:rvb i="7400"/>
        </ext>
      </extLst>
    </bk>
    <bk>
      <extLst>
        <ext uri="{3e2802c4-a4d2-4d8b-9148-e3be6c30e623}">
          <xlrd:rvb i="7401"/>
        </ext>
      </extLst>
    </bk>
    <bk>
      <extLst>
        <ext uri="{3e2802c4-a4d2-4d8b-9148-e3be6c30e623}">
          <xlrd:rvb i="7402"/>
        </ext>
      </extLst>
    </bk>
    <bk>
      <extLst>
        <ext uri="{3e2802c4-a4d2-4d8b-9148-e3be6c30e623}">
          <xlrd:rvb i="7403"/>
        </ext>
      </extLst>
    </bk>
    <bk>
      <extLst>
        <ext uri="{3e2802c4-a4d2-4d8b-9148-e3be6c30e623}">
          <xlrd:rvb i="7404"/>
        </ext>
      </extLst>
    </bk>
    <bk>
      <extLst>
        <ext uri="{3e2802c4-a4d2-4d8b-9148-e3be6c30e623}">
          <xlrd:rvb i="7405"/>
        </ext>
      </extLst>
    </bk>
    <bk>
      <extLst>
        <ext uri="{3e2802c4-a4d2-4d8b-9148-e3be6c30e623}">
          <xlrd:rvb i="7406"/>
        </ext>
      </extLst>
    </bk>
    <bk>
      <extLst>
        <ext uri="{3e2802c4-a4d2-4d8b-9148-e3be6c30e623}">
          <xlrd:rvb i="7407"/>
        </ext>
      </extLst>
    </bk>
    <bk>
      <extLst>
        <ext uri="{3e2802c4-a4d2-4d8b-9148-e3be6c30e623}">
          <xlrd:rvb i="7408"/>
        </ext>
      </extLst>
    </bk>
    <bk>
      <extLst>
        <ext uri="{3e2802c4-a4d2-4d8b-9148-e3be6c30e623}">
          <xlrd:rvb i="7409"/>
        </ext>
      </extLst>
    </bk>
    <bk>
      <extLst>
        <ext uri="{3e2802c4-a4d2-4d8b-9148-e3be6c30e623}">
          <xlrd:rvb i="7410"/>
        </ext>
      </extLst>
    </bk>
    <bk>
      <extLst>
        <ext uri="{3e2802c4-a4d2-4d8b-9148-e3be6c30e623}">
          <xlrd:rvb i="7411"/>
        </ext>
      </extLst>
    </bk>
    <bk>
      <extLst>
        <ext uri="{3e2802c4-a4d2-4d8b-9148-e3be6c30e623}">
          <xlrd:rvb i="7412"/>
        </ext>
      </extLst>
    </bk>
    <bk>
      <extLst>
        <ext uri="{3e2802c4-a4d2-4d8b-9148-e3be6c30e623}">
          <xlrd:rvb i="7413"/>
        </ext>
      </extLst>
    </bk>
    <bk>
      <extLst>
        <ext uri="{3e2802c4-a4d2-4d8b-9148-e3be6c30e623}">
          <xlrd:rvb i="7414"/>
        </ext>
      </extLst>
    </bk>
    <bk>
      <extLst>
        <ext uri="{3e2802c4-a4d2-4d8b-9148-e3be6c30e623}">
          <xlrd:rvb i="7415"/>
        </ext>
      </extLst>
    </bk>
    <bk>
      <extLst>
        <ext uri="{3e2802c4-a4d2-4d8b-9148-e3be6c30e623}">
          <xlrd:rvb i="7416"/>
        </ext>
      </extLst>
    </bk>
    <bk>
      <extLst>
        <ext uri="{3e2802c4-a4d2-4d8b-9148-e3be6c30e623}">
          <xlrd:rvb i="7417"/>
        </ext>
      </extLst>
    </bk>
    <bk>
      <extLst>
        <ext uri="{3e2802c4-a4d2-4d8b-9148-e3be6c30e623}">
          <xlrd:rvb i="7418"/>
        </ext>
      </extLst>
    </bk>
    <bk>
      <extLst>
        <ext uri="{3e2802c4-a4d2-4d8b-9148-e3be6c30e623}">
          <xlrd:rvb i="7419"/>
        </ext>
      </extLst>
    </bk>
    <bk>
      <extLst>
        <ext uri="{3e2802c4-a4d2-4d8b-9148-e3be6c30e623}">
          <xlrd:rvb i="7420"/>
        </ext>
      </extLst>
    </bk>
    <bk>
      <extLst>
        <ext uri="{3e2802c4-a4d2-4d8b-9148-e3be6c30e623}">
          <xlrd:rvb i="7421"/>
        </ext>
      </extLst>
    </bk>
    <bk>
      <extLst>
        <ext uri="{3e2802c4-a4d2-4d8b-9148-e3be6c30e623}">
          <xlrd:rvb i="7422"/>
        </ext>
      </extLst>
    </bk>
    <bk>
      <extLst>
        <ext uri="{3e2802c4-a4d2-4d8b-9148-e3be6c30e623}">
          <xlrd:rvb i="7423"/>
        </ext>
      </extLst>
    </bk>
    <bk>
      <extLst>
        <ext uri="{3e2802c4-a4d2-4d8b-9148-e3be6c30e623}">
          <xlrd:rvb i="7424"/>
        </ext>
      </extLst>
    </bk>
    <bk>
      <extLst>
        <ext uri="{3e2802c4-a4d2-4d8b-9148-e3be6c30e623}">
          <xlrd:rvb i="7425"/>
        </ext>
      </extLst>
    </bk>
    <bk>
      <extLst>
        <ext uri="{3e2802c4-a4d2-4d8b-9148-e3be6c30e623}">
          <xlrd:rvb i="7426"/>
        </ext>
      </extLst>
    </bk>
    <bk>
      <extLst>
        <ext uri="{3e2802c4-a4d2-4d8b-9148-e3be6c30e623}">
          <xlrd:rvb i="7427"/>
        </ext>
      </extLst>
    </bk>
    <bk>
      <extLst>
        <ext uri="{3e2802c4-a4d2-4d8b-9148-e3be6c30e623}">
          <xlrd:rvb i="7428"/>
        </ext>
      </extLst>
    </bk>
    <bk>
      <extLst>
        <ext uri="{3e2802c4-a4d2-4d8b-9148-e3be6c30e623}">
          <xlrd:rvb i="7429"/>
        </ext>
      </extLst>
    </bk>
    <bk>
      <extLst>
        <ext uri="{3e2802c4-a4d2-4d8b-9148-e3be6c30e623}">
          <xlrd:rvb i="7430"/>
        </ext>
      </extLst>
    </bk>
    <bk>
      <extLst>
        <ext uri="{3e2802c4-a4d2-4d8b-9148-e3be6c30e623}">
          <xlrd:rvb i="7431"/>
        </ext>
      </extLst>
    </bk>
    <bk>
      <extLst>
        <ext uri="{3e2802c4-a4d2-4d8b-9148-e3be6c30e623}">
          <xlrd:rvb i="7432"/>
        </ext>
      </extLst>
    </bk>
    <bk>
      <extLst>
        <ext uri="{3e2802c4-a4d2-4d8b-9148-e3be6c30e623}">
          <xlrd:rvb i="7433"/>
        </ext>
      </extLst>
    </bk>
    <bk>
      <extLst>
        <ext uri="{3e2802c4-a4d2-4d8b-9148-e3be6c30e623}">
          <xlrd:rvb i="7434"/>
        </ext>
      </extLst>
    </bk>
    <bk>
      <extLst>
        <ext uri="{3e2802c4-a4d2-4d8b-9148-e3be6c30e623}">
          <xlrd:rvb i="7435"/>
        </ext>
      </extLst>
    </bk>
    <bk>
      <extLst>
        <ext uri="{3e2802c4-a4d2-4d8b-9148-e3be6c30e623}">
          <xlrd:rvb i="7436"/>
        </ext>
      </extLst>
    </bk>
    <bk>
      <extLst>
        <ext uri="{3e2802c4-a4d2-4d8b-9148-e3be6c30e623}">
          <xlrd:rvb i="7437"/>
        </ext>
      </extLst>
    </bk>
    <bk>
      <extLst>
        <ext uri="{3e2802c4-a4d2-4d8b-9148-e3be6c30e623}">
          <xlrd:rvb i="7438"/>
        </ext>
      </extLst>
    </bk>
    <bk>
      <extLst>
        <ext uri="{3e2802c4-a4d2-4d8b-9148-e3be6c30e623}">
          <xlrd:rvb i="7439"/>
        </ext>
      </extLst>
    </bk>
    <bk>
      <extLst>
        <ext uri="{3e2802c4-a4d2-4d8b-9148-e3be6c30e623}">
          <xlrd:rvb i="7440"/>
        </ext>
      </extLst>
    </bk>
    <bk>
      <extLst>
        <ext uri="{3e2802c4-a4d2-4d8b-9148-e3be6c30e623}">
          <xlrd:rvb i="7441"/>
        </ext>
      </extLst>
    </bk>
    <bk>
      <extLst>
        <ext uri="{3e2802c4-a4d2-4d8b-9148-e3be6c30e623}">
          <xlrd:rvb i="7442"/>
        </ext>
      </extLst>
    </bk>
    <bk>
      <extLst>
        <ext uri="{3e2802c4-a4d2-4d8b-9148-e3be6c30e623}">
          <xlrd:rvb i="7443"/>
        </ext>
      </extLst>
    </bk>
    <bk>
      <extLst>
        <ext uri="{3e2802c4-a4d2-4d8b-9148-e3be6c30e623}">
          <xlrd:rvb i="7444"/>
        </ext>
      </extLst>
    </bk>
    <bk>
      <extLst>
        <ext uri="{3e2802c4-a4d2-4d8b-9148-e3be6c30e623}">
          <xlrd:rvb i="7445"/>
        </ext>
      </extLst>
    </bk>
    <bk>
      <extLst>
        <ext uri="{3e2802c4-a4d2-4d8b-9148-e3be6c30e623}">
          <xlrd:rvb i="7446"/>
        </ext>
      </extLst>
    </bk>
    <bk>
      <extLst>
        <ext uri="{3e2802c4-a4d2-4d8b-9148-e3be6c30e623}">
          <xlrd:rvb i="7447"/>
        </ext>
      </extLst>
    </bk>
    <bk>
      <extLst>
        <ext uri="{3e2802c4-a4d2-4d8b-9148-e3be6c30e623}">
          <xlrd:rvb i="7448"/>
        </ext>
      </extLst>
    </bk>
    <bk>
      <extLst>
        <ext uri="{3e2802c4-a4d2-4d8b-9148-e3be6c30e623}">
          <xlrd:rvb i="7449"/>
        </ext>
      </extLst>
    </bk>
    <bk>
      <extLst>
        <ext uri="{3e2802c4-a4d2-4d8b-9148-e3be6c30e623}">
          <xlrd:rvb i="7450"/>
        </ext>
      </extLst>
    </bk>
    <bk>
      <extLst>
        <ext uri="{3e2802c4-a4d2-4d8b-9148-e3be6c30e623}">
          <xlrd:rvb i="7451"/>
        </ext>
      </extLst>
    </bk>
    <bk>
      <extLst>
        <ext uri="{3e2802c4-a4d2-4d8b-9148-e3be6c30e623}">
          <xlrd:rvb i="7452"/>
        </ext>
      </extLst>
    </bk>
    <bk>
      <extLst>
        <ext uri="{3e2802c4-a4d2-4d8b-9148-e3be6c30e623}">
          <xlrd:rvb i="7453"/>
        </ext>
      </extLst>
    </bk>
    <bk>
      <extLst>
        <ext uri="{3e2802c4-a4d2-4d8b-9148-e3be6c30e623}">
          <xlrd:rvb i="7454"/>
        </ext>
      </extLst>
    </bk>
    <bk>
      <extLst>
        <ext uri="{3e2802c4-a4d2-4d8b-9148-e3be6c30e623}">
          <xlrd:rvb i="7455"/>
        </ext>
      </extLst>
    </bk>
    <bk>
      <extLst>
        <ext uri="{3e2802c4-a4d2-4d8b-9148-e3be6c30e623}">
          <xlrd:rvb i="7456"/>
        </ext>
      </extLst>
    </bk>
    <bk>
      <extLst>
        <ext uri="{3e2802c4-a4d2-4d8b-9148-e3be6c30e623}">
          <xlrd:rvb i="7457"/>
        </ext>
      </extLst>
    </bk>
    <bk>
      <extLst>
        <ext uri="{3e2802c4-a4d2-4d8b-9148-e3be6c30e623}">
          <xlrd:rvb i="7458"/>
        </ext>
      </extLst>
    </bk>
    <bk>
      <extLst>
        <ext uri="{3e2802c4-a4d2-4d8b-9148-e3be6c30e623}">
          <xlrd:rvb i="7459"/>
        </ext>
      </extLst>
    </bk>
    <bk>
      <extLst>
        <ext uri="{3e2802c4-a4d2-4d8b-9148-e3be6c30e623}">
          <xlrd:rvb i="7460"/>
        </ext>
      </extLst>
    </bk>
    <bk>
      <extLst>
        <ext uri="{3e2802c4-a4d2-4d8b-9148-e3be6c30e623}">
          <xlrd:rvb i="7461"/>
        </ext>
      </extLst>
    </bk>
    <bk>
      <extLst>
        <ext uri="{3e2802c4-a4d2-4d8b-9148-e3be6c30e623}">
          <xlrd:rvb i="7462"/>
        </ext>
      </extLst>
    </bk>
    <bk>
      <extLst>
        <ext uri="{3e2802c4-a4d2-4d8b-9148-e3be6c30e623}">
          <xlrd:rvb i="7463"/>
        </ext>
      </extLst>
    </bk>
    <bk>
      <extLst>
        <ext uri="{3e2802c4-a4d2-4d8b-9148-e3be6c30e623}">
          <xlrd:rvb i="7464"/>
        </ext>
      </extLst>
    </bk>
    <bk>
      <extLst>
        <ext uri="{3e2802c4-a4d2-4d8b-9148-e3be6c30e623}">
          <xlrd:rvb i="7465"/>
        </ext>
      </extLst>
    </bk>
    <bk>
      <extLst>
        <ext uri="{3e2802c4-a4d2-4d8b-9148-e3be6c30e623}">
          <xlrd:rvb i="7466"/>
        </ext>
      </extLst>
    </bk>
    <bk>
      <extLst>
        <ext uri="{3e2802c4-a4d2-4d8b-9148-e3be6c30e623}">
          <xlrd:rvb i="7467"/>
        </ext>
      </extLst>
    </bk>
    <bk>
      <extLst>
        <ext uri="{3e2802c4-a4d2-4d8b-9148-e3be6c30e623}">
          <xlrd:rvb i="7468"/>
        </ext>
      </extLst>
    </bk>
    <bk>
      <extLst>
        <ext uri="{3e2802c4-a4d2-4d8b-9148-e3be6c30e623}">
          <xlrd:rvb i="7469"/>
        </ext>
      </extLst>
    </bk>
    <bk>
      <extLst>
        <ext uri="{3e2802c4-a4d2-4d8b-9148-e3be6c30e623}">
          <xlrd:rvb i="7470"/>
        </ext>
      </extLst>
    </bk>
    <bk>
      <extLst>
        <ext uri="{3e2802c4-a4d2-4d8b-9148-e3be6c30e623}">
          <xlrd:rvb i="7471"/>
        </ext>
      </extLst>
    </bk>
    <bk>
      <extLst>
        <ext uri="{3e2802c4-a4d2-4d8b-9148-e3be6c30e623}">
          <xlrd:rvb i="7472"/>
        </ext>
      </extLst>
    </bk>
    <bk>
      <extLst>
        <ext uri="{3e2802c4-a4d2-4d8b-9148-e3be6c30e623}">
          <xlrd:rvb i="7473"/>
        </ext>
      </extLst>
    </bk>
    <bk>
      <extLst>
        <ext uri="{3e2802c4-a4d2-4d8b-9148-e3be6c30e623}">
          <xlrd:rvb i="7474"/>
        </ext>
      </extLst>
    </bk>
    <bk>
      <extLst>
        <ext uri="{3e2802c4-a4d2-4d8b-9148-e3be6c30e623}">
          <xlrd:rvb i="7475"/>
        </ext>
      </extLst>
    </bk>
    <bk>
      <extLst>
        <ext uri="{3e2802c4-a4d2-4d8b-9148-e3be6c30e623}">
          <xlrd:rvb i="7476"/>
        </ext>
      </extLst>
    </bk>
    <bk>
      <extLst>
        <ext uri="{3e2802c4-a4d2-4d8b-9148-e3be6c30e623}">
          <xlrd:rvb i="7477"/>
        </ext>
      </extLst>
    </bk>
    <bk>
      <extLst>
        <ext uri="{3e2802c4-a4d2-4d8b-9148-e3be6c30e623}">
          <xlrd:rvb i="7478"/>
        </ext>
      </extLst>
    </bk>
    <bk>
      <extLst>
        <ext uri="{3e2802c4-a4d2-4d8b-9148-e3be6c30e623}">
          <xlrd:rvb i="7479"/>
        </ext>
      </extLst>
    </bk>
    <bk>
      <extLst>
        <ext uri="{3e2802c4-a4d2-4d8b-9148-e3be6c30e623}">
          <xlrd:rvb i="7480"/>
        </ext>
      </extLst>
    </bk>
    <bk>
      <extLst>
        <ext uri="{3e2802c4-a4d2-4d8b-9148-e3be6c30e623}">
          <xlrd:rvb i="7481"/>
        </ext>
      </extLst>
    </bk>
    <bk>
      <extLst>
        <ext uri="{3e2802c4-a4d2-4d8b-9148-e3be6c30e623}">
          <xlrd:rvb i="7482"/>
        </ext>
      </extLst>
    </bk>
    <bk>
      <extLst>
        <ext uri="{3e2802c4-a4d2-4d8b-9148-e3be6c30e623}">
          <xlrd:rvb i="7483"/>
        </ext>
      </extLst>
    </bk>
    <bk>
      <extLst>
        <ext uri="{3e2802c4-a4d2-4d8b-9148-e3be6c30e623}">
          <xlrd:rvb i="7484"/>
        </ext>
      </extLst>
    </bk>
    <bk>
      <extLst>
        <ext uri="{3e2802c4-a4d2-4d8b-9148-e3be6c30e623}">
          <xlrd:rvb i="7485"/>
        </ext>
      </extLst>
    </bk>
    <bk>
      <extLst>
        <ext uri="{3e2802c4-a4d2-4d8b-9148-e3be6c30e623}">
          <xlrd:rvb i="7486"/>
        </ext>
      </extLst>
    </bk>
    <bk>
      <extLst>
        <ext uri="{3e2802c4-a4d2-4d8b-9148-e3be6c30e623}">
          <xlrd:rvb i="7487"/>
        </ext>
      </extLst>
    </bk>
    <bk>
      <extLst>
        <ext uri="{3e2802c4-a4d2-4d8b-9148-e3be6c30e623}">
          <xlrd:rvb i="7488"/>
        </ext>
      </extLst>
    </bk>
    <bk>
      <extLst>
        <ext uri="{3e2802c4-a4d2-4d8b-9148-e3be6c30e623}">
          <xlrd:rvb i="7489"/>
        </ext>
      </extLst>
    </bk>
    <bk>
      <extLst>
        <ext uri="{3e2802c4-a4d2-4d8b-9148-e3be6c30e623}">
          <xlrd:rvb i="7490"/>
        </ext>
      </extLst>
    </bk>
    <bk>
      <extLst>
        <ext uri="{3e2802c4-a4d2-4d8b-9148-e3be6c30e623}">
          <xlrd:rvb i="7491"/>
        </ext>
      </extLst>
    </bk>
    <bk>
      <extLst>
        <ext uri="{3e2802c4-a4d2-4d8b-9148-e3be6c30e623}">
          <xlrd:rvb i="7492"/>
        </ext>
      </extLst>
    </bk>
    <bk>
      <extLst>
        <ext uri="{3e2802c4-a4d2-4d8b-9148-e3be6c30e623}">
          <xlrd:rvb i="7493"/>
        </ext>
      </extLst>
    </bk>
    <bk>
      <extLst>
        <ext uri="{3e2802c4-a4d2-4d8b-9148-e3be6c30e623}">
          <xlrd:rvb i="7494"/>
        </ext>
      </extLst>
    </bk>
    <bk>
      <extLst>
        <ext uri="{3e2802c4-a4d2-4d8b-9148-e3be6c30e623}">
          <xlrd:rvb i="7495"/>
        </ext>
      </extLst>
    </bk>
    <bk>
      <extLst>
        <ext uri="{3e2802c4-a4d2-4d8b-9148-e3be6c30e623}">
          <xlrd:rvb i="7496"/>
        </ext>
      </extLst>
    </bk>
    <bk>
      <extLst>
        <ext uri="{3e2802c4-a4d2-4d8b-9148-e3be6c30e623}">
          <xlrd:rvb i="7497"/>
        </ext>
      </extLst>
    </bk>
    <bk>
      <extLst>
        <ext uri="{3e2802c4-a4d2-4d8b-9148-e3be6c30e623}">
          <xlrd:rvb i="7498"/>
        </ext>
      </extLst>
    </bk>
    <bk>
      <extLst>
        <ext uri="{3e2802c4-a4d2-4d8b-9148-e3be6c30e623}">
          <xlrd:rvb i="7499"/>
        </ext>
      </extLst>
    </bk>
    <bk>
      <extLst>
        <ext uri="{3e2802c4-a4d2-4d8b-9148-e3be6c30e623}">
          <xlrd:rvb i="7500"/>
        </ext>
      </extLst>
    </bk>
    <bk>
      <extLst>
        <ext uri="{3e2802c4-a4d2-4d8b-9148-e3be6c30e623}">
          <xlrd:rvb i="7501"/>
        </ext>
      </extLst>
    </bk>
    <bk>
      <extLst>
        <ext uri="{3e2802c4-a4d2-4d8b-9148-e3be6c30e623}">
          <xlrd:rvb i="7502"/>
        </ext>
      </extLst>
    </bk>
    <bk>
      <extLst>
        <ext uri="{3e2802c4-a4d2-4d8b-9148-e3be6c30e623}">
          <xlrd:rvb i="7503"/>
        </ext>
      </extLst>
    </bk>
    <bk>
      <extLst>
        <ext uri="{3e2802c4-a4d2-4d8b-9148-e3be6c30e623}">
          <xlrd:rvb i="7504"/>
        </ext>
      </extLst>
    </bk>
    <bk>
      <extLst>
        <ext uri="{3e2802c4-a4d2-4d8b-9148-e3be6c30e623}">
          <xlrd:rvb i="7505"/>
        </ext>
      </extLst>
    </bk>
    <bk>
      <extLst>
        <ext uri="{3e2802c4-a4d2-4d8b-9148-e3be6c30e623}">
          <xlrd:rvb i="7506"/>
        </ext>
      </extLst>
    </bk>
    <bk>
      <extLst>
        <ext uri="{3e2802c4-a4d2-4d8b-9148-e3be6c30e623}">
          <xlrd:rvb i="7507"/>
        </ext>
      </extLst>
    </bk>
    <bk>
      <extLst>
        <ext uri="{3e2802c4-a4d2-4d8b-9148-e3be6c30e623}">
          <xlrd:rvb i="7508"/>
        </ext>
      </extLst>
    </bk>
    <bk>
      <extLst>
        <ext uri="{3e2802c4-a4d2-4d8b-9148-e3be6c30e623}">
          <xlrd:rvb i="7509"/>
        </ext>
      </extLst>
    </bk>
    <bk>
      <extLst>
        <ext uri="{3e2802c4-a4d2-4d8b-9148-e3be6c30e623}">
          <xlrd:rvb i="7510"/>
        </ext>
      </extLst>
    </bk>
    <bk>
      <extLst>
        <ext uri="{3e2802c4-a4d2-4d8b-9148-e3be6c30e623}">
          <xlrd:rvb i="7511"/>
        </ext>
      </extLst>
    </bk>
    <bk>
      <extLst>
        <ext uri="{3e2802c4-a4d2-4d8b-9148-e3be6c30e623}">
          <xlrd:rvb i="7512"/>
        </ext>
      </extLst>
    </bk>
    <bk>
      <extLst>
        <ext uri="{3e2802c4-a4d2-4d8b-9148-e3be6c30e623}">
          <xlrd:rvb i="7513"/>
        </ext>
      </extLst>
    </bk>
    <bk>
      <extLst>
        <ext uri="{3e2802c4-a4d2-4d8b-9148-e3be6c30e623}">
          <xlrd:rvb i="7514"/>
        </ext>
      </extLst>
    </bk>
    <bk>
      <extLst>
        <ext uri="{3e2802c4-a4d2-4d8b-9148-e3be6c30e623}">
          <xlrd:rvb i="7515"/>
        </ext>
      </extLst>
    </bk>
    <bk>
      <extLst>
        <ext uri="{3e2802c4-a4d2-4d8b-9148-e3be6c30e623}">
          <xlrd:rvb i="7516"/>
        </ext>
      </extLst>
    </bk>
    <bk>
      <extLst>
        <ext uri="{3e2802c4-a4d2-4d8b-9148-e3be6c30e623}">
          <xlrd:rvb i="7517"/>
        </ext>
      </extLst>
    </bk>
    <bk>
      <extLst>
        <ext uri="{3e2802c4-a4d2-4d8b-9148-e3be6c30e623}">
          <xlrd:rvb i="7518"/>
        </ext>
      </extLst>
    </bk>
    <bk>
      <extLst>
        <ext uri="{3e2802c4-a4d2-4d8b-9148-e3be6c30e623}">
          <xlrd:rvb i="7519"/>
        </ext>
      </extLst>
    </bk>
    <bk>
      <extLst>
        <ext uri="{3e2802c4-a4d2-4d8b-9148-e3be6c30e623}">
          <xlrd:rvb i="7520"/>
        </ext>
      </extLst>
    </bk>
    <bk>
      <extLst>
        <ext uri="{3e2802c4-a4d2-4d8b-9148-e3be6c30e623}">
          <xlrd:rvb i="7521"/>
        </ext>
      </extLst>
    </bk>
    <bk>
      <extLst>
        <ext uri="{3e2802c4-a4d2-4d8b-9148-e3be6c30e623}">
          <xlrd:rvb i="7522"/>
        </ext>
      </extLst>
    </bk>
    <bk>
      <extLst>
        <ext uri="{3e2802c4-a4d2-4d8b-9148-e3be6c30e623}">
          <xlrd:rvb i="7523"/>
        </ext>
      </extLst>
    </bk>
    <bk>
      <extLst>
        <ext uri="{3e2802c4-a4d2-4d8b-9148-e3be6c30e623}">
          <xlrd:rvb i="7524"/>
        </ext>
      </extLst>
    </bk>
    <bk>
      <extLst>
        <ext uri="{3e2802c4-a4d2-4d8b-9148-e3be6c30e623}">
          <xlrd:rvb i="7525"/>
        </ext>
      </extLst>
    </bk>
    <bk>
      <extLst>
        <ext uri="{3e2802c4-a4d2-4d8b-9148-e3be6c30e623}">
          <xlrd:rvb i="7526"/>
        </ext>
      </extLst>
    </bk>
    <bk>
      <extLst>
        <ext uri="{3e2802c4-a4d2-4d8b-9148-e3be6c30e623}">
          <xlrd:rvb i="7527"/>
        </ext>
      </extLst>
    </bk>
    <bk>
      <extLst>
        <ext uri="{3e2802c4-a4d2-4d8b-9148-e3be6c30e623}">
          <xlrd:rvb i="7528"/>
        </ext>
      </extLst>
    </bk>
    <bk>
      <extLst>
        <ext uri="{3e2802c4-a4d2-4d8b-9148-e3be6c30e623}">
          <xlrd:rvb i="7529"/>
        </ext>
      </extLst>
    </bk>
    <bk>
      <extLst>
        <ext uri="{3e2802c4-a4d2-4d8b-9148-e3be6c30e623}">
          <xlrd:rvb i="7530"/>
        </ext>
      </extLst>
    </bk>
    <bk>
      <extLst>
        <ext uri="{3e2802c4-a4d2-4d8b-9148-e3be6c30e623}">
          <xlrd:rvb i="7531"/>
        </ext>
      </extLst>
    </bk>
    <bk>
      <extLst>
        <ext uri="{3e2802c4-a4d2-4d8b-9148-e3be6c30e623}">
          <xlrd:rvb i="7532"/>
        </ext>
      </extLst>
    </bk>
    <bk>
      <extLst>
        <ext uri="{3e2802c4-a4d2-4d8b-9148-e3be6c30e623}">
          <xlrd:rvb i="7533"/>
        </ext>
      </extLst>
    </bk>
    <bk>
      <extLst>
        <ext uri="{3e2802c4-a4d2-4d8b-9148-e3be6c30e623}">
          <xlrd:rvb i="7534"/>
        </ext>
      </extLst>
    </bk>
    <bk>
      <extLst>
        <ext uri="{3e2802c4-a4d2-4d8b-9148-e3be6c30e623}">
          <xlrd:rvb i="7535"/>
        </ext>
      </extLst>
    </bk>
    <bk>
      <extLst>
        <ext uri="{3e2802c4-a4d2-4d8b-9148-e3be6c30e623}">
          <xlrd:rvb i="7536"/>
        </ext>
      </extLst>
    </bk>
    <bk>
      <extLst>
        <ext uri="{3e2802c4-a4d2-4d8b-9148-e3be6c30e623}">
          <xlrd:rvb i="7537"/>
        </ext>
      </extLst>
    </bk>
    <bk>
      <extLst>
        <ext uri="{3e2802c4-a4d2-4d8b-9148-e3be6c30e623}">
          <xlrd:rvb i="7538"/>
        </ext>
      </extLst>
    </bk>
    <bk>
      <extLst>
        <ext uri="{3e2802c4-a4d2-4d8b-9148-e3be6c30e623}">
          <xlrd:rvb i="7539"/>
        </ext>
      </extLst>
    </bk>
    <bk>
      <extLst>
        <ext uri="{3e2802c4-a4d2-4d8b-9148-e3be6c30e623}">
          <xlrd:rvb i="7540"/>
        </ext>
      </extLst>
    </bk>
    <bk>
      <extLst>
        <ext uri="{3e2802c4-a4d2-4d8b-9148-e3be6c30e623}">
          <xlrd:rvb i="7541"/>
        </ext>
      </extLst>
    </bk>
    <bk>
      <extLst>
        <ext uri="{3e2802c4-a4d2-4d8b-9148-e3be6c30e623}">
          <xlrd:rvb i="7542"/>
        </ext>
      </extLst>
    </bk>
    <bk>
      <extLst>
        <ext uri="{3e2802c4-a4d2-4d8b-9148-e3be6c30e623}">
          <xlrd:rvb i="7543"/>
        </ext>
      </extLst>
    </bk>
    <bk>
      <extLst>
        <ext uri="{3e2802c4-a4d2-4d8b-9148-e3be6c30e623}">
          <xlrd:rvb i="7544"/>
        </ext>
      </extLst>
    </bk>
    <bk>
      <extLst>
        <ext uri="{3e2802c4-a4d2-4d8b-9148-e3be6c30e623}">
          <xlrd:rvb i="7545"/>
        </ext>
      </extLst>
    </bk>
    <bk>
      <extLst>
        <ext uri="{3e2802c4-a4d2-4d8b-9148-e3be6c30e623}">
          <xlrd:rvb i="7546"/>
        </ext>
      </extLst>
    </bk>
    <bk>
      <extLst>
        <ext uri="{3e2802c4-a4d2-4d8b-9148-e3be6c30e623}">
          <xlrd:rvb i="7547"/>
        </ext>
      </extLst>
    </bk>
    <bk>
      <extLst>
        <ext uri="{3e2802c4-a4d2-4d8b-9148-e3be6c30e623}">
          <xlrd:rvb i="7548"/>
        </ext>
      </extLst>
    </bk>
    <bk>
      <extLst>
        <ext uri="{3e2802c4-a4d2-4d8b-9148-e3be6c30e623}">
          <xlrd:rvb i="7549"/>
        </ext>
      </extLst>
    </bk>
    <bk>
      <extLst>
        <ext uri="{3e2802c4-a4d2-4d8b-9148-e3be6c30e623}">
          <xlrd:rvb i="7550"/>
        </ext>
      </extLst>
    </bk>
    <bk>
      <extLst>
        <ext uri="{3e2802c4-a4d2-4d8b-9148-e3be6c30e623}">
          <xlrd:rvb i="7551"/>
        </ext>
      </extLst>
    </bk>
    <bk>
      <extLst>
        <ext uri="{3e2802c4-a4d2-4d8b-9148-e3be6c30e623}">
          <xlrd:rvb i="7552"/>
        </ext>
      </extLst>
    </bk>
    <bk>
      <extLst>
        <ext uri="{3e2802c4-a4d2-4d8b-9148-e3be6c30e623}">
          <xlrd:rvb i="7553"/>
        </ext>
      </extLst>
    </bk>
    <bk>
      <extLst>
        <ext uri="{3e2802c4-a4d2-4d8b-9148-e3be6c30e623}">
          <xlrd:rvb i="7554"/>
        </ext>
      </extLst>
    </bk>
    <bk>
      <extLst>
        <ext uri="{3e2802c4-a4d2-4d8b-9148-e3be6c30e623}">
          <xlrd:rvb i="7555"/>
        </ext>
      </extLst>
    </bk>
    <bk>
      <extLst>
        <ext uri="{3e2802c4-a4d2-4d8b-9148-e3be6c30e623}">
          <xlrd:rvb i="7556"/>
        </ext>
      </extLst>
    </bk>
    <bk>
      <extLst>
        <ext uri="{3e2802c4-a4d2-4d8b-9148-e3be6c30e623}">
          <xlrd:rvb i="7557"/>
        </ext>
      </extLst>
    </bk>
    <bk>
      <extLst>
        <ext uri="{3e2802c4-a4d2-4d8b-9148-e3be6c30e623}">
          <xlrd:rvb i="7558"/>
        </ext>
      </extLst>
    </bk>
    <bk>
      <extLst>
        <ext uri="{3e2802c4-a4d2-4d8b-9148-e3be6c30e623}">
          <xlrd:rvb i="7559"/>
        </ext>
      </extLst>
    </bk>
    <bk>
      <extLst>
        <ext uri="{3e2802c4-a4d2-4d8b-9148-e3be6c30e623}">
          <xlrd:rvb i="7560"/>
        </ext>
      </extLst>
    </bk>
    <bk>
      <extLst>
        <ext uri="{3e2802c4-a4d2-4d8b-9148-e3be6c30e623}">
          <xlrd:rvb i="7561"/>
        </ext>
      </extLst>
    </bk>
    <bk>
      <extLst>
        <ext uri="{3e2802c4-a4d2-4d8b-9148-e3be6c30e623}">
          <xlrd:rvb i="7562"/>
        </ext>
      </extLst>
    </bk>
    <bk>
      <extLst>
        <ext uri="{3e2802c4-a4d2-4d8b-9148-e3be6c30e623}">
          <xlrd:rvb i="7563"/>
        </ext>
      </extLst>
    </bk>
    <bk>
      <extLst>
        <ext uri="{3e2802c4-a4d2-4d8b-9148-e3be6c30e623}">
          <xlrd:rvb i="7564"/>
        </ext>
      </extLst>
    </bk>
    <bk>
      <extLst>
        <ext uri="{3e2802c4-a4d2-4d8b-9148-e3be6c30e623}">
          <xlrd:rvb i="7565"/>
        </ext>
      </extLst>
    </bk>
    <bk>
      <extLst>
        <ext uri="{3e2802c4-a4d2-4d8b-9148-e3be6c30e623}">
          <xlrd:rvb i="7566"/>
        </ext>
      </extLst>
    </bk>
    <bk>
      <extLst>
        <ext uri="{3e2802c4-a4d2-4d8b-9148-e3be6c30e623}">
          <xlrd:rvb i="7567"/>
        </ext>
      </extLst>
    </bk>
    <bk>
      <extLst>
        <ext uri="{3e2802c4-a4d2-4d8b-9148-e3be6c30e623}">
          <xlrd:rvb i="7568"/>
        </ext>
      </extLst>
    </bk>
    <bk>
      <extLst>
        <ext uri="{3e2802c4-a4d2-4d8b-9148-e3be6c30e623}">
          <xlrd:rvb i="7569"/>
        </ext>
      </extLst>
    </bk>
    <bk>
      <extLst>
        <ext uri="{3e2802c4-a4d2-4d8b-9148-e3be6c30e623}">
          <xlrd:rvb i="7570"/>
        </ext>
      </extLst>
    </bk>
    <bk>
      <extLst>
        <ext uri="{3e2802c4-a4d2-4d8b-9148-e3be6c30e623}">
          <xlrd:rvb i="7571"/>
        </ext>
      </extLst>
    </bk>
    <bk>
      <extLst>
        <ext uri="{3e2802c4-a4d2-4d8b-9148-e3be6c30e623}">
          <xlrd:rvb i="7572"/>
        </ext>
      </extLst>
    </bk>
    <bk>
      <extLst>
        <ext uri="{3e2802c4-a4d2-4d8b-9148-e3be6c30e623}">
          <xlrd:rvb i="7573"/>
        </ext>
      </extLst>
    </bk>
    <bk>
      <extLst>
        <ext uri="{3e2802c4-a4d2-4d8b-9148-e3be6c30e623}">
          <xlrd:rvb i="7574"/>
        </ext>
      </extLst>
    </bk>
    <bk>
      <extLst>
        <ext uri="{3e2802c4-a4d2-4d8b-9148-e3be6c30e623}">
          <xlrd:rvb i="7575"/>
        </ext>
      </extLst>
    </bk>
    <bk>
      <extLst>
        <ext uri="{3e2802c4-a4d2-4d8b-9148-e3be6c30e623}">
          <xlrd:rvb i="7576"/>
        </ext>
      </extLst>
    </bk>
    <bk>
      <extLst>
        <ext uri="{3e2802c4-a4d2-4d8b-9148-e3be6c30e623}">
          <xlrd:rvb i="7577"/>
        </ext>
      </extLst>
    </bk>
    <bk>
      <extLst>
        <ext uri="{3e2802c4-a4d2-4d8b-9148-e3be6c30e623}">
          <xlrd:rvb i="7578"/>
        </ext>
      </extLst>
    </bk>
    <bk>
      <extLst>
        <ext uri="{3e2802c4-a4d2-4d8b-9148-e3be6c30e623}">
          <xlrd:rvb i="7579"/>
        </ext>
      </extLst>
    </bk>
    <bk>
      <extLst>
        <ext uri="{3e2802c4-a4d2-4d8b-9148-e3be6c30e623}">
          <xlrd:rvb i="7580"/>
        </ext>
      </extLst>
    </bk>
    <bk>
      <extLst>
        <ext uri="{3e2802c4-a4d2-4d8b-9148-e3be6c30e623}">
          <xlrd:rvb i="7581"/>
        </ext>
      </extLst>
    </bk>
    <bk>
      <extLst>
        <ext uri="{3e2802c4-a4d2-4d8b-9148-e3be6c30e623}">
          <xlrd:rvb i="7582"/>
        </ext>
      </extLst>
    </bk>
    <bk>
      <extLst>
        <ext uri="{3e2802c4-a4d2-4d8b-9148-e3be6c30e623}">
          <xlrd:rvb i="7583"/>
        </ext>
      </extLst>
    </bk>
    <bk>
      <extLst>
        <ext uri="{3e2802c4-a4d2-4d8b-9148-e3be6c30e623}">
          <xlrd:rvb i="7584"/>
        </ext>
      </extLst>
    </bk>
    <bk>
      <extLst>
        <ext uri="{3e2802c4-a4d2-4d8b-9148-e3be6c30e623}">
          <xlrd:rvb i="7585"/>
        </ext>
      </extLst>
    </bk>
    <bk>
      <extLst>
        <ext uri="{3e2802c4-a4d2-4d8b-9148-e3be6c30e623}">
          <xlrd:rvb i="7586"/>
        </ext>
      </extLst>
    </bk>
    <bk>
      <extLst>
        <ext uri="{3e2802c4-a4d2-4d8b-9148-e3be6c30e623}">
          <xlrd:rvb i="7587"/>
        </ext>
      </extLst>
    </bk>
    <bk>
      <extLst>
        <ext uri="{3e2802c4-a4d2-4d8b-9148-e3be6c30e623}">
          <xlrd:rvb i="7588"/>
        </ext>
      </extLst>
    </bk>
    <bk>
      <extLst>
        <ext uri="{3e2802c4-a4d2-4d8b-9148-e3be6c30e623}">
          <xlrd:rvb i="7589"/>
        </ext>
      </extLst>
    </bk>
    <bk>
      <extLst>
        <ext uri="{3e2802c4-a4d2-4d8b-9148-e3be6c30e623}">
          <xlrd:rvb i="7590"/>
        </ext>
      </extLst>
    </bk>
    <bk>
      <extLst>
        <ext uri="{3e2802c4-a4d2-4d8b-9148-e3be6c30e623}">
          <xlrd:rvb i="7591"/>
        </ext>
      </extLst>
    </bk>
    <bk>
      <extLst>
        <ext uri="{3e2802c4-a4d2-4d8b-9148-e3be6c30e623}">
          <xlrd:rvb i="7592"/>
        </ext>
      </extLst>
    </bk>
    <bk>
      <extLst>
        <ext uri="{3e2802c4-a4d2-4d8b-9148-e3be6c30e623}">
          <xlrd:rvb i="7593"/>
        </ext>
      </extLst>
    </bk>
    <bk>
      <extLst>
        <ext uri="{3e2802c4-a4d2-4d8b-9148-e3be6c30e623}">
          <xlrd:rvb i="7594"/>
        </ext>
      </extLst>
    </bk>
    <bk>
      <extLst>
        <ext uri="{3e2802c4-a4d2-4d8b-9148-e3be6c30e623}">
          <xlrd:rvb i="7595"/>
        </ext>
      </extLst>
    </bk>
    <bk>
      <extLst>
        <ext uri="{3e2802c4-a4d2-4d8b-9148-e3be6c30e623}">
          <xlrd:rvb i="7596"/>
        </ext>
      </extLst>
    </bk>
    <bk>
      <extLst>
        <ext uri="{3e2802c4-a4d2-4d8b-9148-e3be6c30e623}">
          <xlrd:rvb i="7597"/>
        </ext>
      </extLst>
    </bk>
    <bk>
      <extLst>
        <ext uri="{3e2802c4-a4d2-4d8b-9148-e3be6c30e623}">
          <xlrd:rvb i="7598"/>
        </ext>
      </extLst>
    </bk>
    <bk>
      <extLst>
        <ext uri="{3e2802c4-a4d2-4d8b-9148-e3be6c30e623}">
          <xlrd:rvb i="7599"/>
        </ext>
      </extLst>
    </bk>
    <bk>
      <extLst>
        <ext uri="{3e2802c4-a4d2-4d8b-9148-e3be6c30e623}">
          <xlrd:rvb i="7600"/>
        </ext>
      </extLst>
    </bk>
    <bk>
      <extLst>
        <ext uri="{3e2802c4-a4d2-4d8b-9148-e3be6c30e623}">
          <xlrd:rvb i="7601"/>
        </ext>
      </extLst>
    </bk>
    <bk>
      <extLst>
        <ext uri="{3e2802c4-a4d2-4d8b-9148-e3be6c30e623}">
          <xlrd:rvb i="7602"/>
        </ext>
      </extLst>
    </bk>
    <bk>
      <extLst>
        <ext uri="{3e2802c4-a4d2-4d8b-9148-e3be6c30e623}">
          <xlrd:rvb i="7603"/>
        </ext>
      </extLst>
    </bk>
    <bk>
      <extLst>
        <ext uri="{3e2802c4-a4d2-4d8b-9148-e3be6c30e623}">
          <xlrd:rvb i="7604"/>
        </ext>
      </extLst>
    </bk>
    <bk>
      <extLst>
        <ext uri="{3e2802c4-a4d2-4d8b-9148-e3be6c30e623}">
          <xlrd:rvb i="7605"/>
        </ext>
      </extLst>
    </bk>
    <bk>
      <extLst>
        <ext uri="{3e2802c4-a4d2-4d8b-9148-e3be6c30e623}">
          <xlrd:rvb i="7606"/>
        </ext>
      </extLst>
    </bk>
    <bk>
      <extLst>
        <ext uri="{3e2802c4-a4d2-4d8b-9148-e3be6c30e623}">
          <xlrd:rvb i="7607"/>
        </ext>
      </extLst>
    </bk>
    <bk>
      <extLst>
        <ext uri="{3e2802c4-a4d2-4d8b-9148-e3be6c30e623}">
          <xlrd:rvb i="7608"/>
        </ext>
      </extLst>
    </bk>
    <bk>
      <extLst>
        <ext uri="{3e2802c4-a4d2-4d8b-9148-e3be6c30e623}">
          <xlrd:rvb i="7609"/>
        </ext>
      </extLst>
    </bk>
    <bk>
      <extLst>
        <ext uri="{3e2802c4-a4d2-4d8b-9148-e3be6c30e623}">
          <xlrd:rvb i="7610"/>
        </ext>
      </extLst>
    </bk>
    <bk>
      <extLst>
        <ext uri="{3e2802c4-a4d2-4d8b-9148-e3be6c30e623}">
          <xlrd:rvb i="7611"/>
        </ext>
      </extLst>
    </bk>
    <bk>
      <extLst>
        <ext uri="{3e2802c4-a4d2-4d8b-9148-e3be6c30e623}">
          <xlrd:rvb i="7612"/>
        </ext>
      </extLst>
    </bk>
    <bk>
      <extLst>
        <ext uri="{3e2802c4-a4d2-4d8b-9148-e3be6c30e623}">
          <xlrd:rvb i="7613"/>
        </ext>
      </extLst>
    </bk>
    <bk>
      <extLst>
        <ext uri="{3e2802c4-a4d2-4d8b-9148-e3be6c30e623}">
          <xlrd:rvb i="7614"/>
        </ext>
      </extLst>
    </bk>
    <bk>
      <extLst>
        <ext uri="{3e2802c4-a4d2-4d8b-9148-e3be6c30e623}">
          <xlrd:rvb i="7615"/>
        </ext>
      </extLst>
    </bk>
    <bk>
      <extLst>
        <ext uri="{3e2802c4-a4d2-4d8b-9148-e3be6c30e623}">
          <xlrd:rvb i="7616"/>
        </ext>
      </extLst>
    </bk>
    <bk>
      <extLst>
        <ext uri="{3e2802c4-a4d2-4d8b-9148-e3be6c30e623}">
          <xlrd:rvb i="7617"/>
        </ext>
      </extLst>
    </bk>
    <bk>
      <extLst>
        <ext uri="{3e2802c4-a4d2-4d8b-9148-e3be6c30e623}">
          <xlrd:rvb i="7618"/>
        </ext>
      </extLst>
    </bk>
    <bk>
      <extLst>
        <ext uri="{3e2802c4-a4d2-4d8b-9148-e3be6c30e623}">
          <xlrd:rvb i="7619"/>
        </ext>
      </extLst>
    </bk>
    <bk>
      <extLst>
        <ext uri="{3e2802c4-a4d2-4d8b-9148-e3be6c30e623}">
          <xlrd:rvb i="7620"/>
        </ext>
      </extLst>
    </bk>
    <bk>
      <extLst>
        <ext uri="{3e2802c4-a4d2-4d8b-9148-e3be6c30e623}">
          <xlrd:rvb i="7621"/>
        </ext>
      </extLst>
    </bk>
    <bk>
      <extLst>
        <ext uri="{3e2802c4-a4d2-4d8b-9148-e3be6c30e623}">
          <xlrd:rvb i="7622"/>
        </ext>
      </extLst>
    </bk>
    <bk>
      <extLst>
        <ext uri="{3e2802c4-a4d2-4d8b-9148-e3be6c30e623}">
          <xlrd:rvb i="7623"/>
        </ext>
      </extLst>
    </bk>
    <bk>
      <extLst>
        <ext uri="{3e2802c4-a4d2-4d8b-9148-e3be6c30e623}">
          <xlrd:rvb i="7624"/>
        </ext>
      </extLst>
    </bk>
    <bk>
      <extLst>
        <ext uri="{3e2802c4-a4d2-4d8b-9148-e3be6c30e623}">
          <xlrd:rvb i="7625"/>
        </ext>
      </extLst>
    </bk>
    <bk>
      <extLst>
        <ext uri="{3e2802c4-a4d2-4d8b-9148-e3be6c30e623}">
          <xlrd:rvb i="7626"/>
        </ext>
      </extLst>
    </bk>
    <bk>
      <extLst>
        <ext uri="{3e2802c4-a4d2-4d8b-9148-e3be6c30e623}">
          <xlrd:rvb i="7627"/>
        </ext>
      </extLst>
    </bk>
    <bk>
      <extLst>
        <ext uri="{3e2802c4-a4d2-4d8b-9148-e3be6c30e623}">
          <xlrd:rvb i="7628"/>
        </ext>
      </extLst>
    </bk>
    <bk>
      <extLst>
        <ext uri="{3e2802c4-a4d2-4d8b-9148-e3be6c30e623}">
          <xlrd:rvb i="7629"/>
        </ext>
      </extLst>
    </bk>
    <bk>
      <extLst>
        <ext uri="{3e2802c4-a4d2-4d8b-9148-e3be6c30e623}">
          <xlrd:rvb i="7630"/>
        </ext>
      </extLst>
    </bk>
    <bk>
      <extLst>
        <ext uri="{3e2802c4-a4d2-4d8b-9148-e3be6c30e623}">
          <xlrd:rvb i="7631"/>
        </ext>
      </extLst>
    </bk>
    <bk>
      <extLst>
        <ext uri="{3e2802c4-a4d2-4d8b-9148-e3be6c30e623}">
          <xlrd:rvb i="7632"/>
        </ext>
      </extLst>
    </bk>
    <bk>
      <extLst>
        <ext uri="{3e2802c4-a4d2-4d8b-9148-e3be6c30e623}">
          <xlrd:rvb i="7633"/>
        </ext>
      </extLst>
    </bk>
    <bk>
      <extLst>
        <ext uri="{3e2802c4-a4d2-4d8b-9148-e3be6c30e623}">
          <xlrd:rvb i="7634"/>
        </ext>
      </extLst>
    </bk>
    <bk>
      <extLst>
        <ext uri="{3e2802c4-a4d2-4d8b-9148-e3be6c30e623}">
          <xlrd:rvb i="7635"/>
        </ext>
      </extLst>
    </bk>
    <bk>
      <extLst>
        <ext uri="{3e2802c4-a4d2-4d8b-9148-e3be6c30e623}">
          <xlrd:rvb i="7636"/>
        </ext>
      </extLst>
    </bk>
    <bk>
      <extLst>
        <ext uri="{3e2802c4-a4d2-4d8b-9148-e3be6c30e623}">
          <xlrd:rvb i="7637"/>
        </ext>
      </extLst>
    </bk>
    <bk>
      <extLst>
        <ext uri="{3e2802c4-a4d2-4d8b-9148-e3be6c30e623}">
          <xlrd:rvb i="7638"/>
        </ext>
      </extLst>
    </bk>
    <bk>
      <extLst>
        <ext uri="{3e2802c4-a4d2-4d8b-9148-e3be6c30e623}">
          <xlrd:rvb i="7639"/>
        </ext>
      </extLst>
    </bk>
    <bk>
      <extLst>
        <ext uri="{3e2802c4-a4d2-4d8b-9148-e3be6c30e623}">
          <xlrd:rvb i="7640"/>
        </ext>
      </extLst>
    </bk>
    <bk>
      <extLst>
        <ext uri="{3e2802c4-a4d2-4d8b-9148-e3be6c30e623}">
          <xlrd:rvb i="7641"/>
        </ext>
      </extLst>
    </bk>
    <bk>
      <extLst>
        <ext uri="{3e2802c4-a4d2-4d8b-9148-e3be6c30e623}">
          <xlrd:rvb i="7642"/>
        </ext>
      </extLst>
    </bk>
    <bk>
      <extLst>
        <ext uri="{3e2802c4-a4d2-4d8b-9148-e3be6c30e623}">
          <xlrd:rvb i="7643"/>
        </ext>
      </extLst>
    </bk>
    <bk>
      <extLst>
        <ext uri="{3e2802c4-a4d2-4d8b-9148-e3be6c30e623}">
          <xlrd:rvb i="7644"/>
        </ext>
      </extLst>
    </bk>
    <bk>
      <extLst>
        <ext uri="{3e2802c4-a4d2-4d8b-9148-e3be6c30e623}">
          <xlrd:rvb i="7645"/>
        </ext>
      </extLst>
    </bk>
    <bk>
      <extLst>
        <ext uri="{3e2802c4-a4d2-4d8b-9148-e3be6c30e623}">
          <xlrd:rvb i="7646"/>
        </ext>
      </extLst>
    </bk>
    <bk>
      <extLst>
        <ext uri="{3e2802c4-a4d2-4d8b-9148-e3be6c30e623}">
          <xlrd:rvb i="7647"/>
        </ext>
      </extLst>
    </bk>
    <bk>
      <extLst>
        <ext uri="{3e2802c4-a4d2-4d8b-9148-e3be6c30e623}">
          <xlrd:rvb i="7648"/>
        </ext>
      </extLst>
    </bk>
    <bk>
      <extLst>
        <ext uri="{3e2802c4-a4d2-4d8b-9148-e3be6c30e623}">
          <xlrd:rvb i="7649"/>
        </ext>
      </extLst>
    </bk>
    <bk>
      <extLst>
        <ext uri="{3e2802c4-a4d2-4d8b-9148-e3be6c30e623}">
          <xlrd:rvb i="7650"/>
        </ext>
      </extLst>
    </bk>
    <bk>
      <extLst>
        <ext uri="{3e2802c4-a4d2-4d8b-9148-e3be6c30e623}">
          <xlrd:rvb i="7651"/>
        </ext>
      </extLst>
    </bk>
    <bk>
      <extLst>
        <ext uri="{3e2802c4-a4d2-4d8b-9148-e3be6c30e623}">
          <xlrd:rvb i="7652"/>
        </ext>
      </extLst>
    </bk>
    <bk>
      <extLst>
        <ext uri="{3e2802c4-a4d2-4d8b-9148-e3be6c30e623}">
          <xlrd:rvb i="7653"/>
        </ext>
      </extLst>
    </bk>
    <bk>
      <extLst>
        <ext uri="{3e2802c4-a4d2-4d8b-9148-e3be6c30e623}">
          <xlrd:rvb i="7654"/>
        </ext>
      </extLst>
    </bk>
    <bk>
      <extLst>
        <ext uri="{3e2802c4-a4d2-4d8b-9148-e3be6c30e623}">
          <xlrd:rvb i="7655"/>
        </ext>
      </extLst>
    </bk>
    <bk>
      <extLst>
        <ext uri="{3e2802c4-a4d2-4d8b-9148-e3be6c30e623}">
          <xlrd:rvb i="7656"/>
        </ext>
      </extLst>
    </bk>
    <bk>
      <extLst>
        <ext uri="{3e2802c4-a4d2-4d8b-9148-e3be6c30e623}">
          <xlrd:rvb i="7657"/>
        </ext>
      </extLst>
    </bk>
    <bk>
      <extLst>
        <ext uri="{3e2802c4-a4d2-4d8b-9148-e3be6c30e623}">
          <xlrd:rvb i="7658"/>
        </ext>
      </extLst>
    </bk>
    <bk>
      <extLst>
        <ext uri="{3e2802c4-a4d2-4d8b-9148-e3be6c30e623}">
          <xlrd:rvb i="7659"/>
        </ext>
      </extLst>
    </bk>
    <bk>
      <extLst>
        <ext uri="{3e2802c4-a4d2-4d8b-9148-e3be6c30e623}">
          <xlrd:rvb i="7660"/>
        </ext>
      </extLst>
    </bk>
    <bk>
      <extLst>
        <ext uri="{3e2802c4-a4d2-4d8b-9148-e3be6c30e623}">
          <xlrd:rvb i="7661"/>
        </ext>
      </extLst>
    </bk>
    <bk>
      <extLst>
        <ext uri="{3e2802c4-a4d2-4d8b-9148-e3be6c30e623}">
          <xlrd:rvb i="7662"/>
        </ext>
      </extLst>
    </bk>
    <bk>
      <extLst>
        <ext uri="{3e2802c4-a4d2-4d8b-9148-e3be6c30e623}">
          <xlrd:rvb i="7663"/>
        </ext>
      </extLst>
    </bk>
    <bk>
      <extLst>
        <ext uri="{3e2802c4-a4d2-4d8b-9148-e3be6c30e623}">
          <xlrd:rvb i="7664"/>
        </ext>
      </extLst>
    </bk>
    <bk>
      <extLst>
        <ext uri="{3e2802c4-a4d2-4d8b-9148-e3be6c30e623}">
          <xlrd:rvb i="7665"/>
        </ext>
      </extLst>
    </bk>
    <bk>
      <extLst>
        <ext uri="{3e2802c4-a4d2-4d8b-9148-e3be6c30e623}">
          <xlrd:rvb i="7666"/>
        </ext>
      </extLst>
    </bk>
    <bk>
      <extLst>
        <ext uri="{3e2802c4-a4d2-4d8b-9148-e3be6c30e623}">
          <xlrd:rvb i="7667"/>
        </ext>
      </extLst>
    </bk>
    <bk>
      <extLst>
        <ext uri="{3e2802c4-a4d2-4d8b-9148-e3be6c30e623}">
          <xlrd:rvb i="7668"/>
        </ext>
      </extLst>
    </bk>
    <bk>
      <extLst>
        <ext uri="{3e2802c4-a4d2-4d8b-9148-e3be6c30e623}">
          <xlrd:rvb i="7669"/>
        </ext>
      </extLst>
    </bk>
    <bk>
      <extLst>
        <ext uri="{3e2802c4-a4d2-4d8b-9148-e3be6c30e623}">
          <xlrd:rvb i="7670"/>
        </ext>
      </extLst>
    </bk>
    <bk>
      <extLst>
        <ext uri="{3e2802c4-a4d2-4d8b-9148-e3be6c30e623}">
          <xlrd:rvb i="7671"/>
        </ext>
      </extLst>
    </bk>
    <bk>
      <extLst>
        <ext uri="{3e2802c4-a4d2-4d8b-9148-e3be6c30e623}">
          <xlrd:rvb i="7672"/>
        </ext>
      </extLst>
    </bk>
    <bk>
      <extLst>
        <ext uri="{3e2802c4-a4d2-4d8b-9148-e3be6c30e623}">
          <xlrd:rvb i="7673"/>
        </ext>
      </extLst>
    </bk>
    <bk>
      <extLst>
        <ext uri="{3e2802c4-a4d2-4d8b-9148-e3be6c30e623}">
          <xlrd:rvb i="7674"/>
        </ext>
      </extLst>
    </bk>
    <bk>
      <extLst>
        <ext uri="{3e2802c4-a4d2-4d8b-9148-e3be6c30e623}">
          <xlrd:rvb i="7675"/>
        </ext>
      </extLst>
    </bk>
    <bk>
      <extLst>
        <ext uri="{3e2802c4-a4d2-4d8b-9148-e3be6c30e623}">
          <xlrd:rvb i="7676"/>
        </ext>
      </extLst>
    </bk>
    <bk>
      <extLst>
        <ext uri="{3e2802c4-a4d2-4d8b-9148-e3be6c30e623}">
          <xlrd:rvb i="7677"/>
        </ext>
      </extLst>
    </bk>
    <bk>
      <extLst>
        <ext uri="{3e2802c4-a4d2-4d8b-9148-e3be6c30e623}">
          <xlrd:rvb i="7678"/>
        </ext>
      </extLst>
    </bk>
    <bk>
      <extLst>
        <ext uri="{3e2802c4-a4d2-4d8b-9148-e3be6c30e623}">
          <xlrd:rvb i="7679"/>
        </ext>
      </extLst>
    </bk>
    <bk>
      <extLst>
        <ext uri="{3e2802c4-a4d2-4d8b-9148-e3be6c30e623}">
          <xlrd:rvb i="7680"/>
        </ext>
      </extLst>
    </bk>
    <bk>
      <extLst>
        <ext uri="{3e2802c4-a4d2-4d8b-9148-e3be6c30e623}">
          <xlrd:rvb i="7681"/>
        </ext>
      </extLst>
    </bk>
    <bk>
      <extLst>
        <ext uri="{3e2802c4-a4d2-4d8b-9148-e3be6c30e623}">
          <xlrd:rvb i="7682"/>
        </ext>
      </extLst>
    </bk>
    <bk>
      <extLst>
        <ext uri="{3e2802c4-a4d2-4d8b-9148-e3be6c30e623}">
          <xlrd:rvb i="7683"/>
        </ext>
      </extLst>
    </bk>
    <bk>
      <extLst>
        <ext uri="{3e2802c4-a4d2-4d8b-9148-e3be6c30e623}">
          <xlrd:rvb i="7684"/>
        </ext>
      </extLst>
    </bk>
    <bk>
      <extLst>
        <ext uri="{3e2802c4-a4d2-4d8b-9148-e3be6c30e623}">
          <xlrd:rvb i="7685"/>
        </ext>
      </extLst>
    </bk>
    <bk>
      <extLst>
        <ext uri="{3e2802c4-a4d2-4d8b-9148-e3be6c30e623}">
          <xlrd:rvb i="7686"/>
        </ext>
      </extLst>
    </bk>
    <bk>
      <extLst>
        <ext uri="{3e2802c4-a4d2-4d8b-9148-e3be6c30e623}">
          <xlrd:rvb i="7687"/>
        </ext>
      </extLst>
    </bk>
    <bk>
      <extLst>
        <ext uri="{3e2802c4-a4d2-4d8b-9148-e3be6c30e623}">
          <xlrd:rvb i="7688"/>
        </ext>
      </extLst>
    </bk>
    <bk>
      <extLst>
        <ext uri="{3e2802c4-a4d2-4d8b-9148-e3be6c30e623}">
          <xlrd:rvb i="7689"/>
        </ext>
      </extLst>
    </bk>
    <bk>
      <extLst>
        <ext uri="{3e2802c4-a4d2-4d8b-9148-e3be6c30e623}">
          <xlrd:rvb i="7690"/>
        </ext>
      </extLst>
    </bk>
    <bk>
      <extLst>
        <ext uri="{3e2802c4-a4d2-4d8b-9148-e3be6c30e623}">
          <xlrd:rvb i="7691"/>
        </ext>
      </extLst>
    </bk>
    <bk>
      <extLst>
        <ext uri="{3e2802c4-a4d2-4d8b-9148-e3be6c30e623}">
          <xlrd:rvb i="7692"/>
        </ext>
      </extLst>
    </bk>
    <bk>
      <extLst>
        <ext uri="{3e2802c4-a4d2-4d8b-9148-e3be6c30e623}">
          <xlrd:rvb i="7693"/>
        </ext>
      </extLst>
    </bk>
    <bk>
      <extLst>
        <ext uri="{3e2802c4-a4d2-4d8b-9148-e3be6c30e623}">
          <xlrd:rvb i="7694"/>
        </ext>
      </extLst>
    </bk>
    <bk>
      <extLst>
        <ext uri="{3e2802c4-a4d2-4d8b-9148-e3be6c30e623}">
          <xlrd:rvb i="7695"/>
        </ext>
      </extLst>
    </bk>
    <bk>
      <extLst>
        <ext uri="{3e2802c4-a4d2-4d8b-9148-e3be6c30e623}">
          <xlrd:rvb i="7696"/>
        </ext>
      </extLst>
    </bk>
    <bk>
      <extLst>
        <ext uri="{3e2802c4-a4d2-4d8b-9148-e3be6c30e623}">
          <xlrd:rvb i="7697"/>
        </ext>
      </extLst>
    </bk>
    <bk>
      <extLst>
        <ext uri="{3e2802c4-a4d2-4d8b-9148-e3be6c30e623}">
          <xlrd:rvb i="7698"/>
        </ext>
      </extLst>
    </bk>
    <bk>
      <extLst>
        <ext uri="{3e2802c4-a4d2-4d8b-9148-e3be6c30e623}">
          <xlrd:rvb i="7699"/>
        </ext>
      </extLst>
    </bk>
    <bk>
      <extLst>
        <ext uri="{3e2802c4-a4d2-4d8b-9148-e3be6c30e623}">
          <xlrd:rvb i="7700"/>
        </ext>
      </extLst>
    </bk>
    <bk>
      <extLst>
        <ext uri="{3e2802c4-a4d2-4d8b-9148-e3be6c30e623}">
          <xlrd:rvb i="7701"/>
        </ext>
      </extLst>
    </bk>
    <bk>
      <extLst>
        <ext uri="{3e2802c4-a4d2-4d8b-9148-e3be6c30e623}">
          <xlrd:rvb i="7702"/>
        </ext>
      </extLst>
    </bk>
    <bk>
      <extLst>
        <ext uri="{3e2802c4-a4d2-4d8b-9148-e3be6c30e623}">
          <xlrd:rvb i="7703"/>
        </ext>
      </extLst>
    </bk>
    <bk>
      <extLst>
        <ext uri="{3e2802c4-a4d2-4d8b-9148-e3be6c30e623}">
          <xlrd:rvb i="7704"/>
        </ext>
      </extLst>
    </bk>
    <bk>
      <extLst>
        <ext uri="{3e2802c4-a4d2-4d8b-9148-e3be6c30e623}">
          <xlrd:rvb i="7705"/>
        </ext>
      </extLst>
    </bk>
    <bk>
      <extLst>
        <ext uri="{3e2802c4-a4d2-4d8b-9148-e3be6c30e623}">
          <xlrd:rvb i="7706"/>
        </ext>
      </extLst>
    </bk>
    <bk>
      <extLst>
        <ext uri="{3e2802c4-a4d2-4d8b-9148-e3be6c30e623}">
          <xlrd:rvb i="7707"/>
        </ext>
      </extLst>
    </bk>
    <bk>
      <extLst>
        <ext uri="{3e2802c4-a4d2-4d8b-9148-e3be6c30e623}">
          <xlrd:rvb i="7708"/>
        </ext>
      </extLst>
    </bk>
    <bk>
      <extLst>
        <ext uri="{3e2802c4-a4d2-4d8b-9148-e3be6c30e623}">
          <xlrd:rvb i="7709"/>
        </ext>
      </extLst>
    </bk>
    <bk>
      <extLst>
        <ext uri="{3e2802c4-a4d2-4d8b-9148-e3be6c30e623}">
          <xlrd:rvb i="7710"/>
        </ext>
      </extLst>
    </bk>
    <bk>
      <extLst>
        <ext uri="{3e2802c4-a4d2-4d8b-9148-e3be6c30e623}">
          <xlrd:rvb i="7711"/>
        </ext>
      </extLst>
    </bk>
    <bk>
      <extLst>
        <ext uri="{3e2802c4-a4d2-4d8b-9148-e3be6c30e623}">
          <xlrd:rvb i="7712"/>
        </ext>
      </extLst>
    </bk>
    <bk>
      <extLst>
        <ext uri="{3e2802c4-a4d2-4d8b-9148-e3be6c30e623}">
          <xlrd:rvb i="7713"/>
        </ext>
      </extLst>
    </bk>
    <bk>
      <extLst>
        <ext uri="{3e2802c4-a4d2-4d8b-9148-e3be6c30e623}">
          <xlrd:rvb i="7714"/>
        </ext>
      </extLst>
    </bk>
    <bk>
      <extLst>
        <ext uri="{3e2802c4-a4d2-4d8b-9148-e3be6c30e623}">
          <xlrd:rvb i="7715"/>
        </ext>
      </extLst>
    </bk>
    <bk>
      <extLst>
        <ext uri="{3e2802c4-a4d2-4d8b-9148-e3be6c30e623}">
          <xlrd:rvb i="7716"/>
        </ext>
      </extLst>
    </bk>
    <bk>
      <extLst>
        <ext uri="{3e2802c4-a4d2-4d8b-9148-e3be6c30e623}">
          <xlrd:rvb i="7717"/>
        </ext>
      </extLst>
    </bk>
    <bk>
      <extLst>
        <ext uri="{3e2802c4-a4d2-4d8b-9148-e3be6c30e623}">
          <xlrd:rvb i="7718"/>
        </ext>
      </extLst>
    </bk>
    <bk>
      <extLst>
        <ext uri="{3e2802c4-a4d2-4d8b-9148-e3be6c30e623}">
          <xlrd:rvb i="7719"/>
        </ext>
      </extLst>
    </bk>
    <bk>
      <extLst>
        <ext uri="{3e2802c4-a4d2-4d8b-9148-e3be6c30e623}">
          <xlrd:rvb i="7720"/>
        </ext>
      </extLst>
    </bk>
    <bk>
      <extLst>
        <ext uri="{3e2802c4-a4d2-4d8b-9148-e3be6c30e623}">
          <xlrd:rvb i="7721"/>
        </ext>
      </extLst>
    </bk>
    <bk>
      <extLst>
        <ext uri="{3e2802c4-a4d2-4d8b-9148-e3be6c30e623}">
          <xlrd:rvb i="7722"/>
        </ext>
      </extLst>
    </bk>
    <bk>
      <extLst>
        <ext uri="{3e2802c4-a4d2-4d8b-9148-e3be6c30e623}">
          <xlrd:rvb i="7723"/>
        </ext>
      </extLst>
    </bk>
    <bk>
      <extLst>
        <ext uri="{3e2802c4-a4d2-4d8b-9148-e3be6c30e623}">
          <xlrd:rvb i="7724"/>
        </ext>
      </extLst>
    </bk>
    <bk>
      <extLst>
        <ext uri="{3e2802c4-a4d2-4d8b-9148-e3be6c30e623}">
          <xlrd:rvb i="7725"/>
        </ext>
      </extLst>
    </bk>
    <bk>
      <extLst>
        <ext uri="{3e2802c4-a4d2-4d8b-9148-e3be6c30e623}">
          <xlrd:rvb i="7726"/>
        </ext>
      </extLst>
    </bk>
    <bk>
      <extLst>
        <ext uri="{3e2802c4-a4d2-4d8b-9148-e3be6c30e623}">
          <xlrd:rvb i="7727"/>
        </ext>
      </extLst>
    </bk>
    <bk>
      <extLst>
        <ext uri="{3e2802c4-a4d2-4d8b-9148-e3be6c30e623}">
          <xlrd:rvb i="7728"/>
        </ext>
      </extLst>
    </bk>
    <bk>
      <extLst>
        <ext uri="{3e2802c4-a4d2-4d8b-9148-e3be6c30e623}">
          <xlrd:rvb i="7729"/>
        </ext>
      </extLst>
    </bk>
    <bk>
      <extLst>
        <ext uri="{3e2802c4-a4d2-4d8b-9148-e3be6c30e623}">
          <xlrd:rvb i="7730"/>
        </ext>
      </extLst>
    </bk>
    <bk>
      <extLst>
        <ext uri="{3e2802c4-a4d2-4d8b-9148-e3be6c30e623}">
          <xlrd:rvb i="7731"/>
        </ext>
      </extLst>
    </bk>
    <bk>
      <extLst>
        <ext uri="{3e2802c4-a4d2-4d8b-9148-e3be6c30e623}">
          <xlrd:rvb i="7732"/>
        </ext>
      </extLst>
    </bk>
    <bk>
      <extLst>
        <ext uri="{3e2802c4-a4d2-4d8b-9148-e3be6c30e623}">
          <xlrd:rvb i="7733"/>
        </ext>
      </extLst>
    </bk>
    <bk>
      <extLst>
        <ext uri="{3e2802c4-a4d2-4d8b-9148-e3be6c30e623}">
          <xlrd:rvb i="7734"/>
        </ext>
      </extLst>
    </bk>
    <bk>
      <extLst>
        <ext uri="{3e2802c4-a4d2-4d8b-9148-e3be6c30e623}">
          <xlrd:rvb i="7735"/>
        </ext>
      </extLst>
    </bk>
    <bk>
      <extLst>
        <ext uri="{3e2802c4-a4d2-4d8b-9148-e3be6c30e623}">
          <xlrd:rvb i="7736"/>
        </ext>
      </extLst>
    </bk>
    <bk>
      <extLst>
        <ext uri="{3e2802c4-a4d2-4d8b-9148-e3be6c30e623}">
          <xlrd:rvb i="7737"/>
        </ext>
      </extLst>
    </bk>
    <bk>
      <extLst>
        <ext uri="{3e2802c4-a4d2-4d8b-9148-e3be6c30e623}">
          <xlrd:rvb i="7738"/>
        </ext>
      </extLst>
    </bk>
    <bk>
      <extLst>
        <ext uri="{3e2802c4-a4d2-4d8b-9148-e3be6c30e623}">
          <xlrd:rvb i="7739"/>
        </ext>
      </extLst>
    </bk>
    <bk>
      <extLst>
        <ext uri="{3e2802c4-a4d2-4d8b-9148-e3be6c30e623}">
          <xlrd:rvb i="7740"/>
        </ext>
      </extLst>
    </bk>
    <bk>
      <extLst>
        <ext uri="{3e2802c4-a4d2-4d8b-9148-e3be6c30e623}">
          <xlrd:rvb i="7741"/>
        </ext>
      </extLst>
    </bk>
    <bk>
      <extLst>
        <ext uri="{3e2802c4-a4d2-4d8b-9148-e3be6c30e623}">
          <xlrd:rvb i="7742"/>
        </ext>
      </extLst>
    </bk>
    <bk>
      <extLst>
        <ext uri="{3e2802c4-a4d2-4d8b-9148-e3be6c30e623}">
          <xlrd:rvb i="7743"/>
        </ext>
      </extLst>
    </bk>
    <bk>
      <extLst>
        <ext uri="{3e2802c4-a4d2-4d8b-9148-e3be6c30e623}">
          <xlrd:rvb i="7744"/>
        </ext>
      </extLst>
    </bk>
    <bk>
      <extLst>
        <ext uri="{3e2802c4-a4d2-4d8b-9148-e3be6c30e623}">
          <xlrd:rvb i="7745"/>
        </ext>
      </extLst>
    </bk>
    <bk>
      <extLst>
        <ext uri="{3e2802c4-a4d2-4d8b-9148-e3be6c30e623}">
          <xlrd:rvb i="7746"/>
        </ext>
      </extLst>
    </bk>
    <bk>
      <extLst>
        <ext uri="{3e2802c4-a4d2-4d8b-9148-e3be6c30e623}">
          <xlrd:rvb i="7747"/>
        </ext>
      </extLst>
    </bk>
    <bk>
      <extLst>
        <ext uri="{3e2802c4-a4d2-4d8b-9148-e3be6c30e623}">
          <xlrd:rvb i="7748"/>
        </ext>
      </extLst>
    </bk>
    <bk>
      <extLst>
        <ext uri="{3e2802c4-a4d2-4d8b-9148-e3be6c30e623}">
          <xlrd:rvb i="7749"/>
        </ext>
      </extLst>
    </bk>
    <bk>
      <extLst>
        <ext uri="{3e2802c4-a4d2-4d8b-9148-e3be6c30e623}">
          <xlrd:rvb i="7750"/>
        </ext>
      </extLst>
    </bk>
    <bk>
      <extLst>
        <ext uri="{3e2802c4-a4d2-4d8b-9148-e3be6c30e623}">
          <xlrd:rvb i="7751"/>
        </ext>
      </extLst>
    </bk>
    <bk>
      <extLst>
        <ext uri="{3e2802c4-a4d2-4d8b-9148-e3be6c30e623}">
          <xlrd:rvb i="7752"/>
        </ext>
      </extLst>
    </bk>
    <bk>
      <extLst>
        <ext uri="{3e2802c4-a4d2-4d8b-9148-e3be6c30e623}">
          <xlrd:rvb i="7753"/>
        </ext>
      </extLst>
    </bk>
    <bk>
      <extLst>
        <ext uri="{3e2802c4-a4d2-4d8b-9148-e3be6c30e623}">
          <xlrd:rvb i="7754"/>
        </ext>
      </extLst>
    </bk>
    <bk>
      <extLst>
        <ext uri="{3e2802c4-a4d2-4d8b-9148-e3be6c30e623}">
          <xlrd:rvb i="7755"/>
        </ext>
      </extLst>
    </bk>
    <bk>
      <extLst>
        <ext uri="{3e2802c4-a4d2-4d8b-9148-e3be6c30e623}">
          <xlrd:rvb i="7756"/>
        </ext>
      </extLst>
    </bk>
    <bk>
      <extLst>
        <ext uri="{3e2802c4-a4d2-4d8b-9148-e3be6c30e623}">
          <xlrd:rvb i="7757"/>
        </ext>
      </extLst>
    </bk>
    <bk>
      <extLst>
        <ext uri="{3e2802c4-a4d2-4d8b-9148-e3be6c30e623}">
          <xlrd:rvb i="7758"/>
        </ext>
      </extLst>
    </bk>
    <bk>
      <extLst>
        <ext uri="{3e2802c4-a4d2-4d8b-9148-e3be6c30e623}">
          <xlrd:rvb i="7759"/>
        </ext>
      </extLst>
    </bk>
    <bk>
      <extLst>
        <ext uri="{3e2802c4-a4d2-4d8b-9148-e3be6c30e623}">
          <xlrd:rvb i="7760"/>
        </ext>
      </extLst>
    </bk>
    <bk>
      <extLst>
        <ext uri="{3e2802c4-a4d2-4d8b-9148-e3be6c30e623}">
          <xlrd:rvb i="7761"/>
        </ext>
      </extLst>
    </bk>
    <bk>
      <extLst>
        <ext uri="{3e2802c4-a4d2-4d8b-9148-e3be6c30e623}">
          <xlrd:rvb i="7762"/>
        </ext>
      </extLst>
    </bk>
    <bk>
      <extLst>
        <ext uri="{3e2802c4-a4d2-4d8b-9148-e3be6c30e623}">
          <xlrd:rvb i="7763"/>
        </ext>
      </extLst>
    </bk>
    <bk>
      <extLst>
        <ext uri="{3e2802c4-a4d2-4d8b-9148-e3be6c30e623}">
          <xlrd:rvb i="7764"/>
        </ext>
      </extLst>
    </bk>
    <bk>
      <extLst>
        <ext uri="{3e2802c4-a4d2-4d8b-9148-e3be6c30e623}">
          <xlrd:rvb i="7765"/>
        </ext>
      </extLst>
    </bk>
    <bk>
      <extLst>
        <ext uri="{3e2802c4-a4d2-4d8b-9148-e3be6c30e623}">
          <xlrd:rvb i="7766"/>
        </ext>
      </extLst>
    </bk>
    <bk>
      <extLst>
        <ext uri="{3e2802c4-a4d2-4d8b-9148-e3be6c30e623}">
          <xlrd:rvb i="7767"/>
        </ext>
      </extLst>
    </bk>
    <bk>
      <extLst>
        <ext uri="{3e2802c4-a4d2-4d8b-9148-e3be6c30e623}">
          <xlrd:rvb i="7768"/>
        </ext>
      </extLst>
    </bk>
    <bk>
      <extLst>
        <ext uri="{3e2802c4-a4d2-4d8b-9148-e3be6c30e623}">
          <xlrd:rvb i="7769"/>
        </ext>
      </extLst>
    </bk>
    <bk>
      <extLst>
        <ext uri="{3e2802c4-a4d2-4d8b-9148-e3be6c30e623}">
          <xlrd:rvb i="7770"/>
        </ext>
      </extLst>
    </bk>
    <bk>
      <extLst>
        <ext uri="{3e2802c4-a4d2-4d8b-9148-e3be6c30e623}">
          <xlrd:rvb i="7771"/>
        </ext>
      </extLst>
    </bk>
    <bk>
      <extLst>
        <ext uri="{3e2802c4-a4d2-4d8b-9148-e3be6c30e623}">
          <xlrd:rvb i="7772"/>
        </ext>
      </extLst>
    </bk>
    <bk>
      <extLst>
        <ext uri="{3e2802c4-a4d2-4d8b-9148-e3be6c30e623}">
          <xlrd:rvb i="7773"/>
        </ext>
      </extLst>
    </bk>
    <bk>
      <extLst>
        <ext uri="{3e2802c4-a4d2-4d8b-9148-e3be6c30e623}">
          <xlrd:rvb i="7774"/>
        </ext>
      </extLst>
    </bk>
    <bk>
      <extLst>
        <ext uri="{3e2802c4-a4d2-4d8b-9148-e3be6c30e623}">
          <xlrd:rvb i="7775"/>
        </ext>
      </extLst>
    </bk>
    <bk>
      <extLst>
        <ext uri="{3e2802c4-a4d2-4d8b-9148-e3be6c30e623}">
          <xlrd:rvb i="7776"/>
        </ext>
      </extLst>
    </bk>
    <bk>
      <extLst>
        <ext uri="{3e2802c4-a4d2-4d8b-9148-e3be6c30e623}">
          <xlrd:rvb i="7777"/>
        </ext>
      </extLst>
    </bk>
    <bk>
      <extLst>
        <ext uri="{3e2802c4-a4d2-4d8b-9148-e3be6c30e623}">
          <xlrd:rvb i="7778"/>
        </ext>
      </extLst>
    </bk>
    <bk>
      <extLst>
        <ext uri="{3e2802c4-a4d2-4d8b-9148-e3be6c30e623}">
          <xlrd:rvb i="7779"/>
        </ext>
      </extLst>
    </bk>
    <bk>
      <extLst>
        <ext uri="{3e2802c4-a4d2-4d8b-9148-e3be6c30e623}">
          <xlrd:rvb i="7780"/>
        </ext>
      </extLst>
    </bk>
    <bk>
      <extLst>
        <ext uri="{3e2802c4-a4d2-4d8b-9148-e3be6c30e623}">
          <xlrd:rvb i="7781"/>
        </ext>
      </extLst>
    </bk>
    <bk>
      <extLst>
        <ext uri="{3e2802c4-a4d2-4d8b-9148-e3be6c30e623}">
          <xlrd:rvb i="7782"/>
        </ext>
      </extLst>
    </bk>
    <bk>
      <extLst>
        <ext uri="{3e2802c4-a4d2-4d8b-9148-e3be6c30e623}">
          <xlrd:rvb i="7783"/>
        </ext>
      </extLst>
    </bk>
    <bk>
      <extLst>
        <ext uri="{3e2802c4-a4d2-4d8b-9148-e3be6c30e623}">
          <xlrd:rvb i="7784"/>
        </ext>
      </extLst>
    </bk>
    <bk>
      <extLst>
        <ext uri="{3e2802c4-a4d2-4d8b-9148-e3be6c30e623}">
          <xlrd:rvb i="7785"/>
        </ext>
      </extLst>
    </bk>
    <bk>
      <extLst>
        <ext uri="{3e2802c4-a4d2-4d8b-9148-e3be6c30e623}">
          <xlrd:rvb i="7786"/>
        </ext>
      </extLst>
    </bk>
    <bk>
      <extLst>
        <ext uri="{3e2802c4-a4d2-4d8b-9148-e3be6c30e623}">
          <xlrd:rvb i="7787"/>
        </ext>
      </extLst>
    </bk>
    <bk>
      <extLst>
        <ext uri="{3e2802c4-a4d2-4d8b-9148-e3be6c30e623}">
          <xlrd:rvb i="7788"/>
        </ext>
      </extLst>
    </bk>
    <bk>
      <extLst>
        <ext uri="{3e2802c4-a4d2-4d8b-9148-e3be6c30e623}">
          <xlrd:rvb i="7789"/>
        </ext>
      </extLst>
    </bk>
    <bk>
      <extLst>
        <ext uri="{3e2802c4-a4d2-4d8b-9148-e3be6c30e623}">
          <xlrd:rvb i="7790"/>
        </ext>
      </extLst>
    </bk>
    <bk>
      <extLst>
        <ext uri="{3e2802c4-a4d2-4d8b-9148-e3be6c30e623}">
          <xlrd:rvb i="7791"/>
        </ext>
      </extLst>
    </bk>
    <bk>
      <extLst>
        <ext uri="{3e2802c4-a4d2-4d8b-9148-e3be6c30e623}">
          <xlrd:rvb i="7792"/>
        </ext>
      </extLst>
    </bk>
    <bk>
      <extLst>
        <ext uri="{3e2802c4-a4d2-4d8b-9148-e3be6c30e623}">
          <xlrd:rvb i="7793"/>
        </ext>
      </extLst>
    </bk>
    <bk>
      <extLst>
        <ext uri="{3e2802c4-a4d2-4d8b-9148-e3be6c30e623}">
          <xlrd:rvb i="7794"/>
        </ext>
      </extLst>
    </bk>
    <bk>
      <extLst>
        <ext uri="{3e2802c4-a4d2-4d8b-9148-e3be6c30e623}">
          <xlrd:rvb i="7795"/>
        </ext>
      </extLst>
    </bk>
    <bk>
      <extLst>
        <ext uri="{3e2802c4-a4d2-4d8b-9148-e3be6c30e623}">
          <xlrd:rvb i="7796"/>
        </ext>
      </extLst>
    </bk>
    <bk>
      <extLst>
        <ext uri="{3e2802c4-a4d2-4d8b-9148-e3be6c30e623}">
          <xlrd:rvb i="7797"/>
        </ext>
      </extLst>
    </bk>
    <bk>
      <extLst>
        <ext uri="{3e2802c4-a4d2-4d8b-9148-e3be6c30e623}">
          <xlrd:rvb i="7798"/>
        </ext>
      </extLst>
    </bk>
    <bk>
      <extLst>
        <ext uri="{3e2802c4-a4d2-4d8b-9148-e3be6c30e623}">
          <xlrd:rvb i="7799"/>
        </ext>
      </extLst>
    </bk>
    <bk>
      <extLst>
        <ext uri="{3e2802c4-a4d2-4d8b-9148-e3be6c30e623}">
          <xlrd:rvb i="7800"/>
        </ext>
      </extLst>
    </bk>
    <bk>
      <extLst>
        <ext uri="{3e2802c4-a4d2-4d8b-9148-e3be6c30e623}">
          <xlrd:rvb i="7801"/>
        </ext>
      </extLst>
    </bk>
    <bk>
      <extLst>
        <ext uri="{3e2802c4-a4d2-4d8b-9148-e3be6c30e623}">
          <xlrd:rvb i="7802"/>
        </ext>
      </extLst>
    </bk>
    <bk>
      <extLst>
        <ext uri="{3e2802c4-a4d2-4d8b-9148-e3be6c30e623}">
          <xlrd:rvb i="7803"/>
        </ext>
      </extLst>
    </bk>
    <bk>
      <extLst>
        <ext uri="{3e2802c4-a4d2-4d8b-9148-e3be6c30e623}">
          <xlrd:rvb i="7804"/>
        </ext>
      </extLst>
    </bk>
    <bk>
      <extLst>
        <ext uri="{3e2802c4-a4d2-4d8b-9148-e3be6c30e623}">
          <xlrd:rvb i="7805"/>
        </ext>
      </extLst>
    </bk>
    <bk>
      <extLst>
        <ext uri="{3e2802c4-a4d2-4d8b-9148-e3be6c30e623}">
          <xlrd:rvb i="7806"/>
        </ext>
      </extLst>
    </bk>
    <bk>
      <extLst>
        <ext uri="{3e2802c4-a4d2-4d8b-9148-e3be6c30e623}">
          <xlrd:rvb i="7807"/>
        </ext>
      </extLst>
    </bk>
    <bk>
      <extLst>
        <ext uri="{3e2802c4-a4d2-4d8b-9148-e3be6c30e623}">
          <xlrd:rvb i="7808"/>
        </ext>
      </extLst>
    </bk>
    <bk>
      <extLst>
        <ext uri="{3e2802c4-a4d2-4d8b-9148-e3be6c30e623}">
          <xlrd:rvb i="7809"/>
        </ext>
      </extLst>
    </bk>
    <bk>
      <extLst>
        <ext uri="{3e2802c4-a4d2-4d8b-9148-e3be6c30e623}">
          <xlrd:rvb i="7810"/>
        </ext>
      </extLst>
    </bk>
    <bk>
      <extLst>
        <ext uri="{3e2802c4-a4d2-4d8b-9148-e3be6c30e623}">
          <xlrd:rvb i="7811"/>
        </ext>
      </extLst>
    </bk>
    <bk>
      <extLst>
        <ext uri="{3e2802c4-a4d2-4d8b-9148-e3be6c30e623}">
          <xlrd:rvb i="7812"/>
        </ext>
      </extLst>
    </bk>
    <bk>
      <extLst>
        <ext uri="{3e2802c4-a4d2-4d8b-9148-e3be6c30e623}">
          <xlrd:rvb i="7813"/>
        </ext>
      </extLst>
    </bk>
    <bk>
      <extLst>
        <ext uri="{3e2802c4-a4d2-4d8b-9148-e3be6c30e623}">
          <xlrd:rvb i="7814"/>
        </ext>
      </extLst>
    </bk>
    <bk>
      <extLst>
        <ext uri="{3e2802c4-a4d2-4d8b-9148-e3be6c30e623}">
          <xlrd:rvb i="7815"/>
        </ext>
      </extLst>
    </bk>
    <bk>
      <extLst>
        <ext uri="{3e2802c4-a4d2-4d8b-9148-e3be6c30e623}">
          <xlrd:rvb i="7816"/>
        </ext>
      </extLst>
    </bk>
    <bk>
      <extLst>
        <ext uri="{3e2802c4-a4d2-4d8b-9148-e3be6c30e623}">
          <xlrd:rvb i="7817"/>
        </ext>
      </extLst>
    </bk>
    <bk>
      <extLst>
        <ext uri="{3e2802c4-a4d2-4d8b-9148-e3be6c30e623}">
          <xlrd:rvb i="7818"/>
        </ext>
      </extLst>
    </bk>
    <bk>
      <extLst>
        <ext uri="{3e2802c4-a4d2-4d8b-9148-e3be6c30e623}">
          <xlrd:rvb i="7819"/>
        </ext>
      </extLst>
    </bk>
    <bk>
      <extLst>
        <ext uri="{3e2802c4-a4d2-4d8b-9148-e3be6c30e623}">
          <xlrd:rvb i="7820"/>
        </ext>
      </extLst>
    </bk>
    <bk>
      <extLst>
        <ext uri="{3e2802c4-a4d2-4d8b-9148-e3be6c30e623}">
          <xlrd:rvb i="7821"/>
        </ext>
      </extLst>
    </bk>
    <bk>
      <extLst>
        <ext uri="{3e2802c4-a4d2-4d8b-9148-e3be6c30e623}">
          <xlrd:rvb i="7822"/>
        </ext>
      </extLst>
    </bk>
    <bk>
      <extLst>
        <ext uri="{3e2802c4-a4d2-4d8b-9148-e3be6c30e623}">
          <xlrd:rvb i="7823"/>
        </ext>
      </extLst>
    </bk>
    <bk>
      <extLst>
        <ext uri="{3e2802c4-a4d2-4d8b-9148-e3be6c30e623}">
          <xlrd:rvb i="7824"/>
        </ext>
      </extLst>
    </bk>
    <bk>
      <extLst>
        <ext uri="{3e2802c4-a4d2-4d8b-9148-e3be6c30e623}">
          <xlrd:rvb i="7825"/>
        </ext>
      </extLst>
    </bk>
    <bk>
      <extLst>
        <ext uri="{3e2802c4-a4d2-4d8b-9148-e3be6c30e623}">
          <xlrd:rvb i="7826"/>
        </ext>
      </extLst>
    </bk>
    <bk>
      <extLst>
        <ext uri="{3e2802c4-a4d2-4d8b-9148-e3be6c30e623}">
          <xlrd:rvb i="7827"/>
        </ext>
      </extLst>
    </bk>
    <bk>
      <extLst>
        <ext uri="{3e2802c4-a4d2-4d8b-9148-e3be6c30e623}">
          <xlrd:rvb i="7828"/>
        </ext>
      </extLst>
    </bk>
    <bk>
      <extLst>
        <ext uri="{3e2802c4-a4d2-4d8b-9148-e3be6c30e623}">
          <xlrd:rvb i="7829"/>
        </ext>
      </extLst>
    </bk>
    <bk>
      <extLst>
        <ext uri="{3e2802c4-a4d2-4d8b-9148-e3be6c30e623}">
          <xlrd:rvb i="7830"/>
        </ext>
      </extLst>
    </bk>
    <bk>
      <extLst>
        <ext uri="{3e2802c4-a4d2-4d8b-9148-e3be6c30e623}">
          <xlrd:rvb i="7831"/>
        </ext>
      </extLst>
    </bk>
    <bk>
      <extLst>
        <ext uri="{3e2802c4-a4d2-4d8b-9148-e3be6c30e623}">
          <xlrd:rvb i="7832"/>
        </ext>
      </extLst>
    </bk>
    <bk>
      <extLst>
        <ext uri="{3e2802c4-a4d2-4d8b-9148-e3be6c30e623}">
          <xlrd:rvb i="7833"/>
        </ext>
      </extLst>
    </bk>
    <bk>
      <extLst>
        <ext uri="{3e2802c4-a4d2-4d8b-9148-e3be6c30e623}">
          <xlrd:rvb i="7834"/>
        </ext>
      </extLst>
    </bk>
    <bk>
      <extLst>
        <ext uri="{3e2802c4-a4d2-4d8b-9148-e3be6c30e623}">
          <xlrd:rvb i="7835"/>
        </ext>
      </extLst>
    </bk>
    <bk>
      <extLst>
        <ext uri="{3e2802c4-a4d2-4d8b-9148-e3be6c30e623}">
          <xlrd:rvb i="7836"/>
        </ext>
      </extLst>
    </bk>
    <bk>
      <extLst>
        <ext uri="{3e2802c4-a4d2-4d8b-9148-e3be6c30e623}">
          <xlrd:rvb i="7837"/>
        </ext>
      </extLst>
    </bk>
    <bk>
      <extLst>
        <ext uri="{3e2802c4-a4d2-4d8b-9148-e3be6c30e623}">
          <xlrd:rvb i="7838"/>
        </ext>
      </extLst>
    </bk>
    <bk>
      <extLst>
        <ext uri="{3e2802c4-a4d2-4d8b-9148-e3be6c30e623}">
          <xlrd:rvb i="7839"/>
        </ext>
      </extLst>
    </bk>
    <bk>
      <extLst>
        <ext uri="{3e2802c4-a4d2-4d8b-9148-e3be6c30e623}">
          <xlrd:rvb i="7840"/>
        </ext>
      </extLst>
    </bk>
    <bk>
      <extLst>
        <ext uri="{3e2802c4-a4d2-4d8b-9148-e3be6c30e623}">
          <xlrd:rvb i="7841"/>
        </ext>
      </extLst>
    </bk>
    <bk>
      <extLst>
        <ext uri="{3e2802c4-a4d2-4d8b-9148-e3be6c30e623}">
          <xlrd:rvb i="7842"/>
        </ext>
      </extLst>
    </bk>
    <bk>
      <extLst>
        <ext uri="{3e2802c4-a4d2-4d8b-9148-e3be6c30e623}">
          <xlrd:rvb i="7843"/>
        </ext>
      </extLst>
    </bk>
    <bk>
      <extLst>
        <ext uri="{3e2802c4-a4d2-4d8b-9148-e3be6c30e623}">
          <xlrd:rvb i="7844"/>
        </ext>
      </extLst>
    </bk>
    <bk>
      <extLst>
        <ext uri="{3e2802c4-a4d2-4d8b-9148-e3be6c30e623}">
          <xlrd:rvb i="7845"/>
        </ext>
      </extLst>
    </bk>
    <bk>
      <extLst>
        <ext uri="{3e2802c4-a4d2-4d8b-9148-e3be6c30e623}">
          <xlrd:rvb i="7846"/>
        </ext>
      </extLst>
    </bk>
    <bk>
      <extLst>
        <ext uri="{3e2802c4-a4d2-4d8b-9148-e3be6c30e623}">
          <xlrd:rvb i="7847"/>
        </ext>
      </extLst>
    </bk>
    <bk>
      <extLst>
        <ext uri="{3e2802c4-a4d2-4d8b-9148-e3be6c30e623}">
          <xlrd:rvb i="7848"/>
        </ext>
      </extLst>
    </bk>
    <bk>
      <extLst>
        <ext uri="{3e2802c4-a4d2-4d8b-9148-e3be6c30e623}">
          <xlrd:rvb i="7849"/>
        </ext>
      </extLst>
    </bk>
    <bk>
      <extLst>
        <ext uri="{3e2802c4-a4d2-4d8b-9148-e3be6c30e623}">
          <xlrd:rvb i="7850"/>
        </ext>
      </extLst>
    </bk>
    <bk>
      <extLst>
        <ext uri="{3e2802c4-a4d2-4d8b-9148-e3be6c30e623}">
          <xlrd:rvb i="7851"/>
        </ext>
      </extLst>
    </bk>
    <bk>
      <extLst>
        <ext uri="{3e2802c4-a4d2-4d8b-9148-e3be6c30e623}">
          <xlrd:rvb i="7852"/>
        </ext>
      </extLst>
    </bk>
    <bk>
      <extLst>
        <ext uri="{3e2802c4-a4d2-4d8b-9148-e3be6c30e623}">
          <xlrd:rvb i="7853"/>
        </ext>
      </extLst>
    </bk>
    <bk>
      <extLst>
        <ext uri="{3e2802c4-a4d2-4d8b-9148-e3be6c30e623}">
          <xlrd:rvb i="7854"/>
        </ext>
      </extLst>
    </bk>
    <bk>
      <extLst>
        <ext uri="{3e2802c4-a4d2-4d8b-9148-e3be6c30e623}">
          <xlrd:rvb i="7855"/>
        </ext>
      </extLst>
    </bk>
    <bk>
      <extLst>
        <ext uri="{3e2802c4-a4d2-4d8b-9148-e3be6c30e623}">
          <xlrd:rvb i="7856"/>
        </ext>
      </extLst>
    </bk>
    <bk>
      <extLst>
        <ext uri="{3e2802c4-a4d2-4d8b-9148-e3be6c30e623}">
          <xlrd:rvb i="7857"/>
        </ext>
      </extLst>
    </bk>
    <bk>
      <extLst>
        <ext uri="{3e2802c4-a4d2-4d8b-9148-e3be6c30e623}">
          <xlrd:rvb i="7858"/>
        </ext>
      </extLst>
    </bk>
    <bk>
      <extLst>
        <ext uri="{3e2802c4-a4d2-4d8b-9148-e3be6c30e623}">
          <xlrd:rvb i="7859"/>
        </ext>
      </extLst>
    </bk>
    <bk>
      <extLst>
        <ext uri="{3e2802c4-a4d2-4d8b-9148-e3be6c30e623}">
          <xlrd:rvb i="7860"/>
        </ext>
      </extLst>
    </bk>
    <bk>
      <extLst>
        <ext uri="{3e2802c4-a4d2-4d8b-9148-e3be6c30e623}">
          <xlrd:rvb i="7861"/>
        </ext>
      </extLst>
    </bk>
    <bk>
      <extLst>
        <ext uri="{3e2802c4-a4d2-4d8b-9148-e3be6c30e623}">
          <xlrd:rvb i="7862"/>
        </ext>
      </extLst>
    </bk>
    <bk>
      <extLst>
        <ext uri="{3e2802c4-a4d2-4d8b-9148-e3be6c30e623}">
          <xlrd:rvb i="7863"/>
        </ext>
      </extLst>
    </bk>
    <bk>
      <extLst>
        <ext uri="{3e2802c4-a4d2-4d8b-9148-e3be6c30e623}">
          <xlrd:rvb i="7864"/>
        </ext>
      </extLst>
    </bk>
    <bk>
      <extLst>
        <ext uri="{3e2802c4-a4d2-4d8b-9148-e3be6c30e623}">
          <xlrd:rvb i="7865"/>
        </ext>
      </extLst>
    </bk>
    <bk>
      <extLst>
        <ext uri="{3e2802c4-a4d2-4d8b-9148-e3be6c30e623}">
          <xlrd:rvb i="7866"/>
        </ext>
      </extLst>
    </bk>
    <bk>
      <extLst>
        <ext uri="{3e2802c4-a4d2-4d8b-9148-e3be6c30e623}">
          <xlrd:rvb i="7867"/>
        </ext>
      </extLst>
    </bk>
    <bk>
      <extLst>
        <ext uri="{3e2802c4-a4d2-4d8b-9148-e3be6c30e623}">
          <xlrd:rvb i="7868"/>
        </ext>
      </extLst>
    </bk>
    <bk>
      <extLst>
        <ext uri="{3e2802c4-a4d2-4d8b-9148-e3be6c30e623}">
          <xlrd:rvb i="7869"/>
        </ext>
      </extLst>
    </bk>
    <bk>
      <extLst>
        <ext uri="{3e2802c4-a4d2-4d8b-9148-e3be6c30e623}">
          <xlrd:rvb i="7870"/>
        </ext>
      </extLst>
    </bk>
    <bk>
      <extLst>
        <ext uri="{3e2802c4-a4d2-4d8b-9148-e3be6c30e623}">
          <xlrd:rvb i="7871"/>
        </ext>
      </extLst>
    </bk>
    <bk>
      <extLst>
        <ext uri="{3e2802c4-a4d2-4d8b-9148-e3be6c30e623}">
          <xlrd:rvb i="7872"/>
        </ext>
      </extLst>
    </bk>
    <bk>
      <extLst>
        <ext uri="{3e2802c4-a4d2-4d8b-9148-e3be6c30e623}">
          <xlrd:rvb i="7873"/>
        </ext>
      </extLst>
    </bk>
    <bk>
      <extLst>
        <ext uri="{3e2802c4-a4d2-4d8b-9148-e3be6c30e623}">
          <xlrd:rvb i="7874"/>
        </ext>
      </extLst>
    </bk>
    <bk>
      <extLst>
        <ext uri="{3e2802c4-a4d2-4d8b-9148-e3be6c30e623}">
          <xlrd:rvb i="7875"/>
        </ext>
      </extLst>
    </bk>
    <bk>
      <extLst>
        <ext uri="{3e2802c4-a4d2-4d8b-9148-e3be6c30e623}">
          <xlrd:rvb i="7876"/>
        </ext>
      </extLst>
    </bk>
    <bk>
      <extLst>
        <ext uri="{3e2802c4-a4d2-4d8b-9148-e3be6c30e623}">
          <xlrd:rvb i="7877"/>
        </ext>
      </extLst>
    </bk>
    <bk>
      <extLst>
        <ext uri="{3e2802c4-a4d2-4d8b-9148-e3be6c30e623}">
          <xlrd:rvb i="7878"/>
        </ext>
      </extLst>
    </bk>
    <bk>
      <extLst>
        <ext uri="{3e2802c4-a4d2-4d8b-9148-e3be6c30e623}">
          <xlrd:rvb i="7879"/>
        </ext>
      </extLst>
    </bk>
    <bk>
      <extLst>
        <ext uri="{3e2802c4-a4d2-4d8b-9148-e3be6c30e623}">
          <xlrd:rvb i="7880"/>
        </ext>
      </extLst>
    </bk>
    <bk>
      <extLst>
        <ext uri="{3e2802c4-a4d2-4d8b-9148-e3be6c30e623}">
          <xlrd:rvb i="7881"/>
        </ext>
      </extLst>
    </bk>
    <bk>
      <extLst>
        <ext uri="{3e2802c4-a4d2-4d8b-9148-e3be6c30e623}">
          <xlrd:rvb i="7882"/>
        </ext>
      </extLst>
    </bk>
    <bk>
      <extLst>
        <ext uri="{3e2802c4-a4d2-4d8b-9148-e3be6c30e623}">
          <xlrd:rvb i="7883"/>
        </ext>
      </extLst>
    </bk>
    <bk>
      <extLst>
        <ext uri="{3e2802c4-a4d2-4d8b-9148-e3be6c30e623}">
          <xlrd:rvb i="7884"/>
        </ext>
      </extLst>
    </bk>
    <bk>
      <extLst>
        <ext uri="{3e2802c4-a4d2-4d8b-9148-e3be6c30e623}">
          <xlrd:rvb i="7885"/>
        </ext>
      </extLst>
    </bk>
    <bk>
      <extLst>
        <ext uri="{3e2802c4-a4d2-4d8b-9148-e3be6c30e623}">
          <xlrd:rvb i="7886"/>
        </ext>
      </extLst>
    </bk>
    <bk>
      <extLst>
        <ext uri="{3e2802c4-a4d2-4d8b-9148-e3be6c30e623}">
          <xlrd:rvb i="7887"/>
        </ext>
      </extLst>
    </bk>
    <bk>
      <extLst>
        <ext uri="{3e2802c4-a4d2-4d8b-9148-e3be6c30e623}">
          <xlrd:rvb i="7888"/>
        </ext>
      </extLst>
    </bk>
    <bk>
      <extLst>
        <ext uri="{3e2802c4-a4d2-4d8b-9148-e3be6c30e623}">
          <xlrd:rvb i="7889"/>
        </ext>
      </extLst>
    </bk>
    <bk>
      <extLst>
        <ext uri="{3e2802c4-a4d2-4d8b-9148-e3be6c30e623}">
          <xlrd:rvb i="7890"/>
        </ext>
      </extLst>
    </bk>
    <bk>
      <extLst>
        <ext uri="{3e2802c4-a4d2-4d8b-9148-e3be6c30e623}">
          <xlrd:rvb i="7891"/>
        </ext>
      </extLst>
    </bk>
    <bk>
      <extLst>
        <ext uri="{3e2802c4-a4d2-4d8b-9148-e3be6c30e623}">
          <xlrd:rvb i="7892"/>
        </ext>
      </extLst>
    </bk>
    <bk>
      <extLst>
        <ext uri="{3e2802c4-a4d2-4d8b-9148-e3be6c30e623}">
          <xlrd:rvb i="7893"/>
        </ext>
      </extLst>
    </bk>
    <bk>
      <extLst>
        <ext uri="{3e2802c4-a4d2-4d8b-9148-e3be6c30e623}">
          <xlrd:rvb i="7894"/>
        </ext>
      </extLst>
    </bk>
    <bk>
      <extLst>
        <ext uri="{3e2802c4-a4d2-4d8b-9148-e3be6c30e623}">
          <xlrd:rvb i="7895"/>
        </ext>
      </extLst>
    </bk>
    <bk>
      <extLst>
        <ext uri="{3e2802c4-a4d2-4d8b-9148-e3be6c30e623}">
          <xlrd:rvb i="7896"/>
        </ext>
      </extLst>
    </bk>
    <bk>
      <extLst>
        <ext uri="{3e2802c4-a4d2-4d8b-9148-e3be6c30e623}">
          <xlrd:rvb i="7897"/>
        </ext>
      </extLst>
    </bk>
    <bk>
      <extLst>
        <ext uri="{3e2802c4-a4d2-4d8b-9148-e3be6c30e623}">
          <xlrd:rvb i="7898"/>
        </ext>
      </extLst>
    </bk>
    <bk>
      <extLst>
        <ext uri="{3e2802c4-a4d2-4d8b-9148-e3be6c30e623}">
          <xlrd:rvb i="7899"/>
        </ext>
      </extLst>
    </bk>
    <bk>
      <extLst>
        <ext uri="{3e2802c4-a4d2-4d8b-9148-e3be6c30e623}">
          <xlrd:rvb i="7900"/>
        </ext>
      </extLst>
    </bk>
    <bk>
      <extLst>
        <ext uri="{3e2802c4-a4d2-4d8b-9148-e3be6c30e623}">
          <xlrd:rvb i="7901"/>
        </ext>
      </extLst>
    </bk>
    <bk>
      <extLst>
        <ext uri="{3e2802c4-a4d2-4d8b-9148-e3be6c30e623}">
          <xlrd:rvb i="7902"/>
        </ext>
      </extLst>
    </bk>
    <bk>
      <extLst>
        <ext uri="{3e2802c4-a4d2-4d8b-9148-e3be6c30e623}">
          <xlrd:rvb i="7903"/>
        </ext>
      </extLst>
    </bk>
    <bk>
      <extLst>
        <ext uri="{3e2802c4-a4d2-4d8b-9148-e3be6c30e623}">
          <xlrd:rvb i="7904"/>
        </ext>
      </extLst>
    </bk>
    <bk>
      <extLst>
        <ext uri="{3e2802c4-a4d2-4d8b-9148-e3be6c30e623}">
          <xlrd:rvb i="7905"/>
        </ext>
      </extLst>
    </bk>
    <bk>
      <extLst>
        <ext uri="{3e2802c4-a4d2-4d8b-9148-e3be6c30e623}">
          <xlrd:rvb i="7906"/>
        </ext>
      </extLst>
    </bk>
    <bk>
      <extLst>
        <ext uri="{3e2802c4-a4d2-4d8b-9148-e3be6c30e623}">
          <xlrd:rvb i="7907"/>
        </ext>
      </extLst>
    </bk>
    <bk>
      <extLst>
        <ext uri="{3e2802c4-a4d2-4d8b-9148-e3be6c30e623}">
          <xlrd:rvb i="7908"/>
        </ext>
      </extLst>
    </bk>
    <bk>
      <extLst>
        <ext uri="{3e2802c4-a4d2-4d8b-9148-e3be6c30e623}">
          <xlrd:rvb i="7909"/>
        </ext>
      </extLst>
    </bk>
    <bk>
      <extLst>
        <ext uri="{3e2802c4-a4d2-4d8b-9148-e3be6c30e623}">
          <xlrd:rvb i="7910"/>
        </ext>
      </extLst>
    </bk>
    <bk>
      <extLst>
        <ext uri="{3e2802c4-a4d2-4d8b-9148-e3be6c30e623}">
          <xlrd:rvb i="7911"/>
        </ext>
      </extLst>
    </bk>
    <bk>
      <extLst>
        <ext uri="{3e2802c4-a4d2-4d8b-9148-e3be6c30e623}">
          <xlrd:rvb i="7912"/>
        </ext>
      </extLst>
    </bk>
    <bk>
      <extLst>
        <ext uri="{3e2802c4-a4d2-4d8b-9148-e3be6c30e623}">
          <xlrd:rvb i="7913"/>
        </ext>
      </extLst>
    </bk>
    <bk>
      <extLst>
        <ext uri="{3e2802c4-a4d2-4d8b-9148-e3be6c30e623}">
          <xlrd:rvb i="7914"/>
        </ext>
      </extLst>
    </bk>
    <bk>
      <extLst>
        <ext uri="{3e2802c4-a4d2-4d8b-9148-e3be6c30e623}">
          <xlrd:rvb i="7915"/>
        </ext>
      </extLst>
    </bk>
    <bk>
      <extLst>
        <ext uri="{3e2802c4-a4d2-4d8b-9148-e3be6c30e623}">
          <xlrd:rvb i="7916"/>
        </ext>
      </extLst>
    </bk>
    <bk>
      <extLst>
        <ext uri="{3e2802c4-a4d2-4d8b-9148-e3be6c30e623}">
          <xlrd:rvb i="7917"/>
        </ext>
      </extLst>
    </bk>
    <bk>
      <extLst>
        <ext uri="{3e2802c4-a4d2-4d8b-9148-e3be6c30e623}">
          <xlrd:rvb i="7918"/>
        </ext>
      </extLst>
    </bk>
    <bk>
      <extLst>
        <ext uri="{3e2802c4-a4d2-4d8b-9148-e3be6c30e623}">
          <xlrd:rvb i="7919"/>
        </ext>
      </extLst>
    </bk>
    <bk>
      <extLst>
        <ext uri="{3e2802c4-a4d2-4d8b-9148-e3be6c30e623}">
          <xlrd:rvb i="7920"/>
        </ext>
      </extLst>
    </bk>
    <bk>
      <extLst>
        <ext uri="{3e2802c4-a4d2-4d8b-9148-e3be6c30e623}">
          <xlrd:rvb i="7921"/>
        </ext>
      </extLst>
    </bk>
    <bk>
      <extLst>
        <ext uri="{3e2802c4-a4d2-4d8b-9148-e3be6c30e623}">
          <xlrd:rvb i="7922"/>
        </ext>
      </extLst>
    </bk>
    <bk>
      <extLst>
        <ext uri="{3e2802c4-a4d2-4d8b-9148-e3be6c30e623}">
          <xlrd:rvb i="7923"/>
        </ext>
      </extLst>
    </bk>
    <bk>
      <extLst>
        <ext uri="{3e2802c4-a4d2-4d8b-9148-e3be6c30e623}">
          <xlrd:rvb i="7924"/>
        </ext>
      </extLst>
    </bk>
    <bk>
      <extLst>
        <ext uri="{3e2802c4-a4d2-4d8b-9148-e3be6c30e623}">
          <xlrd:rvb i="7925"/>
        </ext>
      </extLst>
    </bk>
    <bk>
      <extLst>
        <ext uri="{3e2802c4-a4d2-4d8b-9148-e3be6c30e623}">
          <xlrd:rvb i="7926"/>
        </ext>
      </extLst>
    </bk>
    <bk>
      <extLst>
        <ext uri="{3e2802c4-a4d2-4d8b-9148-e3be6c30e623}">
          <xlrd:rvb i="7927"/>
        </ext>
      </extLst>
    </bk>
    <bk>
      <extLst>
        <ext uri="{3e2802c4-a4d2-4d8b-9148-e3be6c30e623}">
          <xlrd:rvb i="7928"/>
        </ext>
      </extLst>
    </bk>
    <bk>
      <extLst>
        <ext uri="{3e2802c4-a4d2-4d8b-9148-e3be6c30e623}">
          <xlrd:rvb i="7929"/>
        </ext>
      </extLst>
    </bk>
    <bk>
      <extLst>
        <ext uri="{3e2802c4-a4d2-4d8b-9148-e3be6c30e623}">
          <xlrd:rvb i="7930"/>
        </ext>
      </extLst>
    </bk>
    <bk>
      <extLst>
        <ext uri="{3e2802c4-a4d2-4d8b-9148-e3be6c30e623}">
          <xlrd:rvb i="7931"/>
        </ext>
      </extLst>
    </bk>
    <bk>
      <extLst>
        <ext uri="{3e2802c4-a4d2-4d8b-9148-e3be6c30e623}">
          <xlrd:rvb i="7932"/>
        </ext>
      </extLst>
    </bk>
    <bk>
      <extLst>
        <ext uri="{3e2802c4-a4d2-4d8b-9148-e3be6c30e623}">
          <xlrd:rvb i="7933"/>
        </ext>
      </extLst>
    </bk>
    <bk>
      <extLst>
        <ext uri="{3e2802c4-a4d2-4d8b-9148-e3be6c30e623}">
          <xlrd:rvb i="7934"/>
        </ext>
      </extLst>
    </bk>
    <bk>
      <extLst>
        <ext uri="{3e2802c4-a4d2-4d8b-9148-e3be6c30e623}">
          <xlrd:rvb i="7935"/>
        </ext>
      </extLst>
    </bk>
    <bk>
      <extLst>
        <ext uri="{3e2802c4-a4d2-4d8b-9148-e3be6c30e623}">
          <xlrd:rvb i="7936"/>
        </ext>
      </extLst>
    </bk>
    <bk>
      <extLst>
        <ext uri="{3e2802c4-a4d2-4d8b-9148-e3be6c30e623}">
          <xlrd:rvb i="7937"/>
        </ext>
      </extLst>
    </bk>
    <bk>
      <extLst>
        <ext uri="{3e2802c4-a4d2-4d8b-9148-e3be6c30e623}">
          <xlrd:rvb i="7938"/>
        </ext>
      </extLst>
    </bk>
    <bk>
      <extLst>
        <ext uri="{3e2802c4-a4d2-4d8b-9148-e3be6c30e623}">
          <xlrd:rvb i="7939"/>
        </ext>
      </extLst>
    </bk>
    <bk>
      <extLst>
        <ext uri="{3e2802c4-a4d2-4d8b-9148-e3be6c30e623}">
          <xlrd:rvb i="7940"/>
        </ext>
      </extLst>
    </bk>
    <bk>
      <extLst>
        <ext uri="{3e2802c4-a4d2-4d8b-9148-e3be6c30e623}">
          <xlrd:rvb i="7941"/>
        </ext>
      </extLst>
    </bk>
    <bk>
      <extLst>
        <ext uri="{3e2802c4-a4d2-4d8b-9148-e3be6c30e623}">
          <xlrd:rvb i="7942"/>
        </ext>
      </extLst>
    </bk>
    <bk>
      <extLst>
        <ext uri="{3e2802c4-a4d2-4d8b-9148-e3be6c30e623}">
          <xlrd:rvb i="7943"/>
        </ext>
      </extLst>
    </bk>
    <bk>
      <extLst>
        <ext uri="{3e2802c4-a4d2-4d8b-9148-e3be6c30e623}">
          <xlrd:rvb i="7944"/>
        </ext>
      </extLst>
    </bk>
    <bk>
      <extLst>
        <ext uri="{3e2802c4-a4d2-4d8b-9148-e3be6c30e623}">
          <xlrd:rvb i="7945"/>
        </ext>
      </extLst>
    </bk>
    <bk>
      <extLst>
        <ext uri="{3e2802c4-a4d2-4d8b-9148-e3be6c30e623}">
          <xlrd:rvb i="7946"/>
        </ext>
      </extLst>
    </bk>
    <bk>
      <extLst>
        <ext uri="{3e2802c4-a4d2-4d8b-9148-e3be6c30e623}">
          <xlrd:rvb i="7947"/>
        </ext>
      </extLst>
    </bk>
    <bk>
      <extLst>
        <ext uri="{3e2802c4-a4d2-4d8b-9148-e3be6c30e623}">
          <xlrd:rvb i="7948"/>
        </ext>
      </extLst>
    </bk>
    <bk>
      <extLst>
        <ext uri="{3e2802c4-a4d2-4d8b-9148-e3be6c30e623}">
          <xlrd:rvb i="7949"/>
        </ext>
      </extLst>
    </bk>
    <bk>
      <extLst>
        <ext uri="{3e2802c4-a4d2-4d8b-9148-e3be6c30e623}">
          <xlrd:rvb i="7950"/>
        </ext>
      </extLst>
    </bk>
    <bk>
      <extLst>
        <ext uri="{3e2802c4-a4d2-4d8b-9148-e3be6c30e623}">
          <xlrd:rvb i="7951"/>
        </ext>
      </extLst>
    </bk>
    <bk>
      <extLst>
        <ext uri="{3e2802c4-a4d2-4d8b-9148-e3be6c30e623}">
          <xlrd:rvb i="7952"/>
        </ext>
      </extLst>
    </bk>
    <bk>
      <extLst>
        <ext uri="{3e2802c4-a4d2-4d8b-9148-e3be6c30e623}">
          <xlrd:rvb i="7953"/>
        </ext>
      </extLst>
    </bk>
    <bk>
      <extLst>
        <ext uri="{3e2802c4-a4d2-4d8b-9148-e3be6c30e623}">
          <xlrd:rvb i="7954"/>
        </ext>
      </extLst>
    </bk>
    <bk>
      <extLst>
        <ext uri="{3e2802c4-a4d2-4d8b-9148-e3be6c30e623}">
          <xlrd:rvb i="7955"/>
        </ext>
      </extLst>
    </bk>
    <bk>
      <extLst>
        <ext uri="{3e2802c4-a4d2-4d8b-9148-e3be6c30e623}">
          <xlrd:rvb i="7956"/>
        </ext>
      </extLst>
    </bk>
    <bk>
      <extLst>
        <ext uri="{3e2802c4-a4d2-4d8b-9148-e3be6c30e623}">
          <xlrd:rvb i="7957"/>
        </ext>
      </extLst>
    </bk>
    <bk>
      <extLst>
        <ext uri="{3e2802c4-a4d2-4d8b-9148-e3be6c30e623}">
          <xlrd:rvb i="7958"/>
        </ext>
      </extLst>
    </bk>
    <bk>
      <extLst>
        <ext uri="{3e2802c4-a4d2-4d8b-9148-e3be6c30e623}">
          <xlrd:rvb i="7959"/>
        </ext>
      </extLst>
    </bk>
    <bk>
      <extLst>
        <ext uri="{3e2802c4-a4d2-4d8b-9148-e3be6c30e623}">
          <xlrd:rvb i="7960"/>
        </ext>
      </extLst>
    </bk>
    <bk>
      <extLst>
        <ext uri="{3e2802c4-a4d2-4d8b-9148-e3be6c30e623}">
          <xlrd:rvb i="7961"/>
        </ext>
      </extLst>
    </bk>
    <bk>
      <extLst>
        <ext uri="{3e2802c4-a4d2-4d8b-9148-e3be6c30e623}">
          <xlrd:rvb i="7962"/>
        </ext>
      </extLst>
    </bk>
    <bk>
      <extLst>
        <ext uri="{3e2802c4-a4d2-4d8b-9148-e3be6c30e623}">
          <xlrd:rvb i="7963"/>
        </ext>
      </extLst>
    </bk>
    <bk>
      <extLst>
        <ext uri="{3e2802c4-a4d2-4d8b-9148-e3be6c30e623}">
          <xlrd:rvb i="7964"/>
        </ext>
      </extLst>
    </bk>
    <bk>
      <extLst>
        <ext uri="{3e2802c4-a4d2-4d8b-9148-e3be6c30e623}">
          <xlrd:rvb i="7965"/>
        </ext>
      </extLst>
    </bk>
    <bk>
      <extLst>
        <ext uri="{3e2802c4-a4d2-4d8b-9148-e3be6c30e623}">
          <xlrd:rvb i="7966"/>
        </ext>
      </extLst>
    </bk>
    <bk>
      <extLst>
        <ext uri="{3e2802c4-a4d2-4d8b-9148-e3be6c30e623}">
          <xlrd:rvb i="7967"/>
        </ext>
      </extLst>
    </bk>
    <bk>
      <extLst>
        <ext uri="{3e2802c4-a4d2-4d8b-9148-e3be6c30e623}">
          <xlrd:rvb i="7968"/>
        </ext>
      </extLst>
    </bk>
    <bk>
      <extLst>
        <ext uri="{3e2802c4-a4d2-4d8b-9148-e3be6c30e623}">
          <xlrd:rvb i="7969"/>
        </ext>
      </extLst>
    </bk>
    <bk>
      <extLst>
        <ext uri="{3e2802c4-a4d2-4d8b-9148-e3be6c30e623}">
          <xlrd:rvb i="7970"/>
        </ext>
      </extLst>
    </bk>
    <bk>
      <extLst>
        <ext uri="{3e2802c4-a4d2-4d8b-9148-e3be6c30e623}">
          <xlrd:rvb i="7971"/>
        </ext>
      </extLst>
    </bk>
    <bk>
      <extLst>
        <ext uri="{3e2802c4-a4d2-4d8b-9148-e3be6c30e623}">
          <xlrd:rvb i="7972"/>
        </ext>
      </extLst>
    </bk>
    <bk>
      <extLst>
        <ext uri="{3e2802c4-a4d2-4d8b-9148-e3be6c30e623}">
          <xlrd:rvb i="7973"/>
        </ext>
      </extLst>
    </bk>
    <bk>
      <extLst>
        <ext uri="{3e2802c4-a4d2-4d8b-9148-e3be6c30e623}">
          <xlrd:rvb i="7974"/>
        </ext>
      </extLst>
    </bk>
    <bk>
      <extLst>
        <ext uri="{3e2802c4-a4d2-4d8b-9148-e3be6c30e623}">
          <xlrd:rvb i="7975"/>
        </ext>
      </extLst>
    </bk>
    <bk>
      <extLst>
        <ext uri="{3e2802c4-a4d2-4d8b-9148-e3be6c30e623}">
          <xlrd:rvb i="7976"/>
        </ext>
      </extLst>
    </bk>
    <bk>
      <extLst>
        <ext uri="{3e2802c4-a4d2-4d8b-9148-e3be6c30e623}">
          <xlrd:rvb i="7977"/>
        </ext>
      </extLst>
    </bk>
    <bk>
      <extLst>
        <ext uri="{3e2802c4-a4d2-4d8b-9148-e3be6c30e623}">
          <xlrd:rvb i="7978"/>
        </ext>
      </extLst>
    </bk>
    <bk>
      <extLst>
        <ext uri="{3e2802c4-a4d2-4d8b-9148-e3be6c30e623}">
          <xlrd:rvb i="7979"/>
        </ext>
      </extLst>
    </bk>
    <bk>
      <extLst>
        <ext uri="{3e2802c4-a4d2-4d8b-9148-e3be6c30e623}">
          <xlrd:rvb i="7980"/>
        </ext>
      </extLst>
    </bk>
    <bk>
      <extLst>
        <ext uri="{3e2802c4-a4d2-4d8b-9148-e3be6c30e623}">
          <xlrd:rvb i="7981"/>
        </ext>
      </extLst>
    </bk>
    <bk>
      <extLst>
        <ext uri="{3e2802c4-a4d2-4d8b-9148-e3be6c30e623}">
          <xlrd:rvb i="7982"/>
        </ext>
      </extLst>
    </bk>
    <bk>
      <extLst>
        <ext uri="{3e2802c4-a4d2-4d8b-9148-e3be6c30e623}">
          <xlrd:rvb i="7983"/>
        </ext>
      </extLst>
    </bk>
    <bk>
      <extLst>
        <ext uri="{3e2802c4-a4d2-4d8b-9148-e3be6c30e623}">
          <xlrd:rvb i="7984"/>
        </ext>
      </extLst>
    </bk>
    <bk>
      <extLst>
        <ext uri="{3e2802c4-a4d2-4d8b-9148-e3be6c30e623}">
          <xlrd:rvb i="7985"/>
        </ext>
      </extLst>
    </bk>
    <bk>
      <extLst>
        <ext uri="{3e2802c4-a4d2-4d8b-9148-e3be6c30e623}">
          <xlrd:rvb i="7986"/>
        </ext>
      </extLst>
    </bk>
    <bk>
      <extLst>
        <ext uri="{3e2802c4-a4d2-4d8b-9148-e3be6c30e623}">
          <xlrd:rvb i="7987"/>
        </ext>
      </extLst>
    </bk>
    <bk>
      <extLst>
        <ext uri="{3e2802c4-a4d2-4d8b-9148-e3be6c30e623}">
          <xlrd:rvb i="7988"/>
        </ext>
      </extLst>
    </bk>
    <bk>
      <extLst>
        <ext uri="{3e2802c4-a4d2-4d8b-9148-e3be6c30e623}">
          <xlrd:rvb i="7989"/>
        </ext>
      </extLst>
    </bk>
    <bk>
      <extLst>
        <ext uri="{3e2802c4-a4d2-4d8b-9148-e3be6c30e623}">
          <xlrd:rvb i="7990"/>
        </ext>
      </extLst>
    </bk>
    <bk>
      <extLst>
        <ext uri="{3e2802c4-a4d2-4d8b-9148-e3be6c30e623}">
          <xlrd:rvb i="7991"/>
        </ext>
      </extLst>
    </bk>
    <bk>
      <extLst>
        <ext uri="{3e2802c4-a4d2-4d8b-9148-e3be6c30e623}">
          <xlrd:rvb i="7992"/>
        </ext>
      </extLst>
    </bk>
    <bk>
      <extLst>
        <ext uri="{3e2802c4-a4d2-4d8b-9148-e3be6c30e623}">
          <xlrd:rvb i="7993"/>
        </ext>
      </extLst>
    </bk>
    <bk>
      <extLst>
        <ext uri="{3e2802c4-a4d2-4d8b-9148-e3be6c30e623}">
          <xlrd:rvb i="7994"/>
        </ext>
      </extLst>
    </bk>
    <bk>
      <extLst>
        <ext uri="{3e2802c4-a4d2-4d8b-9148-e3be6c30e623}">
          <xlrd:rvb i="7995"/>
        </ext>
      </extLst>
    </bk>
    <bk>
      <extLst>
        <ext uri="{3e2802c4-a4d2-4d8b-9148-e3be6c30e623}">
          <xlrd:rvb i="7996"/>
        </ext>
      </extLst>
    </bk>
    <bk>
      <extLst>
        <ext uri="{3e2802c4-a4d2-4d8b-9148-e3be6c30e623}">
          <xlrd:rvb i="7997"/>
        </ext>
      </extLst>
    </bk>
    <bk>
      <extLst>
        <ext uri="{3e2802c4-a4d2-4d8b-9148-e3be6c30e623}">
          <xlrd:rvb i="7998"/>
        </ext>
      </extLst>
    </bk>
    <bk>
      <extLst>
        <ext uri="{3e2802c4-a4d2-4d8b-9148-e3be6c30e623}">
          <xlrd:rvb i="7999"/>
        </ext>
      </extLst>
    </bk>
    <bk>
      <extLst>
        <ext uri="{3e2802c4-a4d2-4d8b-9148-e3be6c30e623}">
          <xlrd:rvb i="8000"/>
        </ext>
      </extLst>
    </bk>
    <bk>
      <extLst>
        <ext uri="{3e2802c4-a4d2-4d8b-9148-e3be6c30e623}">
          <xlrd:rvb i="8001"/>
        </ext>
      </extLst>
    </bk>
    <bk>
      <extLst>
        <ext uri="{3e2802c4-a4d2-4d8b-9148-e3be6c30e623}">
          <xlrd:rvb i="8002"/>
        </ext>
      </extLst>
    </bk>
    <bk>
      <extLst>
        <ext uri="{3e2802c4-a4d2-4d8b-9148-e3be6c30e623}">
          <xlrd:rvb i="8003"/>
        </ext>
      </extLst>
    </bk>
    <bk>
      <extLst>
        <ext uri="{3e2802c4-a4d2-4d8b-9148-e3be6c30e623}">
          <xlrd:rvb i="8004"/>
        </ext>
      </extLst>
    </bk>
    <bk>
      <extLst>
        <ext uri="{3e2802c4-a4d2-4d8b-9148-e3be6c30e623}">
          <xlrd:rvb i="8005"/>
        </ext>
      </extLst>
    </bk>
    <bk>
      <extLst>
        <ext uri="{3e2802c4-a4d2-4d8b-9148-e3be6c30e623}">
          <xlrd:rvb i="8006"/>
        </ext>
      </extLst>
    </bk>
    <bk>
      <extLst>
        <ext uri="{3e2802c4-a4d2-4d8b-9148-e3be6c30e623}">
          <xlrd:rvb i="8007"/>
        </ext>
      </extLst>
    </bk>
    <bk>
      <extLst>
        <ext uri="{3e2802c4-a4d2-4d8b-9148-e3be6c30e623}">
          <xlrd:rvb i="8008"/>
        </ext>
      </extLst>
    </bk>
    <bk>
      <extLst>
        <ext uri="{3e2802c4-a4d2-4d8b-9148-e3be6c30e623}">
          <xlrd:rvb i="8009"/>
        </ext>
      </extLst>
    </bk>
    <bk>
      <extLst>
        <ext uri="{3e2802c4-a4d2-4d8b-9148-e3be6c30e623}">
          <xlrd:rvb i="8010"/>
        </ext>
      </extLst>
    </bk>
    <bk>
      <extLst>
        <ext uri="{3e2802c4-a4d2-4d8b-9148-e3be6c30e623}">
          <xlrd:rvb i="8011"/>
        </ext>
      </extLst>
    </bk>
    <bk>
      <extLst>
        <ext uri="{3e2802c4-a4d2-4d8b-9148-e3be6c30e623}">
          <xlrd:rvb i="8012"/>
        </ext>
      </extLst>
    </bk>
    <bk>
      <extLst>
        <ext uri="{3e2802c4-a4d2-4d8b-9148-e3be6c30e623}">
          <xlrd:rvb i="8013"/>
        </ext>
      </extLst>
    </bk>
    <bk>
      <extLst>
        <ext uri="{3e2802c4-a4d2-4d8b-9148-e3be6c30e623}">
          <xlrd:rvb i="8014"/>
        </ext>
      </extLst>
    </bk>
    <bk>
      <extLst>
        <ext uri="{3e2802c4-a4d2-4d8b-9148-e3be6c30e623}">
          <xlrd:rvb i="8015"/>
        </ext>
      </extLst>
    </bk>
    <bk>
      <extLst>
        <ext uri="{3e2802c4-a4d2-4d8b-9148-e3be6c30e623}">
          <xlrd:rvb i="8016"/>
        </ext>
      </extLst>
    </bk>
    <bk>
      <extLst>
        <ext uri="{3e2802c4-a4d2-4d8b-9148-e3be6c30e623}">
          <xlrd:rvb i="8017"/>
        </ext>
      </extLst>
    </bk>
    <bk>
      <extLst>
        <ext uri="{3e2802c4-a4d2-4d8b-9148-e3be6c30e623}">
          <xlrd:rvb i="8018"/>
        </ext>
      </extLst>
    </bk>
    <bk>
      <extLst>
        <ext uri="{3e2802c4-a4d2-4d8b-9148-e3be6c30e623}">
          <xlrd:rvb i="8019"/>
        </ext>
      </extLst>
    </bk>
    <bk>
      <extLst>
        <ext uri="{3e2802c4-a4d2-4d8b-9148-e3be6c30e623}">
          <xlrd:rvb i="8020"/>
        </ext>
      </extLst>
    </bk>
    <bk>
      <extLst>
        <ext uri="{3e2802c4-a4d2-4d8b-9148-e3be6c30e623}">
          <xlrd:rvb i="8021"/>
        </ext>
      </extLst>
    </bk>
    <bk>
      <extLst>
        <ext uri="{3e2802c4-a4d2-4d8b-9148-e3be6c30e623}">
          <xlrd:rvb i="8022"/>
        </ext>
      </extLst>
    </bk>
    <bk>
      <extLst>
        <ext uri="{3e2802c4-a4d2-4d8b-9148-e3be6c30e623}">
          <xlrd:rvb i="8023"/>
        </ext>
      </extLst>
    </bk>
    <bk>
      <extLst>
        <ext uri="{3e2802c4-a4d2-4d8b-9148-e3be6c30e623}">
          <xlrd:rvb i="8024"/>
        </ext>
      </extLst>
    </bk>
    <bk>
      <extLst>
        <ext uri="{3e2802c4-a4d2-4d8b-9148-e3be6c30e623}">
          <xlrd:rvb i="8025"/>
        </ext>
      </extLst>
    </bk>
    <bk>
      <extLst>
        <ext uri="{3e2802c4-a4d2-4d8b-9148-e3be6c30e623}">
          <xlrd:rvb i="8026"/>
        </ext>
      </extLst>
    </bk>
    <bk>
      <extLst>
        <ext uri="{3e2802c4-a4d2-4d8b-9148-e3be6c30e623}">
          <xlrd:rvb i="8027"/>
        </ext>
      </extLst>
    </bk>
    <bk>
      <extLst>
        <ext uri="{3e2802c4-a4d2-4d8b-9148-e3be6c30e623}">
          <xlrd:rvb i="8028"/>
        </ext>
      </extLst>
    </bk>
    <bk>
      <extLst>
        <ext uri="{3e2802c4-a4d2-4d8b-9148-e3be6c30e623}">
          <xlrd:rvb i="8029"/>
        </ext>
      </extLst>
    </bk>
    <bk>
      <extLst>
        <ext uri="{3e2802c4-a4d2-4d8b-9148-e3be6c30e623}">
          <xlrd:rvb i="8030"/>
        </ext>
      </extLst>
    </bk>
    <bk>
      <extLst>
        <ext uri="{3e2802c4-a4d2-4d8b-9148-e3be6c30e623}">
          <xlrd:rvb i="8031"/>
        </ext>
      </extLst>
    </bk>
    <bk>
      <extLst>
        <ext uri="{3e2802c4-a4d2-4d8b-9148-e3be6c30e623}">
          <xlrd:rvb i="8032"/>
        </ext>
      </extLst>
    </bk>
    <bk>
      <extLst>
        <ext uri="{3e2802c4-a4d2-4d8b-9148-e3be6c30e623}">
          <xlrd:rvb i="8033"/>
        </ext>
      </extLst>
    </bk>
    <bk>
      <extLst>
        <ext uri="{3e2802c4-a4d2-4d8b-9148-e3be6c30e623}">
          <xlrd:rvb i="8034"/>
        </ext>
      </extLst>
    </bk>
    <bk>
      <extLst>
        <ext uri="{3e2802c4-a4d2-4d8b-9148-e3be6c30e623}">
          <xlrd:rvb i="8035"/>
        </ext>
      </extLst>
    </bk>
    <bk>
      <extLst>
        <ext uri="{3e2802c4-a4d2-4d8b-9148-e3be6c30e623}">
          <xlrd:rvb i="8036"/>
        </ext>
      </extLst>
    </bk>
    <bk>
      <extLst>
        <ext uri="{3e2802c4-a4d2-4d8b-9148-e3be6c30e623}">
          <xlrd:rvb i="8037"/>
        </ext>
      </extLst>
    </bk>
    <bk>
      <extLst>
        <ext uri="{3e2802c4-a4d2-4d8b-9148-e3be6c30e623}">
          <xlrd:rvb i="8038"/>
        </ext>
      </extLst>
    </bk>
    <bk>
      <extLst>
        <ext uri="{3e2802c4-a4d2-4d8b-9148-e3be6c30e623}">
          <xlrd:rvb i="8039"/>
        </ext>
      </extLst>
    </bk>
    <bk>
      <extLst>
        <ext uri="{3e2802c4-a4d2-4d8b-9148-e3be6c30e623}">
          <xlrd:rvb i="8040"/>
        </ext>
      </extLst>
    </bk>
    <bk>
      <extLst>
        <ext uri="{3e2802c4-a4d2-4d8b-9148-e3be6c30e623}">
          <xlrd:rvb i="8041"/>
        </ext>
      </extLst>
    </bk>
    <bk>
      <extLst>
        <ext uri="{3e2802c4-a4d2-4d8b-9148-e3be6c30e623}">
          <xlrd:rvb i="8042"/>
        </ext>
      </extLst>
    </bk>
    <bk>
      <extLst>
        <ext uri="{3e2802c4-a4d2-4d8b-9148-e3be6c30e623}">
          <xlrd:rvb i="8043"/>
        </ext>
      </extLst>
    </bk>
    <bk>
      <extLst>
        <ext uri="{3e2802c4-a4d2-4d8b-9148-e3be6c30e623}">
          <xlrd:rvb i="8044"/>
        </ext>
      </extLst>
    </bk>
    <bk>
      <extLst>
        <ext uri="{3e2802c4-a4d2-4d8b-9148-e3be6c30e623}">
          <xlrd:rvb i="8045"/>
        </ext>
      </extLst>
    </bk>
    <bk>
      <extLst>
        <ext uri="{3e2802c4-a4d2-4d8b-9148-e3be6c30e623}">
          <xlrd:rvb i="8046"/>
        </ext>
      </extLst>
    </bk>
    <bk>
      <extLst>
        <ext uri="{3e2802c4-a4d2-4d8b-9148-e3be6c30e623}">
          <xlrd:rvb i="8047"/>
        </ext>
      </extLst>
    </bk>
    <bk>
      <extLst>
        <ext uri="{3e2802c4-a4d2-4d8b-9148-e3be6c30e623}">
          <xlrd:rvb i="8048"/>
        </ext>
      </extLst>
    </bk>
    <bk>
      <extLst>
        <ext uri="{3e2802c4-a4d2-4d8b-9148-e3be6c30e623}">
          <xlrd:rvb i="8049"/>
        </ext>
      </extLst>
    </bk>
    <bk>
      <extLst>
        <ext uri="{3e2802c4-a4d2-4d8b-9148-e3be6c30e623}">
          <xlrd:rvb i="8050"/>
        </ext>
      </extLst>
    </bk>
    <bk>
      <extLst>
        <ext uri="{3e2802c4-a4d2-4d8b-9148-e3be6c30e623}">
          <xlrd:rvb i="8051"/>
        </ext>
      </extLst>
    </bk>
    <bk>
      <extLst>
        <ext uri="{3e2802c4-a4d2-4d8b-9148-e3be6c30e623}">
          <xlrd:rvb i="8052"/>
        </ext>
      </extLst>
    </bk>
    <bk>
      <extLst>
        <ext uri="{3e2802c4-a4d2-4d8b-9148-e3be6c30e623}">
          <xlrd:rvb i="8053"/>
        </ext>
      </extLst>
    </bk>
    <bk>
      <extLst>
        <ext uri="{3e2802c4-a4d2-4d8b-9148-e3be6c30e623}">
          <xlrd:rvb i="8054"/>
        </ext>
      </extLst>
    </bk>
    <bk>
      <extLst>
        <ext uri="{3e2802c4-a4d2-4d8b-9148-e3be6c30e623}">
          <xlrd:rvb i="8055"/>
        </ext>
      </extLst>
    </bk>
    <bk>
      <extLst>
        <ext uri="{3e2802c4-a4d2-4d8b-9148-e3be6c30e623}">
          <xlrd:rvb i="8056"/>
        </ext>
      </extLst>
    </bk>
    <bk>
      <extLst>
        <ext uri="{3e2802c4-a4d2-4d8b-9148-e3be6c30e623}">
          <xlrd:rvb i="8057"/>
        </ext>
      </extLst>
    </bk>
    <bk>
      <extLst>
        <ext uri="{3e2802c4-a4d2-4d8b-9148-e3be6c30e623}">
          <xlrd:rvb i="8058"/>
        </ext>
      </extLst>
    </bk>
    <bk>
      <extLst>
        <ext uri="{3e2802c4-a4d2-4d8b-9148-e3be6c30e623}">
          <xlrd:rvb i="8059"/>
        </ext>
      </extLst>
    </bk>
    <bk>
      <extLst>
        <ext uri="{3e2802c4-a4d2-4d8b-9148-e3be6c30e623}">
          <xlrd:rvb i="8060"/>
        </ext>
      </extLst>
    </bk>
    <bk>
      <extLst>
        <ext uri="{3e2802c4-a4d2-4d8b-9148-e3be6c30e623}">
          <xlrd:rvb i="8061"/>
        </ext>
      </extLst>
    </bk>
    <bk>
      <extLst>
        <ext uri="{3e2802c4-a4d2-4d8b-9148-e3be6c30e623}">
          <xlrd:rvb i="8062"/>
        </ext>
      </extLst>
    </bk>
    <bk>
      <extLst>
        <ext uri="{3e2802c4-a4d2-4d8b-9148-e3be6c30e623}">
          <xlrd:rvb i="8063"/>
        </ext>
      </extLst>
    </bk>
    <bk>
      <extLst>
        <ext uri="{3e2802c4-a4d2-4d8b-9148-e3be6c30e623}">
          <xlrd:rvb i="8064"/>
        </ext>
      </extLst>
    </bk>
    <bk>
      <extLst>
        <ext uri="{3e2802c4-a4d2-4d8b-9148-e3be6c30e623}">
          <xlrd:rvb i="8065"/>
        </ext>
      </extLst>
    </bk>
    <bk>
      <extLst>
        <ext uri="{3e2802c4-a4d2-4d8b-9148-e3be6c30e623}">
          <xlrd:rvb i="8066"/>
        </ext>
      </extLst>
    </bk>
    <bk>
      <extLst>
        <ext uri="{3e2802c4-a4d2-4d8b-9148-e3be6c30e623}">
          <xlrd:rvb i="8067"/>
        </ext>
      </extLst>
    </bk>
    <bk>
      <extLst>
        <ext uri="{3e2802c4-a4d2-4d8b-9148-e3be6c30e623}">
          <xlrd:rvb i="8068"/>
        </ext>
      </extLst>
    </bk>
    <bk>
      <extLst>
        <ext uri="{3e2802c4-a4d2-4d8b-9148-e3be6c30e623}">
          <xlrd:rvb i="8069"/>
        </ext>
      </extLst>
    </bk>
    <bk>
      <extLst>
        <ext uri="{3e2802c4-a4d2-4d8b-9148-e3be6c30e623}">
          <xlrd:rvb i="8070"/>
        </ext>
      </extLst>
    </bk>
    <bk>
      <extLst>
        <ext uri="{3e2802c4-a4d2-4d8b-9148-e3be6c30e623}">
          <xlrd:rvb i="8071"/>
        </ext>
      </extLst>
    </bk>
    <bk>
      <extLst>
        <ext uri="{3e2802c4-a4d2-4d8b-9148-e3be6c30e623}">
          <xlrd:rvb i="8072"/>
        </ext>
      </extLst>
    </bk>
    <bk>
      <extLst>
        <ext uri="{3e2802c4-a4d2-4d8b-9148-e3be6c30e623}">
          <xlrd:rvb i="8073"/>
        </ext>
      </extLst>
    </bk>
    <bk>
      <extLst>
        <ext uri="{3e2802c4-a4d2-4d8b-9148-e3be6c30e623}">
          <xlrd:rvb i="8074"/>
        </ext>
      </extLst>
    </bk>
    <bk>
      <extLst>
        <ext uri="{3e2802c4-a4d2-4d8b-9148-e3be6c30e623}">
          <xlrd:rvb i="8075"/>
        </ext>
      </extLst>
    </bk>
    <bk>
      <extLst>
        <ext uri="{3e2802c4-a4d2-4d8b-9148-e3be6c30e623}">
          <xlrd:rvb i="8076"/>
        </ext>
      </extLst>
    </bk>
    <bk>
      <extLst>
        <ext uri="{3e2802c4-a4d2-4d8b-9148-e3be6c30e623}">
          <xlrd:rvb i="8077"/>
        </ext>
      </extLst>
    </bk>
    <bk>
      <extLst>
        <ext uri="{3e2802c4-a4d2-4d8b-9148-e3be6c30e623}">
          <xlrd:rvb i="8078"/>
        </ext>
      </extLst>
    </bk>
    <bk>
      <extLst>
        <ext uri="{3e2802c4-a4d2-4d8b-9148-e3be6c30e623}">
          <xlrd:rvb i="8079"/>
        </ext>
      </extLst>
    </bk>
    <bk>
      <extLst>
        <ext uri="{3e2802c4-a4d2-4d8b-9148-e3be6c30e623}">
          <xlrd:rvb i="8080"/>
        </ext>
      </extLst>
    </bk>
    <bk>
      <extLst>
        <ext uri="{3e2802c4-a4d2-4d8b-9148-e3be6c30e623}">
          <xlrd:rvb i="8081"/>
        </ext>
      </extLst>
    </bk>
    <bk>
      <extLst>
        <ext uri="{3e2802c4-a4d2-4d8b-9148-e3be6c30e623}">
          <xlrd:rvb i="8082"/>
        </ext>
      </extLst>
    </bk>
    <bk>
      <extLst>
        <ext uri="{3e2802c4-a4d2-4d8b-9148-e3be6c30e623}">
          <xlrd:rvb i="8083"/>
        </ext>
      </extLst>
    </bk>
    <bk>
      <extLst>
        <ext uri="{3e2802c4-a4d2-4d8b-9148-e3be6c30e623}">
          <xlrd:rvb i="8084"/>
        </ext>
      </extLst>
    </bk>
    <bk>
      <extLst>
        <ext uri="{3e2802c4-a4d2-4d8b-9148-e3be6c30e623}">
          <xlrd:rvb i="8085"/>
        </ext>
      </extLst>
    </bk>
    <bk>
      <extLst>
        <ext uri="{3e2802c4-a4d2-4d8b-9148-e3be6c30e623}">
          <xlrd:rvb i="8086"/>
        </ext>
      </extLst>
    </bk>
    <bk>
      <extLst>
        <ext uri="{3e2802c4-a4d2-4d8b-9148-e3be6c30e623}">
          <xlrd:rvb i="8087"/>
        </ext>
      </extLst>
    </bk>
    <bk>
      <extLst>
        <ext uri="{3e2802c4-a4d2-4d8b-9148-e3be6c30e623}">
          <xlrd:rvb i="8088"/>
        </ext>
      </extLst>
    </bk>
    <bk>
      <extLst>
        <ext uri="{3e2802c4-a4d2-4d8b-9148-e3be6c30e623}">
          <xlrd:rvb i="8089"/>
        </ext>
      </extLst>
    </bk>
    <bk>
      <extLst>
        <ext uri="{3e2802c4-a4d2-4d8b-9148-e3be6c30e623}">
          <xlrd:rvb i="8090"/>
        </ext>
      </extLst>
    </bk>
    <bk>
      <extLst>
        <ext uri="{3e2802c4-a4d2-4d8b-9148-e3be6c30e623}">
          <xlrd:rvb i="8091"/>
        </ext>
      </extLst>
    </bk>
    <bk>
      <extLst>
        <ext uri="{3e2802c4-a4d2-4d8b-9148-e3be6c30e623}">
          <xlrd:rvb i="8092"/>
        </ext>
      </extLst>
    </bk>
    <bk>
      <extLst>
        <ext uri="{3e2802c4-a4d2-4d8b-9148-e3be6c30e623}">
          <xlrd:rvb i="8093"/>
        </ext>
      </extLst>
    </bk>
    <bk>
      <extLst>
        <ext uri="{3e2802c4-a4d2-4d8b-9148-e3be6c30e623}">
          <xlrd:rvb i="8094"/>
        </ext>
      </extLst>
    </bk>
    <bk>
      <extLst>
        <ext uri="{3e2802c4-a4d2-4d8b-9148-e3be6c30e623}">
          <xlrd:rvb i="8095"/>
        </ext>
      </extLst>
    </bk>
    <bk>
      <extLst>
        <ext uri="{3e2802c4-a4d2-4d8b-9148-e3be6c30e623}">
          <xlrd:rvb i="8096"/>
        </ext>
      </extLst>
    </bk>
    <bk>
      <extLst>
        <ext uri="{3e2802c4-a4d2-4d8b-9148-e3be6c30e623}">
          <xlrd:rvb i="8097"/>
        </ext>
      </extLst>
    </bk>
    <bk>
      <extLst>
        <ext uri="{3e2802c4-a4d2-4d8b-9148-e3be6c30e623}">
          <xlrd:rvb i="8098"/>
        </ext>
      </extLst>
    </bk>
    <bk>
      <extLst>
        <ext uri="{3e2802c4-a4d2-4d8b-9148-e3be6c30e623}">
          <xlrd:rvb i="8099"/>
        </ext>
      </extLst>
    </bk>
    <bk>
      <extLst>
        <ext uri="{3e2802c4-a4d2-4d8b-9148-e3be6c30e623}">
          <xlrd:rvb i="8100"/>
        </ext>
      </extLst>
    </bk>
    <bk>
      <extLst>
        <ext uri="{3e2802c4-a4d2-4d8b-9148-e3be6c30e623}">
          <xlrd:rvb i="8101"/>
        </ext>
      </extLst>
    </bk>
    <bk>
      <extLst>
        <ext uri="{3e2802c4-a4d2-4d8b-9148-e3be6c30e623}">
          <xlrd:rvb i="8102"/>
        </ext>
      </extLst>
    </bk>
    <bk>
      <extLst>
        <ext uri="{3e2802c4-a4d2-4d8b-9148-e3be6c30e623}">
          <xlrd:rvb i="8103"/>
        </ext>
      </extLst>
    </bk>
    <bk>
      <extLst>
        <ext uri="{3e2802c4-a4d2-4d8b-9148-e3be6c30e623}">
          <xlrd:rvb i="8104"/>
        </ext>
      </extLst>
    </bk>
    <bk>
      <extLst>
        <ext uri="{3e2802c4-a4d2-4d8b-9148-e3be6c30e623}">
          <xlrd:rvb i="8105"/>
        </ext>
      </extLst>
    </bk>
    <bk>
      <extLst>
        <ext uri="{3e2802c4-a4d2-4d8b-9148-e3be6c30e623}">
          <xlrd:rvb i="8106"/>
        </ext>
      </extLst>
    </bk>
    <bk>
      <extLst>
        <ext uri="{3e2802c4-a4d2-4d8b-9148-e3be6c30e623}">
          <xlrd:rvb i="8107"/>
        </ext>
      </extLst>
    </bk>
    <bk>
      <extLst>
        <ext uri="{3e2802c4-a4d2-4d8b-9148-e3be6c30e623}">
          <xlrd:rvb i="8108"/>
        </ext>
      </extLst>
    </bk>
    <bk>
      <extLst>
        <ext uri="{3e2802c4-a4d2-4d8b-9148-e3be6c30e623}">
          <xlrd:rvb i="8109"/>
        </ext>
      </extLst>
    </bk>
    <bk>
      <extLst>
        <ext uri="{3e2802c4-a4d2-4d8b-9148-e3be6c30e623}">
          <xlrd:rvb i="8110"/>
        </ext>
      </extLst>
    </bk>
    <bk>
      <extLst>
        <ext uri="{3e2802c4-a4d2-4d8b-9148-e3be6c30e623}">
          <xlrd:rvb i="8111"/>
        </ext>
      </extLst>
    </bk>
    <bk>
      <extLst>
        <ext uri="{3e2802c4-a4d2-4d8b-9148-e3be6c30e623}">
          <xlrd:rvb i="8112"/>
        </ext>
      </extLst>
    </bk>
    <bk>
      <extLst>
        <ext uri="{3e2802c4-a4d2-4d8b-9148-e3be6c30e623}">
          <xlrd:rvb i="8113"/>
        </ext>
      </extLst>
    </bk>
    <bk>
      <extLst>
        <ext uri="{3e2802c4-a4d2-4d8b-9148-e3be6c30e623}">
          <xlrd:rvb i="8114"/>
        </ext>
      </extLst>
    </bk>
    <bk>
      <extLst>
        <ext uri="{3e2802c4-a4d2-4d8b-9148-e3be6c30e623}">
          <xlrd:rvb i="8115"/>
        </ext>
      </extLst>
    </bk>
    <bk>
      <extLst>
        <ext uri="{3e2802c4-a4d2-4d8b-9148-e3be6c30e623}">
          <xlrd:rvb i="8116"/>
        </ext>
      </extLst>
    </bk>
    <bk>
      <extLst>
        <ext uri="{3e2802c4-a4d2-4d8b-9148-e3be6c30e623}">
          <xlrd:rvb i="8117"/>
        </ext>
      </extLst>
    </bk>
    <bk>
      <extLst>
        <ext uri="{3e2802c4-a4d2-4d8b-9148-e3be6c30e623}">
          <xlrd:rvb i="8118"/>
        </ext>
      </extLst>
    </bk>
    <bk>
      <extLst>
        <ext uri="{3e2802c4-a4d2-4d8b-9148-e3be6c30e623}">
          <xlrd:rvb i="8119"/>
        </ext>
      </extLst>
    </bk>
    <bk>
      <extLst>
        <ext uri="{3e2802c4-a4d2-4d8b-9148-e3be6c30e623}">
          <xlrd:rvb i="8120"/>
        </ext>
      </extLst>
    </bk>
    <bk>
      <extLst>
        <ext uri="{3e2802c4-a4d2-4d8b-9148-e3be6c30e623}">
          <xlrd:rvb i="8121"/>
        </ext>
      </extLst>
    </bk>
    <bk>
      <extLst>
        <ext uri="{3e2802c4-a4d2-4d8b-9148-e3be6c30e623}">
          <xlrd:rvb i="8122"/>
        </ext>
      </extLst>
    </bk>
    <bk>
      <extLst>
        <ext uri="{3e2802c4-a4d2-4d8b-9148-e3be6c30e623}">
          <xlrd:rvb i="8123"/>
        </ext>
      </extLst>
    </bk>
    <bk>
      <extLst>
        <ext uri="{3e2802c4-a4d2-4d8b-9148-e3be6c30e623}">
          <xlrd:rvb i="8124"/>
        </ext>
      </extLst>
    </bk>
    <bk>
      <extLst>
        <ext uri="{3e2802c4-a4d2-4d8b-9148-e3be6c30e623}">
          <xlrd:rvb i="8125"/>
        </ext>
      </extLst>
    </bk>
    <bk>
      <extLst>
        <ext uri="{3e2802c4-a4d2-4d8b-9148-e3be6c30e623}">
          <xlrd:rvb i="8126"/>
        </ext>
      </extLst>
    </bk>
    <bk>
      <extLst>
        <ext uri="{3e2802c4-a4d2-4d8b-9148-e3be6c30e623}">
          <xlrd:rvb i="8127"/>
        </ext>
      </extLst>
    </bk>
    <bk>
      <extLst>
        <ext uri="{3e2802c4-a4d2-4d8b-9148-e3be6c30e623}">
          <xlrd:rvb i="8128"/>
        </ext>
      </extLst>
    </bk>
    <bk>
      <extLst>
        <ext uri="{3e2802c4-a4d2-4d8b-9148-e3be6c30e623}">
          <xlrd:rvb i="8129"/>
        </ext>
      </extLst>
    </bk>
    <bk>
      <extLst>
        <ext uri="{3e2802c4-a4d2-4d8b-9148-e3be6c30e623}">
          <xlrd:rvb i="8130"/>
        </ext>
      </extLst>
    </bk>
    <bk>
      <extLst>
        <ext uri="{3e2802c4-a4d2-4d8b-9148-e3be6c30e623}">
          <xlrd:rvb i="8131"/>
        </ext>
      </extLst>
    </bk>
    <bk>
      <extLst>
        <ext uri="{3e2802c4-a4d2-4d8b-9148-e3be6c30e623}">
          <xlrd:rvb i="8132"/>
        </ext>
      </extLst>
    </bk>
    <bk>
      <extLst>
        <ext uri="{3e2802c4-a4d2-4d8b-9148-e3be6c30e623}">
          <xlrd:rvb i="8133"/>
        </ext>
      </extLst>
    </bk>
    <bk>
      <extLst>
        <ext uri="{3e2802c4-a4d2-4d8b-9148-e3be6c30e623}">
          <xlrd:rvb i="8134"/>
        </ext>
      </extLst>
    </bk>
    <bk>
      <extLst>
        <ext uri="{3e2802c4-a4d2-4d8b-9148-e3be6c30e623}">
          <xlrd:rvb i="8135"/>
        </ext>
      </extLst>
    </bk>
    <bk>
      <extLst>
        <ext uri="{3e2802c4-a4d2-4d8b-9148-e3be6c30e623}">
          <xlrd:rvb i="8136"/>
        </ext>
      </extLst>
    </bk>
    <bk>
      <extLst>
        <ext uri="{3e2802c4-a4d2-4d8b-9148-e3be6c30e623}">
          <xlrd:rvb i="8137"/>
        </ext>
      </extLst>
    </bk>
    <bk>
      <extLst>
        <ext uri="{3e2802c4-a4d2-4d8b-9148-e3be6c30e623}">
          <xlrd:rvb i="8138"/>
        </ext>
      </extLst>
    </bk>
    <bk>
      <extLst>
        <ext uri="{3e2802c4-a4d2-4d8b-9148-e3be6c30e623}">
          <xlrd:rvb i="8139"/>
        </ext>
      </extLst>
    </bk>
    <bk>
      <extLst>
        <ext uri="{3e2802c4-a4d2-4d8b-9148-e3be6c30e623}">
          <xlrd:rvb i="8140"/>
        </ext>
      </extLst>
    </bk>
    <bk>
      <extLst>
        <ext uri="{3e2802c4-a4d2-4d8b-9148-e3be6c30e623}">
          <xlrd:rvb i="8141"/>
        </ext>
      </extLst>
    </bk>
    <bk>
      <extLst>
        <ext uri="{3e2802c4-a4d2-4d8b-9148-e3be6c30e623}">
          <xlrd:rvb i="8142"/>
        </ext>
      </extLst>
    </bk>
    <bk>
      <extLst>
        <ext uri="{3e2802c4-a4d2-4d8b-9148-e3be6c30e623}">
          <xlrd:rvb i="8143"/>
        </ext>
      </extLst>
    </bk>
    <bk>
      <extLst>
        <ext uri="{3e2802c4-a4d2-4d8b-9148-e3be6c30e623}">
          <xlrd:rvb i="8144"/>
        </ext>
      </extLst>
    </bk>
    <bk>
      <extLst>
        <ext uri="{3e2802c4-a4d2-4d8b-9148-e3be6c30e623}">
          <xlrd:rvb i="8145"/>
        </ext>
      </extLst>
    </bk>
    <bk>
      <extLst>
        <ext uri="{3e2802c4-a4d2-4d8b-9148-e3be6c30e623}">
          <xlrd:rvb i="8146"/>
        </ext>
      </extLst>
    </bk>
    <bk>
      <extLst>
        <ext uri="{3e2802c4-a4d2-4d8b-9148-e3be6c30e623}">
          <xlrd:rvb i="8147"/>
        </ext>
      </extLst>
    </bk>
    <bk>
      <extLst>
        <ext uri="{3e2802c4-a4d2-4d8b-9148-e3be6c30e623}">
          <xlrd:rvb i="8148"/>
        </ext>
      </extLst>
    </bk>
    <bk>
      <extLst>
        <ext uri="{3e2802c4-a4d2-4d8b-9148-e3be6c30e623}">
          <xlrd:rvb i="8149"/>
        </ext>
      </extLst>
    </bk>
    <bk>
      <extLst>
        <ext uri="{3e2802c4-a4d2-4d8b-9148-e3be6c30e623}">
          <xlrd:rvb i="8150"/>
        </ext>
      </extLst>
    </bk>
    <bk>
      <extLst>
        <ext uri="{3e2802c4-a4d2-4d8b-9148-e3be6c30e623}">
          <xlrd:rvb i="8151"/>
        </ext>
      </extLst>
    </bk>
    <bk>
      <extLst>
        <ext uri="{3e2802c4-a4d2-4d8b-9148-e3be6c30e623}">
          <xlrd:rvb i="8152"/>
        </ext>
      </extLst>
    </bk>
    <bk>
      <extLst>
        <ext uri="{3e2802c4-a4d2-4d8b-9148-e3be6c30e623}">
          <xlrd:rvb i="8153"/>
        </ext>
      </extLst>
    </bk>
    <bk>
      <extLst>
        <ext uri="{3e2802c4-a4d2-4d8b-9148-e3be6c30e623}">
          <xlrd:rvb i="8154"/>
        </ext>
      </extLst>
    </bk>
    <bk>
      <extLst>
        <ext uri="{3e2802c4-a4d2-4d8b-9148-e3be6c30e623}">
          <xlrd:rvb i="8155"/>
        </ext>
      </extLst>
    </bk>
    <bk>
      <extLst>
        <ext uri="{3e2802c4-a4d2-4d8b-9148-e3be6c30e623}">
          <xlrd:rvb i="8156"/>
        </ext>
      </extLst>
    </bk>
    <bk>
      <extLst>
        <ext uri="{3e2802c4-a4d2-4d8b-9148-e3be6c30e623}">
          <xlrd:rvb i="8157"/>
        </ext>
      </extLst>
    </bk>
    <bk>
      <extLst>
        <ext uri="{3e2802c4-a4d2-4d8b-9148-e3be6c30e623}">
          <xlrd:rvb i="8158"/>
        </ext>
      </extLst>
    </bk>
    <bk>
      <extLst>
        <ext uri="{3e2802c4-a4d2-4d8b-9148-e3be6c30e623}">
          <xlrd:rvb i="8159"/>
        </ext>
      </extLst>
    </bk>
    <bk>
      <extLst>
        <ext uri="{3e2802c4-a4d2-4d8b-9148-e3be6c30e623}">
          <xlrd:rvb i="8160"/>
        </ext>
      </extLst>
    </bk>
    <bk>
      <extLst>
        <ext uri="{3e2802c4-a4d2-4d8b-9148-e3be6c30e623}">
          <xlrd:rvb i="8161"/>
        </ext>
      </extLst>
    </bk>
    <bk>
      <extLst>
        <ext uri="{3e2802c4-a4d2-4d8b-9148-e3be6c30e623}">
          <xlrd:rvb i="8162"/>
        </ext>
      </extLst>
    </bk>
    <bk>
      <extLst>
        <ext uri="{3e2802c4-a4d2-4d8b-9148-e3be6c30e623}">
          <xlrd:rvb i="8163"/>
        </ext>
      </extLst>
    </bk>
    <bk>
      <extLst>
        <ext uri="{3e2802c4-a4d2-4d8b-9148-e3be6c30e623}">
          <xlrd:rvb i="8164"/>
        </ext>
      </extLst>
    </bk>
    <bk>
      <extLst>
        <ext uri="{3e2802c4-a4d2-4d8b-9148-e3be6c30e623}">
          <xlrd:rvb i="8165"/>
        </ext>
      </extLst>
    </bk>
    <bk>
      <extLst>
        <ext uri="{3e2802c4-a4d2-4d8b-9148-e3be6c30e623}">
          <xlrd:rvb i="8166"/>
        </ext>
      </extLst>
    </bk>
    <bk>
      <extLst>
        <ext uri="{3e2802c4-a4d2-4d8b-9148-e3be6c30e623}">
          <xlrd:rvb i="8167"/>
        </ext>
      </extLst>
    </bk>
    <bk>
      <extLst>
        <ext uri="{3e2802c4-a4d2-4d8b-9148-e3be6c30e623}">
          <xlrd:rvb i="8168"/>
        </ext>
      </extLst>
    </bk>
    <bk>
      <extLst>
        <ext uri="{3e2802c4-a4d2-4d8b-9148-e3be6c30e623}">
          <xlrd:rvb i="8169"/>
        </ext>
      </extLst>
    </bk>
    <bk>
      <extLst>
        <ext uri="{3e2802c4-a4d2-4d8b-9148-e3be6c30e623}">
          <xlrd:rvb i="8170"/>
        </ext>
      </extLst>
    </bk>
    <bk>
      <extLst>
        <ext uri="{3e2802c4-a4d2-4d8b-9148-e3be6c30e623}">
          <xlrd:rvb i="8171"/>
        </ext>
      </extLst>
    </bk>
    <bk>
      <extLst>
        <ext uri="{3e2802c4-a4d2-4d8b-9148-e3be6c30e623}">
          <xlrd:rvb i="8172"/>
        </ext>
      </extLst>
    </bk>
    <bk>
      <extLst>
        <ext uri="{3e2802c4-a4d2-4d8b-9148-e3be6c30e623}">
          <xlrd:rvb i="8173"/>
        </ext>
      </extLst>
    </bk>
    <bk>
      <extLst>
        <ext uri="{3e2802c4-a4d2-4d8b-9148-e3be6c30e623}">
          <xlrd:rvb i="8174"/>
        </ext>
      </extLst>
    </bk>
    <bk>
      <extLst>
        <ext uri="{3e2802c4-a4d2-4d8b-9148-e3be6c30e623}">
          <xlrd:rvb i="8175"/>
        </ext>
      </extLst>
    </bk>
    <bk>
      <extLst>
        <ext uri="{3e2802c4-a4d2-4d8b-9148-e3be6c30e623}">
          <xlrd:rvb i="8176"/>
        </ext>
      </extLst>
    </bk>
    <bk>
      <extLst>
        <ext uri="{3e2802c4-a4d2-4d8b-9148-e3be6c30e623}">
          <xlrd:rvb i="8177"/>
        </ext>
      </extLst>
    </bk>
    <bk>
      <extLst>
        <ext uri="{3e2802c4-a4d2-4d8b-9148-e3be6c30e623}">
          <xlrd:rvb i="8178"/>
        </ext>
      </extLst>
    </bk>
    <bk>
      <extLst>
        <ext uri="{3e2802c4-a4d2-4d8b-9148-e3be6c30e623}">
          <xlrd:rvb i="8179"/>
        </ext>
      </extLst>
    </bk>
    <bk>
      <extLst>
        <ext uri="{3e2802c4-a4d2-4d8b-9148-e3be6c30e623}">
          <xlrd:rvb i="8180"/>
        </ext>
      </extLst>
    </bk>
    <bk>
      <extLst>
        <ext uri="{3e2802c4-a4d2-4d8b-9148-e3be6c30e623}">
          <xlrd:rvb i="8181"/>
        </ext>
      </extLst>
    </bk>
    <bk>
      <extLst>
        <ext uri="{3e2802c4-a4d2-4d8b-9148-e3be6c30e623}">
          <xlrd:rvb i="8182"/>
        </ext>
      </extLst>
    </bk>
    <bk>
      <extLst>
        <ext uri="{3e2802c4-a4d2-4d8b-9148-e3be6c30e623}">
          <xlrd:rvb i="8183"/>
        </ext>
      </extLst>
    </bk>
    <bk>
      <extLst>
        <ext uri="{3e2802c4-a4d2-4d8b-9148-e3be6c30e623}">
          <xlrd:rvb i="8184"/>
        </ext>
      </extLst>
    </bk>
    <bk>
      <extLst>
        <ext uri="{3e2802c4-a4d2-4d8b-9148-e3be6c30e623}">
          <xlrd:rvb i="8185"/>
        </ext>
      </extLst>
    </bk>
    <bk>
      <extLst>
        <ext uri="{3e2802c4-a4d2-4d8b-9148-e3be6c30e623}">
          <xlrd:rvb i="8186"/>
        </ext>
      </extLst>
    </bk>
    <bk>
      <extLst>
        <ext uri="{3e2802c4-a4d2-4d8b-9148-e3be6c30e623}">
          <xlrd:rvb i="8187"/>
        </ext>
      </extLst>
    </bk>
    <bk>
      <extLst>
        <ext uri="{3e2802c4-a4d2-4d8b-9148-e3be6c30e623}">
          <xlrd:rvb i="8188"/>
        </ext>
      </extLst>
    </bk>
    <bk>
      <extLst>
        <ext uri="{3e2802c4-a4d2-4d8b-9148-e3be6c30e623}">
          <xlrd:rvb i="8189"/>
        </ext>
      </extLst>
    </bk>
    <bk>
      <extLst>
        <ext uri="{3e2802c4-a4d2-4d8b-9148-e3be6c30e623}">
          <xlrd:rvb i="8190"/>
        </ext>
      </extLst>
    </bk>
    <bk>
      <extLst>
        <ext uri="{3e2802c4-a4d2-4d8b-9148-e3be6c30e623}">
          <xlrd:rvb i="8191"/>
        </ext>
      </extLst>
    </bk>
    <bk>
      <extLst>
        <ext uri="{3e2802c4-a4d2-4d8b-9148-e3be6c30e623}">
          <xlrd:rvb i="8192"/>
        </ext>
      </extLst>
    </bk>
    <bk>
      <extLst>
        <ext uri="{3e2802c4-a4d2-4d8b-9148-e3be6c30e623}">
          <xlrd:rvb i="8193"/>
        </ext>
      </extLst>
    </bk>
    <bk>
      <extLst>
        <ext uri="{3e2802c4-a4d2-4d8b-9148-e3be6c30e623}">
          <xlrd:rvb i="8194"/>
        </ext>
      </extLst>
    </bk>
    <bk>
      <extLst>
        <ext uri="{3e2802c4-a4d2-4d8b-9148-e3be6c30e623}">
          <xlrd:rvb i="8195"/>
        </ext>
      </extLst>
    </bk>
    <bk>
      <extLst>
        <ext uri="{3e2802c4-a4d2-4d8b-9148-e3be6c30e623}">
          <xlrd:rvb i="8196"/>
        </ext>
      </extLst>
    </bk>
    <bk>
      <extLst>
        <ext uri="{3e2802c4-a4d2-4d8b-9148-e3be6c30e623}">
          <xlrd:rvb i="8197"/>
        </ext>
      </extLst>
    </bk>
    <bk>
      <extLst>
        <ext uri="{3e2802c4-a4d2-4d8b-9148-e3be6c30e623}">
          <xlrd:rvb i="8198"/>
        </ext>
      </extLst>
    </bk>
    <bk>
      <extLst>
        <ext uri="{3e2802c4-a4d2-4d8b-9148-e3be6c30e623}">
          <xlrd:rvb i="8199"/>
        </ext>
      </extLst>
    </bk>
    <bk>
      <extLst>
        <ext uri="{3e2802c4-a4d2-4d8b-9148-e3be6c30e623}">
          <xlrd:rvb i="8200"/>
        </ext>
      </extLst>
    </bk>
    <bk>
      <extLst>
        <ext uri="{3e2802c4-a4d2-4d8b-9148-e3be6c30e623}">
          <xlrd:rvb i="8201"/>
        </ext>
      </extLst>
    </bk>
    <bk>
      <extLst>
        <ext uri="{3e2802c4-a4d2-4d8b-9148-e3be6c30e623}">
          <xlrd:rvb i="8202"/>
        </ext>
      </extLst>
    </bk>
    <bk>
      <extLst>
        <ext uri="{3e2802c4-a4d2-4d8b-9148-e3be6c30e623}">
          <xlrd:rvb i="8203"/>
        </ext>
      </extLst>
    </bk>
    <bk>
      <extLst>
        <ext uri="{3e2802c4-a4d2-4d8b-9148-e3be6c30e623}">
          <xlrd:rvb i="8204"/>
        </ext>
      </extLst>
    </bk>
    <bk>
      <extLst>
        <ext uri="{3e2802c4-a4d2-4d8b-9148-e3be6c30e623}">
          <xlrd:rvb i="8205"/>
        </ext>
      </extLst>
    </bk>
    <bk>
      <extLst>
        <ext uri="{3e2802c4-a4d2-4d8b-9148-e3be6c30e623}">
          <xlrd:rvb i="8206"/>
        </ext>
      </extLst>
    </bk>
    <bk>
      <extLst>
        <ext uri="{3e2802c4-a4d2-4d8b-9148-e3be6c30e623}">
          <xlrd:rvb i="8207"/>
        </ext>
      </extLst>
    </bk>
    <bk>
      <extLst>
        <ext uri="{3e2802c4-a4d2-4d8b-9148-e3be6c30e623}">
          <xlrd:rvb i="8208"/>
        </ext>
      </extLst>
    </bk>
    <bk>
      <extLst>
        <ext uri="{3e2802c4-a4d2-4d8b-9148-e3be6c30e623}">
          <xlrd:rvb i="8209"/>
        </ext>
      </extLst>
    </bk>
    <bk>
      <extLst>
        <ext uri="{3e2802c4-a4d2-4d8b-9148-e3be6c30e623}">
          <xlrd:rvb i="8210"/>
        </ext>
      </extLst>
    </bk>
    <bk>
      <extLst>
        <ext uri="{3e2802c4-a4d2-4d8b-9148-e3be6c30e623}">
          <xlrd:rvb i="8211"/>
        </ext>
      </extLst>
    </bk>
    <bk>
      <extLst>
        <ext uri="{3e2802c4-a4d2-4d8b-9148-e3be6c30e623}">
          <xlrd:rvb i="8212"/>
        </ext>
      </extLst>
    </bk>
    <bk>
      <extLst>
        <ext uri="{3e2802c4-a4d2-4d8b-9148-e3be6c30e623}">
          <xlrd:rvb i="8213"/>
        </ext>
      </extLst>
    </bk>
    <bk>
      <extLst>
        <ext uri="{3e2802c4-a4d2-4d8b-9148-e3be6c30e623}">
          <xlrd:rvb i="8214"/>
        </ext>
      </extLst>
    </bk>
    <bk>
      <extLst>
        <ext uri="{3e2802c4-a4d2-4d8b-9148-e3be6c30e623}">
          <xlrd:rvb i="8215"/>
        </ext>
      </extLst>
    </bk>
    <bk>
      <extLst>
        <ext uri="{3e2802c4-a4d2-4d8b-9148-e3be6c30e623}">
          <xlrd:rvb i="8216"/>
        </ext>
      </extLst>
    </bk>
    <bk>
      <extLst>
        <ext uri="{3e2802c4-a4d2-4d8b-9148-e3be6c30e623}">
          <xlrd:rvb i="8217"/>
        </ext>
      </extLst>
    </bk>
    <bk>
      <extLst>
        <ext uri="{3e2802c4-a4d2-4d8b-9148-e3be6c30e623}">
          <xlrd:rvb i="8218"/>
        </ext>
      </extLst>
    </bk>
    <bk>
      <extLst>
        <ext uri="{3e2802c4-a4d2-4d8b-9148-e3be6c30e623}">
          <xlrd:rvb i="8219"/>
        </ext>
      </extLst>
    </bk>
    <bk>
      <extLst>
        <ext uri="{3e2802c4-a4d2-4d8b-9148-e3be6c30e623}">
          <xlrd:rvb i="8220"/>
        </ext>
      </extLst>
    </bk>
    <bk>
      <extLst>
        <ext uri="{3e2802c4-a4d2-4d8b-9148-e3be6c30e623}">
          <xlrd:rvb i="8221"/>
        </ext>
      </extLst>
    </bk>
    <bk>
      <extLst>
        <ext uri="{3e2802c4-a4d2-4d8b-9148-e3be6c30e623}">
          <xlrd:rvb i="8222"/>
        </ext>
      </extLst>
    </bk>
    <bk>
      <extLst>
        <ext uri="{3e2802c4-a4d2-4d8b-9148-e3be6c30e623}">
          <xlrd:rvb i="8223"/>
        </ext>
      </extLst>
    </bk>
    <bk>
      <extLst>
        <ext uri="{3e2802c4-a4d2-4d8b-9148-e3be6c30e623}">
          <xlrd:rvb i="8224"/>
        </ext>
      </extLst>
    </bk>
    <bk>
      <extLst>
        <ext uri="{3e2802c4-a4d2-4d8b-9148-e3be6c30e623}">
          <xlrd:rvb i="8225"/>
        </ext>
      </extLst>
    </bk>
    <bk>
      <extLst>
        <ext uri="{3e2802c4-a4d2-4d8b-9148-e3be6c30e623}">
          <xlrd:rvb i="8226"/>
        </ext>
      </extLst>
    </bk>
    <bk>
      <extLst>
        <ext uri="{3e2802c4-a4d2-4d8b-9148-e3be6c30e623}">
          <xlrd:rvb i="8227"/>
        </ext>
      </extLst>
    </bk>
    <bk>
      <extLst>
        <ext uri="{3e2802c4-a4d2-4d8b-9148-e3be6c30e623}">
          <xlrd:rvb i="8228"/>
        </ext>
      </extLst>
    </bk>
    <bk>
      <extLst>
        <ext uri="{3e2802c4-a4d2-4d8b-9148-e3be6c30e623}">
          <xlrd:rvb i="8229"/>
        </ext>
      </extLst>
    </bk>
    <bk>
      <extLst>
        <ext uri="{3e2802c4-a4d2-4d8b-9148-e3be6c30e623}">
          <xlrd:rvb i="8230"/>
        </ext>
      </extLst>
    </bk>
    <bk>
      <extLst>
        <ext uri="{3e2802c4-a4d2-4d8b-9148-e3be6c30e623}">
          <xlrd:rvb i="8231"/>
        </ext>
      </extLst>
    </bk>
    <bk>
      <extLst>
        <ext uri="{3e2802c4-a4d2-4d8b-9148-e3be6c30e623}">
          <xlrd:rvb i="8232"/>
        </ext>
      </extLst>
    </bk>
    <bk>
      <extLst>
        <ext uri="{3e2802c4-a4d2-4d8b-9148-e3be6c30e623}">
          <xlrd:rvb i="8233"/>
        </ext>
      </extLst>
    </bk>
    <bk>
      <extLst>
        <ext uri="{3e2802c4-a4d2-4d8b-9148-e3be6c30e623}">
          <xlrd:rvb i="8234"/>
        </ext>
      </extLst>
    </bk>
    <bk>
      <extLst>
        <ext uri="{3e2802c4-a4d2-4d8b-9148-e3be6c30e623}">
          <xlrd:rvb i="8235"/>
        </ext>
      </extLst>
    </bk>
    <bk>
      <extLst>
        <ext uri="{3e2802c4-a4d2-4d8b-9148-e3be6c30e623}">
          <xlrd:rvb i="8236"/>
        </ext>
      </extLst>
    </bk>
    <bk>
      <extLst>
        <ext uri="{3e2802c4-a4d2-4d8b-9148-e3be6c30e623}">
          <xlrd:rvb i="8237"/>
        </ext>
      </extLst>
    </bk>
    <bk>
      <extLst>
        <ext uri="{3e2802c4-a4d2-4d8b-9148-e3be6c30e623}">
          <xlrd:rvb i="8238"/>
        </ext>
      </extLst>
    </bk>
    <bk>
      <extLst>
        <ext uri="{3e2802c4-a4d2-4d8b-9148-e3be6c30e623}">
          <xlrd:rvb i="8239"/>
        </ext>
      </extLst>
    </bk>
    <bk>
      <extLst>
        <ext uri="{3e2802c4-a4d2-4d8b-9148-e3be6c30e623}">
          <xlrd:rvb i="8240"/>
        </ext>
      </extLst>
    </bk>
    <bk>
      <extLst>
        <ext uri="{3e2802c4-a4d2-4d8b-9148-e3be6c30e623}">
          <xlrd:rvb i="8241"/>
        </ext>
      </extLst>
    </bk>
    <bk>
      <extLst>
        <ext uri="{3e2802c4-a4d2-4d8b-9148-e3be6c30e623}">
          <xlrd:rvb i="8242"/>
        </ext>
      </extLst>
    </bk>
    <bk>
      <extLst>
        <ext uri="{3e2802c4-a4d2-4d8b-9148-e3be6c30e623}">
          <xlrd:rvb i="8243"/>
        </ext>
      </extLst>
    </bk>
    <bk>
      <extLst>
        <ext uri="{3e2802c4-a4d2-4d8b-9148-e3be6c30e623}">
          <xlrd:rvb i="8244"/>
        </ext>
      </extLst>
    </bk>
    <bk>
      <extLst>
        <ext uri="{3e2802c4-a4d2-4d8b-9148-e3be6c30e623}">
          <xlrd:rvb i="8245"/>
        </ext>
      </extLst>
    </bk>
    <bk>
      <extLst>
        <ext uri="{3e2802c4-a4d2-4d8b-9148-e3be6c30e623}">
          <xlrd:rvb i="8246"/>
        </ext>
      </extLst>
    </bk>
    <bk>
      <extLst>
        <ext uri="{3e2802c4-a4d2-4d8b-9148-e3be6c30e623}">
          <xlrd:rvb i="8247"/>
        </ext>
      </extLst>
    </bk>
    <bk>
      <extLst>
        <ext uri="{3e2802c4-a4d2-4d8b-9148-e3be6c30e623}">
          <xlrd:rvb i="8248"/>
        </ext>
      </extLst>
    </bk>
    <bk>
      <extLst>
        <ext uri="{3e2802c4-a4d2-4d8b-9148-e3be6c30e623}">
          <xlrd:rvb i="8249"/>
        </ext>
      </extLst>
    </bk>
    <bk>
      <extLst>
        <ext uri="{3e2802c4-a4d2-4d8b-9148-e3be6c30e623}">
          <xlrd:rvb i="8250"/>
        </ext>
      </extLst>
    </bk>
    <bk>
      <extLst>
        <ext uri="{3e2802c4-a4d2-4d8b-9148-e3be6c30e623}">
          <xlrd:rvb i="8251"/>
        </ext>
      </extLst>
    </bk>
    <bk>
      <extLst>
        <ext uri="{3e2802c4-a4d2-4d8b-9148-e3be6c30e623}">
          <xlrd:rvb i="8252"/>
        </ext>
      </extLst>
    </bk>
    <bk>
      <extLst>
        <ext uri="{3e2802c4-a4d2-4d8b-9148-e3be6c30e623}">
          <xlrd:rvb i="8253"/>
        </ext>
      </extLst>
    </bk>
    <bk>
      <extLst>
        <ext uri="{3e2802c4-a4d2-4d8b-9148-e3be6c30e623}">
          <xlrd:rvb i="8254"/>
        </ext>
      </extLst>
    </bk>
    <bk>
      <extLst>
        <ext uri="{3e2802c4-a4d2-4d8b-9148-e3be6c30e623}">
          <xlrd:rvb i="8255"/>
        </ext>
      </extLst>
    </bk>
    <bk>
      <extLst>
        <ext uri="{3e2802c4-a4d2-4d8b-9148-e3be6c30e623}">
          <xlrd:rvb i="8256"/>
        </ext>
      </extLst>
    </bk>
    <bk>
      <extLst>
        <ext uri="{3e2802c4-a4d2-4d8b-9148-e3be6c30e623}">
          <xlrd:rvb i="8257"/>
        </ext>
      </extLst>
    </bk>
    <bk>
      <extLst>
        <ext uri="{3e2802c4-a4d2-4d8b-9148-e3be6c30e623}">
          <xlrd:rvb i="8258"/>
        </ext>
      </extLst>
    </bk>
    <bk>
      <extLst>
        <ext uri="{3e2802c4-a4d2-4d8b-9148-e3be6c30e623}">
          <xlrd:rvb i="8259"/>
        </ext>
      </extLst>
    </bk>
    <bk>
      <extLst>
        <ext uri="{3e2802c4-a4d2-4d8b-9148-e3be6c30e623}">
          <xlrd:rvb i="8260"/>
        </ext>
      </extLst>
    </bk>
    <bk>
      <extLst>
        <ext uri="{3e2802c4-a4d2-4d8b-9148-e3be6c30e623}">
          <xlrd:rvb i="8261"/>
        </ext>
      </extLst>
    </bk>
    <bk>
      <extLst>
        <ext uri="{3e2802c4-a4d2-4d8b-9148-e3be6c30e623}">
          <xlrd:rvb i="8262"/>
        </ext>
      </extLst>
    </bk>
    <bk>
      <extLst>
        <ext uri="{3e2802c4-a4d2-4d8b-9148-e3be6c30e623}">
          <xlrd:rvb i="8263"/>
        </ext>
      </extLst>
    </bk>
    <bk>
      <extLst>
        <ext uri="{3e2802c4-a4d2-4d8b-9148-e3be6c30e623}">
          <xlrd:rvb i="8264"/>
        </ext>
      </extLst>
    </bk>
    <bk>
      <extLst>
        <ext uri="{3e2802c4-a4d2-4d8b-9148-e3be6c30e623}">
          <xlrd:rvb i="8265"/>
        </ext>
      </extLst>
    </bk>
    <bk>
      <extLst>
        <ext uri="{3e2802c4-a4d2-4d8b-9148-e3be6c30e623}">
          <xlrd:rvb i="8266"/>
        </ext>
      </extLst>
    </bk>
    <bk>
      <extLst>
        <ext uri="{3e2802c4-a4d2-4d8b-9148-e3be6c30e623}">
          <xlrd:rvb i="8267"/>
        </ext>
      </extLst>
    </bk>
    <bk>
      <extLst>
        <ext uri="{3e2802c4-a4d2-4d8b-9148-e3be6c30e623}">
          <xlrd:rvb i="8268"/>
        </ext>
      </extLst>
    </bk>
    <bk>
      <extLst>
        <ext uri="{3e2802c4-a4d2-4d8b-9148-e3be6c30e623}">
          <xlrd:rvb i="8269"/>
        </ext>
      </extLst>
    </bk>
    <bk>
      <extLst>
        <ext uri="{3e2802c4-a4d2-4d8b-9148-e3be6c30e623}">
          <xlrd:rvb i="8270"/>
        </ext>
      </extLst>
    </bk>
    <bk>
      <extLst>
        <ext uri="{3e2802c4-a4d2-4d8b-9148-e3be6c30e623}">
          <xlrd:rvb i="8271"/>
        </ext>
      </extLst>
    </bk>
    <bk>
      <extLst>
        <ext uri="{3e2802c4-a4d2-4d8b-9148-e3be6c30e623}">
          <xlrd:rvb i="8272"/>
        </ext>
      </extLst>
    </bk>
    <bk>
      <extLst>
        <ext uri="{3e2802c4-a4d2-4d8b-9148-e3be6c30e623}">
          <xlrd:rvb i="8273"/>
        </ext>
      </extLst>
    </bk>
    <bk>
      <extLst>
        <ext uri="{3e2802c4-a4d2-4d8b-9148-e3be6c30e623}">
          <xlrd:rvb i="8274"/>
        </ext>
      </extLst>
    </bk>
    <bk>
      <extLst>
        <ext uri="{3e2802c4-a4d2-4d8b-9148-e3be6c30e623}">
          <xlrd:rvb i="8275"/>
        </ext>
      </extLst>
    </bk>
    <bk>
      <extLst>
        <ext uri="{3e2802c4-a4d2-4d8b-9148-e3be6c30e623}">
          <xlrd:rvb i="8276"/>
        </ext>
      </extLst>
    </bk>
    <bk>
      <extLst>
        <ext uri="{3e2802c4-a4d2-4d8b-9148-e3be6c30e623}">
          <xlrd:rvb i="8277"/>
        </ext>
      </extLst>
    </bk>
    <bk>
      <extLst>
        <ext uri="{3e2802c4-a4d2-4d8b-9148-e3be6c30e623}">
          <xlrd:rvb i="8278"/>
        </ext>
      </extLst>
    </bk>
    <bk>
      <extLst>
        <ext uri="{3e2802c4-a4d2-4d8b-9148-e3be6c30e623}">
          <xlrd:rvb i="8279"/>
        </ext>
      </extLst>
    </bk>
    <bk>
      <extLst>
        <ext uri="{3e2802c4-a4d2-4d8b-9148-e3be6c30e623}">
          <xlrd:rvb i="8280"/>
        </ext>
      </extLst>
    </bk>
    <bk>
      <extLst>
        <ext uri="{3e2802c4-a4d2-4d8b-9148-e3be6c30e623}">
          <xlrd:rvb i="8281"/>
        </ext>
      </extLst>
    </bk>
    <bk>
      <extLst>
        <ext uri="{3e2802c4-a4d2-4d8b-9148-e3be6c30e623}">
          <xlrd:rvb i="8282"/>
        </ext>
      </extLst>
    </bk>
    <bk>
      <extLst>
        <ext uri="{3e2802c4-a4d2-4d8b-9148-e3be6c30e623}">
          <xlrd:rvb i="8283"/>
        </ext>
      </extLst>
    </bk>
    <bk>
      <extLst>
        <ext uri="{3e2802c4-a4d2-4d8b-9148-e3be6c30e623}">
          <xlrd:rvb i="8284"/>
        </ext>
      </extLst>
    </bk>
    <bk>
      <extLst>
        <ext uri="{3e2802c4-a4d2-4d8b-9148-e3be6c30e623}">
          <xlrd:rvb i="8285"/>
        </ext>
      </extLst>
    </bk>
    <bk>
      <extLst>
        <ext uri="{3e2802c4-a4d2-4d8b-9148-e3be6c30e623}">
          <xlrd:rvb i="8286"/>
        </ext>
      </extLst>
    </bk>
    <bk>
      <extLst>
        <ext uri="{3e2802c4-a4d2-4d8b-9148-e3be6c30e623}">
          <xlrd:rvb i="8287"/>
        </ext>
      </extLst>
    </bk>
    <bk>
      <extLst>
        <ext uri="{3e2802c4-a4d2-4d8b-9148-e3be6c30e623}">
          <xlrd:rvb i="8288"/>
        </ext>
      </extLst>
    </bk>
    <bk>
      <extLst>
        <ext uri="{3e2802c4-a4d2-4d8b-9148-e3be6c30e623}">
          <xlrd:rvb i="8289"/>
        </ext>
      </extLst>
    </bk>
    <bk>
      <extLst>
        <ext uri="{3e2802c4-a4d2-4d8b-9148-e3be6c30e623}">
          <xlrd:rvb i="8290"/>
        </ext>
      </extLst>
    </bk>
    <bk>
      <extLst>
        <ext uri="{3e2802c4-a4d2-4d8b-9148-e3be6c30e623}">
          <xlrd:rvb i="8291"/>
        </ext>
      </extLst>
    </bk>
    <bk>
      <extLst>
        <ext uri="{3e2802c4-a4d2-4d8b-9148-e3be6c30e623}">
          <xlrd:rvb i="8292"/>
        </ext>
      </extLst>
    </bk>
    <bk>
      <extLst>
        <ext uri="{3e2802c4-a4d2-4d8b-9148-e3be6c30e623}">
          <xlrd:rvb i="8293"/>
        </ext>
      </extLst>
    </bk>
    <bk>
      <extLst>
        <ext uri="{3e2802c4-a4d2-4d8b-9148-e3be6c30e623}">
          <xlrd:rvb i="8294"/>
        </ext>
      </extLst>
    </bk>
    <bk>
      <extLst>
        <ext uri="{3e2802c4-a4d2-4d8b-9148-e3be6c30e623}">
          <xlrd:rvb i="8295"/>
        </ext>
      </extLst>
    </bk>
    <bk>
      <extLst>
        <ext uri="{3e2802c4-a4d2-4d8b-9148-e3be6c30e623}">
          <xlrd:rvb i="8296"/>
        </ext>
      </extLst>
    </bk>
    <bk>
      <extLst>
        <ext uri="{3e2802c4-a4d2-4d8b-9148-e3be6c30e623}">
          <xlrd:rvb i="8297"/>
        </ext>
      </extLst>
    </bk>
    <bk>
      <extLst>
        <ext uri="{3e2802c4-a4d2-4d8b-9148-e3be6c30e623}">
          <xlrd:rvb i="8298"/>
        </ext>
      </extLst>
    </bk>
    <bk>
      <extLst>
        <ext uri="{3e2802c4-a4d2-4d8b-9148-e3be6c30e623}">
          <xlrd:rvb i="8299"/>
        </ext>
      </extLst>
    </bk>
    <bk>
      <extLst>
        <ext uri="{3e2802c4-a4d2-4d8b-9148-e3be6c30e623}">
          <xlrd:rvb i="8300"/>
        </ext>
      </extLst>
    </bk>
    <bk>
      <extLst>
        <ext uri="{3e2802c4-a4d2-4d8b-9148-e3be6c30e623}">
          <xlrd:rvb i="8301"/>
        </ext>
      </extLst>
    </bk>
    <bk>
      <extLst>
        <ext uri="{3e2802c4-a4d2-4d8b-9148-e3be6c30e623}">
          <xlrd:rvb i="8302"/>
        </ext>
      </extLst>
    </bk>
    <bk>
      <extLst>
        <ext uri="{3e2802c4-a4d2-4d8b-9148-e3be6c30e623}">
          <xlrd:rvb i="8303"/>
        </ext>
      </extLst>
    </bk>
    <bk>
      <extLst>
        <ext uri="{3e2802c4-a4d2-4d8b-9148-e3be6c30e623}">
          <xlrd:rvb i="8304"/>
        </ext>
      </extLst>
    </bk>
    <bk>
      <extLst>
        <ext uri="{3e2802c4-a4d2-4d8b-9148-e3be6c30e623}">
          <xlrd:rvb i="8305"/>
        </ext>
      </extLst>
    </bk>
    <bk>
      <extLst>
        <ext uri="{3e2802c4-a4d2-4d8b-9148-e3be6c30e623}">
          <xlrd:rvb i="8306"/>
        </ext>
      </extLst>
    </bk>
    <bk>
      <extLst>
        <ext uri="{3e2802c4-a4d2-4d8b-9148-e3be6c30e623}">
          <xlrd:rvb i="8307"/>
        </ext>
      </extLst>
    </bk>
    <bk>
      <extLst>
        <ext uri="{3e2802c4-a4d2-4d8b-9148-e3be6c30e623}">
          <xlrd:rvb i="8308"/>
        </ext>
      </extLst>
    </bk>
    <bk>
      <extLst>
        <ext uri="{3e2802c4-a4d2-4d8b-9148-e3be6c30e623}">
          <xlrd:rvb i="8309"/>
        </ext>
      </extLst>
    </bk>
    <bk>
      <extLst>
        <ext uri="{3e2802c4-a4d2-4d8b-9148-e3be6c30e623}">
          <xlrd:rvb i="8310"/>
        </ext>
      </extLst>
    </bk>
    <bk>
      <extLst>
        <ext uri="{3e2802c4-a4d2-4d8b-9148-e3be6c30e623}">
          <xlrd:rvb i="8311"/>
        </ext>
      </extLst>
    </bk>
    <bk>
      <extLst>
        <ext uri="{3e2802c4-a4d2-4d8b-9148-e3be6c30e623}">
          <xlrd:rvb i="8312"/>
        </ext>
      </extLst>
    </bk>
    <bk>
      <extLst>
        <ext uri="{3e2802c4-a4d2-4d8b-9148-e3be6c30e623}">
          <xlrd:rvb i="8313"/>
        </ext>
      </extLst>
    </bk>
    <bk>
      <extLst>
        <ext uri="{3e2802c4-a4d2-4d8b-9148-e3be6c30e623}">
          <xlrd:rvb i="8314"/>
        </ext>
      </extLst>
    </bk>
    <bk>
      <extLst>
        <ext uri="{3e2802c4-a4d2-4d8b-9148-e3be6c30e623}">
          <xlrd:rvb i="8315"/>
        </ext>
      </extLst>
    </bk>
    <bk>
      <extLst>
        <ext uri="{3e2802c4-a4d2-4d8b-9148-e3be6c30e623}">
          <xlrd:rvb i="8316"/>
        </ext>
      </extLst>
    </bk>
    <bk>
      <extLst>
        <ext uri="{3e2802c4-a4d2-4d8b-9148-e3be6c30e623}">
          <xlrd:rvb i="8317"/>
        </ext>
      </extLst>
    </bk>
    <bk>
      <extLst>
        <ext uri="{3e2802c4-a4d2-4d8b-9148-e3be6c30e623}">
          <xlrd:rvb i="8318"/>
        </ext>
      </extLst>
    </bk>
    <bk>
      <extLst>
        <ext uri="{3e2802c4-a4d2-4d8b-9148-e3be6c30e623}">
          <xlrd:rvb i="8319"/>
        </ext>
      </extLst>
    </bk>
    <bk>
      <extLst>
        <ext uri="{3e2802c4-a4d2-4d8b-9148-e3be6c30e623}">
          <xlrd:rvb i="8320"/>
        </ext>
      </extLst>
    </bk>
    <bk>
      <extLst>
        <ext uri="{3e2802c4-a4d2-4d8b-9148-e3be6c30e623}">
          <xlrd:rvb i="8321"/>
        </ext>
      </extLst>
    </bk>
    <bk>
      <extLst>
        <ext uri="{3e2802c4-a4d2-4d8b-9148-e3be6c30e623}">
          <xlrd:rvb i="8322"/>
        </ext>
      </extLst>
    </bk>
    <bk>
      <extLst>
        <ext uri="{3e2802c4-a4d2-4d8b-9148-e3be6c30e623}">
          <xlrd:rvb i="8323"/>
        </ext>
      </extLst>
    </bk>
    <bk>
      <extLst>
        <ext uri="{3e2802c4-a4d2-4d8b-9148-e3be6c30e623}">
          <xlrd:rvb i="8324"/>
        </ext>
      </extLst>
    </bk>
    <bk>
      <extLst>
        <ext uri="{3e2802c4-a4d2-4d8b-9148-e3be6c30e623}">
          <xlrd:rvb i="8325"/>
        </ext>
      </extLst>
    </bk>
    <bk>
      <extLst>
        <ext uri="{3e2802c4-a4d2-4d8b-9148-e3be6c30e623}">
          <xlrd:rvb i="8326"/>
        </ext>
      </extLst>
    </bk>
    <bk>
      <extLst>
        <ext uri="{3e2802c4-a4d2-4d8b-9148-e3be6c30e623}">
          <xlrd:rvb i="8327"/>
        </ext>
      </extLst>
    </bk>
    <bk>
      <extLst>
        <ext uri="{3e2802c4-a4d2-4d8b-9148-e3be6c30e623}">
          <xlrd:rvb i="8328"/>
        </ext>
      </extLst>
    </bk>
    <bk>
      <extLst>
        <ext uri="{3e2802c4-a4d2-4d8b-9148-e3be6c30e623}">
          <xlrd:rvb i="8329"/>
        </ext>
      </extLst>
    </bk>
    <bk>
      <extLst>
        <ext uri="{3e2802c4-a4d2-4d8b-9148-e3be6c30e623}">
          <xlrd:rvb i="8330"/>
        </ext>
      </extLst>
    </bk>
    <bk>
      <extLst>
        <ext uri="{3e2802c4-a4d2-4d8b-9148-e3be6c30e623}">
          <xlrd:rvb i="8331"/>
        </ext>
      </extLst>
    </bk>
    <bk>
      <extLst>
        <ext uri="{3e2802c4-a4d2-4d8b-9148-e3be6c30e623}">
          <xlrd:rvb i="8332"/>
        </ext>
      </extLst>
    </bk>
    <bk>
      <extLst>
        <ext uri="{3e2802c4-a4d2-4d8b-9148-e3be6c30e623}">
          <xlrd:rvb i="8333"/>
        </ext>
      </extLst>
    </bk>
    <bk>
      <extLst>
        <ext uri="{3e2802c4-a4d2-4d8b-9148-e3be6c30e623}">
          <xlrd:rvb i="8334"/>
        </ext>
      </extLst>
    </bk>
    <bk>
      <extLst>
        <ext uri="{3e2802c4-a4d2-4d8b-9148-e3be6c30e623}">
          <xlrd:rvb i="8335"/>
        </ext>
      </extLst>
    </bk>
    <bk>
      <extLst>
        <ext uri="{3e2802c4-a4d2-4d8b-9148-e3be6c30e623}">
          <xlrd:rvb i="8336"/>
        </ext>
      </extLst>
    </bk>
    <bk>
      <extLst>
        <ext uri="{3e2802c4-a4d2-4d8b-9148-e3be6c30e623}">
          <xlrd:rvb i="8337"/>
        </ext>
      </extLst>
    </bk>
    <bk>
      <extLst>
        <ext uri="{3e2802c4-a4d2-4d8b-9148-e3be6c30e623}">
          <xlrd:rvb i="8338"/>
        </ext>
      </extLst>
    </bk>
    <bk>
      <extLst>
        <ext uri="{3e2802c4-a4d2-4d8b-9148-e3be6c30e623}">
          <xlrd:rvb i="8339"/>
        </ext>
      </extLst>
    </bk>
    <bk>
      <extLst>
        <ext uri="{3e2802c4-a4d2-4d8b-9148-e3be6c30e623}">
          <xlrd:rvb i="8340"/>
        </ext>
      </extLst>
    </bk>
    <bk>
      <extLst>
        <ext uri="{3e2802c4-a4d2-4d8b-9148-e3be6c30e623}">
          <xlrd:rvb i="8341"/>
        </ext>
      </extLst>
    </bk>
    <bk>
      <extLst>
        <ext uri="{3e2802c4-a4d2-4d8b-9148-e3be6c30e623}">
          <xlrd:rvb i="8342"/>
        </ext>
      </extLst>
    </bk>
    <bk>
      <extLst>
        <ext uri="{3e2802c4-a4d2-4d8b-9148-e3be6c30e623}">
          <xlrd:rvb i="8343"/>
        </ext>
      </extLst>
    </bk>
    <bk>
      <extLst>
        <ext uri="{3e2802c4-a4d2-4d8b-9148-e3be6c30e623}">
          <xlrd:rvb i="8344"/>
        </ext>
      </extLst>
    </bk>
    <bk>
      <extLst>
        <ext uri="{3e2802c4-a4d2-4d8b-9148-e3be6c30e623}">
          <xlrd:rvb i="8345"/>
        </ext>
      </extLst>
    </bk>
    <bk>
      <extLst>
        <ext uri="{3e2802c4-a4d2-4d8b-9148-e3be6c30e623}">
          <xlrd:rvb i="8346"/>
        </ext>
      </extLst>
    </bk>
    <bk>
      <extLst>
        <ext uri="{3e2802c4-a4d2-4d8b-9148-e3be6c30e623}">
          <xlrd:rvb i="8347"/>
        </ext>
      </extLst>
    </bk>
    <bk>
      <extLst>
        <ext uri="{3e2802c4-a4d2-4d8b-9148-e3be6c30e623}">
          <xlrd:rvb i="8348"/>
        </ext>
      </extLst>
    </bk>
    <bk>
      <extLst>
        <ext uri="{3e2802c4-a4d2-4d8b-9148-e3be6c30e623}">
          <xlrd:rvb i="8349"/>
        </ext>
      </extLst>
    </bk>
    <bk>
      <extLst>
        <ext uri="{3e2802c4-a4d2-4d8b-9148-e3be6c30e623}">
          <xlrd:rvb i="8350"/>
        </ext>
      </extLst>
    </bk>
    <bk>
      <extLst>
        <ext uri="{3e2802c4-a4d2-4d8b-9148-e3be6c30e623}">
          <xlrd:rvb i="8351"/>
        </ext>
      </extLst>
    </bk>
    <bk>
      <extLst>
        <ext uri="{3e2802c4-a4d2-4d8b-9148-e3be6c30e623}">
          <xlrd:rvb i="8352"/>
        </ext>
      </extLst>
    </bk>
    <bk>
      <extLst>
        <ext uri="{3e2802c4-a4d2-4d8b-9148-e3be6c30e623}">
          <xlrd:rvb i="8353"/>
        </ext>
      </extLst>
    </bk>
    <bk>
      <extLst>
        <ext uri="{3e2802c4-a4d2-4d8b-9148-e3be6c30e623}">
          <xlrd:rvb i="8354"/>
        </ext>
      </extLst>
    </bk>
    <bk>
      <extLst>
        <ext uri="{3e2802c4-a4d2-4d8b-9148-e3be6c30e623}">
          <xlrd:rvb i="8355"/>
        </ext>
      </extLst>
    </bk>
    <bk>
      <extLst>
        <ext uri="{3e2802c4-a4d2-4d8b-9148-e3be6c30e623}">
          <xlrd:rvb i="8356"/>
        </ext>
      </extLst>
    </bk>
    <bk>
      <extLst>
        <ext uri="{3e2802c4-a4d2-4d8b-9148-e3be6c30e623}">
          <xlrd:rvb i="8357"/>
        </ext>
      </extLst>
    </bk>
    <bk>
      <extLst>
        <ext uri="{3e2802c4-a4d2-4d8b-9148-e3be6c30e623}">
          <xlrd:rvb i="8358"/>
        </ext>
      </extLst>
    </bk>
    <bk>
      <extLst>
        <ext uri="{3e2802c4-a4d2-4d8b-9148-e3be6c30e623}">
          <xlrd:rvb i="8359"/>
        </ext>
      </extLst>
    </bk>
    <bk>
      <extLst>
        <ext uri="{3e2802c4-a4d2-4d8b-9148-e3be6c30e623}">
          <xlrd:rvb i="8360"/>
        </ext>
      </extLst>
    </bk>
    <bk>
      <extLst>
        <ext uri="{3e2802c4-a4d2-4d8b-9148-e3be6c30e623}">
          <xlrd:rvb i="8361"/>
        </ext>
      </extLst>
    </bk>
    <bk>
      <extLst>
        <ext uri="{3e2802c4-a4d2-4d8b-9148-e3be6c30e623}">
          <xlrd:rvb i="8362"/>
        </ext>
      </extLst>
    </bk>
    <bk>
      <extLst>
        <ext uri="{3e2802c4-a4d2-4d8b-9148-e3be6c30e623}">
          <xlrd:rvb i="8363"/>
        </ext>
      </extLst>
    </bk>
    <bk>
      <extLst>
        <ext uri="{3e2802c4-a4d2-4d8b-9148-e3be6c30e623}">
          <xlrd:rvb i="8364"/>
        </ext>
      </extLst>
    </bk>
    <bk>
      <extLst>
        <ext uri="{3e2802c4-a4d2-4d8b-9148-e3be6c30e623}">
          <xlrd:rvb i="8365"/>
        </ext>
      </extLst>
    </bk>
    <bk>
      <extLst>
        <ext uri="{3e2802c4-a4d2-4d8b-9148-e3be6c30e623}">
          <xlrd:rvb i="8366"/>
        </ext>
      </extLst>
    </bk>
    <bk>
      <extLst>
        <ext uri="{3e2802c4-a4d2-4d8b-9148-e3be6c30e623}">
          <xlrd:rvb i="8367"/>
        </ext>
      </extLst>
    </bk>
    <bk>
      <extLst>
        <ext uri="{3e2802c4-a4d2-4d8b-9148-e3be6c30e623}">
          <xlrd:rvb i="8368"/>
        </ext>
      </extLst>
    </bk>
    <bk>
      <extLst>
        <ext uri="{3e2802c4-a4d2-4d8b-9148-e3be6c30e623}">
          <xlrd:rvb i="8369"/>
        </ext>
      </extLst>
    </bk>
    <bk>
      <extLst>
        <ext uri="{3e2802c4-a4d2-4d8b-9148-e3be6c30e623}">
          <xlrd:rvb i="8370"/>
        </ext>
      </extLst>
    </bk>
    <bk>
      <extLst>
        <ext uri="{3e2802c4-a4d2-4d8b-9148-e3be6c30e623}">
          <xlrd:rvb i="8371"/>
        </ext>
      </extLst>
    </bk>
    <bk>
      <extLst>
        <ext uri="{3e2802c4-a4d2-4d8b-9148-e3be6c30e623}">
          <xlrd:rvb i="8372"/>
        </ext>
      </extLst>
    </bk>
    <bk>
      <extLst>
        <ext uri="{3e2802c4-a4d2-4d8b-9148-e3be6c30e623}">
          <xlrd:rvb i="8373"/>
        </ext>
      </extLst>
    </bk>
    <bk>
      <extLst>
        <ext uri="{3e2802c4-a4d2-4d8b-9148-e3be6c30e623}">
          <xlrd:rvb i="8374"/>
        </ext>
      </extLst>
    </bk>
    <bk>
      <extLst>
        <ext uri="{3e2802c4-a4d2-4d8b-9148-e3be6c30e623}">
          <xlrd:rvb i="8375"/>
        </ext>
      </extLst>
    </bk>
    <bk>
      <extLst>
        <ext uri="{3e2802c4-a4d2-4d8b-9148-e3be6c30e623}">
          <xlrd:rvb i="8376"/>
        </ext>
      </extLst>
    </bk>
    <bk>
      <extLst>
        <ext uri="{3e2802c4-a4d2-4d8b-9148-e3be6c30e623}">
          <xlrd:rvb i="8377"/>
        </ext>
      </extLst>
    </bk>
    <bk>
      <extLst>
        <ext uri="{3e2802c4-a4d2-4d8b-9148-e3be6c30e623}">
          <xlrd:rvb i="8378"/>
        </ext>
      </extLst>
    </bk>
    <bk>
      <extLst>
        <ext uri="{3e2802c4-a4d2-4d8b-9148-e3be6c30e623}">
          <xlrd:rvb i="8379"/>
        </ext>
      </extLst>
    </bk>
    <bk>
      <extLst>
        <ext uri="{3e2802c4-a4d2-4d8b-9148-e3be6c30e623}">
          <xlrd:rvb i="8380"/>
        </ext>
      </extLst>
    </bk>
    <bk>
      <extLst>
        <ext uri="{3e2802c4-a4d2-4d8b-9148-e3be6c30e623}">
          <xlrd:rvb i="8381"/>
        </ext>
      </extLst>
    </bk>
    <bk>
      <extLst>
        <ext uri="{3e2802c4-a4d2-4d8b-9148-e3be6c30e623}">
          <xlrd:rvb i="8382"/>
        </ext>
      </extLst>
    </bk>
    <bk>
      <extLst>
        <ext uri="{3e2802c4-a4d2-4d8b-9148-e3be6c30e623}">
          <xlrd:rvb i="8383"/>
        </ext>
      </extLst>
    </bk>
    <bk>
      <extLst>
        <ext uri="{3e2802c4-a4d2-4d8b-9148-e3be6c30e623}">
          <xlrd:rvb i="8384"/>
        </ext>
      </extLst>
    </bk>
    <bk>
      <extLst>
        <ext uri="{3e2802c4-a4d2-4d8b-9148-e3be6c30e623}">
          <xlrd:rvb i="8385"/>
        </ext>
      </extLst>
    </bk>
    <bk>
      <extLst>
        <ext uri="{3e2802c4-a4d2-4d8b-9148-e3be6c30e623}">
          <xlrd:rvb i="8386"/>
        </ext>
      </extLst>
    </bk>
    <bk>
      <extLst>
        <ext uri="{3e2802c4-a4d2-4d8b-9148-e3be6c30e623}">
          <xlrd:rvb i="8387"/>
        </ext>
      </extLst>
    </bk>
    <bk>
      <extLst>
        <ext uri="{3e2802c4-a4d2-4d8b-9148-e3be6c30e623}">
          <xlrd:rvb i="8388"/>
        </ext>
      </extLst>
    </bk>
    <bk>
      <extLst>
        <ext uri="{3e2802c4-a4d2-4d8b-9148-e3be6c30e623}">
          <xlrd:rvb i="8389"/>
        </ext>
      </extLst>
    </bk>
    <bk>
      <extLst>
        <ext uri="{3e2802c4-a4d2-4d8b-9148-e3be6c30e623}">
          <xlrd:rvb i="8390"/>
        </ext>
      </extLst>
    </bk>
    <bk>
      <extLst>
        <ext uri="{3e2802c4-a4d2-4d8b-9148-e3be6c30e623}">
          <xlrd:rvb i="8391"/>
        </ext>
      </extLst>
    </bk>
    <bk>
      <extLst>
        <ext uri="{3e2802c4-a4d2-4d8b-9148-e3be6c30e623}">
          <xlrd:rvb i="8392"/>
        </ext>
      </extLst>
    </bk>
    <bk>
      <extLst>
        <ext uri="{3e2802c4-a4d2-4d8b-9148-e3be6c30e623}">
          <xlrd:rvb i="8393"/>
        </ext>
      </extLst>
    </bk>
    <bk>
      <extLst>
        <ext uri="{3e2802c4-a4d2-4d8b-9148-e3be6c30e623}">
          <xlrd:rvb i="8394"/>
        </ext>
      </extLst>
    </bk>
    <bk>
      <extLst>
        <ext uri="{3e2802c4-a4d2-4d8b-9148-e3be6c30e623}">
          <xlrd:rvb i="8395"/>
        </ext>
      </extLst>
    </bk>
    <bk>
      <extLst>
        <ext uri="{3e2802c4-a4d2-4d8b-9148-e3be6c30e623}">
          <xlrd:rvb i="8396"/>
        </ext>
      </extLst>
    </bk>
    <bk>
      <extLst>
        <ext uri="{3e2802c4-a4d2-4d8b-9148-e3be6c30e623}">
          <xlrd:rvb i="8397"/>
        </ext>
      </extLst>
    </bk>
    <bk>
      <extLst>
        <ext uri="{3e2802c4-a4d2-4d8b-9148-e3be6c30e623}">
          <xlrd:rvb i="8398"/>
        </ext>
      </extLst>
    </bk>
    <bk>
      <extLst>
        <ext uri="{3e2802c4-a4d2-4d8b-9148-e3be6c30e623}">
          <xlrd:rvb i="8399"/>
        </ext>
      </extLst>
    </bk>
    <bk>
      <extLst>
        <ext uri="{3e2802c4-a4d2-4d8b-9148-e3be6c30e623}">
          <xlrd:rvb i="8400"/>
        </ext>
      </extLst>
    </bk>
    <bk>
      <extLst>
        <ext uri="{3e2802c4-a4d2-4d8b-9148-e3be6c30e623}">
          <xlrd:rvb i="8401"/>
        </ext>
      </extLst>
    </bk>
    <bk>
      <extLst>
        <ext uri="{3e2802c4-a4d2-4d8b-9148-e3be6c30e623}">
          <xlrd:rvb i="8402"/>
        </ext>
      </extLst>
    </bk>
    <bk>
      <extLst>
        <ext uri="{3e2802c4-a4d2-4d8b-9148-e3be6c30e623}">
          <xlrd:rvb i="8403"/>
        </ext>
      </extLst>
    </bk>
    <bk>
      <extLst>
        <ext uri="{3e2802c4-a4d2-4d8b-9148-e3be6c30e623}">
          <xlrd:rvb i="8404"/>
        </ext>
      </extLst>
    </bk>
    <bk>
      <extLst>
        <ext uri="{3e2802c4-a4d2-4d8b-9148-e3be6c30e623}">
          <xlrd:rvb i="8405"/>
        </ext>
      </extLst>
    </bk>
    <bk>
      <extLst>
        <ext uri="{3e2802c4-a4d2-4d8b-9148-e3be6c30e623}">
          <xlrd:rvb i="8406"/>
        </ext>
      </extLst>
    </bk>
    <bk>
      <extLst>
        <ext uri="{3e2802c4-a4d2-4d8b-9148-e3be6c30e623}">
          <xlrd:rvb i="8407"/>
        </ext>
      </extLst>
    </bk>
    <bk>
      <extLst>
        <ext uri="{3e2802c4-a4d2-4d8b-9148-e3be6c30e623}">
          <xlrd:rvb i="8408"/>
        </ext>
      </extLst>
    </bk>
    <bk>
      <extLst>
        <ext uri="{3e2802c4-a4d2-4d8b-9148-e3be6c30e623}">
          <xlrd:rvb i="8409"/>
        </ext>
      </extLst>
    </bk>
    <bk>
      <extLst>
        <ext uri="{3e2802c4-a4d2-4d8b-9148-e3be6c30e623}">
          <xlrd:rvb i="8410"/>
        </ext>
      </extLst>
    </bk>
    <bk>
      <extLst>
        <ext uri="{3e2802c4-a4d2-4d8b-9148-e3be6c30e623}">
          <xlrd:rvb i="8411"/>
        </ext>
      </extLst>
    </bk>
    <bk>
      <extLst>
        <ext uri="{3e2802c4-a4d2-4d8b-9148-e3be6c30e623}">
          <xlrd:rvb i="8412"/>
        </ext>
      </extLst>
    </bk>
    <bk>
      <extLst>
        <ext uri="{3e2802c4-a4d2-4d8b-9148-e3be6c30e623}">
          <xlrd:rvb i="8413"/>
        </ext>
      </extLst>
    </bk>
    <bk>
      <extLst>
        <ext uri="{3e2802c4-a4d2-4d8b-9148-e3be6c30e623}">
          <xlrd:rvb i="8414"/>
        </ext>
      </extLst>
    </bk>
    <bk>
      <extLst>
        <ext uri="{3e2802c4-a4d2-4d8b-9148-e3be6c30e623}">
          <xlrd:rvb i="8415"/>
        </ext>
      </extLst>
    </bk>
    <bk>
      <extLst>
        <ext uri="{3e2802c4-a4d2-4d8b-9148-e3be6c30e623}">
          <xlrd:rvb i="8416"/>
        </ext>
      </extLst>
    </bk>
    <bk>
      <extLst>
        <ext uri="{3e2802c4-a4d2-4d8b-9148-e3be6c30e623}">
          <xlrd:rvb i="8417"/>
        </ext>
      </extLst>
    </bk>
    <bk>
      <extLst>
        <ext uri="{3e2802c4-a4d2-4d8b-9148-e3be6c30e623}">
          <xlrd:rvb i="8418"/>
        </ext>
      </extLst>
    </bk>
    <bk>
      <extLst>
        <ext uri="{3e2802c4-a4d2-4d8b-9148-e3be6c30e623}">
          <xlrd:rvb i="8419"/>
        </ext>
      </extLst>
    </bk>
    <bk>
      <extLst>
        <ext uri="{3e2802c4-a4d2-4d8b-9148-e3be6c30e623}">
          <xlrd:rvb i="8420"/>
        </ext>
      </extLst>
    </bk>
    <bk>
      <extLst>
        <ext uri="{3e2802c4-a4d2-4d8b-9148-e3be6c30e623}">
          <xlrd:rvb i="8421"/>
        </ext>
      </extLst>
    </bk>
    <bk>
      <extLst>
        <ext uri="{3e2802c4-a4d2-4d8b-9148-e3be6c30e623}">
          <xlrd:rvb i="8422"/>
        </ext>
      </extLst>
    </bk>
    <bk>
      <extLst>
        <ext uri="{3e2802c4-a4d2-4d8b-9148-e3be6c30e623}">
          <xlrd:rvb i="8423"/>
        </ext>
      </extLst>
    </bk>
    <bk>
      <extLst>
        <ext uri="{3e2802c4-a4d2-4d8b-9148-e3be6c30e623}">
          <xlrd:rvb i="8424"/>
        </ext>
      </extLst>
    </bk>
    <bk>
      <extLst>
        <ext uri="{3e2802c4-a4d2-4d8b-9148-e3be6c30e623}">
          <xlrd:rvb i="8425"/>
        </ext>
      </extLst>
    </bk>
    <bk>
      <extLst>
        <ext uri="{3e2802c4-a4d2-4d8b-9148-e3be6c30e623}">
          <xlrd:rvb i="8426"/>
        </ext>
      </extLst>
    </bk>
    <bk>
      <extLst>
        <ext uri="{3e2802c4-a4d2-4d8b-9148-e3be6c30e623}">
          <xlrd:rvb i="8427"/>
        </ext>
      </extLst>
    </bk>
    <bk>
      <extLst>
        <ext uri="{3e2802c4-a4d2-4d8b-9148-e3be6c30e623}">
          <xlrd:rvb i="8428"/>
        </ext>
      </extLst>
    </bk>
    <bk>
      <extLst>
        <ext uri="{3e2802c4-a4d2-4d8b-9148-e3be6c30e623}">
          <xlrd:rvb i="8429"/>
        </ext>
      </extLst>
    </bk>
    <bk>
      <extLst>
        <ext uri="{3e2802c4-a4d2-4d8b-9148-e3be6c30e623}">
          <xlrd:rvb i="8430"/>
        </ext>
      </extLst>
    </bk>
    <bk>
      <extLst>
        <ext uri="{3e2802c4-a4d2-4d8b-9148-e3be6c30e623}">
          <xlrd:rvb i="8431"/>
        </ext>
      </extLst>
    </bk>
    <bk>
      <extLst>
        <ext uri="{3e2802c4-a4d2-4d8b-9148-e3be6c30e623}">
          <xlrd:rvb i="8432"/>
        </ext>
      </extLst>
    </bk>
    <bk>
      <extLst>
        <ext uri="{3e2802c4-a4d2-4d8b-9148-e3be6c30e623}">
          <xlrd:rvb i="8433"/>
        </ext>
      </extLst>
    </bk>
    <bk>
      <extLst>
        <ext uri="{3e2802c4-a4d2-4d8b-9148-e3be6c30e623}">
          <xlrd:rvb i="8434"/>
        </ext>
      </extLst>
    </bk>
    <bk>
      <extLst>
        <ext uri="{3e2802c4-a4d2-4d8b-9148-e3be6c30e623}">
          <xlrd:rvb i="8435"/>
        </ext>
      </extLst>
    </bk>
    <bk>
      <extLst>
        <ext uri="{3e2802c4-a4d2-4d8b-9148-e3be6c30e623}">
          <xlrd:rvb i="8436"/>
        </ext>
      </extLst>
    </bk>
    <bk>
      <extLst>
        <ext uri="{3e2802c4-a4d2-4d8b-9148-e3be6c30e623}">
          <xlrd:rvb i="8437"/>
        </ext>
      </extLst>
    </bk>
    <bk>
      <extLst>
        <ext uri="{3e2802c4-a4d2-4d8b-9148-e3be6c30e623}">
          <xlrd:rvb i="8438"/>
        </ext>
      </extLst>
    </bk>
    <bk>
      <extLst>
        <ext uri="{3e2802c4-a4d2-4d8b-9148-e3be6c30e623}">
          <xlrd:rvb i="8439"/>
        </ext>
      </extLst>
    </bk>
    <bk>
      <extLst>
        <ext uri="{3e2802c4-a4d2-4d8b-9148-e3be6c30e623}">
          <xlrd:rvb i="8440"/>
        </ext>
      </extLst>
    </bk>
    <bk>
      <extLst>
        <ext uri="{3e2802c4-a4d2-4d8b-9148-e3be6c30e623}">
          <xlrd:rvb i="8441"/>
        </ext>
      </extLst>
    </bk>
    <bk>
      <extLst>
        <ext uri="{3e2802c4-a4d2-4d8b-9148-e3be6c30e623}">
          <xlrd:rvb i="8442"/>
        </ext>
      </extLst>
    </bk>
    <bk>
      <extLst>
        <ext uri="{3e2802c4-a4d2-4d8b-9148-e3be6c30e623}">
          <xlrd:rvb i="8443"/>
        </ext>
      </extLst>
    </bk>
    <bk>
      <extLst>
        <ext uri="{3e2802c4-a4d2-4d8b-9148-e3be6c30e623}">
          <xlrd:rvb i="8444"/>
        </ext>
      </extLst>
    </bk>
    <bk>
      <extLst>
        <ext uri="{3e2802c4-a4d2-4d8b-9148-e3be6c30e623}">
          <xlrd:rvb i="8445"/>
        </ext>
      </extLst>
    </bk>
    <bk>
      <extLst>
        <ext uri="{3e2802c4-a4d2-4d8b-9148-e3be6c30e623}">
          <xlrd:rvb i="8446"/>
        </ext>
      </extLst>
    </bk>
    <bk>
      <extLst>
        <ext uri="{3e2802c4-a4d2-4d8b-9148-e3be6c30e623}">
          <xlrd:rvb i="8447"/>
        </ext>
      </extLst>
    </bk>
    <bk>
      <extLst>
        <ext uri="{3e2802c4-a4d2-4d8b-9148-e3be6c30e623}">
          <xlrd:rvb i="8448"/>
        </ext>
      </extLst>
    </bk>
    <bk>
      <extLst>
        <ext uri="{3e2802c4-a4d2-4d8b-9148-e3be6c30e623}">
          <xlrd:rvb i="8449"/>
        </ext>
      </extLst>
    </bk>
    <bk>
      <extLst>
        <ext uri="{3e2802c4-a4d2-4d8b-9148-e3be6c30e623}">
          <xlrd:rvb i="8450"/>
        </ext>
      </extLst>
    </bk>
    <bk>
      <extLst>
        <ext uri="{3e2802c4-a4d2-4d8b-9148-e3be6c30e623}">
          <xlrd:rvb i="8451"/>
        </ext>
      </extLst>
    </bk>
    <bk>
      <extLst>
        <ext uri="{3e2802c4-a4d2-4d8b-9148-e3be6c30e623}">
          <xlrd:rvb i="8452"/>
        </ext>
      </extLst>
    </bk>
    <bk>
      <extLst>
        <ext uri="{3e2802c4-a4d2-4d8b-9148-e3be6c30e623}">
          <xlrd:rvb i="8453"/>
        </ext>
      </extLst>
    </bk>
    <bk>
      <extLst>
        <ext uri="{3e2802c4-a4d2-4d8b-9148-e3be6c30e623}">
          <xlrd:rvb i="8454"/>
        </ext>
      </extLst>
    </bk>
    <bk>
      <extLst>
        <ext uri="{3e2802c4-a4d2-4d8b-9148-e3be6c30e623}">
          <xlrd:rvb i="8455"/>
        </ext>
      </extLst>
    </bk>
    <bk>
      <extLst>
        <ext uri="{3e2802c4-a4d2-4d8b-9148-e3be6c30e623}">
          <xlrd:rvb i="8456"/>
        </ext>
      </extLst>
    </bk>
    <bk>
      <extLst>
        <ext uri="{3e2802c4-a4d2-4d8b-9148-e3be6c30e623}">
          <xlrd:rvb i="8457"/>
        </ext>
      </extLst>
    </bk>
    <bk>
      <extLst>
        <ext uri="{3e2802c4-a4d2-4d8b-9148-e3be6c30e623}">
          <xlrd:rvb i="8458"/>
        </ext>
      </extLst>
    </bk>
    <bk>
      <extLst>
        <ext uri="{3e2802c4-a4d2-4d8b-9148-e3be6c30e623}">
          <xlrd:rvb i="8459"/>
        </ext>
      </extLst>
    </bk>
    <bk>
      <extLst>
        <ext uri="{3e2802c4-a4d2-4d8b-9148-e3be6c30e623}">
          <xlrd:rvb i="8460"/>
        </ext>
      </extLst>
    </bk>
    <bk>
      <extLst>
        <ext uri="{3e2802c4-a4d2-4d8b-9148-e3be6c30e623}">
          <xlrd:rvb i="8461"/>
        </ext>
      </extLst>
    </bk>
    <bk>
      <extLst>
        <ext uri="{3e2802c4-a4d2-4d8b-9148-e3be6c30e623}">
          <xlrd:rvb i="8462"/>
        </ext>
      </extLst>
    </bk>
    <bk>
      <extLst>
        <ext uri="{3e2802c4-a4d2-4d8b-9148-e3be6c30e623}">
          <xlrd:rvb i="8463"/>
        </ext>
      </extLst>
    </bk>
    <bk>
      <extLst>
        <ext uri="{3e2802c4-a4d2-4d8b-9148-e3be6c30e623}">
          <xlrd:rvb i="8464"/>
        </ext>
      </extLst>
    </bk>
    <bk>
      <extLst>
        <ext uri="{3e2802c4-a4d2-4d8b-9148-e3be6c30e623}">
          <xlrd:rvb i="8465"/>
        </ext>
      </extLst>
    </bk>
    <bk>
      <extLst>
        <ext uri="{3e2802c4-a4d2-4d8b-9148-e3be6c30e623}">
          <xlrd:rvb i="8466"/>
        </ext>
      </extLst>
    </bk>
    <bk>
      <extLst>
        <ext uri="{3e2802c4-a4d2-4d8b-9148-e3be6c30e623}">
          <xlrd:rvb i="8467"/>
        </ext>
      </extLst>
    </bk>
    <bk>
      <extLst>
        <ext uri="{3e2802c4-a4d2-4d8b-9148-e3be6c30e623}">
          <xlrd:rvb i="8468"/>
        </ext>
      </extLst>
    </bk>
    <bk>
      <extLst>
        <ext uri="{3e2802c4-a4d2-4d8b-9148-e3be6c30e623}">
          <xlrd:rvb i="8469"/>
        </ext>
      </extLst>
    </bk>
    <bk>
      <extLst>
        <ext uri="{3e2802c4-a4d2-4d8b-9148-e3be6c30e623}">
          <xlrd:rvb i="8470"/>
        </ext>
      </extLst>
    </bk>
    <bk>
      <extLst>
        <ext uri="{3e2802c4-a4d2-4d8b-9148-e3be6c30e623}">
          <xlrd:rvb i="8471"/>
        </ext>
      </extLst>
    </bk>
    <bk>
      <extLst>
        <ext uri="{3e2802c4-a4d2-4d8b-9148-e3be6c30e623}">
          <xlrd:rvb i="8472"/>
        </ext>
      </extLst>
    </bk>
    <bk>
      <extLst>
        <ext uri="{3e2802c4-a4d2-4d8b-9148-e3be6c30e623}">
          <xlrd:rvb i="8473"/>
        </ext>
      </extLst>
    </bk>
    <bk>
      <extLst>
        <ext uri="{3e2802c4-a4d2-4d8b-9148-e3be6c30e623}">
          <xlrd:rvb i="8474"/>
        </ext>
      </extLst>
    </bk>
    <bk>
      <extLst>
        <ext uri="{3e2802c4-a4d2-4d8b-9148-e3be6c30e623}">
          <xlrd:rvb i="8475"/>
        </ext>
      </extLst>
    </bk>
    <bk>
      <extLst>
        <ext uri="{3e2802c4-a4d2-4d8b-9148-e3be6c30e623}">
          <xlrd:rvb i="8476"/>
        </ext>
      </extLst>
    </bk>
    <bk>
      <extLst>
        <ext uri="{3e2802c4-a4d2-4d8b-9148-e3be6c30e623}">
          <xlrd:rvb i="8477"/>
        </ext>
      </extLst>
    </bk>
    <bk>
      <extLst>
        <ext uri="{3e2802c4-a4d2-4d8b-9148-e3be6c30e623}">
          <xlrd:rvb i="8478"/>
        </ext>
      </extLst>
    </bk>
    <bk>
      <extLst>
        <ext uri="{3e2802c4-a4d2-4d8b-9148-e3be6c30e623}">
          <xlrd:rvb i="8479"/>
        </ext>
      </extLst>
    </bk>
    <bk>
      <extLst>
        <ext uri="{3e2802c4-a4d2-4d8b-9148-e3be6c30e623}">
          <xlrd:rvb i="8480"/>
        </ext>
      </extLst>
    </bk>
    <bk>
      <extLst>
        <ext uri="{3e2802c4-a4d2-4d8b-9148-e3be6c30e623}">
          <xlrd:rvb i="8481"/>
        </ext>
      </extLst>
    </bk>
    <bk>
      <extLst>
        <ext uri="{3e2802c4-a4d2-4d8b-9148-e3be6c30e623}">
          <xlrd:rvb i="8482"/>
        </ext>
      </extLst>
    </bk>
    <bk>
      <extLst>
        <ext uri="{3e2802c4-a4d2-4d8b-9148-e3be6c30e623}">
          <xlrd:rvb i="8483"/>
        </ext>
      </extLst>
    </bk>
    <bk>
      <extLst>
        <ext uri="{3e2802c4-a4d2-4d8b-9148-e3be6c30e623}">
          <xlrd:rvb i="8484"/>
        </ext>
      </extLst>
    </bk>
    <bk>
      <extLst>
        <ext uri="{3e2802c4-a4d2-4d8b-9148-e3be6c30e623}">
          <xlrd:rvb i="8485"/>
        </ext>
      </extLst>
    </bk>
    <bk>
      <extLst>
        <ext uri="{3e2802c4-a4d2-4d8b-9148-e3be6c30e623}">
          <xlrd:rvb i="8486"/>
        </ext>
      </extLst>
    </bk>
    <bk>
      <extLst>
        <ext uri="{3e2802c4-a4d2-4d8b-9148-e3be6c30e623}">
          <xlrd:rvb i="8487"/>
        </ext>
      </extLst>
    </bk>
    <bk>
      <extLst>
        <ext uri="{3e2802c4-a4d2-4d8b-9148-e3be6c30e623}">
          <xlrd:rvb i="8488"/>
        </ext>
      </extLst>
    </bk>
    <bk>
      <extLst>
        <ext uri="{3e2802c4-a4d2-4d8b-9148-e3be6c30e623}">
          <xlrd:rvb i="8489"/>
        </ext>
      </extLst>
    </bk>
    <bk>
      <extLst>
        <ext uri="{3e2802c4-a4d2-4d8b-9148-e3be6c30e623}">
          <xlrd:rvb i="8490"/>
        </ext>
      </extLst>
    </bk>
    <bk>
      <extLst>
        <ext uri="{3e2802c4-a4d2-4d8b-9148-e3be6c30e623}">
          <xlrd:rvb i="8491"/>
        </ext>
      </extLst>
    </bk>
    <bk>
      <extLst>
        <ext uri="{3e2802c4-a4d2-4d8b-9148-e3be6c30e623}">
          <xlrd:rvb i="8492"/>
        </ext>
      </extLst>
    </bk>
    <bk>
      <extLst>
        <ext uri="{3e2802c4-a4d2-4d8b-9148-e3be6c30e623}">
          <xlrd:rvb i="8493"/>
        </ext>
      </extLst>
    </bk>
    <bk>
      <extLst>
        <ext uri="{3e2802c4-a4d2-4d8b-9148-e3be6c30e623}">
          <xlrd:rvb i="8494"/>
        </ext>
      </extLst>
    </bk>
    <bk>
      <extLst>
        <ext uri="{3e2802c4-a4d2-4d8b-9148-e3be6c30e623}">
          <xlrd:rvb i="8495"/>
        </ext>
      </extLst>
    </bk>
    <bk>
      <extLst>
        <ext uri="{3e2802c4-a4d2-4d8b-9148-e3be6c30e623}">
          <xlrd:rvb i="8496"/>
        </ext>
      </extLst>
    </bk>
    <bk>
      <extLst>
        <ext uri="{3e2802c4-a4d2-4d8b-9148-e3be6c30e623}">
          <xlrd:rvb i="8497"/>
        </ext>
      </extLst>
    </bk>
    <bk>
      <extLst>
        <ext uri="{3e2802c4-a4d2-4d8b-9148-e3be6c30e623}">
          <xlrd:rvb i="8498"/>
        </ext>
      </extLst>
    </bk>
    <bk>
      <extLst>
        <ext uri="{3e2802c4-a4d2-4d8b-9148-e3be6c30e623}">
          <xlrd:rvb i="8499"/>
        </ext>
      </extLst>
    </bk>
    <bk>
      <extLst>
        <ext uri="{3e2802c4-a4d2-4d8b-9148-e3be6c30e623}">
          <xlrd:rvb i="8500"/>
        </ext>
      </extLst>
    </bk>
    <bk>
      <extLst>
        <ext uri="{3e2802c4-a4d2-4d8b-9148-e3be6c30e623}">
          <xlrd:rvb i="8501"/>
        </ext>
      </extLst>
    </bk>
    <bk>
      <extLst>
        <ext uri="{3e2802c4-a4d2-4d8b-9148-e3be6c30e623}">
          <xlrd:rvb i="8502"/>
        </ext>
      </extLst>
    </bk>
    <bk>
      <extLst>
        <ext uri="{3e2802c4-a4d2-4d8b-9148-e3be6c30e623}">
          <xlrd:rvb i="8503"/>
        </ext>
      </extLst>
    </bk>
    <bk>
      <extLst>
        <ext uri="{3e2802c4-a4d2-4d8b-9148-e3be6c30e623}">
          <xlrd:rvb i="8504"/>
        </ext>
      </extLst>
    </bk>
    <bk>
      <extLst>
        <ext uri="{3e2802c4-a4d2-4d8b-9148-e3be6c30e623}">
          <xlrd:rvb i="8505"/>
        </ext>
      </extLst>
    </bk>
    <bk>
      <extLst>
        <ext uri="{3e2802c4-a4d2-4d8b-9148-e3be6c30e623}">
          <xlrd:rvb i="8506"/>
        </ext>
      </extLst>
    </bk>
    <bk>
      <extLst>
        <ext uri="{3e2802c4-a4d2-4d8b-9148-e3be6c30e623}">
          <xlrd:rvb i="8507"/>
        </ext>
      </extLst>
    </bk>
    <bk>
      <extLst>
        <ext uri="{3e2802c4-a4d2-4d8b-9148-e3be6c30e623}">
          <xlrd:rvb i="8508"/>
        </ext>
      </extLst>
    </bk>
    <bk>
      <extLst>
        <ext uri="{3e2802c4-a4d2-4d8b-9148-e3be6c30e623}">
          <xlrd:rvb i="8509"/>
        </ext>
      </extLst>
    </bk>
    <bk>
      <extLst>
        <ext uri="{3e2802c4-a4d2-4d8b-9148-e3be6c30e623}">
          <xlrd:rvb i="8510"/>
        </ext>
      </extLst>
    </bk>
    <bk>
      <extLst>
        <ext uri="{3e2802c4-a4d2-4d8b-9148-e3be6c30e623}">
          <xlrd:rvb i="8511"/>
        </ext>
      </extLst>
    </bk>
    <bk>
      <extLst>
        <ext uri="{3e2802c4-a4d2-4d8b-9148-e3be6c30e623}">
          <xlrd:rvb i="8512"/>
        </ext>
      </extLst>
    </bk>
    <bk>
      <extLst>
        <ext uri="{3e2802c4-a4d2-4d8b-9148-e3be6c30e623}">
          <xlrd:rvb i="8513"/>
        </ext>
      </extLst>
    </bk>
    <bk>
      <extLst>
        <ext uri="{3e2802c4-a4d2-4d8b-9148-e3be6c30e623}">
          <xlrd:rvb i="8514"/>
        </ext>
      </extLst>
    </bk>
    <bk>
      <extLst>
        <ext uri="{3e2802c4-a4d2-4d8b-9148-e3be6c30e623}">
          <xlrd:rvb i="8515"/>
        </ext>
      </extLst>
    </bk>
    <bk>
      <extLst>
        <ext uri="{3e2802c4-a4d2-4d8b-9148-e3be6c30e623}">
          <xlrd:rvb i="8516"/>
        </ext>
      </extLst>
    </bk>
    <bk>
      <extLst>
        <ext uri="{3e2802c4-a4d2-4d8b-9148-e3be6c30e623}">
          <xlrd:rvb i="8517"/>
        </ext>
      </extLst>
    </bk>
    <bk>
      <extLst>
        <ext uri="{3e2802c4-a4d2-4d8b-9148-e3be6c30e623}">
          <xlrd:rvb i="8518"/>
        </ext>
      </extLst>
    </bk>
    <bk>
      <extLst>
        <ext uri="{3e2802c4-a4d2-4d8b-9148-e3be6c30e623}">
          <xlrd:rvb i="8519"/>
        </ext>
      </extLst>
    </bk>
    <bk>
      <extLst>
        <ext uri="{3e2802c4-a4d2-4d8b-9148-e3be6c30e623}">
          <xlrd:rvb i="8520"/>
        </ext>
      </extLst>
    </bk>
    <bk>
      <extLst>
        <ext uri="{3e2802c4-a4d2-4d8b-9148-e3be6c30e623}">
          <xlrd:rvb i="8521"/>
        </ext>
      </extLst>
    </bk>
    <bk>
      <extLst>
        <ext uri="{3e2802c4-a4d2-4d8b-9148-e3be6c30e623}">
          <xlrd:rvb i="8522"/>
        </ext>
      </extLst>
    </bk>
    <bk>
      <extLst>
        <ext uri="{3e2802c4-a4d2-4d8b-9148-e3be6c30e623}">
          <xlrd:rvb i="8523"/>
        </ext>
      </extLst>
    </bk>
    <bk>
      <extLst>
        <ext uri="{3e2802c4-a4d2-4d8b-9148-e3be6c30e623}">
          <xlrd:rvb i="8524"/>
        </ext>
      </extLst>
    </bk>
    <bk>
      <extLst>
        <ext uri="{3e2802c4-a4d2-4d8b-9148-e3be6c30e623}">
          <xlrd:rvb i="8525"/>
        </ext>
      </extLst>
    </bk>
    <bk>
      <extLst>
        <ext uri="{3e2802c4-a4d2-4d8b-9148-e3be6c30e623}">
          <xlrd:rvb i="8526"/>
        </ext>
      </extLst>
    </bk>
    <bk>
      <extLst>
        <ext uri="{3e2802c4-a4d2-4d8b-9148-e3be6c30e623}">
          <xlrd:rvb i="8527"/>
        </ext>
      </extLst>
    </bk>
    <bk>
      <extLst>
        <ext uri="{3e2802c4-a4d2-4d8b-9148-e3be6c30e623}">
          <xlrd:rvb i="8528"/>
        </ext>
      </extLst>
    </bk>
    <bk>
      <extLst>
        <ext uri="{3e2802c4-a4d2-4d8b-9148-e3be6c30e623}">
          <xlrd:rvb i="8529"/>
        </ext>
      </extLst>
    </bk>
    <bk>
      <extLst>
        <ext uri="{3e2802c4-a4d2-4d8b-9148-e3be6c30e623}">
          <xlrd:rvb i="8530"/>
        </ext>
      </extLst>
    </bk>
    <bk>
      <extLst>
        <ext uri="{3e2802c4-a4d2-4d8b-9148-e3be6c30e623}">
          <xlrd:rvb i="8531"/>
        </ext>
      </extLst>
    </bk>
    <bk>
      <extLst>
        <ext uri="{3e2802c4-a4d2-4d8b-9148-e3be6c30e623}">
          <xlrd:rvb i="8532"/>
        </ext>
      </extLst>
    </bk>
    <bk>
      <extLst>
        <ext uri="{3e2802c4-a4d2-4d8b-9148-e3be6c30e623}">
          <xlrd:rvb i="8533"/>
        </ext>
      </extLst>
    </bk>
    <bk>
      <extLst>
        <ext uri="{3e2802c4-a4d2-4d8b-9148-e3be6c30e623}">
          <xlrd:rvb i="8534"/>
        </ext>
      </extLst>
    </bk>
    <bk>
      <extLst>
        <ext uri="{3e2802c4-a4d2-4d8b-9148-e3be6c30e623}">
          <xlrd:rvb i="8535"/>
        </ext>
      </extLst>
    </bk>
    <bk>
      <extLst>
        <ext uri="{3e2802c4-a4d2-4d8b-9148-e3be6c30e623}">
          <xlrd:rvb i="8536"/>
        </ext>
      </extLst>
    </bk>
    <bk>
      <extLst>
        <ext uri="{3e2802c4-a4d2-4d8b-9148-e3be6c30e623}">
          <xlrd:rvb i="8537"/>
        </ext>
      </extLst>
    </bk>
    <bk>
      <extLst>
        <ext uri="{3e2802c4-a4d2-4d8b-9148-e3be6c30e623}">
          <xlrd:rvb i="8538"/>
        </ext>
      </extLst>
    </bk>
    <bk>
      <extLst>
        <ext uri="{3e2802c4-a4d2-4d8b-9148-e3be6c30e623}">
          <xlrd:rvb i="8539"/>
        </ext>
      </extLst>
    </bk>
    <bk>
      <extLst>
        <ext uri="{3e2802c4-a4d2-4d8b-9148-e3be6c30e623}">
          <xlrd:rvb i="8540"/>
        </ext>
      </extLst>
    </bk>
    <bk>
      <extLst>
        <ext uri="{3e2802c4-a4d2-4d8b-9148-e3be6c30e623}">
          <xlrd:rvb i="8541"/>
        </ext>
      </extLst>
    </bk>
  </futureMetadata>
  <cellMetadata count="1">
    <bk>
      <rc t="1" v="0"/>
    </bk>
  </cellMetadata>
  <valueMetadata count="8540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  <bk>
      <rc t="2" v="395"/>
    </bk>
    <bk>
      <rc t="2" v="396"/>
    </bk>
    <bk>
      <rc t="2" v="397"/>
    </bk>
    <bk>
      <rc t="2" v="398"/>
    </bk>
    <bk>
      <rc t="2" v="399"/>
    </bk>
    <bk>
      <rc t="2" v="400"/>
    </bk>
    <bk>
      <rc t="2" v="401"/>
    </bk>
    <bk>
      <rc t="2" v="402"/>
    </bk>
    <bk>
      <rc t="2" v="403"/>
    </bk>
    <bk>
      <rc t="2" v="404"/>
    </bk>
    <bk>
      <rc t="2" v="405"/>
    </bk>
    <bk>
      <rc t="2" v="406"/>
    </bk>
    <bk>
      <rc t="2" v="407"/>
    </bk>
    <bk>
      <rc t="2" v="408"/>
    </bk>
    <bk>
      <rc t="2" v="409"/>
    </bk>
    <bk>
      <rc t="2" v="410"/>
    </bk>
    <bk>
      <rc t="2" v="411"/>
    </bk>
    <bk>
      <rc t="2" v="412"/>
    </bk>
    <bk>
      <rc t="2" v="413"/>
    </bk>
    <bk>
      <rc t="2" v="414"/>
    </bk>
    <bk>
      <rc t="2" v="415"/>
    </bk>
    <bk>
      <rc t="2" v="416"/>
    </bk>
    <bk>
      <rc t="2" v="417"/>
    </bk>
    <bk>
      <rc t="2" v="418"/>
    </bk>
    <bk>
      <rc t="2" v="419"/>
    </bk>
    <bk>
      <rc t="2" v="420"/>
    </bk>
    <bk>
      <rc t="2" v="421"/>
    </bk>
    <bk>
      <rc t="2" v="422"/>
    </bk>
    <bk>
      <rc t="2" v="423"/>
    </bk>
    <bk>
      <rc t="2" v="424"/>
    </bk>
    <bk>
      <rc t="2" v="425"/>
    </bk>
    <bk>
      <rc t="2" v="426"/>
    </bk>
    <bk>
      <rc t="2" v="427"/>
    </bk>
    <bk>
      <rc t="2" v="428"/>
    </bk>
    <bk>
      <rc t="2" v="429"/>
    </bk>
    <bk>
      <rc t="2" v="430"/>
    </bk>
    <bk>
      <rc t="2" v="431"/>
    </bk>
    <bk>
      <rc t="2" v="432"/>
    </bk>
    <bk>
      <rc t="2" v="433"/>
    </bk>
    <bk>
      <rc t="2" v="434"/>
    </bk>
    <bk>
      <rc t="2" v="435"/>
    </bk>
    <bk>
      <rc t="2" v="436"/>
    </bk>
    <bk>
      <rc t="2" v="437"/>
    </bk>
    <bk>
      <rc t="2" v="438"/>
    </bk>
    <bk>
      <rc t="2" v="439"/>
    </bk>
    <bk>
      <rc t="2" v="440"/>
    </bk>
    <bk>
      <rc t="2" v="441"/>
    </bk>
    <bk>
      <rc t="2" v="442"/>
    </bk>
    <bk>
      <rc t="2" v="443"/>
    </bk>
    <bk>
      <rc t="2" v="444"/>
    </bk>
    <bk>
      <rc t="2" v="445"/>
    </bk>
    <bk>
      <rc t="2" v="446"/>
    </bk>
    <bk>
      <rc t="2" v="447"/>
    </bk>
    <bk>
      <rc t="2" v="448"/>
    </bk>
    <bk>
      <rc t="2" v="449"/>
    </bk>
    <bk>
      <rc t="2" v="450"/>
    </bk>
    <bk>
      <rc t="2" v="451"/>
    </bk>
    <bk>
      <rc t="2" v="452"/>
    </bk>
    <bk>
      <rc t="2" v="453"/>
    </bk>
    <bk>
      <rc t="2" v="454"/>
    </bk>
    <bk>
      <rc t="2" v="455"/>
    </bk>
    <bk>
      <rc t="2" v="456"/>
    </bk>
    <bk>
      <rc t="2" v="457"/>
    </bk>
    <bk>
      <rc t="2" v="458"/>
    </bk>
    <bk>
      <rc t="2" v="459"/>
    </bk>
    <bk>
      <rc t="2" v="460"/>
    </bk>
    <bk>
      <rc t="2" v="461"/>
    </bk>
    <bk>
      <rc t="2" v="462"/>
    </bk>
    <bk>
      <rc t="2" v="463"/>
    </bk>
    <bk>
      <rc t="2" v="464"/>
    </bk>
    <bk>
      <rc t="2" v="465"/>
    </bk>
    <bk>
      <rc t="2" v="466"/>
    </bk>
    <bk>
      <rc t="2" v="467"/>
    </bk>
    <bk>
      <rc t="2" v="468"/>
    </bk>
    <bk>
      <rc t="2" v="469"/>
    </bk>
    <bk>
      <rc t="2" v="470"/>
    </bk>
    <bk>
      <rc t="2" v="471"/>
    </bk>
    <bk>
      <rc t="2" v="472"/>
    </bk>
    <bk>
      <rc t="2" v="473"/>
    </bk>
    <bk>
      <rc t="2" v="474"/>
    </bk>
    <bk>
      <rc t="2" v="475"/>
    </bk>
    <bk>
      <rc t="2" v="476"/>
    </bk>
    <bk>
      <rc t="2" v="477"/>
    </bk>
    <bk>
      <rc t="2" v="478"/>
    </bk>
    <bk>
      <rc t="2" v="479"/>
    </bk>
    <bk>
      <rc t="2" v="480"/>
    </bk>
    <bk>
      <rc t="2" v="481"/>
    </bk>
    <bk>
      <rc t="2" v="482"/>
    </bk>
    <bk>
      <rc t="2" v="483"/>
    </bk>
    <bk>
      <rc t="2" v="484"/>
    </bk>
    <bk>
      <rc t="2" v="485"/>
    </bk>
    <bk>
      <rc t="2" v="486"/>
    </bk>
    <bk>
      <rc t="2" v="487"/>
    </bk>
    <bk>
      <rc t="2" v="488"/>
    </bk>
    <bk>
      <rc t="2" v="489"/>
    </bk>
    <bk>
      <rc t="2" v="490"/>
    </bk>
    <bk>
      <rc t="2" v="491"/>
    </bk>
    <bk>
      <rc t="2" v="492"/>
    </bk>
    <bk>
      <rc t="2" v="493"/>
    </bk>
    <bk>
      <rc t="2" v="494"/>
    </bk>
    <bk>
      <rc t="2" v="495"/>
    </bk>
    <bk>
      <rc t="2" v="496"/>
    </bk>
    <bk>
      <rc t="2" v="497"/>
    </bk>
    <bk>
      <rc t="2" v="498"/>
    </bk>
    <bk>
      <rc t="2" v="499"/>
    </bk>
    <bk>
      <rc t="2" v="500"/>
    </bk>
    <bk>
      <rc t="2" v="501"/>
    </bk>
    <bk>
      <rc t="2" v="502"/>
    </bk>
    <bk>
      <rc t="2" v="503"/>
    </bk>
    <bk>
      <rc t="2" v="504"/>
    </bk>
    <bk>
      <rc t="2" v="505"/>
    </bk>
    <bk>
      <rc t="2" v="506"/>
    </bk>
    <bk>
      <rc t="2" v="507"/>
    </bk>
    <bk>
      <rc t="2" v="508"/>
    </bk>
    <bk>
      <rc t="2" v="509"/>
    </bk>
    <bk>
      <rc t="2" v="510"/>
    </bk>
    <bk>
      <rc t="2" v="511"/>
    </bk>
    <bk>
      <rc t="2" v="512"/>
    </bk>
    <bk>
      <rc t="2" v="513"/>
    </bk>
    <bk>
      <rc t="2" v="514"/>
    </bk>
    <bk>
      <rc t="2" v="515"/>
    </bk>
    <bk>
      <rc t="2" v="516"/>
    </bk>
    <bk>
      <rc t="2" v="517"/>
    </bk>
    <bk>
      <rc t="2" v="518"/>
    </bk>
    <bk>
      <rc t="2" v="519"/>
    </bk>
    <bk>
      <rc t="2" v="520"/>
    </bk>
    <bk>
      <rc t="2" v="521"/>
    </bk>
    <bk>
      <rc t="2" v="522"/>
    </bk>
    <bk>
      <rc t="2" v="523"/>
    </bk>
    <bk>
      <rc t="2" v="524"/>
    </bk>
    <bk>
      <rc t="2" v="525"/>
    </bk>
    <bk>
      <rc t="2" v="526"/>
    </bk>
    <bk>
      <rc t="2" v="527"/>
    </bk>
    <bk>
      <rc t="2" v="528"/>
    </bk>
    <bk>
      <rc t="2" v="529"/>
    </bk>
    <bk>
      <rc t="2" v="530"/>
    </bk>
    <bk>
      <rc t="2" v="531"/>
    </bk>
    <bk>
      <rc t="2" v="532"/>
    </bk>
    <bk>
      <rc t="2" v="533"/>
    </bk>
    <bk>
      <rc t="2" v="534"/>
    </bk>
    <bk>
      <rc t="2" v="535"/>
    </bk>
    <bk>
      <rc t="2" v="536"/>
    </bk>
    <bk>
      <rc t="2" v="537"/>
    </bk>
    <bk>
      <rc t="2" v="538"/>
    </bk>
    <bk>
      <rc t="2" v="539"/>
    </bk>
    <bk>
      <rc t="2" v="540"/>
    </bk>
    <bk>
      <rc t="2" v="541"/>
    </bk>
    <bk>
      <rc t="2" v="542"/>
    </bk>
    <bk>
      <rc t="2" v="543"/>
    </bk>
    <bk>
      <rc t="2" v="544"/>
    </bk>
    <bk>
      <rc t="2" v="545"/>
    </bk>
    <bk>
      <rc t="2" v="546"/>
    </bk>
    <bk>
      <rc t="2" v="547"/>
    </bk>
    <bk>
      <rc t="2" v="548"/>
    </bk>
    <bk>
      <rc t="2" v="549"/>
    </bk>
    <bk>
      <rc t="2" v="550"/>
    </bk>
    <bk>
      <rc t="2" v="551"/>
    </bk>
    <bk>
      <rc t="2" v="552"/>
    </bk>
    <bk>
      <rc t="2" v="553"/>
    </bk>
    <bk>
      <rc t="2" v="554"/>
    </bk>
    <bk>
      <rc t="2" v="555"/>
    </bk>
    <bk>
      <rc t="2" v="556"/>
    </bk>
    <bk>
      <rc t="2" v="557"/>
    </bk>
    <bk>
      <rc t="2" v="558"/>
    </bk>
    <bk>
      <rc t="2" v="559"/>
    </bk>
    <bk>
      <rc t="2" v="560"/>
    </bk>
    <bk>
      <rc t="2" v="561"/>
    </bk>
    <bk>
      <rc t="2" v="562"/>
    </bk>
    <bk>
      <rc t="2" v="563"/>
    </bk>
    <bk>
      <rc t="2" v="564"/>
    </bk>
    <bk>
      <rc t="2" v="565"/>
    </bk>
    <bk>
      <rc t="2" v="566"/>
    </bk>
    <bk>
      <rc t="2" v="567"/>
    </bk>
    <bk>
      <rc t="2" v="568"/>
    </bk>
    <bk>
      <rc t="2" v="569"/>
    </bk>
    <bk>
      <rc t="2" v="570"/>
    </bk>
    <bk>
      <rc t="2" v="571"/>
    </bk>
    <bk>
      <rc t="2" v="572"/>
    </bk>
    <bk>
      <rc t="2" v="573"/>
    </bk>
    <bk>
      <rc t="2" v="574"/>
    </bk>
    <bk>
      <rc t="2" v="575"/>
    </bk>
    <bk>
      <rc t="2" v="576"/>
    </bk>
    <bk>
      <rc t="2" v="577"/>
    </bk>
    <bk>
      <rc t="2" v="578"/>
    </bk>
    <bk>
      <rc t="2" v="579"/>
    </bk>
    <bk>
      <rc t="2" v="580"/>
    </bk>
    <bk>
      <rc t="2" v="581"/>
    </bk>
    <bk>
      <rc t="2" v="582"/>
    </bk>
    <bk>
      <rc t="2" v="583"/>
    </bk>
    <bk>
      <rc t="2" v="584"/>
    </bk>
    <bk>
      <rc t="2" v="585"/>
    </bk>
    <bk>
      <rc t="2" v="586"/>
    </bk>
    <bk>
      <rc t="2" v="587"/>
    </bk>
    <bk>
      <rc t="2" v="588"/>
    </bk>
    <bk>
      <rc t="2" v="589"/>
    </bk>
    <bk>
      <rc t="2" v="590"/>
    </bk>
    <bk>
      <rc t="2" v="591"/>
    </bk>
    <bk>
      <rc t="2" v="592"/>
    </bk>
    <bk>
      <rc t="2" v="593"/>
    </bk>
    <bk>
      <rc t="2" v="594"/>
    </bk>
    <bk>
      <rc t="2" v="595"/>
    </bk>
    <bk>
      <rc t="2" v="596"/>
    </bk>
    <bk>
      <rc t="2" v="597"/>
    </bk>
    <bk>
      <rc t="2" v="598"/>
    </bk>
    <bk>
      <rc t="2" v="599"/>
    </bk>
    <bk>
      <rc t="2" v="600"/>
    </bk>
    <bk>
      <rc t="2" v="601"/>
    </bk>
    <bk>
      <rc t="2" v="602"/>
    </bk>
    <bk>
      <rc t="2" v="603"/>
    </bk>
    <bk>
      <rc t="2" v="604"/>
    </bk>
    <bk>
      <rc t="2" v="605"/>
    </bk>
    <bk>
      <rc t="2" v="606"/>
    </bk>
    <bk>
      <rc t="2" v="607"/>
    </bk>
    <bk>
      <rc t="2" v="608"/>
    </bk>
    <bk>
      <rc t="2" v="609"/>
    </bk>
    <bk>
      <rc t="2" v="610"/>
    </bk>
    <bk>
      <rc t="2" v="611"/>
    </bk>
    <bk>
      <rc t="2" v="612"/>
    </bk>
    <bk>
      <rc t="2" v="613"/>
    </bk>
    <bk>
      <rc t="2" v="614"/>
    </bk>
    <bk>
      <rc t="2" v="615"/>
    </bk>
    <bk>
      <rc t="2" v="616"/>
    </bk>
    <bk>
      <rc t="2" v="617"/>
    </bk>
    <bk>
      <rc t="2" v="618"/>
    </bk>
    <bk>
      <rc t="2" v="619"/>
    </bk>
    <bk>
      <rc t="2" v="620"/>
    </bk>
    <bk>
      <rc t="2" v="621"/>
    </bk>
    <bk>
      <rc t="2" v="622"/>
    </bk>
    <bk>
      <rc t="2" v="623"/>
    </bk>
    <bk>
      <rc t="2" v="624"/>
    </bk>
    <bk>
      <rc t="2" v="625"/>
    </bk>
    <bk>
      <rc t="2" v="626"/>
    </bk>
    <bk>
      <rc t="2" v="627"/>
    </bk>
    <bk>
      <rc t="2" v="628"/>
    </bk>
    <bk>
      <rc t="2" v="629"/>
    </bk>
    <bk>
      <rc t="2" v="630"/>
    </bk>
    <bk>
      <rc t="2" v="631"/>
    </bk>
    <bk>
      <rc t="2" v="632"/>
    </bk>
    <bk>
      <rc t="2" v="633"/>
    </bk>
    <bk>
      <rc t="2" v="634"/>
    </bk>
    <bk>
      <rc t="2" v="635"/>
    </bk>
    <bk>
      <rc t="2" v="636"/>
    </bk>
    <bk>
      <rc t="2" v="637"/>
    </bk>
    <bk>
      <rc t="2" v="638"/>
    </bk>
    <bk>
      <rc t="2" v="639"/>
    </bk>
    <bk>
      <rc t="2" v="640"/>
    </bk>
    <bk>
      <rc t="2" v="641"/>
    </bk>
    <bk>
      <rc t="2" v="642"/>
    </bk>
    <bk>
      <rc t="2" v="643"/>
    </bk>
    <bk>
      <rc t="2" v="644"/>
    </bk>
    <bk>
      <rc t="2" v="645"/>
    </bk>
    <bk>
      <rc t="2" v="646"/>
    </bk>
    <bk>
      <rc t="2" v="647"/>
    </bk>
    <bk>
      <rc t="2" v="648"/>
    </bk>
    <bk>
      <rc t="2" v="649"/>
    </bk>
    <bk>
      <rc t="2" v="650"/>
    </bk>
    <bk>
      <rc t="2" v="651"/>
    </bk>
    <bk>
      <rc t="2" v="652"/>
    </bk>
    <bk>
      <rc t="2" v="653"/>
    </bk>
    <bk>
      <rc t="2" v="654"/>
    </bk>
    <bk>
      <rc t="2" v="655"/>
    </bk>
    <bk>
      <rc t="2" v="656"/>
    </bk>
    <bk>
      <rc t="2" v="657"/>
    </bk>
    <bk>
      <rc t="2" v="658"/>
    </bk>
    <bk>
      <rc t="2" v="659"/>
    </bk>
    <bk>
      <rc t="2" v="660"/>
    </bk>
    <bk>
      <rc t="2" v="661"/>
    </bk>
    <bk>
      <rc t="2" v="662"/>
    </bk>
    <bk>
      <rc t="2" v="663"/>
    </bk>
    <bk>
      <rc t="2" v="664"/>
    </bk>
    <bk>
      <rc t="2" v="665"/>
    </bk>
    <bk>
      <rc t="2" v="666"/>
    </bk>
    <bk>
      <rc t="2" v="667"/>
    </bk>
    <bk>
      <rc t="2" v="668"/>
    </bk>
    <bk>
      <rc t="2" v="669"/>
    </bk>
    <bk>
      <rc t="2" v="670"/>
    </bk>
    <bk>
      <rc t="2" v="671"/>
    </bk>
    <bk>
      <rc t="2" v="672"/>
    </bk>
    <bk>
      <rc t="2" v="673"/>
    </bk>
    <bk>
      <rc t="2" v="674"/>
    </bk>
    <bk>
      <rc t="2" v="675"/>
    </bk>
    <bk>
      <rc t="2" v="676"/>
    </bk>
    <bk>
      <rc t="2" v="677"/>
    </bk>
    <bk>
      <rc t="2" v="678"/>
    </bk>
    <bk>
      <rc t="2" v="679"/>
    </bk>
    <bk>
      <rc t="2" v="680"/>
    </bk>
    <bk>
      <rc t="2" v="681"/>
    </bk>
    <bk>
      <rc t="2" v="682"/>
    </bk>
    <bk>
      <rc t="2" v="683"/>
    </bk>
    <bk>
      <rc t="2" v="684"/>
    </bk>
    <bk>
      <rc t="2" v="685"/>
    </bk>
    <bk>
      <rc t="2" v="686"/>
    </bk>
    <bk>
      <rc t="2" v="687"/>
    </bk>
    <bk>
      <rc t="2" v="688"/>
    </bk>
    <bk>
      <rc t="2" v="689"/>
    </bk>
    <bk>
      <rc t="2" v="690"/>
    </bk>
    <bk>
      <rc t="2" v="691"/>
    </bk>
    <bk>
      <rc t="2" v="692"/>
    </bk>
    <bk>
      <rc t="2" v="693"/>
    </bk>
    <bk>
      <rc t="2" v="694"/>
    </bk>
    <bk>
      <rc t="2" v="695"/>
    </bk>
    <bk>
      <rc t="2" v="696"/>
    </bk>
    <bk>
      <rc t="2" v="697"/>
    </bk>
    <bk>
      <rc t="2" v="698"/>
    </bk>
    <bk>
      <rc t="2" v="699"/>
    </bk>
    <bk>
      <rc t="2" v="700"/>
    </bk>
    <bk>
      <rc t="2" v="701"/>
    </bk>
    <bk>
      <rc t="2" v="702"/>
    </bk>
    <bk>
      <rc t="2" v="703"/>
    </bk>
    <bk>
      <rc t="2" v="704"/>
    </bk>
    <bk>
      <rc t="2" v="705"/>
    </bk>
    <bk>
      <rc t="2" v="706"/>
    </bk>
    <bk>
      <rc t="2" v="707"/>
    </bk>
    <bk>
      <rc t="2" v="708"/>
    </bk>
    <bk>
      <rc t="2" v="709"/>
    </bk>
    <bk>
      <rc t="2" v="710"/>
    </bk>
    <bk>
      <rc t="2" v="711"/>
    </bk>
    <bk>
      <rc t="2" v="712"/>
    </bk>
    <bk>
      <rc t="2" v="713"/>
    </bk>
    <bk>
      <rc t="2" v="714"/>
    </bk>
    <bk>
      <rc t="2" v="715"/>
    </bk>
    <bk>
      <rc t="2" v="716"/>
    </bk>
    <bk>
      <rc t="2" v="717"/>
    </bk>
    <bk>
      <rc t="2" v="718"/>
    </bk>
    <bk>
      <rc t="2" v="719"/>
    </bk>
    <bk>
      <rc t="2" v="720"/>
    </bk>
    <bk>
      <rc t="2" v="721"/>
    </bk>
    <bk>
      <rc t="2" v="722"/>
    </bk>
    <bk>
      <rc t="2" v="723"/>
    </bk>
    <bk>
      <rc t="2" v="724"/>
    </bk>
    <bk>
      <rc t="2" v="725"/>
    </bk>
    <bk>
      <rc t="2" v="726"/>
    </bk>
    <bk>
      <rc t="2" v="727"/>
    </bk>
    <bk>
      <rc t="2" v="728"/>
    </bk>
    <bk>
      <rc t="2" v="729"/>
    </bk>
    <bk>
      <rc t="2" v="730"/>
    </bk>
    <bk>
      <rc t="2" v="731"/>
    </bk>
    <bk>
      <rc t="2" v="732"/>
    </bk>
    <bk>
      <rc t="2" v="733"/>
    </bk>
    <bk>
      <rc t="2" v="734"/>
    </bk>
    <bk>
      <rc t="2" v="735"/>
    </bk>
    <bk>
      <rc t="2" v="736"/>
    </bk>
    <bk>
      <rc t="2" v="737"/>
    </bk>
    <bk>
      <rc t="2" v="738"/>
    </bk>
    <bk>
      <rc t="2" v="739"/>
    </bk>
    <bk>
      <rc t="2" v="740"/>
    </bk>
    <bk>
      <rc t="2" v="741"/>
    </bk>
    <bk>
      <rc t="2" v="742"/>
    </bk>
    <bk>
      <rc t="2" v="743"/>
    </bk>
    <bk>
      <rc t="2" v="744"/>
    </bk>
    <bk>
      <rc t="2" v="745"/>
    </bk>
    <bk>
      <rc t="2" v="746"/>
    </bk>
    <bk>
      <rc t="2" v="747"/>
    </bk>
    <bk>
      <rc t="2" v="748"/>
    </bk>
    <bk>
      <rc t="2" v="749"/>
    </bk>
    <bk>
      <rc t="2" v="750"/>
    </bk>
    <bk>
      <rc t="2" v="751"/>
    </bk>
    <bk>
      <rc t="2" v="752"/>
    </bk>
    <bk>
      <rc t="2" v="753"/>
    </bk>
    <bk>
      <rc t="2" v="754"/>
    </bk>
    <bk>
      <rc t="2" v="755"/>
    </bk>
    <bk>
      <rc t="2" v="756"/>
    </bk>
    <bk>
      <rc t="2" v="757"/>
    </bk>
    <bk>
      <rc t="2" v="758"/>
    </bk>
    <bk>
      <rc t="2" v="759"/>
    </bk>
    <bk>
      <rc t="2" v="760"/>
    </bk>
    <bk>
      <rc t="2" v="761"/>
    </bk>
    <bk>
      <rc t="2" v="762"/>
    </bk>
    <bk>
      <rc t="2" v="763"/>
    </bk>
    <bk>
      <rc t="2" v="764"/>
    </bk>
    <bk>
      <rc t="2" v="765"/>
    </bk>
    <bk>
      <rc t="2" v="766"/>
    </bk>
    <bk>
      <rc t="2" v="767"/>
    </bk>
    <bk>
      <rc t="2" v="768"/>
    </bk>
    <bk>
      <rc t="2" v="769"/>
    </bk>
    <bk>
      <rc t="2" v="770"/>
    </bk>
    <bk>
      <rc t="2" v="771"/>
    </bk>
    <bk>
      <rc t="2" v="772"/>
    </bk>
    <bk>
      <rc t="2" v="773"/>
    </bk>
    <bk>
      <rc t="2" v="774"/>
    </bk>
    <bk>
      <rc t="2" v="775"/>
    </bk>
    <bk>
      <rc t="2" v="776"/>
    </bk>
    <bk>
      <rc t="2" v="777"/>
    </bk>
    <bk>
      <rc t="2" v="778"/>
    </bk>
    <bk>
      <rc t="2" v="779"/>
    </bk>
    <bk>
      <rc t="2" v="780"/>
    </bk>
    <bk>
      <rc t="2" v="781"/>
    </bk>
    <bk>
      <rc t="2" v="782"/>
    </bk>
    <bk>
      <rc t="2" v="783"/>
    </bk>
    <bk>
      <rc t="2" v="784"/>
    </bk>
    <bk>
      <rc t="2" v="785"/>
    </bk>
    <bk>
      <rc t="2" v="786"/>
    </bk>
    <bk>
      <rc t="2" v="787"/>
    </bk>
    <bk>
      <rc t="2" v="788"/>
    </bk>
    <bk>
      <rc t="2" v="789"/>
    </bk>
    <bk>
      <rc t="2" v="790"/>
    </bk>
    <bk>
      <rc t="2" v="791"/>
    </bk>
    <bk>
      <rc t="2" v="792"/>
    </bk>
    <bk>
      <rc t="2" v="793"/>
    </bk>
    <bk>
      <rc t="2" v="794"/>
    </bk>
    <bk>
      <rc t="2" v="795"/>
    </bk>
    <bk>
      <rc t="2" v="796"/>
    </bk>
    <bk>
      <rc t="2" v="797"/>
    </bk>
    <bk>
      <rc t="2" v="798"/>
    </bk>
    <bk>
      <rc t="2" v="799"/>
    </bk>
    <bk>
      <rc t="2" v="800"/>
    </bk>
    <bk>
      <rc t="2" v="801"/>
    </bk>
    <bk>
      <rc t="2" v="802"/>
    </bk>
    <bk>
      <rc t="2" v="803"/>
    </bk>
    <bk>
      <rc t="2" v="804"/>
    </bk>
    <bk>
      <rc t="2" v="805"/>
    </bk>
    <bk>
      <rc t="2" v="806"/>
    </bk>
    <bk>
      <rc t="2" v="807"/>
    </bk>
    <bk>
      <rc t="2" v="808"/>
    </bk>
    <bk>
      <rc t="2" v="809"/>
    </bk>
    <bk>
      <rc t="2" v="810"/>
    </bk>
    <bk>
      <rc t="2" v="811"/>
    </bk>
    <bk>
      <rc t="2" v="812"/>
    </bk>
    <bk>
      <rc t="2" v="813"/>
    </bk>
    <bk>
      <rc t="2" v="814"/>
    </bk>
    <bk>
      <rc t="2" v="815"/>
    </bk>
    <bk>
      <rc t="2" v="816"/>
    </bk>
    <bk>
      <rc t="2" v="817"/>
    </bk>
    <bk>
      <rc t="2" v="818"/>
    </bk>
    <bk>
      <rc t="2" v="819"/>
    </bk>
    <bk>
      <rc t="2" v="820"/>
    </bk>
    <bk>
      <rc t="2" v="821"/>
    </bk>
    <bk>
      <rc t="2" v="822"/>
    </bk>
    <bk>
      <rc t="2" v="823"/>
    </bk>
    <bk>
      <rc t="2" v="824"/>
    </bk>
    <bk>
      <rc t="2" v="825"/>
    </bk>
    <bk>
      <rc t="2" v="826"/>
    </bk>
    <bk>
      <rc t="2" v="827"/>
    </bk>
    <bk>
      <rc t="2" v="828"/>
    </bk>
    <bk>
      <rc t="2" v="829"/>
    </bk>
    <bk>
      <rc t="2" v="830"/>
    </bk>
    <bk>
      <rc t="2" v="831"/>
    </bk>
    <bk>
      <rc t="2" v="832"/>
    </bk>
    <bk>
      <rc t="2" v="833"/>
    </bk>
    <bk>
      <rc t="2" v="834"/>
    </bk>
    <bk>
      <rc t="2" v="835"/>
    </bk>
    <bk>
      <rc t="2" v="836"/>
    </bk>
    <bk>
      <rc t="2" v="837"/>
    </bk>
    <bk>
      <rc t="2" v="838"/>
    </bk>
    <bk>
      <rc t="2" v="839"/>
    </bk>
    <bk>
      <rc t="2" v="840"/>
    </bk>
    <bk>
      <rc t="2" v="841"/>
    </bk>
    <bk>
      <rc t="2" v="842"/>
    </bk>
    <bk>
      <rc t="2" v="843"/>
    </bk>
    <bk>
      <rc t="2" v="844"/>
    </bk>
    <bk>
      <rc t="2" v="845"/>
    </bk>
    <bk>
      <rc t="2" v="846"/>
    </bk>
    <bk>
      <rc t="2" v="847"/>
    </bk>
    <bk>
      <rc t="2" v="848"/>
    </bk>
    <bk>
      <rc t="2" v="849"/>
    </bk>
    <bk>
      <rc t="2" v="850"/>
    </bk>
    <bk>
      <rc t="2" v="851"/>
    </bk>
    <bk>
      <rc t="2" v="852"/>
    </bk>
    <bk>
      <rc t="2" v="853"/>
    </bk>
    <bk>
      <rc t="2" v="854"/>
    </bk>
    <bk>
      <rc t="2" v="855"/>
    </bk>
    <bk>
      <rc t="2" v="856"/>
    </bk>
    <bk>
      <rc t="2" v="857"/>
    </bk>
    <bk>
      <rc t="2" v="858"/>
    </bk>
    <bk>
      <rc t="2" v="859"/>
    </bk>
    <bk>
      <rc t="2" v="860"/>
    </bk>
    <bk>
      <rc t="2" v="861"/>
    </bk>
    <bk>
      <rc t="2" v="862"/>
    </bk>
    <bk>
      <rc t="2" v="863"/>
    </bk>
    <bk>
      <rc t="2" v="864"/>
    </bk>
    <bk>
      <rc t="2" v="865"/>
    </bk>
    <bk>
      <rc t="2" v="866"/>
    </bk>
    <bk>
      <rc t="2" v="867"/>
    </bk>
    <bk>
      <rc t="2" v="868"/>
    </bk>
    <bk>
      <rc t="2" v="869"/>
    </bk>
    <bk>
      <rc t="2" v="870"/>
    </bk>
    <bk>
      <rc t="2" v="871"/>
    </bk>
    <bk>
      <rc t="2" v="872"/>
    </bk>
    <bk>
      <rc t="2" v="873"/>
    </bk>
    <bk>
      <rc t="2" v="874"/>
    </bk>
    <bk>
      <rc t="2" v="875"/>
    </bk>
    <bk>
      <rc t="2" v="876"/>
    </bk>
    <bk>
      <rc t="2" v="877"/>
    </bk>
    <bk>
      <rc t="2" v="878"/>
    </bk>
    <bk>
      <rc t="2" v="879"/>
    </bk>
    <bk>
      <rc t="2" v="880"/>
    </bk>
    <bk>
      <rc t="2" v="881"/>
    </bk>
    <bk>
      <rc t="2" v="882"/>
    </bk>
    <bk>
      <rc t="2" v="883"/>
    </bk>
    <bk>
      <rc t="2" v="884"/>
    </bk>
    <bk>
      <rc t="2" v="885"/>
    </bk>
    <bk>
      <rc t="2" v="886"/>
    </bk>
    <bk>
      <rc t="2" v="887"/>
    </bk>
    <bk>
      <rc t="2" v="888"/>
    </bk>
    <bk>
      <rc t="2" v="889"/>
    </bk>
    <bk>
      <rc t="2" v="890"/>
    </bk>
    <bk>
      <rc t="2" v="891"/>
    </bk>
    <bk>
      <rc t="2" v="892"/>
    </bk>
    <bk>
      <rc t="2" v="893"/>
    </bk>
    <bk>
      <rc t="2" v="894"/>
    </bk>
    <bk>
      <rc t="2" v="895"/>
    </bk>
    <bk>
      <rc t="2" v="896"/>
    </bk>
    <bk>
      <rc t="2" v="897"/>
    </bk>
    <bk>
      <rc t="2" v="898"/>
    </bk>
    <bk>
      <rc t="2" v="899"/>
    </bk>
    <bk>
      <rc t="2" v="900"/>
    </bk>
    <bk>
      <rc t="2" v="901"/>
    </bk>
    <bk>
      <rc t="2" v="902"/>
    </bk>
    <bk>
      <rc t="2" v="903"/>
    </bk>
    <bk>
      <rc t="2" v="904"/>
    </bk>
    <bk>
      <rc t="2" v="905"/>
    </bk>
    <bk>
      <rc t="2" v="906"/>
    </bk>
    <bk>
      <rc t="2" v="907"/>
    </bk>
    <bk>
      <rc t="2" v="908"/>
    </bk>
    <bk>
      <rc t="2" v="909"/>
    </bk>
    <bk>
      <rc t="2" v="910"/>
    </bk>
    <bk>
      <rc t="2" v="911"/>
    </bk>
    <bk>
      <rc t="2" v="912"/>
    </bk>
    <bk>
      <rc t="2" v="913"/>
    </bk>
    <bk>
      <rc t="2" v="914"/>
    </bk>
    <bk>
      <rc t="2" v="915"/>
    </bk>
    <bk>
      <rc t="2" v="916"/>
    </bk>
    <bk>
      <rc t="2" v="917"/>
    </bk>
    <bk>
      <rc t="2" v="918"/>
    </bk>
    <bk>
      <rc t="2" v="919"/>
    </bk>
    <bk>
      <rc t="2" v="920"/>
    </bk>
    <bk>
      <rc t="2" v="921"/>
    </bk>
    <bk>
      <rc t="2" v="922"/>
    </bk>
    <bk>
      <rc t="2" v="923"/>
    </bk>
    <bk>
      <rc t="2" v="924"/>
    </bk>
    <bk>
      <rc t="2" v="925"/>
    </bk>
    <bk>
      <rc t="2" v="926"/>
    </bk>
    <bk>
      <rc t="2" v="927"/>
    </bk>
    <bk>
      <rc t="2" v="928"/>
    </bk>
    <bk>
      <rc t="2" v="929"/>
    </bk>
    <bk>
      <rc t="2" v="930"/>
    </bk>
    <bk>
      <rc t="2" v="931"/>
    </bk>
    <bk>
      <rc t="2" v="932"/>
    </bk>
    <bk>
      <rc t="2" v="933"/>
    </bk>
    <bk>
      <rc t="2" v="934"/>
    </bk>
    <bk>
      <rc t="2" v="935"/>
    </bk>
    <bk>
      <rc t="2" v="936"/>
    </bk>
    <bk>
      <rc t="2" v="937"/>
    </bk>
    <bk>
      <rc t="2" v="938"/>
    </bk>
    <bk>
      <rc t="2" v="939"/>
    </bk>
    <bk>
      <rc t="2" v="940"/>
    </bk>
    <bk>
      <rc t="2" v="941"/>
    </bk>
    <bk>
      <rc t="2" v="942"/>
    </bk>
    <bk>
      <rc t="2" v="943"/>
    </bk>
    <bk>
      <rc t="2" v="944"/>
    </bk>
    <bk>
      <rc t="2" v="945"/>
    </bk>
    <bk>
      <rc t="2" v="946"/>
    </bk>
    <bk>
      <rc t="2" v="947"/>
    </bk>
    <bk>
      <rc t="2" v="948"/>
    </bk>
    <bk>
      <rc t="2" v="949"/>
    </bk>
    <bk>
      <rc t="2" v="950"/>
    </bk>
    <bk>
      <rc t="2" v="951"/>
    </bk>
    <bk>
      <rc t="2" v="952"/>
    </bk>
    <bk>
      <rc t="2" v="953"/>
    </bk>
    <bk>
      <rc t="2" v="954"/>
    </bk>
    <bk>
      <rc t="2" v="955"/>
    </bk>
    <bk>
      <rc t="2" v="956"/>
    </bk>
    <bk>
      <rc t="2" v="957"/>
    </bk>
    <bk>
      <rc t="2" v="958"/>
    </bk>
    <bk>
      <rc t="2" v="959"/>
    </bk>
    <bk>
      <rc t="2" v="960"/>
    </bk>
    <bk>
      <rc t="2" v="961"/>
    </bk>
    <bk>
      <rc t="2" v="962"/>
    </bk>
    <bk>
      <rc t="2" v="963"/>
    </bk>
    <bk>
      <rc t="2" v="964"/>
    </bk>
    <bk>
      <rc t="2" v="965"/>
    </bk>
    <bk>
      <rc t="2" v="966"/>
    </bk>
    <bk>
      <rc t="2" v="967"/>
    </bk>
    <bk>
      <rc t="2" v="968"/>
    </bk>
    <bk>
      <rc t="2" v="969"/>
    </bk>
    <bk>
      <rc t="2" v="970"/>
    </bk>
    <bk>
      <rc t="2" v="971"/>
    </bk>
    <bk>
      <rc t="2" v="972"/>
    </bk>
    <bk>
      <rc t="2" v="973"/>
    </bk>
    <bk>
      <rc t="2" v="974"/>
    </bk>
    <bk>
      <rc t="2" v="975"/>
    </bk>
    <bk>
      <rc t="2" v="976"/>
    </bk>
    <bk>
      <rc t="2" v="977"/>
    </bk>
    <bk>
      <rc t="2" v="978"/>
    </bk>
    <bk>
      <rc t="2" v="979"/>
    </bk>
    <bk>
      <rc t="2" v="980"/>
    </bk>
    <bk>
      <rc t="2" v="981"/>
    </bk>
    <bk>
      <rc t="2" v="982"/>
    </bk>
    <bk>
      <rc t="2" v="983"/>
    </bk>
    <bk>
      <rc t="2" v="984"/>
    </bk>
    <bk>
      <rc t="2" v="985"/>
    </bk>
    <bk>
      <rc t="2" v="986"/>
    </bk>
    <bk>
      <rc t="2" v="987"/>
    </bk>
    <bk>
      <rc t="2" v="988"/>
    </bk>
    <bk>
      <rc t="2" v="989"/>
    </bk>
    <bk>
      <rc t="2" v="990"/>
    </bk>
    <bk>
      <rc t="2" v="991"/>
    </bk>
    <bk>
      <rc t="2" v="992"/>
    </bk>
    <bk>
      <rc t="2" v="993"/>
    </bk>
    <bk>
      <rc t="2" v="994"/>
    </bk>
    <bk>
      <rc t="2" v="995"/>
    </bk>
    <bk>
      <rc t="2" v="996"/>
    </bk>
    <bk>
      <rc t="2" v="997"/>
    </bk>
    <bk>
      <rc t="2" v="998"/>
    </bk>
    <bk>
      <rc t="2" v="999"/>
    </bk>
    <bk>
      <rc t="2" v="1000"/>
    </bk>
    <bk>
      <rc t="2" v="1001"/>
    </bk>
    <bk>
      <rc t="2" v="1002"/>
    </bk>
    <bk>
      <rc t="2" v="1003"/>
    </bk>
    <bk>
      <rc t="2" v="1004"/>
    </bk>
    <bk>
      <rc t="2" v="1005"/>
    </bk>
    <bk>
      <rc t="2" v="1006"/>
    </bk>
    <bk>
      <rc t="2" v="1007"/>
    </bk>
    <bk>
      <rc t="2" v="1008"/>
    </bk>
    <bk>
      <rc t="2" v="1009"/>
    </bk>
    <bk>
      <rc t="2" v="1010"/>
    </bk>
    <bk>
      <rc t="2" v="1011"/>
    </bk>
    <bk>
      <rc t="2" v="1012"/>
    </bk>
    <bk>
      <rc t="2" v="1013"/>
    </bk>
    <bk>
      <rc t="2" v="1014"/>
    </bk>
    <bk>
      <rc t="2" v="1015"/>
    </bk>
    <bk>
      <rc t="2" v="1016"/>
    </bk>
    <bk>
      <rc t="2" v="1017"/>
    </bk>
    <bk>
      <rc t="2" v="1018"/>
    </bk>
    <bk>
      <rc t="2" v="1019"/>
    </bk>
    <bk>
      <rc t="2" v="1020"/>
    </bk>
    <bk>
      <rc t="2" v="1021"/>
    </bk>
    <bk>
      <rc t="2" v="1022"/>
    </bk>
    <bk>
      <rc t="2" v="1023"/>
    </bk>
    <bk>
      <rc t="2" v="1024"/>
    </bk>
    <bk>
      <rc t="2" v="1025"/>
    </bk>
    <bk>
      <rc t="2" v="1026"/>
    </bk>
    <bk>
      <rc t="2" v="1027"/>
    </bk>
    <bk>
      <rc t="2" v="1028"/>
    </bk>
    <bk>
      <rc t="2" v="1029"/>
    </bk>
    <bk>
      <rc t="2" v="1030"/>
    </bk>
    <bk>
      <rc t="2" v="1031"/>
    </bk>
    <bk>
      <rc t="2" v="1032"/>
    </bk>
    <bk>
      <rc t="2" v="1033"/>
    </bk>
    <bk>
      <rc t="2" v="1034"/>
    </bk>
    <bk>
      <rc t="2" v="1035"/>
    </bk>
    <bk>
      <rc t="2" v="1036"/>
    </bk>
    <bk>
      <rc t="2" v="1037"/>
    </bk>
    <bk>
      <rc t="2" v="1038"/>
    </bk>
    <bk>
      <rc t="2" v="1039"/>
    </bk>
    <bk>
      <rc t="2" v="1040"/>
    </bk>
    <bk>
      <rc t="2" v="1041"/>
    </bk>
    <bk>
      <rc t="2" v="1042"/>
    </bk>
    <bk>
      <rc t="2" v="1043"/>
    </bk>
    <bk>
      <rc t="2" v="1044"/>
    </bk>
    <bk>
      <rc t="2" v="1045"/>
    </bk>
    <bk>
      <rc t="2" v="1046"/>
    </bk>
    <bk>
      <rc t="2" v="1047"/>
    </bk>
    <bk>
      <rc t="2" v="1048"/>
    </bk>
    <bk>
      <rc t="2" v="1049"/>
    </bk>
    <bk>
      <rc t="2" v="1050"/>
    </bk>
    <bk>
      <rc t="2" v="1051"/>
    </bk>
    <bk>
      <rc t="2" v="1052"/>
    </bk>
    <bk>
      <rc t="2" v="1053"/>
    </bk>
    <bk>
      <rc t="2" v="1054"/>
    </bk>
    <bk>
      <rc t="2" v="1055"/>
    </bk>
    <bk>
      <rc t="2" v="1056"/>
    </bk>
    <bk>
      <rc t="2" v="1057"/>
    </bk>
    <bk>
      <rc t="2" v="1058"/>
    </bk>
    <bk>
      <rc t="2" v="1059"/>
    </bk>
    <bk>
      <rc t="2" v="1060"/>
    </bk>
    <bk>
      <rc t="2" v="1061"/>
    </bk>
    <bk>
      <rc t="2" v="1062"/>
    </bk>
    <bk>
      <rc t="2" v="1063"/>
    </bk>
    <bk>
      <rc t="2" v="1064"/>
    </bk>
    <bk>
      <rc t="2" v="1065"/>
    </bk>
    <bk>
      <rc t="2" v="1066"/>
    </bk>
    <bk>
      <rc t="2" v="1067"/>
    </bk>
    <bk>
      <rc t="2" v="1068"/>
    </bk>
    <bk>
      <rc t="2" v="1069"/>
    </bk>
    <bk>
      <rc t="2" v="1070"/>
    </bk>
    <bk>
      <rc t="2" v="1071"/>
    </bk>
    <bk>
      <rc t="2" v="1072"/>
    </bk>
    <bk>
      <rc t="2" v="1073"/>
    </bk>
    <bk>
      <rc t="2" v="1074"/>
    </bk>
    <bk>
      <rc t="2" v="1075"/>
    </bk>
    <bk>
      <rc t="2" v="1076"/>
    </bk>
    <bk>
      <rc t="2" v="1077"/>
    </bk>
    <bk>
      <rc t="2" v="1078"/>
    </bk>
    <bk>
      <rc t="2" v="1079"/>
    </bk>
    <bk>
      <rc t="2" v="1080"/>
    </bk>
    <bk>
      <rc t="2" v="1081"/>
    </bk>
    <bk>
      <rc t="2" v="1082"/>
    </bk>
    <bk>
      <rc t="2" v="1083"/>
    </bk>
    <bk>
      <rc t="2" v="1084"/>
    </bk>
    <bk>
      <rc t="2" v="1085"/>
    </bk>
    <bk>
      <rc t="2" v="1086"/>
    </bk>
    <bk>
      <rc t="2" v="1087"/>
    </bk>
    <bk>
      <rc t="2" v="1088"/>
    </bk>
    <bk>
      <rc t="2" v="1089"/>
    </bk>
    <bk>
      <rc t="2" v="1090"/>
    </bk>
    <bk>
      <rc t="2" v="1091"/>
    </bk>
    <bk>
      <rc t="2" v="1092"/>
    </bk>
    <bk>
      <rc t="2" v="1093"/>
    </bk>
    <bk>
      <rc t="2" v="1094"/>
    </bk>
    <bk>
      <rc t="2" v="1095"/>
    </bk>
    <bk>
      <rc t="2" v="1096"/>
    </bk>
    <bk>
      <rc t="2" v="1097"/>
    </bk>
    <bk>
      <rc t="2" v="1098"/>
    </bk>
    <bk>
      <rc t="2" v="1099"/>
    </bk>
    <bk>
      <rc t="2" v="1100"/>
    </bk>
    <bk>
      <rc t="2" v="1101"/>
    </bk>
    <bk>
      <rc t="2" v="1102"/>
    </bk>
    <bk>
      <rc t="2" v="1103"/>
    </bk>
    <bk>
      <rc t="2" v="1104"/>
    </bk>
    <bk>
      <rc t="2" v="1105"/>
    </bk>
    <bk>
      <rc t="2" v="1106"/>
    </bk>
    <bk>
      <rc t="2" v="1107"/>
    </bk>
    <bk>
      <rc t="2" v="1108"/>
    </bk>
    <bk>
      <rc t="2" v="1109"/>
    </bk>
    <bk>
      <rc t="2" v="1110"/>
    </bk>
    <bk>
      <rc t="2" v="1111"/>
    </bk>
    <bk>
      <rc t="2" v="1112"/>
    </bk>
    <bk>
      <rc t="2" v="1113"/>
    </bk>
    <bk>
      <rc t="2" v="1114"/>
    </bk>
    <bk>
      <rc t="2" v="1115"/>
    </bk>
    <bk>
      <rc t="2" v="1116"/>
    </bk>
    <bk>
      <rc t="2" v="1117"/>
    </bk>
    <bk>
      <rc t="2" v="1118"/>
    </bk>
    <bk>
      <rc t="2" v="1119"/>
    </bk>
    <bk>
      <rc t="2" v="1120"/>
    </bk>
    <bk>
      <rc t="2" v="1121"/>
    </bk>
    <bk>
      <rc t="2" v="1122"/>
    </bk>
    <bk>
      <rc t="2" v="1123"/>
    </bk>
    <bk>
      <rc t="2" v="1124"/>
    </bk>
    <bk>
      <rc t="2" v="1125"/>
    </bk>
    <bk>
      <rc t="2" v="1126"/>
    </bk>
    <bk>
      <rc t="2" v="1127"/>
    </bk>
    <bk>
      <rc t="2" v="1128"/>
    </bk>
    <bk>
      <rc t="2" v="1129"/>
    </bk>
    <bk>
      <rc t="2" v="1130"/>
    </bk>
    <bk>
      <rc t="2" v="1131"/>
    </bk>
    <bk>
      <rc t="2" v="1132"/>
    </bk>
    <bk>
      <rc t="2" v="1133"/>
    </bk>
    <bk>
      <rc t="2" v="1134"/>
    </bk>
    <bk>
      <rc t="2" v="1135"/>
    </bk>
    <bk>
      <rc t="2" v="1136"/>
    </bk>
    <bk>
      <rc t="2" v="1137"/>
    </bk>
    <bk>
      <rc t="2" v="1138"/>
    </bk>
    <bk>
      <rc t="2" v="1139"/>
    </bk>
    <bk>
      <rc t="2" v="1140"/>
    </bk>
    <bk>
      <rc t="2" v="1141"/>
    </bk>
    <bk>
      <rc t="2" v="1142"/>
    </bk>
    <bk>
      <rc t="2" v="1143"/>
    </bk>
    <bk>
      <rc t="2" v="1144"/>
    </bk>
    <bk>
      <rc t="2" v="1145"/>
    </bk>
    <bk>
      <rc t="2" v="1146"/>
    </bk>
    <bk>
      <rc t="2" v="1147"/>
    </bk>
    <bk>
      <rc t="2" v="1148"/>
    </bk>
    <bk>
      <rc t="2" v="1149"/>
    </bk>
    <bk>
      <rc t="2" v="1150"/>
    </bk>
    <bk>
      <rc t="2" v="1151"/>
    </bk>
    <bk>
      <rc t="2" v="1152"/>
    </bk>
    <bk>
      <rc t="2" v="1153"/>
    </bk>
    <bk>
      <rc t="2" v="1154"/>
    </bk>
    <bk>
      <rc t="2" v="1155"/>
    </bk>
    <bk>
      <rc t="2" v="1156"/>
    </bk>
    <bk>
      <rc t="2" v="1157"/>
    </bk>
    <bk>
      <rc t="2" v="1158"/>
    </bk>
    <bk>
      <rc t="2" v="1159"/>
    </bk>
    <bk>
      <rc t="2" v="1160"/>
    </bk>
    <bk>
      <rc t="2" v="1161"/>
    </bk>
    <bk>
      <rc t="2" v="1162"/>
    </bk>
    <bk>
      <rc t="2" v="1163"/>
    </bk>
    <bk>
      <rc t="2" v="1164"/>
    </bk>
    <bk>
      <rc t="2" v="1165"/>
    </bk>
    <bk>
      <rc t="2" v="1166"/>
    </bk>
    <bk>
      <rc t="2" v="1167"/>
    </bk>
    <bk>
      <rc t="2" v="1168"/>
    </bk>
    <bk>
      <rc t="2" v="1169"/>
    </bk>
    <bk>
      <rc t="2" v="1170"/>
    </bk>
    <bk>
      <rc t="2" v="1171"/>
    </bk>
    <bk>
      <rc t="2" v="1172"/>
    </bk>
    <bk>
      <rc t="2" v="1173"/>
    </bk>
    <bk>
      <rc t="2" v="1174"/>
    </bk>
    <bk>
      <rc t="2" v="1175"/>
    </bk>
    <bk>
      <rc t="2" v="1176"/>
    </bk>
    <bk>
      <rc t="2" v="1177"/>
    </bk>
    <bk>
      <rc t="2" v="1178"/>
    </bk>
    <bk>
      <rc t="2" v="1179"/>
    </bk>
    <bk>
      <rc t="2" v="1180"/>
    </bk>
    <bk>
      <rc t="2" v="1181"/>
    </bk>
    <bk>
      <rc t="2" v="1182"/>
    </bk>
    <bk>
      <rc t="2" v="1183"/>
    </bk>
    <bk>
      <rc t="2" v="1184"/>
    </bk>
    <bk>
      <rc t="2" v="1185"/>
    </bk>
    <bk>
      <rc t="2" v="1186"/>
    </bk>
    <bk>
      <rc t="2" v="1187"/>
    </bk>
    <bk>
      <rc t="2" v="1188"/>
    </bk>
    <bk>
      <rc t="2" v="1189"/>
    </bk>
    <bk>
      <rc t="2" v="1190"/>
    </bk>
    <bk>
      <rc t="2" v="1191"/>
    </bk>
    <bk>
      <rc t="2" v="1192"/>
    </bk>
    <bk>
      <rc t="2" v="1193"/>
    </bk>
    <bk>
      <rc t="2" v="1194"/>
    </bk>
    <bk>
      <rc t="2" v="1195"/>
    </bk>
    <bk>
      <rc t="2" v="1196"/>
    </bk>
    <bk>
      <rc t="2" v="1197"/>
    </bk>
    <bk>
      <rc t="2" v="1198"/>
    </bk>
    <bk>
      <rc t="2" v="1199"/>
    </bk>
    <bk>
      <rc t="2" v="1200"/>
    </bk>
    <bk>
      <rc t="2" v="1201"/>
    </bk>
    <bk>
      <rc t="2" v="1202"/>
    </bk>
    <bk>
      <rc t="2" v="1203"/>
    </bk>
    <bk>
      <rc t="2" v="1204"/>
    </bk>
    <bk>
      <rc t="2" v="1205"/>
    </bk>
    <bk>
      <rc t="2" v="1206"/>
    </bk>
    <bk>
      <rc t="2" v="1207"/>
    </bk>
    <bk>
      <rc t="2" v="1208"/>
    </bk>
    <bk>
      <rc t="2" v="1209"/>
    </bk>
    <bk>
      <rc t="2" v="1210"/>
    </bk>
    <bk>
      <rc t="2" v="1211"/>
    </bk>
    <bk>
      <rc t="2" v="1212"/>
    </bk>
    <bk>
      <rc t="2" v="1213"/>
    </bk>
    <bk>
      <rc t="2" v="1214"/>
    </bk>
    <bk>
      <rc t="2" v="1215"/>
    </bk>
    <bk>
      <rc t="2" v="1216"/>
    </bk>
    <bk>
      <rc t="2" v="1217"/>
    </bk>
    <bk>
      <rc t="2" v="1218"/>
    </bk>
    <bk>
      <rc t="2" v="1219"/>
    </bk>
    <bk>
      <rc t="2" v="1220"/>
    </bk>
    <bk>
      <rc t="2" v="1221"/>
    </bk>
    <bk>
      <rc t="2" v="1222"/>
    </bk>
    <bk>
      <rc t="2" v="1223"/>
    </bk>
    <bk>
      <rc t="2" v="1224"/>
    </bk>
    <bk>
      <rc t="2" v="1225"/>
    </bk>
    <bk>
      <rc t="2" v="1226"/>
    </bk>
    <bk>
      <rc t="2" v="1227"/>
    </bk>
    <bk>
      <rc t="2" v="1228"/>
    </bk>
    <bk>
      <rc t="2" v="1229"/>
    </bk>
    <bk>
      <rc t="2" v="1230"/>
    </bk>
    <bk>
      <rc t="2" v="1231"/>
    </bk>
    <bk>
      <rc t="2" v="1232"/>
    </bk>
    <bk>
      <rc t="2" v="1233"/>
    </bk>
    <bk>
      <rc t="2" v="1234"/>
    </bk>
    <bk>
      <rc t="2" v="1235"/>
    </bk>
    <bk>
      <rc t="2" v="1236"/>
    </bk>
    <bk>
      <rc t="2" v="1237"/>
    </bk>
    <bk>
      <rc t="2" v="1238"/>
    </bk>
    <bk>
      <rc t="2" v="1239"/>
    </bk>
    <bk>
      <rc t="2" v="1240"/>
    </bk>
    <bk>
      <rc t="2" v="1241"/>
    </bk>
    <bk>
      <rc t="2" v="1242"/>
    </bk>
    <bk>
      <rc t="2" v="1243"/>
    </bk>
    <bk>
      <rc t="2" v="1244"/>
    </bk>
    <bk>
      <rc t="2" v="1245"/>
    </bk>
    <bk>
      <rc t="2" v="1246"/>
    </bk>
    <bk>
      <rc t="2" v="1247"/>
    </bk>
    <bk>
      <rc t="2" v="1248"/>
    </bk>
    <bk>
      <rc t="2" v="1249"/>
    </bk>
    <bk>
      <rc t="2" v="1250"/>
    </bk>
    <bk>
      <rc t="2" v="1251"/>
    </bk>
    <bk>
      <rc t="2" v="1252"/>
    </bk>
    <bk>
      <rc t="2" v="1253"/>
    </bk>
    <bk>
      <rc t="2" v="1254"/>
    </bk>
    <bk>
      <rc t="2" v="1255"/>
    </bk>
    <bk>
      <rc t="2" v="1256"/>
    </bk>
    <bk>
      <rc t="2" v="1257"/>
    </bk>
    <bk>
      <rc t="2" v="1258"/>
    </bk>
    <bk>
      <rc t="2" v="1259"/>
    </bk>
    <bk>
      <rc t="2" v="1260"/>
    </bk>
    <bk>
      <rc t="2" v="1261"/>
    </bk>
    <bk>
      <rc t="2" v="1262"/>
    </bk>
    <bk>
      <rc t="2" v="1263"/>
    </bk>
    <bk>
      <rc t="2" v="1264"/>
    </bk>
    <bk>
      <rc t="2" v="1265"/>
    </bk>
    <bk>
      <rc t="2" v="1266"/>
    </bk>
    <bk>
      <rc t="2" v="1267"/>
    </bk>
    <bk>
      <rc t="2" v="1268"/>
    </bk>
    <bk>
      <rc t="2" v="1269"/>
    </bk>
    <bk>
      <rc t="2" v="1270"/>
    </bk>
    <bk>
      <rc t="2" v="1271"/>
    </bk>
    <bk>
      <rc t="2" v="1272"/>
    </bk>
    <bk>
      <rc t="2" v="1273"/>
    </bk>
    <bk>
      <rc t="2" v="1274"/>
    </bk>
    <bk>
      <rc t="2" v="1275"/>
    </bk>
    <bk>
      <rc t="2" v="1276"/>
    </bk>
    <bk>
      <rc t="2" v="1277"/>
    </bk>
    <bk>
      <rc t="2" v="1278"/>
    </bk>
    <bk>
      <rc t="2" v="1279"/>
    </bk>
    <bk>
      <rc t="2" v="1280"/>
    </bk>
    <bk>
      <rc t="2" v="1281"/>
    </bk>
    <bk>
      <rc t="2" v="1282"/>
    </bk>
    <bk>
      <rc t="2" v="1283"/>
    </bk>
    <bk>
      <rc t="2" v="1284"/>
    </bk>
    <bk>
      <rc t="2" v="1285"/>
    </bk>
    <bk>
      <rc t="2" v="1286"/>
    </bk>
    <bk>
      <rc t="2" v="1287"/>
    </bk>
    <bk>
      <rc t="2" v="1288"/>
    </bk>
    <bk>
      <rc t="2" v="1289"/>
    </bk>
    <bk>
      <rc t="2" v="1290"/>
    </bk>
    <bk>
      <rc t="2" v="1291"/>
    </bk>
    <bk>
      <rc t="2" v="1292"/>
    </bk>
    <bk>
      <rc t="2" v="1293"/>
    </bk>
    <bk>
      <rc t="2" v="1294"/>
    </bk>
    <bk>
      <rc t="2" v="1295"/>
    </bk>
    <bk>
      <rc t="2" v="1296"/>
    </bk>
    <bk>
      <rc t="2" v="1297"/>
    </bk>
    <bk>
      <rc t="2" v="1298"/>
    </bk>
    <bk>
      <rc t="2" v="1299"/>
    </bk>
    <bk>
      <rc t="2" v="1300"/>
    </bk>
    <bk>
      <rc t="2" v="1301"/>
    </bk>
    <bk>
      <rc t="2" v="1302"/>
    </bk>
    <bk>
      <rc t="2" v="1303"/>
    </bk>
    <bk>
      <rc t="2" v="1304"/>
    </bk>
    <bk>
      <rc t="2" v="1305"/>
    </bk>
    <bk>
      <rc t="2" v="1306"/>
    </bk>
    <bk>
      <rc t="2" v="1307"/>
    </bk>
    <bk>
      <rc t="2" v="1308"/>
    </bk>
    <bk>
      <rc t="2" v="1309"/>
    </bk>
    <bk>
      <rc t="2" v="1310"/>
    </bk>
    <bk>
      <rc t="2" v="1311"/>
    </bk>
    <bk>
      <rc t="2" v="1312"/>
    </bk>
    <bk>
      <rc t="2" v="1313"/>
    </bk>
    <bk>
      <rc t="2" v="1314"/>
    </bk>
    <bk>
      <rc t="2" v="1315"/>
    </bk>
    <bk>
      <rc t="2" v="1316"/>
    </bk>
    <bk>
      <rc t="2" v="1317"/>
    </bk>
    <bk>
      <rc t="2" v="1318"/>
    </bk>
    <bk>
      <rc t="2" v="1319"/>
    </bk>
    <bk>
      <rc t="2" v="1320"/>
    </bk>
    <bk>
      <rc t="2" v="1321"/>
    </bk>
    <bk>
      <rc t="2" v="1322"/>
    </bk>
    <bk>
      <rc t="2" v="1323"/>
    </bk>
    <bk>
      <rc t="2" v="1324"/>
    </bk>
    <bk>
      <rc t="2" v="1325"/>
    </bk>
    <bk>
      <rc t="2" v="1326"/>
    </bk>
    <bk>
      <rc t="2" v="1327"/>
    </bk>
    <bk>
      <rc t="2" v="1328"/>
    </bk>
    <bk>
      <rc t="2" v="1329"/>
    </bk>
    <bk>
      <rc t="2" v="1330"/>
    </bk>
    <bk>
      <rc t="2" v="1331"/>
    </bk>
    <bk>
      <rc t="2" v="1332"/>
    </bk>
    <bk>
      <rc t="2" v="1333"/>
    </bk>
    <bk>
      <rc t="2" v="1334"/>
    </bk>
    <bk>
      <rc t="2" v="1335"/>
    </bk>
    <bk>
      <rc t="2" v="1336"/>
    </bk>
    <bk>
      <rc t="2" v="1337"/>
    </bk>
    <bk>
      <rc t="2" v="1338"/>
    </bk>
    <bk>
      <rc t="2" v="1339"/>
    </bk>
    <bk>
      <rc t="2" v="1340"/>
    </bk>
    <bk>
      <rc t="2" v="1341"/>
    </bk>
    <bk>
      <rc t="2" v="1342"/>
    </bk>
    <bk>
      <rc t="2" v="1343"/>
    </bk>
    <bk>
      <rc t="2" v="1344"/>
    </bk>
    <bk>
      <rc t="2" v="1345"/>
    </bk>
    <bk>
      <rc t="2" v="1346"/>
    </bk>
    <bk>
      <rc t="2" v="1347"/>
    </bk>
    <bk>
      <rc t="2" v="1348"/>
    </bk>
    <bk>
      <rc t="2" v="1349"/>
    </bk>
    <bk>
      <rc t="2" v="1350"/>
    </bk>
    <bk>
      <rc t="2" v="1351"/>
    </bk>
    <bk>
      <rc t="2" v="1352"/>
    </bk>
    <bk>
      <rc t="2" v="1353"/>
    </bk>
    <bk>
      <rc t="2" v="1354"/>
    </bk>
    <bk>
      <rc t="2" v="1355"/>
    </bk>
    <bk>
      <rc t="2" v="1356"/>
    </bk>
    <bk>
      <rc t="2" v="1357"/>
    </bk>
    <bk>
      <rc t="2" v="1358"/>
    </bk>
    <bk>
      <rc t="2" v="1359"/>
    </bk>
    <bk>
      <rc t="2" v="1360"/>
    </bk>
    <bk>
      <rc t="2" v="1361"/>
    </bk>
    <bk>
      <rc t="2" v="1362"/>
    </bk>
    <bk>
      <rc t="2" v="1363"/>
    </bk>
    <bk>
      <rc t="2" v="1364"/>
    </bk>
    <bk>
      <rc t="2" v="1365"/>
    </bk>
    <bk>
      <rc t="2" v="1366"/>
    </bk>
    <bk>
      <rc t="2" v="1367"/>
    </bk>
    <bk>
      <rc t="2" v="1368"/>
    </bk>
    <bk>
      <rc t="2" v="1369"/>
    </bk>
    <bk>
      <rc t="2" v="1370"/>
    </bk>
    <bk>
      <rc t="2" v="1371"/>
    </bk>
    <bk>
      <rc t="2" v="1372"/>
    </bk>
    <bk>
      <rc t="2" v="1373"/>
    </bk>
    <bk>
      <rc t="2" v="1374"/>
    </bk>
    <bk>
      <rc t="2" v="1375"/>
    </bk>
    <bk>
      <rc t="2" v="1376"/>
    </bk>
    <bk>
      <rc t="2" v="1377"/>
    </bk>
    <bk>
      <rc t="2" v="1378"/>
    </bk>
    <bk>
      <rc t="2" v="1379"/>
    </bk>
    <bk>
      <rc t="2" v="1380"/>
    </bk>
    <bk>
      <rc t="2" v="1381"/>
    </bk>
    <bk>
      <rc t="2" v="1382"/>
    </bk>
    <bk>
      <rc t="2" v="1383"/>
    </bk>
    <bk>
      <rc t="2" v="1384"/>
    </bk>
    <bk>
      <rc t="2" v="1385"/>
    </bk>
    <bk>
      <rc t="2" v="1386"/>
    </bk>
    <bk>
      <rc t="2" v="1387"/>
    </bk>
    <bk>
      <rc t="2" v="1388"/>
    </bk>
    <bk>
      <rc t="2" v="1389"/>
    </bk>
    <bk>
      <rc t="2" v="1390"/>
    </bk>
    <bk>
      <rc t="2" v="1391"/>
    </bk>
    <bk>
      <rc t="2" v="1392"/>
    </bk>
    <bk>
      <rc t="2" v="1393"/>
    </bk>
    <bk>
      <rc t="2" v="1394"/>
    </bk>
    <bk>
      <rc t="2" v="1395"/>
    </bk>
    <bk>
      <rc t="2" v="1396"/>
    </bk>
    <bk>
      <rc t="2" v="1397"/>
    </bk>
    <bk>
      <rc t="2" v="1398"/>
    </bk>
    <bk>
      <rc t="2" v="1399"/>
    </bk>
    <bk>
      <rc t="2" v="1400"/>
    </bk>
    <bk>
      <rc t="2" v="1401"/>
    </bk>
    <bk>
      <rc t="2" v="1402"/>
    </bk>
    <bk>
      <rc t="2" v="1403"/>
    </bk>
    <bk>
      <rc t="2" v="1404"/>
    </bk>
    <bk>
      <rc t="2" v="1405"/>
    </bk>
    <bk>
      <rc t="2" v="1406"/>
    </bk>
    <bk>
      <rc t="2" v="1407"/>
    </bk>
    <bk>
      <rc t="2" v="1408"/>
    </bk>
    <bk>
      <rc t="2" v="1409"/>
    </bk>
    <bk>
      <rc t="2" v="1410"/>
    </bk>
    <bk>
      <rc t="2" v="1411"/>
    </bk>
    <bk>
      <rc t="2" v="1412"/>
    </bk>
    <bk>
      <rc t="2" v="1413"/>
    </bk>
    <bk>
      <rc t="2" v="1414"/>
    </bk>
    <bk>
      <rc t="2" v="1415"/>
    </bk>
    <bk>
      <rc t="2" v="1416"/>
    </bk>
    <bk>
      <rc t="2" v="1417"/>
    </bk>
    <bk>
      <rc t="2" v="1418"/>
    </bk>
    <bk>
      <rc t="2" v="1419"/>
    </bk>
    <bk>
      <rc t="2" v="1420"/>
    </bk>
    <bk>
      <rc t="2" v="1421"/>
    </bk>
    <bk>
      <rc t="2" v="1422"/>
    </bk>
    <bk>
      <rc t="2" v="1423"/>
    </bk>
    <bk>
      <rc t="2" v="1424"/>
    </bk>
    <bk>
      <rc t="2" v="1425"/>
    </bk>
    <bk>
      <rc t="2" v="1426"/>
    </bk>
    <bk>
      <rc t="2" v="1427"/>
    </bk>
    <bk>
      <rc t="2" v="1428"/>
    </bk>
    <bk>
      <rc t="2" v="1429"/>
    </bk>
    <bk>
      <rc t="2" v="1430"/>
    </bk>
    <bk>
      <rc t="2" v="1431"/>
    </bk>
    <bk>
      <rc t="2" v="1432"/>
    </bk>
    <bk>
      <rc t="2" v="1433"/>
    </bk>
    <bk>
      <rc t="2" v="1434"/>
    </bk>
    <bk>
      <rc t="2" v="1435"/>
    </bk>
    <bk>
      <rc t="2" v="1436"/>
    </bk>
    <bk>
      <rc t="2" v="1437"/>
    </bk>
    <bk>
      <rc t="2" v="1438"/>
    </bk>
    <bk>
      <rc t="2" v="1439"/>
    </bk>
    <bk>
      <rc t="2" v="1440"/>
    </bk>
    <bk>
      <rc t="2" v="1441"/>
    </bk>
    <bk>
      <rc t="2" v="1442"/>
    </bk>
    <bk>
      <rc t="2" v="1443"/>
    </bk>
    <bk>
      <rc t="2" v="1444"/>
    </bk>
    <bk>
      <rc t="2" v="1445"/>
    </bk>
    <bk>
      <rc t="2" v="1446"/>
    </bk>
    <bk>
      <rc t="2" v="1447"/>
    </bk>
    <bk>
      <rc t="2" v="1448"/>
    </bk>
    <bk>
      <rc t="2" v="1449"/>
    </bk>
    <bk>
      <rc t="2" v="1450"/>
    </bk>
    <bk>
      <rc t="2" v="1451"/>
    </bk>
    <bk>
      <rc t="2" v="1452"/>
    </bk>
    <bk>
      <rc t="2" v="1453"/>
    </bk>
    <bk>
      <rc t="2" v="1454"/>
    </bk>
    <bk>
      <rc t="2" v="1455"/>
    </bk>
    <bk>
      <rc t="2" v="1456"/>
    </bk>
    <bk>
      <rc t="2" v="1457"/>
    </bk>
    <bk>
      <rc t="2" v="1458"/>
    </bk>
    <bk>
      <rc t="2" v="1459"/>
    </bk>
    <bk>
      <rc t="2" v="1460"/>
    </bk>
    <bk>
      <rc t="2" v="1461"/>
    </bk>
    <bk>
      <rc t="2" v="1462"/>
    </bk>
    <bk>
      <rc t="2" v="1463"/>
    </bk>
    <bk>
      <rc t="2" v="1464"/>
    </bk>
    <bk>
      <rc t="2" v="1465"/>
    </bk>
    <bk>
      <rc t="2" v="1466"/>
    </bk>
    <bk>
      <rc t="2" v="1467"/>
    </bk>
    <bk>
      <rc t="2" v="1468"/>
    </bk>
    <bk>
      <rc t="2" v="1469"/>
    </bk>
    <bk>
      <rc t="2" v="1470"/>
    </bk>
    <bk>
      <rc t="2" v="1471"/>
    </bk>
    <bk>
      <rc t="2" v="1472"/>
    </bk>
    <bk>
      <rc t="2" v="1473"/>
    </bk>
    <bk>
      <rc t="2" v="1474"/>
    </bk>
    <bk>
      <rc t="2" v="1475"/>
    </bk>
    <bk>
      <rc t="2" v="1476"/>
    </bk>
    <bk>
      <rc t="2" v="1477"/>
    </bk>
    <bk>
      <rc t="2" v="1478"/>
    </bk>
    <bk>
      <rc t="2" v="1479"/>
    </bk>
    <bk>
      <rc t="2" v="1480"/>
    </bk>
    <bk>
      <rc t="2" v="1481"/>
    </bk>
    <bk>
      <rc t="2" v="1482"/>
    </bk>
    <bk>
      <rc t="2" v="1483"/>
    </bk>
    <bk>
      <rc t="2" v="1484"/>
    </bk>
    <bk>
      <rc t="2" v="1485"/>
    </bk>
    <bk>
      <rc t="2" v="1486"/>
    </bk>
    <bk>
      <rc t="2" v="1487"/>
    </bk>
    <bk>
      <rc t="2" v="1488"/>
    </bk>
    <bk>
      <rc t="2" v="1489"/>
    </bk>
    <bk>
      <rc t="2" v="1490"/>
    </bk>
    <bk>
      <rc t="2" v="1491"/>
    </bk>
    <bk>
      <rc t="2" v="1492"/>
    </bk>
    <bk>
      <rc t="2" v="1493"/>
    </bk>
    <bk>
      <rc t="2" v="1494"/>
    </bk>
    <bk>
      <rc t="2" v="1495"/>
    </bk>
    <bk>
      <rc t="2" v="1496"/>
    </bk>
    <bk>
      <rc t="2" v="1497"/>
    </bk>
    <bk>
      <rc t="2" v="1498"/>
    </bk>
    <bk>
      <rc t="2" v="1499"/>
    </bk>
    <bk>
      <rc t="2" v="1500"/>
    </bk>
    <bk>
      <rc t="2" v="1501"/>
    </bk>
    <bk>
      <rc t="2" v="1502"/>
    </bk>
    <bk>
      <rc t="2" v="1503"/>
    </bk>
    <bk>
      <rc t="2" v="1504"/>
    </bk>
    <bk>
      <rc t="2" v="1505"/>
    </bk>
    <bk>
      <rc t="2" v="1506"/>
    </bk>
    <bk>
      <rc t="2" v="1507"/>
    </bk>
    <bk>
      <rc t="2" v="1508"/>
    </bk>
    <bk>
      <rc t="2" v="1509"/>
    </bk>
    <bk>
      <rc t="2" v="1510"/>
    </bk>
    <bk>
      <rc t="2" v="1511"/>
    </bk>
    <bk>
      <rc t="2" v="1512"/>
    </bk>
    <bk>
      <rc t="2" v="1513"/>
    </bk>
    <bk>
      <rc t="2" v="1514"/>
    </bk>
    <bk>
      <rc t="2" v="1515"/>
    </bk>
    <bk>
      <rc t="2" v="1516"/>
    </bk>
    <bk>
      <rc t="2" v="1517"/>
    </bk>
    <bk>
      <rc t="2" v="1518"/>
    </bk>
    <bk>
      <rc t="2" v="1519"/>
    </bk>
    <bk>
      <rc t="2" v="1520"/>
    </bk>
    <bk>
      <rc t="2" v="1521"/>
    </bk>
    <bk>
      <rc t="2" v="1522"/>
    </bk>
    <bk>
      <rc t="2" v="1523"/>
    </bk>
    <bk>
      <rc t="2" v="1524"/>
    </bk>
    <bk>
      <rc t="2" v="1525"/>
    </bk>
    <bk>
      <rc t="2" v="1526"/>
    </bk>
    <bk>
      <rc t="2" v="1527"/>
    </bk>
    <bk>
      <rc t="2" v="1528"/>
    </bk>
    <bk>
      <rc t="2" v="1529"/>
    </bk>
    <bk>
      <rc t="2" v="1530"/>
    </bk>
    <bk>
      <rc t="2" v="1531"/>
    </bk>
    <bk>
      <rc t="2" v="1532"/>
    </bk>
    <bk>
      <rc t="2" v="1533"/>
    </bk>
    <bk>
      <rc t="2" v="1534"/>
    </bk>
    <bk>
      <rc t="2" v="1535"/>
    </bk>
    <bk>
      <rc t="2" v="1536"/>
    </bk>
    <bk>
      <rc t="2" v="1537"/>
    </bk>
    <bk>
      <rc t="2" v="1538"/>
    </bk>
    <bk>
      <rc t="2" v="1539"/>
    </bk>
    <bk>
      <rc t="2" v="1540"/>
    </bk>
    <bk>
      <rc t="2" v="1541"/>
    </bk>
    <bk>
      <rc t="2" v="1542"/>
    </bk>
    <bk>
      <rc t="2" v="1543"/>
    </bk>
    <bk>
      <rc t="2" v="1544"/>
    </bk>
    <bk>
      <rc t="2" v="1545"/>
    </bk>
    <bk>
      <rc t="2" v="1546"/>
    </bk>
    <bk>
      <rc t="2" v="1547"/>
    </bk>
    <bk>
      <rc t="2" v="1548"/>
    </bk>
    <bk>
      <rc t="2" v="1549"/>
    </bk>
    <bk>
      <rc t="2" v="1550"/>
    </bk>
    <bk>
      <rc t="2" v="1551"/>
    </bk>
    <bk>
      <rc t="2" v="1552"/>
    </bk>
    <bk>
      <rc t="2" v="1553"/>
    </bk>
    <bk>
      <rc t="2" v="1554"/>
    </bk>
    <bk>
      <rc t="2" v="1555"/>
    </bk>
    <bk>
      <rc t="2" v="1556"/>
    </bk>
    <bk>
      <rc t="2" v="1557"/>
    </bk>
    <bk>
      <rc t="2" v="1558"/>
    </bk>
    <bk>
      <rc t="2" v="1559"/>
    </bk>
    <bk>
      <rc t="2" v="1560"/>
    </bk>
    <bk>
      <rc t="2" v="1561"/>
    </bk>
    <bk>
      <rc t="2" v="1562"/>
    </bk>
    <bk>
      <rc t="2" v="1563"/>
    </bk>
    <bk>
      <rc t="2" v="1564"/>
    </bk>
    <bk>
      <rc t="2" v="1565"/>
    </bk>
    <bk>
      <rc t="2" v="1566"/>
    </bk>
    <bk>
      <rc t="2" v="1567"/>
    </bk>
    <bk>
      <rc t="2" v="1568"/>
    </bk>
    <bk>
      <rc t="2" v="1569"/>
    </bk>
    <bk>
      <rc t="2" v="1570"/>
    </bk>
    <bk>
      <rc t="2" v="1571"/>
    </bk>
    <bk>
      <rc t="2" v="1572"/>
    </bk>
    <bk>
      <rc t="2" v="1573"/>
    </bk>
    <bk>
      <rc t="2" v="1574"/>
    </bk>
    <bk>
      <rc t="2" v="1575"/>
    </bk>
    <bk>
      <rc t="2" v="1576"/>
    </bk>
    <bk>
      <rc t="2" v="1577"/>
    </bk>
    <bk>
      <rc t="2" v="1578"/>
    </bk>
    <bk>
      <rc t="2" v="1579"/>
    </bk>
    <bk>
      <rc t="2" v="1580"/>
    </bk>
    <bk>
      <rc t="2" v="1581"/>
    </bk>
    <bk>
      <rc t="2" v="1582"/>
    </bk>
    <bk>
      <rc t="2" v="1583"/>
    </bk>
    <bk>
      <rc t="2" v="1584"/>
    </bk>
    <bk>
      <rc t="2" v="1585"/>
    </bk>
    <bk>
      <rc t="2" v="1586"/>
    </bk>
    <bk>
      <rc t="2" v="1587"/>
    </bk>
    <bk>
      <rc t="2" v="1588"/>
    </bk>
    <bk>
      <rc t="2" v="1589"/>
    </bk>
    <bk>
      <rc t="2" v="1590"/>
    </bk>
    <bk>
      <rc t="2" v="1591"/>
    </bk>
    <bk>
      <rc t="2" v="1592"/>
    </bk>
    <bk>
      <rc t="2" v="1593"/>
    </bk>
    <bk>
      <rc t="2" v="1594"/>
    </bk>
    <bk>
      <rc t="2" v="1595"/>
    </bk>
    <bk>
      <rc t="2" v="1596"/>
    </bk>
    <bk>
      <rc t="2" v="1597"/>
    </bk>
    <bk>
      <rc t="2" v="1598"/>
    </bk>
    <bk>
      <rc t="2" v="1599"/>
    </bk>
    <bk>
      <rc t="2" v="1600"/>
    </bk>
    <bk>
      <rc t="2" v="1601"/>
    </bk>
    <bk>
      <rc t="2" v="1602"/>
    </bk>
    <bk>
      <rc t="2" v="1603"/>
    </bk>
    <bk>
      <rc t="2" v="1604"/>
    </bk>
    <bk>
      <rc t="2" v="1605"/>
    </bk>
    <bk>
      <rc t="2" v="1606"/>
    </bk>
    <bk>
      <rc t="2" v="1607"/>
    </bk>
    <bk>
      <rc t="2" v="1608"/>
    </bk>
    <bk>
      <rc t="2" v="1609"/>
    </bk>
    <bk>
      <rc t="2" v="1610"/>
    </bk>
    <bk>
      <rc t="2" v="1611"/>
    </bk>
    <bk>
      <rc t="2" v="1612"/>
    </bk>
    <bk>
      <rc t="2" v="1613"/>
    </bk>
    <bk>
      <rc t="2" v="1614"/>
    </bk>
    <bk>
      <rc t="2" v="1615"/>
    </bk>
    <bk>
      <rc t="2" v="1616"/>
    </bk>
    <bk>
      <rc t="2" v="1617"/>
    </bk>
    <bk>
      <rc t="2" v="1618"/>
    </bk>
    <bk>
      <rc t="2" v="1619"/>
    </bk>
    <bk>
      <rc t="2" v="1620"/>
    </bk>
    <bk>
      <rc t="2" v="1621"/>
    </bk>
    <bk>
      <rc t="2" v="1622"/>
    </bk>
    <bk>
      <rc t="2" v="1623"/>
    </bk>
    <bk>
      <rc t="2" v="1624"/>
    </bk>
    <bk>
      <rc t="2" v="1625"/>
    </bk>
    <bk>
      <rc t="2" v="1626"/>
    </bk>
    <bk>
      <rc t="2" v="1627"/>
    </bk>
    <bk>
      <rc t="2" v="1628"/>
    </bk>
    <bk>
      <rc t="2" v="1629"/>
    </bk>
    <bk>
      <rc t="2" v="1630"/>
    </bk>
    <bk>
      <rc t="2" v="1631"/>
    </bk>
    <bk>
      <rc t="2" v="1632"/>
    </bk>
    <bk>
      <rc t="2" v="1633"/>
    </bk>
    <bk>
      <rc t="2" v="1634"/>
    </bk>
    <bk>
      <rc t="2" v="1635"/>
    </bk>
    <bk>
      <rc t="2" v="1636"/>
    </bk>
    <bk>
      <rc t="2" v="1637"/>
    </bk>
    <bk>
      <rc t="2" v="1638"/>
    </bk>
    <bk>
      <rc t="2" v="1639"/>
    </bk>
    <bk>
      <rc t="2" v="1640"/>
    </bk>
    <bk>
      <rc t="2" v="1641"/>
    </bk>
    <bk>
      <rc t="2" v="1642"/>
    </bk>
    <bk>
      <rc t="2" v="1643"/>
    </bk>
    <bk>
      <rc t="2" v="1644"/>
    </bk>
    <bk>
      <rc t="2" v="1645"/>
    </bk>
    <bk>
      <rc t="2" v="1646"/>
    </bk>
    <bk>
      <rc t="2" v="1647"/>
    </bk>
    <bk>
      <rc t="2" v="1648"/>
    </bk>
    <bk>
      <rc t="2" v="1649"/>
    </bk>
    <bk>
      <rc t="2" v="1650"/>
    </bk>
    <bk>
      <rc t="2" v="1651"/>
    </bk>
    <bk>
      <rc t="2" v="1652"/>
    </bk>
    <bk>
      <rc t="2" v="1653"/>
    </bk>
    <bk>
      <rc t="2" v="1654"/>
    </bk>
    <bk>
      <rc t="2" v="1655"/>
    </bk>
    <bk>
      <rc t="2" v="1656"/>
    </bk>
    <bk>
      <rc t="2" v="1657"/>
    </bk>
    <bk>
      <rc t="2" v="1658"/>
    </bk>
    <bk>
      <rc t="2" v="1659"/>
    </bk>
    <bk>
      <rc t="2" v="1660"/>
    </bk>
    <bk>
      <rc t="2" v="1661"/>
    </bk>
    <bk>
      <rc t="2" v="1662"/>
    </bk>
    <bk>
      <rc t="2" v="1663"/>
    </bk>
    <bk>
      <rc t="2" v="1664"/>
    </bk>
    <bk>
      <rc t="2" v="1665"/>
    </bk>
    <bk>
      <rc t="2" v="1666"/>
    </bk>
    <bk>
      <rc t="2" v="1667"/>
    </bk>
    <bk>
      <rc t="2" v="1668"/>
    </bk>
    <bk>
      <rc t="2" v="1669"/>
    </bk>
    <bk>
      <rc t="2" v="1670"/>
    </bk>
    <bk>
      <rc t="2" v="1671"/>
    </bk>
    <bk>
      <rc t="2" v="1672"/>
    </bk>
    <bk>
      <rc t="2" v="1673"/>
    </bk>
    <bk>
      <rc t="2" v="1674"/>
    </bk>
    <bk>
      <rc t="2" v="1675"/>
    </bk>
    <bk>
      <rc t="2" v="1676"/>
    </bk>
    <bk>
      <rc t="2" v="1677"/>
    </bk>
    <bk>
      <rc t="2" v="1678"/>
    </bk>
    <bk>
      <rc t="2" v="1679"/>
    </bk>
    <bk>
      <rc t="2" v="1680"/>
    </bk>
    <bk>
      <rc t="2" v="1681"/>
    </bk>
    <bk>
      <rc t="2" v="1682"/>
    </bk>
    <bk>
      <rc t="2" v="1683"/>
    </bk>
    <bk>
      <rc t="2" v="1684"/>
    </bk>
    <bk>
      <rc t="2" v="1685"/>
    </bk>
    <bk>
      <rc t="2" v="1686"/>
    </bk>
    <bk>
      <rc t="2" v="1687"/>
    </bk>
    <bk>
      <rc t="2" v="1688"/>
    </bk>
    <bk>
      <rc t="2" v="1689"/>
    </bk>
    <bk>
      <rc t="2" v="1690"/>
    </bk>
    <bk>
      <rc t="2" v="1691"/>
    </bk>
    <bk>
      <rc t="2" v="1692"/>
    </bk>
    <bk>
      <rc t="2" v="1693"/>
    </bk>
    <bk>
      <rc t="2" v="1694"/>
    </bk>
    <bk>
      <rc t="2" v="1695"/>
    </bk>
    <bk>
      <rc t="2" v="1696"/>
    </bk>
    <bk>
      <rc t="2" v="1697"/>
    </bk>
    <bk>
      <rc t="2" v="1698"/>
    </bk>
    <bk>
      <rc t="2" v="1699"/>
    </bk>
    <bk>
      <rc t="2" v="1700"/>
    </bk>
    <bk>
      <rc t="2" v="1701"/>
    </bk>
    <bk>
      <rc t="2" v="1702"/>
    </bk>
    <bk>
      <rc t="2" v="1703"/>
    </bk>
    <bk>
      <rc t="2" v="1704"/>
    </bk>
    <bk>
      <rc t="2" v="1705"/>
    </bk>
    <bk>
      <rc t="2" v="1706"/>
    </bk>
    <bk>
      <rc t="2" v="1707"/>
    </bk>
    <bk>
      <rc t="2" v="1708"/>
    </bk>
    <bk>
      <rc t="2" v="1709"/>
    </bk>
    <bk>
      <rc t="2" v="1710"/>
    </bk>
    <bk>
      <rc t="2" v="1711"/>
    </bk>
    <bk>
      <rc t="2" v="1712"/>
    </bk>
    <bk>
      <rc t="2" v="1713"/>
    </bk>
    <bk>
      <rc t="2" v="1714"/>
    </bk>
    <bk>
      <rc t="2" v="1715"/>
    </bk>
    <bk>
      <rc t="2" v="1716"/>
    </bk>
    <bk>
      <rc t="2" v="1717"/>
    </bk>
    <bk>
      <rc t="2" v="1718"/>
    </bk>
    <bk>
      <rc t="2" v="1719"/>
    </bk>
    <bk>
      <rc t="2" v="1720"/>
    </bk>
    <bk>
      <rc t="2" v="1721"/>
    </bk>
    <bk>
      <rc t="2" v="1722"/>
    </bk>
    <bk>
      <rc t="2" v="1723"/>
    </bk>
    <bk>
      <rc t="2" v="1724"/>
    </bk>
    <bk>
      <rc t="2" v="1725"/>
    </bk>
    <bk>
      <rc t="2" v="1726"/>
    </bk>
    <bk>
      <rc t="2" v="1727"/>
    </bk>
    <bk>
      <rc t="2" v="1728"/>
    </bk>
    <bk>
      <rc t="2" v="1729"/>
    </bk>
    <bk>
      <rc t="2" v="1730"/>
    </bk>
    <bk>
      <rc t="2" v="1731"/>
    </bk>
    <bk>
      <rc t="2" v="1732"/>
    </bk>
    <bk>
      <rc t="2" v="1733"/>
    </bk>
    <bk>
      <rc t="2" v="1734"/>
    </bk>
    <bk>
      <rc t="2" v="1735"/>
    </bk>
    <bk>
      <rc t="2" v="1736"/>
    </bk>
    <bk>
      <rc t="2" v="1737"/>
    </bk>
    <bk>
      <rc t="2" v="1738"/>
    </bk>
    <bk>
      <rc t="2" v="1739"/>
    </bk>
    <bk>
      <rc t="2" v="1740"/>
    </bk>
    <bk>
      <rc t="2" v="1741"/>
    </bk>
    <bk>
      <rc t="2" v="1742"/>
    </bk>
    <bk>
      <rc t="2" v="1743"/>
    </bk>
    <bk>
      <rc t="2" v="1744"/>
    </bk>
    <bk>
      <rc t="2" v="1745"/>
    </bk>
    <bk>
      <rc t="2" v="1746"/>
    </bk>
    <bk>
      <rc t="2" v="1747"/>
    </bk>
    <bk>
      <rc t="2" v="1748"/>
    </bk>
    <bk>
      <rc t="2" v="1749"/>
    </bk>
    <bk>
      <rc t="2" v="1750"/>
    </bk>
    <bk>
      <rc t="2" v="1751"/>
    </bk>
    <bk>
      <rc t="2" v="1752"/>
    </bk>
    <bk>
      <rc t="2" v="1753"/>
    </bk>
    <bk>
      <rc t="2" v="1754"/>
    </bk>
    <bk>
      <rc t="2" v="1755"/>
    </bk>
    <bk>
      <rc t="2" v="1756"/>
    </bk>
    <bk>
      <rc t="2" v="1757"/>
    </bk>
    <bk>
      <rc t="2" v="1758"/>
    </bk>
    <bk>
      <rc t="2" v="1759"/>
    </bk>
    <bk>
      <rc t="2" v="1760"/>
    </bk>
    <bk>
      <rc t="2" v="1761"/>
    </bk>
    <bk>
      <rc t="2" v="1762"/>
    </bk>
    <bk>
      <rc t="2" v="1763"/>
    </bk>
    <bk>
      <rc t="2" v="1764"/>
    </bk>
    <bk>
      <rc t="2" v="1765"/>
    </bk>
    <bk>
      <rc t="2" v="1766"/>
    </bk>
    <bk>
      <rc t="2" v="1767"/>
    </bk>
    <bk>
      <rc t="2" v="1768"/>
    </bk>
    <bk>
      <rc t="2" v="1769"/>
    </bk>
    <bk>
      <rc t="2" v="1770"/>
    </bk>
    <bk>
      <rc t="2" v="1771"/>
    </bk>
    <bk>
      <rc t="2" v="1772"/>
    </bk>
    <bk>
      <rc t="2" v="1773"/>
    </bk>
    <bk>
      <rc t="2" v="1774"/>
    </bk>
    <bk>
      <rc t="2" v="1775"/>
    </bk>
    <bk>
      <rc t="2" v="1776"/>
    </bk>
    <bk>
      <rc t="2" v="1777"/>
    </bk>
    <bk>
      <rc t="2" v="1778"/>
    </bk>
    <bk>
      <rc t="2" v="1779"/>
    </bk>
    <bk>
      <rc t="2" v="1780"/>
    </bk>
    <bk>
      <rc t="2" v="1781"/>
    </bk>
    <bk>
      <rc t="2" v="1782"/>
    </bk>
    <bk>
      <rc t="2" v="1783"/>
    </bk>
    <bk>
      <rc t="2" v="1784"/>
    </bk>
    <bk>
      <rc t="2" v="1785"/>
    </bk>
    <bk>
      <rc t="2" v="1786"/>
    </bk>
    <bk>
      <rc t="2" v="1787"/>
    </bk>
    <bk>
      <rc t="2" v="1788"/>
    </bk>
    <bk>
      <rc t="2" v="1789"/>
    </bk>
    <bk>
      <rc t="2" v="1790"/>
    </bk>
    <bk>
      <rc t="2" v="1791"/>
    </bk>
    <bk>
      <rc t="2" v="1792"/>
    </bk>
    <bk>
      <rc t="2" v="1793"/>
    </bk>
    <bk>
      <rc t="2" v="1794"/>
    </bk>
    <bk>
      <rc t="2" v="1795"/>
    </bk>
    <bk>
      <rc t="2" v="1796"/>
    </bk>
    <bk>
      <rc t="2" v="1797"/>
    </bk>
    <bk>
      <rc t="2" v="1798"/>
    </bk>
    <bk>
      <rc t="2" v="1799"/>
    </bk>
    <bk>
      <rc t="2" v="1800"/>
    </bk>
    <bk>
      <rc t="2" v="1801"/>
    </bk>
    <bk>
      <rc t="2" v="1802"/>
    </bk>
    <bk>
      <rc t="2" v="1803"/>
    </bk>
    <bk>
      <rc t="2" v="1804"/>
    </bk>
    <bk>
      <rc t="2" v="1805"/>
    </bk>
    <bk>
      <rc t="2" v="1806"/>
    </bk>
    <bk>
      <rc t="2" v="1807"/>
    </bk>
    <bk>
      <rc t="2" v="1808"/>
    </bk>
    <bk>
      <rc t="2" v="1809"/>
    </bk>
    <bk>
      <rc t="2" v="1810"/>
    </bk>
    <bk>
      <rc t="2" v="1811"/>
    </bk>
    <bk>
      <rc t="2" v="1812"/>
    </bk>
    <bk>
      <rc t="2" v="1813"/>
    </bk>
    <bk>
      <rc t="2" v="1814"/>
    </bk>
    <bk>
      <rc t="2" v="1815"/>
    </bk>
    <bk>
      <rc t="2" v="1816"/>
    </bk>
    <bk>
      <rc t="2" v="1817"/>
    </bk>
    <bk>
      <rc t="2" v="1818"/>
    </bk>
    <bk>
      <rc t="2" v="1819"/>
    </bk>
    <bk>
      <rc t="2" v="1820"/>
    </bk>
    <bk>
      <rc t="2" v="1821"/>
    </bk>
    <bk>
      <rc t="2" v="1822"/>
    </bk>
    <bk>
      <rc t="2" v="1823"/>
    </bk>
    <bk>
      <rc t="2" v="1824"/>
    </bk>
    <bk>
      <rc t="2" v="1825"/>
    </bk>
    <bk>
      <rc t="2" v="1826"/>
    </bk>
    <bk>
      <rc t="2" v="1827"/>
    </bk>
    <bk>
      <rc t="2" v="1828"/>
    </bk>
    <bk>
      <rc t="2" v="1829"/>
    </bk>
    <bk>
      <rc t="2" v="1830"/>
    </bk>
    <bk>
      <rc t="2" v="1831"/>
    </bk>
    <bk>
      <rc t="2" v="1832"/>
    </bk>
    <bk>
      <rc t="2" v="1833"/>
    </bk>
    <bk>
      <rc t="2" v="1834"/>
    </bk>
    <bk>
      <rc t="2" v="1835"/>
    </bk>
    <bk>
      <rc t="2" v="1836"/>
    </bk>
    <bk>
      <rc t="2" v="1837"/>
    </bk>
    <bk>
      <rc t="2" v="1838"/>
    </bk>
    <bk>
      <rc t="2" v="1839"/>
    </bk>
    <bk>
      <rc t="2" v="1840"/>
    </bk>
    <bk>
      <rc t="2" v="1841"/>
    </bk>
    <bk>
      <rc t="2" v="1842"/>
    </bk>
    <bk>
      <rc t="2" v="1843"/>
    </bk>
    <bk>
      <rc t="2" v="1844"/>
    </bk>
    <bk>
      <rc t="2" v="1845"/>
    </bk>
    <bk>
      <rc t="2" v="1846"/>
    </bk>
    <bk>
      <rc t="2" v="1847"/>
    </bk>
    <bk>
      <rc t="2" v="1848"/>
    </bk>
    <bk>
      <rc t="2" v="1849"/>
    </bk>
    <bk>
      <rc t="2" v="1850"/>
    </bk>
    <bk>
      <rc t="2" v="1851"/>
    </bk>
    <bk>
      <rc t="2" v="1852"/>
    </bk>
    <bk>
      <rc t="2" v="1853"/>
    </bk>
    <bk>
      <rc t="2" v="1854"/>
    </bk>
    <bk>
      <rc t="2" v="1855"/>
    </bk>
    <bk>
      <rc t="2" v="1856"/>
    </bk>
    <bk>
      <rc t="2" v="1857"/>
    </bk>
    <bk>
      <rc t="2" v="1858"/>
    </bk>
    <bk>
      <rc t="2" v="1859"/>
    </bk>
    <bk>
      <rc t="2" v="1860"/>
    </bk>
    <bk>
      <rc t="2" v="1861"/>
    </bk>
    <bk>
      <rc t="2" v="1862"/>
    </bk>
    <bk>
      <rc t="2" v="1863"/>
    </bk>
    <bk>
      <rc t="2" v="1864"/>
    </bk>
    <bk>
      <rc t="2" v="1865"/>
    </bk>
    <bk>
      <rc t="2" v="1866"/>
    </bk>
    <bk>
      <rc t="2" v="1867"/>
    </bk>
    <bk>
      <rc t="2" v="1868"/>
    </bk>
    <bk>
      <rc t="2" v="1869"/>
    </bk>
    <bk>
      <rc t="2" v="1870"/>
    </bk>
    <bk>
      <rc t="2" v="1871"/>
    </bk>
    <bk>
      <rc t="2" v="1872"/>
    </bk>
    <bk>
      <rc t="2" v="1873"/>
    </bk>
    <bk>
      <rc t="2" v="1874"/>
    </bk>
    <bk>
      <rc t="2" v="1875"/>
    </bk>
    <bk>
      <rc t="2" v="1876"/>
    </bk>
    <bk>
      <rc t="2" v="1877"/>
    </bk>
    <bk>
      <rc t="2" v="1878"/>
    </bk>
    <bk>
      <rc t="2" v="1879"/>
    </bk>
    <bk>
      <rc t="2" v="1880"/>
    </bk>
    <bk>
      <rc t="2" v="1881"/>
    </bk>
    <bk>
      <rc t="2" v="1882"/>
    </bk>
    <bk>
      <rc t="2" v="1883"/>
    </bk>
    <bk>
      <rc t="2" v="1884"/>
    </bk>
    <bk>
      <rc t="2" v="1885"/>
    </bk>
    <bk>
      <rc t="2" v="1886"/>
    </bk>
    <bk>
      <rc t="2" v="1887"/>
    </bk>
    <bk>
      <rc t="2" v="1888"/>
    </bk>
    <bk>
      <rc t="2" v="1889"/>
    </bk>
    <bk>
      <rc t="2" v="1890"/>
    </bk>
    <bk>
      <rc t="2" v="1891"/>
    </bk>
    <bk>
      <rc t="2" v="1892"/>
    </bk>
    <bk>
      <rc t="2" v="1893"/>
    </bk>
    <bk>
      <rc t="2" v="1894"/>
    </bk>
    <bk>
      <rc t="2" v="1895"/>
    </bk>
    <bk>
      <rc t="2" v="1896"/>
    </bk>
    <bk>
      <rc t="2" v="1897"/>
    </bk>
    <bk>
      <rc t="2" v="1898"/>
    </bk>
    <bk>
      <rc t="2" v="1899"/>
    </bk>
    <bk>
      <rc t="2" v="1900"/>
    </bk>
    <bk>
      <rc t="2" v="1901"/>
    </bk>
    <bk>
      <rc t="2" v="1902"/>
    </bk>
    <bk>
      <rc t="2" v="1903"/>
    </bk>
    <bk>
      <rc t="2" v="1904"/>
    </bk>
    <bk>
      <rc t="2" v="1905"/>
    </bk>
    <bk>
      <rc t="2" v="1906"/>
    </bk>
    <bk>
      <rc t="2" v="1907"/>
    </bk>
    <bk>
      <rc t="2" v="1908"/>
    </bk>
    <bk>
      <rc t="2" v="1909"/>
    </bk>
    <bk>
      <rc t="2" v="1910"/>
    </bk>
    <bk>
      <rc t="2" v="1911"/>
    </bk>
    <bk>
      <rc t="2" v="1912"/>
    </bk>
    <bk>
      <rc t="2" v="1913"/>
    </bk>
    <bk>
      <rc t="2" v="1914"/>
    </bk>
    <bk>
      <rc t="2" v="1915"/>
    </bk>
    <bk>
      <rc t="2" v="1916"/>
    </bk>
    <bk>
      <rc t="2" v="1917"/>
    </bk>
    <bk>
      <rc t="2" v="1918"/>
    </bk>
    <bk>
      <rc t="2" v="1919"/>
    </bk>
    <bk>
      <rc t="2" v="1920"/>
    </bk>
    <bk>
      <rc t="2" v="1921"/>
    </bk>
    <bk>
      <rc t="2" v="1922"/>
    </bk>
    <bk>
      <rc t="2" v="1923"/>
    </bk>
    <bk>
      <rc t="2" v="1924"/>
    </bk>
    <bk>
      <rc t="2" v="1925"/>
    </bk>
    <bk>
      <rc t="2" v="1926"/>
    </bk>
    <bk>
      <rc t="2" v="1927"/>
    </bk>
    <bk>
      <rc t="2" v="1928"/>
    </bk>
    <bk>
      <rc t="2" v="1929"/>
    </bk>
    <bk>
      <rc t="2" v="1930"/>
    </bk>
    <bk>
      <rc t="2" v="1931"/>
    </bk>
    <bk>
      <rc t="2" v="1932"/>
    </bk>
    <bk>
      <rc t="2" v="1933"/>
    </bk>
    <bk>
      <rc t="2" v="1934"/>
    </bk>
    <bk>
      <rc t="2" v="1935"/>
    </bk>
    <bk>
      <rc t="2" v="1936"/>
    </bk>
    <bk>
      <rc t="2" v="1937"/>
    </bk>
    <bk>
      <rc t="2" v="1938"/>
    </bk>
    <bk>
      <rc t="2" v="1939"/>
    </bk>
    <bk>
      <rc t="2" v="1940"/>
    </bk>
    <bk>
      <rc t="2" v="1941"/>
    </bk>
    <bk>
      <rc t="2" v="1942"/>
    </bk>
    <bk>
      <rc t="2" v="1943"/>
    </bk>
    <bk>
      <rc t="2" v="1944"/>
    </bk>
    <bk>
      <rc t="2" v="1945"/>
    </bk>
    <bk>
      <rc t="2" v="1946"/>
    </bk>
    <bk>
      <rc t="2" v="1947"/>
    </bk>
    <bk>
      <rc t="2" v="1948"/>
    </bk>
    <bk>
      <rc t="2" v="1949"/>
    </bk>
    <bk>
      <rc t="2" v="1950"/>
    </bk>
    <bk>
      <rc t="2" v="1951"/>
    </bk>
    <bk>
      <rc t="2" v="1952"/>
    </bk>
    <bk>
      <rc t="2" v="1953"/>
    </bk>
    <bk>
      <rc t="2" v="1954"/>
    </bk>
    <bk>
      <rc t="2" v="1955"/>
    </bk>
    <bk>
      <rc t="2" v="1956"/>
    </bk>
    <bk>
      <rc t="2" v="1957"/>
    </bk>
    <bk>
      <rc t="2" v="1958"/>
    </bk>
    <bk>
      <rc t="2" v="1959"/>
    </bk>
    <bk>
      <rc t="2" v="1960"/>
    </bk>
    <bk>
      <rc t="2" v="1961"/>
    </bk>
    <bk>
      <rc t="2" v="1962"/>
    </bk>
    <bk>
      <rc t="2" v="1963"/>
    </bk>
    <bk>
      <rc t="2" v="1964"/>
    </bk>
    <bk>
      <rc t="2" v="1965"/>
    </bk>
    <bk>
      <rc t="2" v="1966"/>
    </bk>
    <bk>
      <rc t="2" v="1967"/>
    </bk>
    <bk>
      <rc t="2" v="1968"/>
    </bk>
    <bk>
      <rc t="2" v="1969"/>
    </bk>
    <bk>
      <rc t="2" v="1970"/>
    </bk>
    <bk>
      <rc t="2" v="1971"/>
    </bk>
    <bk>
      <rc t="2" v="1972"/>
    </bk>
    <bk>
      <rc t="2" v="1973"/>
    </bk>
    <bk>
      <rc t="2" v="1974"/>
    </bk>
    <bk>
      <rc t="2" v="1975"/>
    </bk>
    <bk>
      <rc t="2" v="1976"/>
    </bk>
    <bk>
      <rc t="2" v="1977"/>
    </bk>
    <bk>
      <rc t="2" v="1978"/>
    </bk>
    <bk>
      <rc t="2" v="1979"/>
    </bk>
    <bk>
      <rc t="2" v="1980"/>
    </bk>
    <bk>
      <rc t="2" v="1981"/>
    </bk>
    <bk>
      <rc t="2" v="1982"/>
    </bk>
    <bk>
      <rc t="2" v="1983"/>
    </bk>
    <bk>
      <rc t="2" v="1984"/>
    </bk>
    <bk>
      <rc t="2" v="1985"/>
    </bk>
    <bk>
      <rc t="2" v="1986"/>
    </bk>
    <bk>
      <rc t="2" v="1987"/>
    </bk>
    <bk>
      <rc t="2" v="1988"/>
    </bk>
    <bk>
      <rc t="2" v="1989"/>
    </bk>
    <bk>
      <rc t="2" v="1990"/>
    </bk>
    <bk>
      <rc t="2" v="1991"/>
    </bk>
    <bk>
      <rc t="2" v="1992"/>
    </bk>
    <bk>
      <rc t="2" v="1993"/>
    </bk>
    <bk>
      <rc t="2" v="1994"/>
    </bk>
    <bk>
      <rc t="2" v="1995"/>
    </bk>
    <bk>
      <rc t="2" v="1996"/>
    </bk>
    <bk>
      <rc t="2" v="1997"/>
    </bk>
    <bk>
      <rc t="2" v="1998"/>
    </bk>
    <bk>
      <rc t="2" v="1999"/>
    </bk>
    <bk>
      <rc t="2" v="2000"/>
    </bk>
    <bk>
      <rc t="2" v="2001"/>
    </bk>
    <bk>
      <rc t="2" v="2002"/>
    </bk>
    <bk>
      <rc t="2" v="2003"/>
    </bk>
    <bk>
      <rc t="2" v="2004"/>
    </bk>
    <bk>
      <rc t="2" v="2005"/>
    </bk>
    <bk>
      <rc t="2" v="2006"/>
    </bk>
    <bk>
      <rc t="2" v="2007"/>
    </bk>
    <bk>
      <rc t="2" v="2008"/>
    </bk>
    <bk>
      <rc t="2" v="2009"/>
    </bk>
    <bk>
      <rc t="2" v="2010"/>
    </bk>
    <bk>
      <rc t="2" v="2011"/>
    </bk>
    <bk>
      <rc t="2" v="2012"/>
    </bk>
    <bk>
      <rc t="2" v="2013"/>
    </bk>
    <bk>
      <rc t="2" v="2014"/>
    </bk>
    <bk>
      <rc t="2" v="2015"/>
    </bk>
    <bk>
      <rc t="2" v="2016"/>
    </bk>
    <bk>
      <rc t="2" v="2017"/>
    </bk>
    <bk>
      <rc t="2" v="2018"/>
    </bk>
    <bk>
      <rc t="2" v="2019"/>
    </bk>
    <bk>
      <rc t="2" v="2020"/>
    </bk>
    <bk>
      <rc t="2" v="2021"/>
    </bk>
    <bk>
      <rc t="2" v="2022"/>
    </bk>
    <bk>
      <rc t="2" v="2023"/>
    </bk>
    <bk>
      <rc t="2" v="2024"/>
    </bk>
    <bk>
      <rc t="2" v="2025"/>
    </bk>
    <bk>
      <rc t="2" v="2026"/>
    </bk>
    <bk>
      <rc t="2" v="2027"/>
    </bk>
    <bk>
      <rc t="2" v="2028"/>
    </bk>
    <bk>
      <rc t="2" v="2029"/>
    </bk>
    <bk>
      <rc t="2" v="2030"/>
    </bk>
    <bk>
      <rc t="2" v="2031"/>
    </bk>
    <bk>
      <rc t="2" v="2032"/>
    </bk>
    <bk>
      <rc t="2" v="2033"/>
    </bk>
    <bk>
      <rc t="2" v="2034"/>
    </bk>
    <bk>
      <rc t="2" v="2035"/>
    </bk>
    <bk>
      <rc t="2" v="2036"/>
    </bk>
    <bk>
      <rc t="2" v="2037"/>
    </bk>
    <bk>
      <rc t="2" v="2038"/>
    </bk>
    <bk>
      <rc t="2" v="2039"/>
    </bk>
    <bk>
      <rc t="2" v="2040"/>
    </bk>
    <bk>
      <rc t="2" v="2041"/>
    </bk>
    <bk>
      <rc t="2" v="2042"/>
    </bk>
    <bk>
      <rc t="2" v="2043"/>
    </bk>
    <bk>
      <rc t="2" v="2044"/>
    </bk>
    <bk>
      <rc t="2" v="2045"/>
    </bk>
    <bk>
      <rc t="2" v="2046"/>
    </bk>
    <bk>
      <rc t="2" v="2047"/>
    </bk>
    <bk>
      <rc t="2" v="2048"/>
    </bk>
    <bk>
      <rc t="2" v="2049"/>
    </bk>
    <bk>
      <rc t="2" v="2050"/>
    </bk>
    <bk>
      <rc t="2" v="2051"/>
    </bk>
    <bk>
      <rc t="2" v="2052"/>
    </bk>
    <bk>
      <rc t="2" v="2053"/>
    </bk>
    <bk>
      <rc t="2" v="2054"/>
    </bk>
    <bk>
      <rc t="2" v="2055"/>
    </bk>
    <bk>
      <rc t="2" v="2056"/>
    </bk>
    <bk>
      <rc t="2" v="2057"/>
    </bk>
    <bk>
      <rc t="2" v="2058"/>
    </bk>
    <bk>
      <rc t="2" v="2059"/>
    </bk>
    <bk>
      <rc t="2" v="2060"/>
    </bk>
    <bk>
      <rc t="2" v="2061"/>
    </bk>
    <bk>
      <rc t="2" v="2062"/>
    </bk>
    <bk>
      <rc t="2" v="2063"/>
    </bk>
    <bk>
      <rc t="2" v="2064"/>
    </bk>
    <bk>
      <rc t="2" v="2065"/>
    </bk>
    <bk>
      <rc t="2" v="2066"/>
    </bk>
    <bk>
      <rc t="2" v="2067"/>
    </bk>
    <bk>
      <rc t="2" v="2068"/>
    </bk>
    <bk>
      <rc t="2" v="2069"/>
    </bk>
    <bk>
      <rc t="2" v="2070"/>
    </bk>
    <bk>
      <rc t="2" v="2071"/>
    </bk>
    <bk>
      <rc t="2" v="2072"/>
    </bk>
    <bk>
      <rc t="2" v="2073"/>
    </bk>
    <bk>
      <rc t="2" v="2074"/>
    </bk>
    <bk>
      <rc t="2" v="2075"/>
    </bk>
    <bk>
      <rc t="2" v="2076"/>
    </bk>
    <bk>
      <rc t="2" v="2077"/>
    </bk>
    <bk>
      <rc t="2" v="2078"/>
    </bk>
    <bk>
      <rc t="2" v="2079"/>
    </bk>
    <bk>
      <rc t="2" v="2080"/>
    </bk>
    <bk>
      <rc t="2" v="2081"/>
    </bk>
    <bk>
      <rc t="2" v="2082"/>
    </bk>
    <bk>
      <rc t="2" v="2083"/>
    </bk>
    <bk>
      <rc t="2" v="2084"/>
    </bk>
    <bk>
      <rc t="2" v="2085"/>
    </bk>
    <bk>
      <rc t="2" v="2086"/>
    </bk>
    <bk>
      <rc t="2" v="2087"/>
    </bk>
    <bk>
      <rc t="2" v="2088"/>
    </bk>
    <bk>
      <rc t="2" v="2089"/>
    </bk>
    <bk>
      <rc t="2" v="2090"/>
    </bk>
    <bk>
      <rc t="2" v="2091"/>
    </bk>
    <bk>
      <rc t="2" v="2092"/>
    </bk>
    <bk>
      <rc t="2" v="2093"/>
    </bk>
    <bk>
      <rc t="2" v="2094"/>
    </bk>
    <bk>
      <rc t="2" v="2095"/>
    </bk>
    <bk>
      <rc t="2" v="2096"/>
    </bk>
    <bk>
      <rc t="2" v="2097"/>
    </bk>
    <bk>
      <rc t="2" v="2098"/>
    </bk>
    <bk>
      <rc t="2" v="2099"/>
    </bk>
    <bk>
      <rc t="2" v="2100"/>
    </bk>
    <bk>
      <rc t="2" v="2101"/>
    </bk>
    <bk>
      <rc t="2" v="2102"/>
    </bk>
    <bk>
      <rc t="2" v="2103"/>
    </bk>
    <bk>
      <rc t="2" v="2104"/>
    </bk>
    <bk>
      <rc t="2" v="2105"/>
    </bk>
    <bk>
      <rc t="2" v="2106"/>
    </bk>
    <bk>
      <rc t="2" v="2107"/>
    </bk>
    <bk>
      <rc t="2" v="2108"/>
    </bk>
    <bk>
      <rc t="2" v="2109"/>
    </bk>
    <bk>
      <rc t="2" v="2110"/>
    </bk>
    <bk>
      <rc t="2" v="2111"/>
    </bk>
    <bk>
      <rc t="2" v="2112"/>
    </bk>
    <bk>
      <rc t="2" v="2113"/>
    </bk>
    <bk>
      <rc t="2" v="2114"/>
    </bk>
    <bk>
      <rc t="2" v="2115"/>
    </bk>
    <bk>
      <rc t="2" v="2116"/>
    </bk>
    <bk>
      <rc t="2" v="2117"/>
    </bk>
    <bk>
      <rc t="2" v="2118"/>
    </bk>
    <bk>
      <rc t="2" v="2119"/>
    </bk>
    <bk>
      <rc t="2" v="2120"/>
    </bk>
    <bk>
      <rc t="2" v="2121"/>
    </bk>
    <bk>
      <rc t="2" v="2122"/>
    </bk>
    <bk>
      <rc t="2" v="2123"/>
    </bk>
    <bk>
      <rc t="2" v="2124"/>
    </bk>
    <bk>
      <rc t="2" v="2125"/>
    </bk>
    <bk>
      <rc t="2" v="2126"/>
    </bk>
    <bk>
      <rc t="2" v="2127"/>
    </bk>
    <bk>
      <rc t="2" v="2128"/>
    </bk>
    <bk>
      <rc t="2" v="2129"/>
    </bk>
    <bk>
      <rc t="2" v="2130"/>
    </bk>
    <bk>
      <rc t="2" v="2131"/>
    </bk>
    <bk>
      <rc t="2" v="2132"/>
    </bk>
    <bk>
      <rc t="2" v="2133"/>
    </bk>
    <bk>
      <rc t="2" v="2134"/>
    </bk>
    <bk>
      <rc t="2" v="2135"/>
    </bk>
    <bk>
      <rc t="2" v="2136"/>
    </bk>
    <bk>
      <rc t="2" v="2137"/>
    </bk>
    <bk>
      <rc t="2" v="2138"/>
    </bk>
    <bk>
      <rc t="2" v="2139"/>
    </bk>
    <bk>
      <rc t="2" v="2140"/>
    </bk>
    <bk>
      <rc t="2" v="2141"/>
    </bk>
    <bk>
      <rc t="2" v="2142"/>
    </bk>
    <bk>
      <rc t="2" v="2143"/>
    </bk>
    <bk>
      <rc t="2" v="2144"/>
    </bk>
    <bk>
      <rc t="2" v="2145"/>
    </bk>
    <bk>
      <rc t="2" v="2146"/>
    </bk>
    <bk>
      <rc t="2" v="2147"/>
    </bk>
    <bk>
      <rc t="2" v="2148"/>
    </bk>
    <bk>
      <rc t="2" v="2149"/>
    </bk>
    <bk>
      <rc t="2" v="2150"/>
    </bk>
    <bk>
      <rc t="2" v="2151"/>
    </bk>
    <bk>
      <rc t="2" v="2152"/>
    </bk>
    <bk>
      <rc t="2" v="2153"/>
    </bk>
    <bk>
      <rc t="2" v="2154"/>
    </bk>
    <bk>
      <rc t="2" v="2155"/>
    </bk>
    <bk>
      <rc t="2" v="2156"/>
    </bk>
    <bk>
      <rc t="2" v="2157"/>
    </bk>
    <bk>
      <rc t="2" v="2158"/>
    </bk>
    <bk>
      <rc t="2" v="2159"/>
    </bk>
    <bk>
      <rc t="2" v="2160"/>
    </bk>
    <bk>
      <rc t="2" v="2161"/>
    </bk>
    <bk>
      <rc t="2" v="2162"/>
    </bk>
    <bk>
      <rc t="2" v="2163"/>
    </bk>
    <bk>
      <rc t="2" v="2164"/>
    </bk>
    <bk>
      <rc t="2" v="2165"/>
    </bk>
    <bk>
      <rc t="2" v="2166"/>
    </bk>
    <bk>
      <rc t="2" v="2167"/>
    </bk>
    <bk>
      <rc t="2" v="2168"/>
    </bk>
    <bk>
      <rc t="2" v="2169"/>
    </bk>
    <bk>
      <rc t="2" v="2170"/>
    </bk>
    <bk>
      <rc t="2" v="2171"/>
    </bk>
    <bk>
      <rc t="2" v="2172"/>
    </bk>
    <bk>
      <rc t="2" v="2173"/>
    </bk>
    <bk>
      <rc t="2" v="2174"/>
    </bk>
    <bk>
      <rc t="2" v="2175"/>
    </bk>
    <bk>
      <rc t="2" v="2176"/>
    </bk>
    <bk>
      <rc t="2" v="2177"/>
    </bk>
    <bk>
      <rc t="2" v="2178"/>
    </bk>
    <bk>
      <rc t="2" v="2179"/>
    </bk>
    <bk>
      <rc t="2" v="2180"/>
    </bk>
    <bk>
      <rc t="2" v="2181"/>
    </bk>
    <bk>
      <rc t="2" v="2182"/>
    </bk>
    <bk>
      <rc t="2" v="2183"/>
    </bk>
    <bk>
      <rc t="2" v="2184"/>
    </bk>
    <bk>
      <rc t="2" v="2185"/>
    </bk>
    <bk>
      <rc t="2" v="2186"/>
    </bk>
    <bk>
      <rc t="2" v="2187"/>
    </bk>
    <bk>
      <rc t="2" v="2188"/>
    </bk>
    <bk>
      <rc t="2" v="2189"/>
    </bk>
    <bk>
      <rc t="2" v="2190"/>
    </bk>
    <bk>
      <rc t="2" v="2191"/>
    </bk>
    <bk>
      <rc t="2" v="2192"/>
    </bk>
    <bk>
      <rc t="2" v="2193"/>
    </bk>
    <bk>
      <rc t="2" v="2194"/>
    </bk>
    <bk>
      <rc t="2" v="2195"/>
    </bk>
    <bk>
      <rc t="2" v="2196"/>
    </bk>
    <bk>
      <rc t="2" v="2197"/>
    </bk>
    <bk>
      <rc t="2" v="2198"/>
    </bk>
    <bk>
      <rc t="2" v="2199"/>
    </bk>
    <bk>
      <rc t="2" v="2200"/>
    </bk>
    <bk>
      <rc t="2" v="2201"/>
    </bk>
    <bk>
      <rc t="2" v="2202"/>
    </bk>
    <bk>
      <rc t="2" v="2203"/>
    </bk>
    <bk>
      <rc t="2" v="2204"/>
    </bk>
    <bk>
      <rc t="2" v="2205"/>
    </bk>
    <bk>
      <rc t="2" v="2206"/>
    </bk>
    <bk>
      <rc t="2" v="2207"/>
    </bk>
    <bk>
      <rc t="2" v="2208"/>
    </bk>
    <bk>
      <rc t="2" v="2209"/>
    </bk>
    <bk>
      <rc t="2" v="2210"/>
    </bk>
    <bk>
      <rc t="2" v="2211"/>
    </bk>
    <bk>
      <rc t="2" v="2212"/>
    </bk>
    <bk>
      <rc t="2" v="2213"/>
    </bk>
    <bk>
      <rc t="2" v="2214"/>
    </bk>
    <bk>
      <rc t="2" v="2215"/>
    </bk>
    <bk>
      <rc t="2" v="2216"/>
    </bk>
    <bk>
      <rc t="2" v="2217"/>
    </bk>
    <bk>
      <rc t="2" v="2218"/>
    </bk>
    <bk>
      <rc t="2" v="2219"/>
    </bk>
    <bk>
      <rc t="2" v="2220"/>
    </bk>
    <bk>
      <rc t="2" v="2221"/>
    </bk>
    <bk>
      <rc t="2" v="2222"/>
    </bk>
    <bk>
      <rc t="2" v="2223"/>
    </bk>
    <bk>
      <rc t="2" v="2224"/>
    </bk>
    <bk>
      <rc t="2" v="2225"/>
    </bk>
    <bk>
      <rc t="2" v="2226"/>
    </bk>
    <bk>
      <rc t="2" v="2227"/>
    </bk>
    <bk>
      <rc t="2" v="2228"/>
    </bk>
    <bk>
      <rc t="2" v="2229"/>
    </bk>
    <bk>
      <rc t="2" v="2230"/>
    </bk>
    <bk>
      <rc t="2" v="2231"/>
    </bk>
    <bk>
      <rc t="2" v="2232"/>
    </bk>
    <bk>
      <rc t="2" v="2233"/>
    </bk>
    <bk>
      <rc t="2" v="2234"/>
    </bk>
    <bk>
      <rc t="2" v="2235"/>
    </bk>
    <bk>
      <rc t="2" v="2236"/>
    </bk>
    <bk>
      <rc t="2" v="2237"/>
    </bk>
    <bk>
      <rc t="2" v="2238"/>
    </bk>
    <bk>
      <rc t="2" v="2239"/>
    </bk>
    <bk>
      <rc t="2" v="2240"/>
    </bk>
    <bk>
      <rc t="2" v="2241"/>
    </bk>
    <bk>
      <rc t="2" v="2242"/>
    </bk>
    <bk>
      <rc t="2" v="2243"/>
    </bk>
    <bk>
      <rc t="2" v="2244"/>
    </bk>
    <bk>
      <rc t="2" v="2245"/>
    </bk>
    <bk>
      <rc t="2" v="2246"/>
    </bk>
    <bk>
      <rc t="2" v="2247"/>
    </bk>
    <bk>
      <rc t="2" v="2248"/>
    </bk>
    <bk>
      <rc t="2" v="2249"/>
    </bk>
    <bk>
      <rc t="2" v="2250"/>
    </bk>
    <bk>
      <rc t="2" v="2251"/>
    </bk>
    <bk>
      <rc t="2" v="2252"/>
    </bk>
    <bk>
      <rc t="2" v="2253"/>
    </bk>
    <bk>
      <rc t="2" v="2254"/>
    </bk>
    <bk>
      <rc t="2" v="2255"/>
    </bk>
    <bk>
      <rc t="2" v="2256"/>
    </bk>
    <bk>
      <rc t="2" v="2257"/>
    </bk>
    <bk>
      <rc t="2" v="2258"/>
    </bk>
    <bk>
      <rc t="2" v="2259"/>
    </bk>
    <bk>
      <rc t="2" v="2260"/>
    </bk>
    <bk>
      <rc t="2" v="2261"/>
    </bk>
    <bk>
      <rc t="2" v="2262"/>
    </bk>
    <bk>
      <rc t="2" v="2263"/>
    </bk>
    <bk>
      <rc t="2" v="2264"/>
    </bk>
    <bk>
      <rc t="2" v="2265"/>
    </bk>
    <bk>
      <rc t="2" v="2266"/>
    </bk>
    <bk>
      <rc t="2" v="2267"/>
    </bk>
    <bk>
      <rc t="2" v="2268"/>
    </bk>
    <bk>
      <rc t="2" v="2269"/>
    </bk>
    <bk>
      <rc t="2" v="2270"/>
    </bk>
    <bk>
      <rc t="2" v="2271"/>
    </bk>
    <bk>
      <rc t="2" v="2272"/>
    </bk>
    <bk>
      <rc t="2" v="2273"/>
    </bk>
    <bk>
      <rc t="2" v="2274"/>
    </bk>
    <bk>
      <rc t="2" v="2275"/>
    </bk>
    <bk>
      <rc t="2" v="2276"/>
    </bk>
    <bk>
      <rc t="2" v="2277"/>
    </bk>
    <bk>
      <rc t="2" v="2278"/>
    </bk>
    <bk>
      <rc t="2" v="2279"/>
    </bk>
    <bk>
      <rc t="2" v="2280"/>
    </bk>
    <bk>
      <rc t="2" v="2281"/>
    </bk>
    <bk>
      <rc t="2" v="2282"/>
    </bk>
    <bk>
      <rc t="2" v="2283"/>
    </bk>
    <bk>
      <rc t="2" v="2284"/>
    </bk>
    <bk>
      <rc t="2" v="2285"/>
    </bk>
    <bk>
      <rc t="2" v="2286"/>
    </bk>
    <bk>
      <rc t="2" v="2287"/>
    </bk>
    <bk>
      <rc t="2" v="2288"/>
    </bk>
    <bk>
      <rc t="2" v="2289"/>
    </bk>
    <bk>
      <rc t="2" v="2290"/>
    </bk>
    <bk>
      <rc t="2" v="2291"/>
    </bk>
    <bk>
      <rc t="2" v="2292"/>
    </bk>
    <bk>
      <rc t="2" v="2293"/>
    </bk>
    <bk>
      <rc t="2" v="2294"/>
    </bk>
    <bk>
      <rc t="2" v="2295"/>
    </bk>
    <bk>
      <rc t="2" v="2296"/>
    </bk>
    <bk>
      <rc t="2" v="2297"/>
    </bk>
    <bk>
      <rc t="2" v="2298"/>
    </bk>
    <bk>
      <rc t="2" v="2299"/>
    </bk>
    <bk>
      <rc t="2" v="2300"/>
    </bk>
    <bk>
      <rc t="2" v="2301"/>
    </bk>
    <bk>
      <rc t="2" v="2302"/>
    </bk>
    <bk>
      <rc t="2" v="2303"/>
    </bk>
    <bk>
      <rc t="2" v="2304"/>
    </bk>
    <bk>
      <rc t="2" v="2305"/>
    </bk>
    <bk>
      <rc t="2" v="2306"/>
    </bk>
    <bk>
      <rc t="2" v="2307"/>
    </bk>
    <bk>
      <rc t="2" v="2308"/>
    </bk>
    <bk>
      <rc t="2" v="2309"/>
    </bk>
    <bk>
      <rc t="2" v="2310"/>
    </bk>
    <bk>
      <rc t="2" v="2311"/>
    </bk>
    <bk>
      <rc t="2" v="2312"/>
    </bk>
    <bk>
      <rc t="2" v="2313"/>
    </bk>
    <bk>
      <rc t="2" v="2314"/>
    </bk>
    <bk>
      <rc t="2" v="2315"/>
    </bk>
    <bk>
      <rc t="2" v="2316"/>
    </bk>
    <bk>
      <rc t="2" v="2317"/>
    </bk>
    <bk>
      <rc t="2" v="2318"/>
    </bk>
    <bk>
      <rc t="2" v="2319"/>
    </bk>
    <bk>
      <rc t="2" v="2320"/>
    </bk>
    <bk>
      <rc t="2" v="2321"/>
    </bk>
    <bk>
      <rc t="2" v="2322"/>
    </bk>
    <bk>
      <rc t="2" v="2323"/>
    </bk>
    <bk>
      <rc t="2" v="2324"/>
    </bk>
    <bk>
      <rc t="2" v="2325"/>
    </bk>
    <bk>
      <rc t="2" v="2326"/>
    </bk>
    <bk>
      <rc t="2" v="2327"/>
    </bk>
    <bk>
      <rc t="2" v="2328"/>
    </bk>
    <bk>
      <rc t="2" v="2329"/>
    </bk>
    <bk>
      <rc t="2" v="2330"/>
    </bk>
    <bk>
      <rc t="2" v="2331"/>
    </bk>
    <bk>
      <rc t="2" v="2332"/>
    </bk>
    <bk>
      <rc t="2" v="2333"/>
    </bk>
    <bk>
      <rc t="2" v="2334"/>
    </bk>
    <bk>
      <rc t="2" v="2335"/>
    </bk>
    <bk>
      <rc t="2" v="2336"/>
    </bk>
    <bk>
      <rc t="2" v="2337"/>
    </bk>
    <bk>
      <rc t="2" v="2338"/>
    </bk>
    <bk>
      <rc t="2" v="2339"/>
    </bk>
    <bk>
      <rc t="2" v="2340"/>
    </bk>
    <bk>
      <rc t="2" v="2341"/>
    </bk>
    <bk>
      <rc t="2" v="2342"/>
    </bk>
    <bk>
      <rc t="2" v="2343"/>
    </bk>
    <bk>
      <rc t="2" v="2344"/>
    </bk>
    <bk>
      <rc t="2" v="2345"/>
    </bk>
    <bk>
      <rc t="2" v="2346"/>
    </bk>
    <bk>
      <rc t="2" v="2347"/>
    </bk>
    <bk>
      <rc t="2" v="2348"/>
    </bk>
    <bk>
      <rc t="2" v="2349"/>
    </bk>
    <bk>
      <rc t="2" v="2350"/>
    </bk>
    <bk>
      <rc t="2" v="2351"/>
    </bk>
    <bk>
      <rc t="2" v="2352"/>
    </bk>
    <bk>
      <rc t="2" v="2353"/>
    </bk>
    <bk>
      <rc t="2" v="2354"/>
    </bk>
    <bk>
      <rc t="2" v="2355"/>
    </bk>
    <bk>
      <rc t="2" v="2356"/>
    </bk>
    <bk>
      <rc t="2" v="2357"/>
    </bk>
    <bk>
      <rc t="2" v="2358"/>
    </bk>
    <bk>
      <rc t="2" v="2359"/>
    </bk>
    <bk>
      <rc t="2" v="2360"/>
    </bk>
    <bk>
      <rc t="2" v="2361"/>
    </bk>
    <bk>
      <rc t="2" v="2362"/>
    </bk>
    <bk>
      <rc t="2" v="2363"/>
    </bk>
    <bk>
      <rc t="2" v="2364"/>
    </bk>
    <bk>
      <rc t="2" v="2365"/>
    </bk>
    <bk>
      <rc t="2" v="2366"/>
    </bk>
    <bk>
      <rc t="2" v="2367"/>
    </bk>
    <bk>
      <rc t="2" v="2368"/>
    </bk>
    <bk>
      <rc t="2" v="2369"/>
    </bk>
    <bk>
      <rc t="2" v="2370"/>
    </bk>
    <bk>
      <rc t="2" v="2371"/>
    </bk>
    <bk>
      <rc t="2" v="2372"/>
    </bk>
    <bk>
      <rc t="2" v="2373"/>
    </bk>
    <bk>
      <rc t="2" v="2374"/>
    </bk>
    <bk>
      <rc t="2" v="2375"/>
    </bk>
    <bk>
      <rc t="2" v="2376"/>
    </bk>
    <bk>
      <rc t="2" v="2377"/>
    </bk>
    <bk>
      <rc t="2" v="2378"/>
    </bk>
    <bk>
      <rc t="2" v="2379"/>
    </bk>
    <bk>
      <rc t="2" v="2380"/>
    </bk>
    <bk>
      <rc t="2" v="2381"/>
    </bk>
    <bk>
      <rc t="2" v="2382"/>
    </bk>
    <bk>
      <rc t="2" v="2383"/>
    </bk>
    <bk>
      <rc t="2" v="2384"/>
    </bk>
    <bk>
      <rc t="2" v="2385"/>
    </bk>
    <bk>
      <rc t="2" v="2386"/>
    </bk>
    <bk>
      <rc t="2" v="2387"/>
    </bk>
    <bk>
      <rc t="2" v="2388"/>
    </bk>
    <bk>
      <rc t="2" v="2389"/>
    </bk>
    <bk>
      <rc t="2" v="2390"/>
    </bk>
    <bk>
      <rc t="2" v="2391"/>
    </bk>
    <bk>
      <rc t="2" v="2392"/>
    </bk>
    <bk>
      <rc t="2" v="2393"/>
    </bk>
    <bk>
      <rc t="2" v="2394"/>
    </bk>
    <bk>
      <rc t="2" v="2395"/>
    </bk>
    <bk>
      <rc t="2" v="2396"/>
    </bk>
    <bk>
      <rc t="2" v="2397"/>
    </bk>
    <bk>
      <rc t="2" v="2398"/>
    </bk>
    <bk>
      <rc t="2" v="2399"/>
    </bk>
    <bk>
      <rc t="2" v="2400"/>
    </bk>
    <bk>
      <rc t="2" v="2401"/>
    </bk>
    <bk>
      <rc t="2" v="2402"/>
    </bk>
    <bk>
      <rc t="2" v="2403"/>
    </bk>
    <bk>
      <rc t="2" v="2404"/>
    </bk>
    <bk>
      <rc t="2" v="2405"/>
    </bk>
    <bk>
      <rc t="2" v="2406"/>
    </bk>
    <bk>
      <rc t="2" v="2407"/>
    </bk>
    <bk>
      <rc t="2" v="2408"/>
    </bk>
    <bk>
      <rc t="2" v="2409"/>
    </bk>
    <bk>
      <rc t="2" v="2410"/>
    </bk>
    <bk>
      <rc t="2" v="2411"/>
    </bk>
    <bk>
      <rc t="2" v="2412"/>
    </bk>
    <bk>
      <rc t="2" v="2413"/>
    </bk>
    <bk>
      <rc t="2" v="2414"/>
    </bk>
    <bk>
      <rc t="2" v="2415"/>
    </bk>
    <bk>
      <rc t="2" v="2416"/>
    </bk>
    <bk>
      <rc t="2" v="2417"/>
    </bk>
    <bk>
      <rc t="2" v="2418"/>
    </bk>
    <bk>
      <rc t="2" v="2419"/>
    </bk>
    <bk>
      <rc t="2" v="2420"/>
    </bk>
    <bk>
      <rc t="2" v="2421"/>
    </bk>
    <bk>
      <rc t="2" v="2422"/>
    </bk>
    <bk>
      <rc t="2" v="2423"/>
    </bk>
    <bk>
      <rc t="2" v="2424"/>
    </bk>
    <bk>
      <rc t="2" v="2425"/>
    </bk>
    <bk>
      <rc t="2" v="2426"/>
    </bk>
    <bk>
      <rc t="2" v="2427"/>
    </bk>
    <bk>
      <rc t="2" v="2428"/>
    </bk>
    <bk>
      <rc t="2" v="2429"/>
    </bk>
    <bk>
      <rc t="2" v="2430"/>
    </bk>
    <bk>
      <rc t="2" v="2431"/>
    </bk>
    <bk>
      <rc t="2" v="2432"/>
    </bk>
    <bk>
      <rc t="2" v="2433"/>
    </bk>
    <bk>
      <rc t="2" v="2434"/>
    </bk>
    <bk>
      <rc t="2" v="2435"/>
    </bk>
    <bk>
      <rc t="2" v="2436"/>
    </bk>
    <bk>
      <rc t="2" v="2437"/>
    </bk>
    <bk>
      <rc t="2" v="2438"/>
    </bk>
    <bk>
      <rc t="2" v="2439"/>
    </bk>
    <bk>
      <rc t="2" v="2440"/>
    </bk>
    <bk>
      <rc t="2" v="2441"/>
    </bk>
    <bk>
      <rc t="2" v="2442"/>
    </bk>
    <bk>
      <rc t="2" v="2443"/>
    </bk>
    <bk>
      <rc t="2" v="2444"/>
    </bk>
    <bk>
      <rc t="2" v="2445"/>
    </bk>
    <bk>
      <rc t="2" v="2446"/>
    </bk>
    <bk>
      <rc t="2" v="2447"/>
    </bk>
    <bk>
      <rc t="2" v="2448"/>
    </bk>
    <bk>
      <rc t="2" v="2449"/>
    </bk>
    <bk>
      <rc t="2" v="2450"/>
    </bk>
    <bk>
      <rc t="2" v="2451"/>
    </bk>
    <bk>
      <rc t="2" v="2452"/>
    </bk>
    <bk>
      <rc t="2" v="2453"/>
    </bk>
    <bk>
      <rc t="2" v="2454"/>
    </bk>
    <bk>
      <rc t="2" v="2455"/>
    </bk>
    <bk>
      <rc t="2" v="2456"/>
    </bk>
    <bk>
      <rc t="2" v="2457"/>
    </bk>
    <bk>
      <rc t="2" v="2458"/>
    </bk>
    <bk>
      <rc t="2" v="2459"/>
    </bk>
    <bk>
      <rc t="2" v="2460"/>
    </bk>
    <bk>
      <rc t="2" v="2461"/>
    </bk>
    <bk>
      <rc t="2" v="2462"/>
    </bk>
    <bk>
      <rc t="2" v="2463"/>
    </bk>
    <bk>
      <rc t="2" v="2464"/>
    </bk>
    <bk>
      <rc t="2" v="2465"/>
    </bk>
    <bk>
      <rc t="2" v="2466"/>
    </bk>
    <bk>
      <rc t="2" v="2467"/>
    </bk>
    <bk>
      <rc t="2" v="2468"/>
    </bk>
    <bk>
      <rc t="2" v="2469"/>
    </bk>
    <bk>
      <rc t="2" v="2470"/>
    </bk>
    <bk>
      <rc t="2" v="2471"/>
    </bk>
    <bk>
      <rc t="2" v="2472"/>
    </bk>
    <bk>
      <rc t="2" v="2473"/>
    </bk>
    <bk>
      <rc t="2" v="2474"/>
    </bk>
    <bk>
      <rc t="2" v="2475"/>
    </bk>
    <bk>
      <rc t="2" v="2476"/>
    </bk>
    <bk>
      <rc t="2" v="2477"/>
    </bk>
    <bk>
      <rc t="2" v="2478"/>
    </bk>
    <bk>
      <rc t="2" v="2479"/>
    </bk>
    <bk>
      <rc t="2" v="2480"/>
    </bk>
    <bk>
      <rc t="2" v="2481"/>
    </bk>
    <bk>
      <rc t="2" v="2482"/>
    </bk>
    <bk>
      <rc t="2" v="2483"/>
    </bk>
    <bk>
      <rc t="2" v="2484"/>
    </bk>
    <bk>
      <rc t="2" v="2485"/>
    </bk>
    <bk>
      <rc t="2" v="2486"/>
    </bk>
    <bk>
      <rc t="2" v="2487"/>
    </bk>
    <bk>
      <rc t="2" v="2488"/>
    </bk>
    <bk>
      <rc t="2" v="2489"/>
    </bk>
    <bk>
      <rc t="2" v="2490"/>
    </bk>
    <bk>
      <rc t="2" v="2491"/>
    </bk>
    <bk>
      <rc t="2" v="2492"/>
    </bk>
    <bk>
      <rc t="2" v="2493"/>
    </bk>
    <bk>
      <rc t="2" v="2494"/>
    </bk>
    <bk>
      <rc t="2" v="2495"/>
    </bk>
    <bk>
      <rc t="2" v="2496"/>
    </bk>
    <bk>
      <rc t="2" v="2497"/>
    </bk>
    <bk>
      <rc t="2" v="2498"/>
    </bk>
    <bk>
      <rc t="2" v="2499"/>
    </bk>
    <bk>
      <rc t="2" v="2500"/>
    </bk>
    <bk>
      <rc t="2" v="2501"/>
    </bk>
    <bk>
      <rc t="2" v="2502"/>
    </bk>
    <bk>
      <rc t="2" v="2503"/>
    </bk>
    <bk>
      <rc t="2" v="2504"/>
    </bk>
    <bk>
      <rc t="2" v="2505"/>
    </bk>
    <bk>
      <rc t="2" v="2506"/>
    </bk>
    <bk>
      <rc t="2" v="2507"/>
    </bk>
    <bk>
      <rc t="2" v="2508"/>
    </bk>
    <bk>
      <rc t="2" v="2509"/>
    </bk>
    <bk>
      <rc t="2" v="2510"/>
    </bk>
    <bk>
      <rc t="2" v="2511"/>
    </bk>
    <bk>
      <rc t="2" v="2512"/>
    </bk>
    <bk>
      <rc t="2" v="2513"/>
    </bk>
    <bk>
      <rc t="2" v="2514"/>
    </bk>
    <bk>
      <rc t="2" v="2515"/>
    </bk>
    <bk>
      <rc t="2" v="2516"/>
    </bk>
    <bk>
      <rc t="2" v="2517"/>
    </bk>
    <bk>
      <rc t="2" v="2518"/>
    </bk>
    <bk>
      <rc t="2" v="2519"/>
    </bk>
    <bk>
      <rc t="2" v="2520"/>
    </bk>
    <bk>
      <rc t="2" v="2521"/>
    </bk>
    <bk>
      <rc t="2" v="2522"/>
    </bk>
    <bk>
      <rc t="2" v="2523"/>
    </bk>
    <bk>
      <rc t="2" v="2524"/>
    </bk>
    <bk>
      <rc t="2" v="2525"/>
    </bk>
    <bk>
      <rc t="2" v="2526"/>
    </bk>
    <bk>
      <rc t="2" v="2527"/>
    </bk>
    <bk>
      <rc t="2" v="2528"/>
    </bk>
    <bk>
      <rc t="2" v="2529"/>
    </bk>
    <bk>
      <rc t="2" v="2530"/>
    </bk>
    <bk>
      <rc t="2" v="2531"/>
    </bk>
    <bk>
      <rc t="2" v="2532"/>
    </bk>
    <bk>
      <rc t="2" v="2533"/>
    </bk>
    <bk>
      <rc t="2" v="2534"/>
    </bk>
    <bk>
      <rc t="2" v="2535"/>
    </bk>
    <bk>
      <rc t="2" v="2536"/>
    </bk>
    <bk>
      <rc t="2" v="2537"/>
    </bk>
    <bk>
      <rc t="2" v="2538"/>
    </bk>
    <bk>
      <rc t="2" v="2539"/>
    </bk>
    <bk>
      <rc t="2" v="2540"/>
    </bk>
    <bk>
      <rc t="2" v="2541"/>
    </bk>
    <bk>
      <rc t="2" v="2542"/>
    </bk>
    <bk>
      <rc t="2" v="2543"/>
    </bk>
    <bk>
      <rc t="2" v="2544"/>
    </bk>
    <bk>
      <rc t="2" v="2545"/>
    </bk>
    <bk>
      <rc t="2" v="2546"/>
    </bk>
    <bk>
      <rc t="2" v="2547"/>
    </bk>
    <bk>
      <rc t="2" v="2548"/>
    </bk>
    <bk>
      <rc t="2" v="2549"/>
    </bk>
    <bk>
      <rc t="2" v="2550"/>
    </bk>
    <bk>
      <rc t="2" v="2551"/>
    </bk>
    <bk>
      <rc t="2" v="2552"/>
    </bk>
    <bk>
      <rc t="2" v="2553"/>
    </bk>
    <bk>
      <rc t="2" v="2554"/>
    </bk>
    <bk>
      <rc t="2" v="2555"/>
    </bk>
    <bk>
      <rc t="2" v="2556"/>
    </bk>
    <bk>
      <rc t="2" v="2557"/>
    </bk>
    <bk>
      <rc t="2" v="2558"/>
    </bk>
    <bk>
      <rc t="2" v="2559"/>
    </bk>
    <bk>
      <rc t="2" v="2560"/>
    </bk>
    <bk>
      <rc t="2" v="2561"/>
    </bk>
    <bk>
      <rc t="2" v="2562"/>
    </bk>
    <bk>
      <rc t="2" v="2563"/>
    </bk>
    <bk>
      <rc t="2" v="2564"/>
    </bk>
    <bk>
      <rc t="2" v="2565"/>
    </bk>
    <bk>
      <rc t="2" v="2566"/>
    </bk>
    <bk>
      <rc t="2" v="2567"/>
    </bk>
    <bk>
      <rc t="2" v="2568"/>
    </bk>
    <bk>
      <rc t="2" v="2569"/>
    </bk>
    <bk>
      <rc t="2" v="2570"/>
    </bk>
    <bk>
      <rc t="2" v="2571"/>
    </bk>
    <bk>
      <rc t="2" v="2572"/>
    </bk>
    <bk>
      <rc t="2" v="2573"/>
    </bk>
    <bk>
      <rc t="2" v="2574"/>
    </bk>
    <bk>
      <rc t="2" v="2575"/>
    </bk>
    <bk>
      <rc t="2" v="2576"/>
    </bk>
    <bk>
      <rc t="2" v="2577"/>
    </bk>
    <bk>
      <rc t="2" v="2578"/>
    </bk>
    <bk>
      <rc t="2" v="2579"/>
    </bk>
    <bk>
      <rc t="2" v="2580"/>
    </bk>
    <bk>
      <rc t="2" v="2581"/>
    </bk>
    <bk>
      <rc t="2" v="2582"/>
    </bk>
    <bk>
      <rc t="2" v="2583"/>
    </bk>
    <bk>
      <rc t="2" v="2584"/>
    </bk>
    <bk>
      <rc t="2" v="2585"/>
    </bk>
    <bk>
      <rc t="2" v="2586"/>
    </bk>
    <bk>
      <rc t="2" v="2587"/>
    </bk>
    <bk>
      <rc t="2" v="2588"/>
    </bk>
    <bk>
      <rc t="2" v="2589"/>
    </bk>
    <bk>
      <rc t="2" v="2590"/>
    </bk>
    <bk>
      <rc t="2" v="2591"/>
    </bk>
    <bk>
      <rc t="2" v="2592"/>
    </bk>
    <bk>
      <rc t="2" v="2593"/>
    </bk>
    <bk>
      <rc t="2" v="2594"/>
    </bk>
    <bk>
      <rc t="2" v="2595"/>
    </bk>
    <bk>
      <rc t="2" v="2596"/>
    </bk>
    <bk>
      <rc t="2" v="2597"/>
    </bk>
    <bk>
      <rc t="2" v="2598"/>
    </bk>
    <bk>
      <rc t="2" v="2599"/>
    </bk>
    <bk>
      <rc t="2" v="2600"/>
    </bk>
    <bk>
      <rc t="2" v="2601"/>
    </bk>
    <bk>
      <rc t="2" v="2602"/>
    </bk>
    <bk>
      <rc t="2" v="2603"/>
    </bk>
    <bk>
      <rc t="2" v="2604"/>
    </bk>
    <bk>
      <rc t="2" v="2605"/>
    </bk>
    <bk>
      <rc t="2" v="2606"/>
    </bk>
    <bk>
      <rc t="2" v="2607"/>
    </bk>
    <bk>
      <rc t="2" v="2608"/>
    </bk>
    <bk>
      <rc t="2" v="2609"/>
    </bk>
    <bk>
      <rc t="2" v="2610"/>
    </bk>
    <bk>
      <rc t="2" v="2611"/>
    </bk>
    <bk>
      <rc t="2" v="2612"/>
    </bk>
    <bk>
      <rc t="2" v="2613"/>
    </bk>
    <bk>
      <rc t="2" v="2614"/>
    </bk>
    <bk>
      <rc t="2" v="2615"/>
    </bk>
    <bk>
      <rc t="2" v="2616"/>
    </bk>
    <bk>
      <rc t="2" v="2617"/>
    </bk>
    <bk>
      <rc t="2" v="2618"/>
    </bk>
    <bk>
      <rc t="2" v="2619"/>
    </bk>
    <bk>
      <rc t="2" v="2620"/>
    </bk>
    <bk>
      <rc t="2" v="2621"/>
    </bk>
    <bk>
      <rc t="2" v="2622"/>
    </bk>
    <bk>
      <rc t="2" v="2623"/>
    </bk>
    <bk>
      <rc t="2" v="2624"/>
    </bk>
    <bk>
      <rc t="2" v="2625"/>
    </bk>
    <bk>
      <rc t="2" v="2626"/>
    </bk>
    <bk>
      <rc t="2" v="2627"/>
    </bk>
    <bk>
      <rc t="2" v="2628"/>
    </bk>
    <bk>
      <rc t="2" v="2629"/>
    </bk>
    <bk>
      <rc t="2" v="2630"/>
    </bk>
    <bk>
      <rc t="2" v="2631"/>
    </bk>
    <bk>
      <rc t="2" v="2632"/>
    </bk>
    <bk>
      <rc t="2" v="2633"/>
    </bk>
    <bk>
      <rc t="2" v="2634"/>
    </bk>
    <bk>
      <rc t="2" v="2635"/>
    </bk>
    <bk>
      <rc t="2" v="2636"/>
    </bk>
    <bk>
      <rc t="2" v="2637"/>
    </bk>
    <bk>
      <rc t="2" v="2638"/>
    </bk>
    <bk>
      <rc t="2" v="2639"/>
    </bk>
    <bk>
      <rc t="2" v="2640"/>
    </bk>
    <bk>
      <rc t="2" v="2641"/>
    </bk>
    <bk>
      <rc t="2" v="2642"/>
    </bk>
    <bk>
      <rc t="2" v="2643"/>
    </bk>
    <bk>
      <rc t="2" v="2644"/>
    </bk>
    <bk>
      <rc t="2" v="2645"/>
    </bk>
    <bk>
      <rc t="2" v="2646"/>
    </bk>
    <bk>
      <rc t="2" v="2647"/>
    </bk>
    <bk>
      <rc t="2" v="2648"/>
    </bk>
    <bk>
      <rc t="2" v="2649"/>
    </bk>
    <bk>
      <rc t="2" v="2650"/>
    </bk>
    <bk>
      <rc t="2" v="2651"/>
    </bk>
    <bk>
      <rc t="2" v="2652"/>
    </bk>
    <bk>
      <rc t="2" v="2653"/>
    </bk>
    <bk>
      <rc t="2" v="2654"/>
    </bk>
    <bk>
      <rc t="2" v="2655"/>
    </bk>
    <bk>
      <rc t="2" v="2656"/>
    </bk>
    <bk>
      <rc t="2" v="2657"/>
    </bk>
    <bk>
      <rc t="2" v="2658"/>
    </bk>
    <bk>
      <rc t="2" v="2659"/>
    </bk>
    <bk>
      <rc t="2" v="2660"/>
    </bk>
    <bk>
      <rc t="2" v="2661"/>
    </bk>
    <bk>
      <rc t="2" v="2662"/>
    </bk>
    <bk>
      <rc t="2" v="2663"/>
    </bk>
    <bk>
      <rc t="2" v="2664"/>
    </bk>
    <bk>
      <rc t="2" v="2665"/>
    </bk>
    <bk>
      <rc t="2" v="2666"/>
    </bk>
    <bk>
      <rc t="2" v="2667"/>
    </bk>
    <bk>
      <rc t="2" v="2668"/>
    </bk>
    <bk>
      <rc t="2" v="2669"/>
    </bk>
    <bk>
      <rc t="2" v="2670"/>
    </bk>
    <bk>
      <rc t="2" v="2671"/>
    </bk>
    <bk>
      <rc t="2" v="2672"/>
    </bk>
    <bk>
      <rc t="2" v="2673"/>
    </bk>
    <bk>
      <rc t="2" v="2674"/>
    </bk>
    <bk>
      <rc t="2" v="2675"/>
    </bk>
    <bk>
      <rc t="2" v="2676"/>
    </bk>
    <bk>
      <rc t="2" v="2677"/>
    </bk>
    <bk>
      <rc t="2" v="2678"/>
    </bk>
    <bk>
      <rc t="2" v="2679"/>
    </bk>
    <bk>
      <rc t="2" v="2680"/>
    </bk>
    <bk>
      <rc t="2" v="2681"/>
    </bk>
    <bk>
      <rc t="2" v="2682"/>
    </bk>
    <bk>
      <rc t="2" v="2683"/>
    </bk>
    <bk>
      <rc t="2" v="2684"/>
    </bk>
    <bk>
      <rc t="2" v="2685"/>
    </bk>
    <bk>
      <rc t="2" v="2686"/>
    </bk>
    <bk>
      <rc t="2" v="2687"/>
    </bk>
    <bk>
      <rc t="2" v="2688"/>
    </bk>
    <bk>
      <rc t="2" v="2689"/>
    </bk>
    <bk>
      <rc t="2" v="2690"/>
    </bk>
    <bk>
      <rc t="2" v="2691"/>
    </bk>
    <bk>
      <rc t="2" v="2692"/>
    </bk>
    <bk>
      <rc t="2" v="2693"/>
    </bk>
    <bk>
      <rc t="2" v="2694"/>
    </bk>
    <bk>
      <rc t="2" v="2695"/>
    </bk>
    <bk>
      <rc t="2" v="2696"/>
    </bk>
    <bk>
      <rc t="2" v="2697"/>
    </bk>
    <bk>
      <rc t="2" v="2698"/>
    </bk>
    <bk>
      <rc t="2" v="2699"/>
    </bk>
    <bk>
      <rc t="2" v="2700"/>
    </bk>
    <bk>
      <rc t="2" v="2701"/>
    </bk>
    <bk>
      <rc t="2" v="2702"/>
    </bk>
    <bk>
      <rc t="2" v="2703"/>
    </bk>
    <bk>
      <rc t="2" v="2704"/>
    </bk>
    <bk>
      <rc t="2" v="2705"/>
    </bk>
    <bk>
      <rc t="2" v="2706"/>
    </bk>
    <bk>
      <rc t="2" v="2707"/>
    </bk>
    <bk>
      <rc t="2" v="2708"/>
    </bk>
    <bk>
      <rc t="2" v="2709"/>
    </bk>
    <bk>
      <rc t="2" v="2710"/>
    </bk>
    <bk>
      <rc t="2" v="2711"/>
    </bk>
    <bk>
      <rc t="2" v="2712"/>
    </bk>
    <bk>
      <rc t="2" v="2713"/>
    </bk>
    <bk>
      <rc t="2" v="2714"/>
    </bk>
    <bk>
      <rc t="2" v="2715"/>
    </bk>
    <bk>
      <rc t="2" v="2716"/>
    </bk>
    <bk>
      <rc t="2" v="2717"/>
    </bk>
    <bk>
      <rc t="2" v="2718"/>
    </bk>
    <bk>
      <rc t="2" v="2719"/>
    </bk>
    <bk>
      <rc t="2" v="2720"/>
    </bk>
    <bk>
      <rc t="2" v="2721"/>
    </bk>
    <bk>
      <rc t="2" v="2722"/>
    </bk>
    <bk>
      <rc t="2" v="2723"/>
    </bk>
    <bk>
      <rc t="2" v="2724"/>
    </bk>
    <bk>
      <rc t="2" v="2725"/>
    </bk>
    <bk>
      <rc t="2" v="2726"/>
    </bk>
    <bk>
      <rc t="2" v="2727"/>
    </bk>
    <bk>
      <rc t="2" v="2728"/>
    </bk>
    <bk>
      <rc t="2" v="2729"/>
    </bk>
    <bk>
      <rc t="2" v="2730"/>
    </bk>
    <bk>
      <rc t="2" v="2731"/>
    </bk>
    <bk>
      <rc t="2" v="2732"/>
    </bk>
    <bk>
      <rc t="2" v="2733"/>
    </bk>
    <bk>
      <rc t="2" v="2734"/>
    </bk>
    <bk>
      <rc t="2" v="2735"/>
    </bk>
    <bk>
      <rc t="2" v="2736"/>
    </bk>
    <bk>
      <rc t="2" v="2737"/>
    </bk>
    <bk>
      <rc t="2" v="2738"/>
    </bk>
    <bk>
      <rc t="2" v="2739"/>
    </bk>
    <bk>
      <rc t="2" v="2740"/>
    </bk>
    <bk>
      <rc t="2" v="2741"/>
    </bk>
    <bk>
      <rc t="2" v="2742"/>
    </bk>
    <bk>
      <rc t="2" v="2743"/>
    </bk>
    <bk>
      <rc t="2" v="2744"/>
    </bk>
    <bk>
      <rc t="2" v="2745"/>
    </bk>
    <bk>
      <rc t="2" v="2746"/>
    </bk>
    <bk>
      <rc t="2" v="2747"/>
    </bk>
    <bk>
      <rc t="2" v="2748"/>
    </bk>
    <bk>
      <rc t="2" v="2749"/>
    </bk>
    <bk>
      <rc t="2" v="2750"/>
    </bk>
    <bk>
      <rc t="2" v="2751"/>
    </bk>
    <bk>
      <rc t="2" v="2752"/>
    </bk>
    <bk>
      <rc t="2" v="2753"/>
    </bk>
    <bk>
      <rc t="2" v="2754"/>
    </bk>
    <bk>
      <rc t="2" v="2755"/>
    </bk>
    <bk>
      <rc t="2" v="2756"/>
    </bk>
    <bk>
      <rc t="2" v="2757"/>
    </bk>
    <bk>
      <rc t="2" v="2758"/>
    </bk>
    <bk>
      <rc t="2" v="2759"/>
    </bk>
    <bk>
      <rc t="2" v="2760"/>
    </bk>
    <bk>
      <rc t="2" v="2761"/>
    </bk>
    <bk>
      <rc t="2" v="2762"/>
    </bk>
    <bk>
      <rc t="2" v="2763"/>
    </bk>
    <bk>
      <rc t="2" v="2764"/>
    </bk>
    <bk>
      <rc t="2" v="2765"/>
    </bk>
    <bk>
      <rc t="2" v="2766"/>
    </bk>
    <bk>
      <rc t="2" v="2767"/>
    </bk>
    <bk>
      <rc t="2" v="2768"/>
    </bk>
    <bk>
      <rc t="2" v="2769"/>
    </bk>
    <bk>
      <rc t="2" v="2770"/>
    </bk>
    <bk>
      <rc t="2" v="2771"/>
    </bk>
    <bk>
      <rc t="2" v="2772"/>
    </bk>
    <bk>
      <rc t="2" v="2773"/>
    </bk>
    <bk>
      <rc t="2" v="2774"/>
    </bk>
    <bk>
      <rc t="2" v="2775"/>
    </bk>
    <bk>
      <rc t="2" v="2776"/>
    </bk>
    <bk>
      <rc t="2" v="2777"/>
    </bk>
    <bk>
      <rc t="2" v="2778"/>
    </bk>
    <bk>
      <rc t="2" v="2779"/>
    </bk>
    <bk>
      <rc t="2" v="2780"/>
    </bk>
    <bk>
      <rc t="2" v="2781"/>
    </bk>
    <bk>
      <rc t="2" v="2782"/>
    </bk>
    <bk>
      <rc t="2" v="2783"/>
    </bk>
    <bk>
      <rc t="2" v="2784"/>
    </bk>
    <bk>
      <rc t="2" v="2785"/>
    </bk>
    <bk>
      <rc t="2" v="2786"/>
    </bk>
    <bk>
      <rc t="2" v="2787"/>
    </bk>
    <bk>
      <rc t="2" v="2788"/>
    </bk>
    <bk>
      <rc t="2" v="2789"/>
    </bk>
    <bk>
      <rc t="2" v="2790"/>
    </bk>
    <bk>
      <rc t="2" v="2791"/>
    </bk>
    <bk>
      <rc t="2" v="2792"/>
    </bk>
    <bk>
      <rc t="2" v="2793"/>
    </bk>
    <bk>
      <rc t="2" v="2794"/>
    </bk>
    <bk>
      <rc t="2" v="2795"/>
    </bk>
    <bk>
      <rc t="2" v="2796"/>
    </bk>
    <bk>
      <rc t="2" v="2797"/>
    </bk>
    <bk>
      <rc t="2" v="2798"/>
    </bk>
    <bk>
      <rc t="2" v="2799"/>
    </bk>
    <bk>
      <rc t="2" v="2800"/>
    </bk>
    <bk>
      <rc t="2" v="2801"/>
    </bk>
    <bk>
      <rc t="2" v="2802"/>
    </bk>
    <bk>
      <rc t="2" v="2803"/>
    </bk>
    <bk>
      <rc t="2" v="2804"/>
    </bk>
    <bk>
      <rc t="2" v="2805"/>
    </bk>
    <bk>
      <rc t="2" v="2806"/>
    </bk>
    <bk>
      <rc t="2" v="2807"/>
    </bk>
    <bk>
      <rc t="2" v="2808"/>
    </bk>
    <bk>
      <rc t="2" v="2809"/>
    </bk>
    <bk>
      <rc t="2" v="2810"/>
    </bk>
    <bk>
      <rc t="2" v="2811"/>
    </bk>
    <bk>
      <rc t="2" v="2812"/>
    </bk>
    <bk>
      <rc t="2" v="2813"/>
    </bk>
    <bk>
      <rc t="2" v="2814"/>
    </bk>
    <bk>
      <rc t="2" v="2815"/>
    </bk>
    <bk>
      <rc t="2" v="2816"/>
    </bk>
    <bk>
      <rc t="2" v="2817"/>
    </bk>
    <bk>
      <rc t="2" v="2818"/>
    </bk>
    <bk>
      <rc t="2" v="2819"/>
    </bk>
    <bk>
      <rc t="2" v="2820"/>
    </bk>
    <bk>
      <rc t="2" v="2821"/>
    </bk>
    <bk>
      <rc t="2" v="2822"/>
    </bk>
    <bk>
      <rc t="2" v="2823"/>
    </bk>
    <bk>
      <rc t="2" v="2824"/>
    </bk>
    <bk>
      <rc t="2" v="2825"/>
    </bk>
    <bk>
      <rc t="2" v="2826"/>
    </bk>
    <bk>
      <rc t="2" v="2827"/>
    </bk>
    <bk>
      <rc t="2" v="2828"/>
    </bk>
    <bk>
      <rc t="2" v="2829"/>
    </bk>
    <bk>
      <rc t="2" v="2830"/>
    </bk>
    <bk>
      <rc t="2" v="2831"/>
    </bk>
    <bk>
      <rc t="2" v="2832"/>
    </bk>
    <bk>
      <rc t="2" v="2833"/>
    </bk>
    <bk>
      <rc t="2" v="2834"/>
    </bk>
    <bk>
      <rc t="2" v="2835"/>
    </bk>
    <bk>
      <rc t="2" v="2836"/>
    </bk>
    <bk>
      <rc t="2" v="2837"/>
    </bk>
    <bk>
      <rc t="2" v="2838"/>
    </bk>
    <bk>
      <rc t="2" v="2839"/>
    </bk>
    <bk>
      <rc t="2" v="2840"/>
    </bk>
    <bk>
      <rc t="2" v="2841"/>
    </bk>
    <bk>
      <rc t="2" v="2842"/>
    </bk>
    <bk>
      <rc t="2" v="2843"/>
    </bk>
    <bk>
      <rc t="2" v="2844"/>
    </bk>
    <bk>
      <rc t="2" v="2845"/>
    </bk>
    <bk>
      <rc t="2" v="2846"/>
    </bk>
    <bk>
      <rc t="2" v="2847"/>
    </bk>
    <bk>
      <rc t="2" v="2848"/>
    </bk>
    <bk>
      <rc t="2" v="2849"/>
    </bk>
    <bk>
      <rc t="2" v="2850"/>
    </bk>
    <bk>
      <rc t="2" v="2851"/>
    </bk>
    <bk>
      <rc t="2" v="2852"/>
    </bk>
    <bk>
      <rc t="2" v="2853"/>
    </bk>
    <bk>
      <rc t="2" v="2854"/>
    </bk>
    <bk>
      <rc t="2" v="2855"/>
    </bk>
    <bk>
      <rc t="2" v="2856"/>
    </bk>
    <bk>
      <rc t="2" v="2857"/>
    </bk>
    <bk>
      <rc t="2" v="2858"/>
    </bk>
    <bk>
      <rc t="2" v="2859"/>
    </bk>
    <bk>
      <rc t="2" v="2860"/>
    </bk>
    <bk>
      <rc t="2" v="2861"/>
    </bk>
    <bk>
      <rc t="2" v="2862"/>
    </bk>
    <bk>
      <rc t="2" v="2863"/>
    </bk>
    <bk>
      <rc t="2" v="2864"/>
    </bk>
    <bk>
      <rc t="2" v="2865"/>
    </bk>
    <bk>
      <rc t="2" v="2866"/>
    </bk>
    <bk>
      <rc t="2" v="2867"/>
    </bk>
    <bk>
      <rc t="2" v="2868"/>
    </bk>
    <bk>
      <rc t="2" v="2869"/>
    </bk>
    <bk>
      <rc t="2" v="2870"/>
    </bk>
    <bk>
      <rc t="2" v="2871"/>
    </bk>
    <bk>
      <rc t="2" v="2872"/>
    </bk>
    <bk>
      <rc t="2" v="2873"/>
    </bk>
    <bk>
      <rc t="2" v="2874"/>
    </bk>
    <bk>
      <rc t="2" v="2875"/>
    </bk>
    <bk>
      <rc t="2" v="2876"/>
    </bk>
    <bk>
      <rc t="2" v="2877"/>
    </bk>
    <bk>
      <rc t="2" v="2878"/>
    </bk>
    <bk>
      <rc t="2" v="2879"/>
    </bk>
    <bk>
      <rc t="2" v="2880"/>
    </bk>
    <bk>
      <rc t="2" v="2881"/>
    </bk>
    <bk>
      <rc t="2" v="2882"/>
    </bk>
    <bk>
      <rc t="2" v="2883"/>
    </bk>
    <bk>
      <rc t="2" v="2884"/>
    </bk>
    <bk>
      <rc t="2" v="2885"/>
    </bk>
    <bk>
      <rc t="2" v="2886"/>
    </bk>
    <bk>
      <rc t="2" v="2887"/>
    </bk>
    <bk>
      <rc t="2" v="2888"/>
    </bk>
    <bk>
      <rc t="2" v="2889"/>
    </bk>
    <bk>
      <rc t="2" v="2890"/>
    </bk>
    <bk>
      <rc t="2" v="2891"/>
    </bk>
    <bk>
      <rc t="2" v="2892"/>
    </bk>
    <bk>
      <rc t="2" v="2893"/>
    </bk>
    <bk>
      <rc t="2" v="2894"/>
    </bk>
    <bk>
      <rc t="2" v="2895"/>
    </bk>
    <bk>
      <rc t="2" v="2896"/>
    </bk>
    <bk>
      <rc t="2" v="2897"/>
    </bk>
    <bk>
      <rc t="2" v="2898"/>
    </bk>
    <bk>
      <rc t="2" v="2899"/>
    </bk>
    <bk>
      <rc t="2" v="2900"/>
    </bk>
    <bk>
      <rc t="2" v="2901"/>
    </bk>
    <bk>
      <rc t="2" v="2902"/>
    </bk>
    <bk>
      <rc t="2" v="2903"/>
    </bk>
    <bk>
      <rc t="2" v="2904"/>
    </bk>
    <bk>
      <rc t="2" v="2905"/>
    </bk>
    <bk>
      <rc t="2" v="2906"/>
    </bk>
    <bk>
      <rc t="2" v="2907"/>
    </bk>
    <bk>
      <rc t="2" v="2908"/>
    </bk>
    <bk>
      <rc t="2" v="2909"/>
    </bk>
    <bk>
      <rc t="2" v="2910"/>
    </bk>
    <bk>
      <rc t="2" v="2911"/>
    </bk>
    <bk>
      <rc t="2" v="2912"/>
    </bk>
    <bk>
      <rc t="2" v="2913"/>
    </bk>
    <bk>
      <rc t="2" v="2914"/>
    </bk>
    <bk>
      <rc t="2" v="2915"/>
    </bk>
    <bk>
      <rc t="2" v="2916"/>
    </bk>
    <bk>
      <rc t="2" v="2917"/>
    </bk>
    <bk>
      <rc t="2" v="2918"/>
    </bk>
    <bk>
      <rc t="2" v="2919"/>
    </bk>
    <bk>
      <rc t="2" v="2920"/>
    </bk>
    <bk>
      <rc t="2" v="2921"/>
    </bk>
    <bk>
      <rc t="2" v="2922"/>
    </bk>
    <bk>
      <rc t="2" v="2923"/>
    </bk>
    <bk>
      <rc t="2" v="2924"/>
    </bk>
    <bk>
      <rc t="2" v="2925"/>
    </bk>
    <bk>
      <rc t="2" v="2926"/>
    </bk>
    <bk>
      <rc t="2" v="2927"/>
    </bk>
    <bk>
      <rc t="2" v="2928"/>
    </bk>
    <bk>
      <rc t="2" v="2929"/>
    </bk>
    <bk>
      <rc t="2" v="2930"/>
    </bk>
    <bk>
      <rc t="2" v="2931"/>
    </bk>
    <bk>
      <rc t="2" v="2932"/>
    </bk>
    <bk>
      <rc t="2" v="2933"/>
    </bk>
    <bk>
      <rc t="2" v="2934"/>
    </bk>
    <bk>
      <rc t="2" v="2935"/>
    </bk>
    <bk>
      <rc t="2" v="2936"/>
    </bk>
    <bk>
      <rc t="2" v="2937"/>
    </bk>
    <bk>
      <rc t="2" v="2938"/>
    </bk>
    <bk>
      <rc t="2" v="2939"/>
    </bk>
    <bk>
      <rc t="2" v="2940"/>
    </bk>
    <bk>
      <rc t="2" v="2941"/>
    </bk>
    <bk>
      <rc t="2" v="2942"/>
    </bk>
    <bk>
      <rc t="2" v="2943"/>
    </bk>
    <bk>
      <rc t="2" v="2944"/>
    </bk>
    <bk>
      <rc t="2" v="2945"/>
    </bk>
    <bk>
      <rc t="2" v="2946"/>
    </bk>
    <bk>
      <rc t="2" v="2947"/>
    </bk>
    <bk>
      <rc t="2" v="2948"/>
    </bk>
    <bk>
      <rc t="2" v="2949"/>
    </bk>
    <bk>
      <rc t="2" v="2950"/>
    </bk>
    <bk>
      <rc t="2" v="2951"/>
    </bk>
    <bk>
      <rc t="2" v="2952"/>
    </bk>
    <bk>
      <rc t="2" v="2953"/>
    </bk>
    <bk>
      <rc t="2" v="2954"/>
    </bk>
    <bk>
      <rc t="2" v="2955"/>
    </bk>
    <bk>
      <rc t="2" v="2956"/>
    </bk>
    <bk>
      <rc t="2" v="2957"/>
    </bk>
    <bk>
      <rc t="2" v="2958"/>
    </bk>
    <bk>
      <rc t="2" v="2959"/>
    </bk>
    <bk>
      <rc t="2" v="2960"/>
    </bk>
    <bk>
      <rc t="2" v="2961"/>
    </bk>
    <bk>
      <rc t="2" v="2962"/>
    </bk>
    <bk>
      <rc t="2" v="2963"/>
    </bk>
    <bk>
      <rc t="2" v="2964"/>
    </bk>
    <bk>
      <rc t="2" v="2965"/>
    </bk>
    <bk>
      <rc t="2" v="2966"/>
    </bk>
    <bk>
      <rc t="2" v="2967"/>
    </bk>
    <bk>
      <rc t="2" v="2968"/>
    </bk>
    <bk>
      <rc t="2" v="2969"/>
    </bk>
    <bk>
      <rc t="2" v="2970"/>
    </bk>
    <bk>
      <rc t="2" v="2971"/>
    </bk>
    <bk>
      <rc t="2" v="2972"/>
    </bk>
    <bk>
      <rc t="2" v="2973"/>
    </bk>
    <bk>
      <rc t="2" v="2974"/>
    </bk>
    <bk>
      <rc t="2" v="2975"/>
    </bk>
    <bk>
      <rc t="2" v="2976"/>
    </bk>
    <bk>
      <rc t="2" v="2977"/>
    </bk>
    <bk>
      <rc t="2" v="2978"/>
    </bk>
    <bk>
      <rc t="2" v="2979"/>
    </bk>
    <bk>
      <rc t="2" v="2980"/>
    </bk>
    <bk>
      <rc t="2" v="2981"/>
    </bk>
    <bk>
      <rc t="2" v="2982"/>
    </bk>
    <bk>
      <rc t="2" v="2983"/>
    </bk>
    <bk>
      <rc t="2" v="2984"/>
    </bk>
    <bk>
      <rc t="2" v="2985"/>
    </bk>
    <bk>
      <rc t="2" v="2986"/>
    </bk>
    <bk>
      <rc t="2" v="2987"/>
    </bk>
    <bk>
      <rc t="2" v="2988"/>
    </bk>
    <bk>
      <rc t="2" v="2989"/>
    </bk>
    <bk>
      <rc t="2" v="2990"/>
    </bk>
    <bk>
      <rc t="2" v="2991"/>
    </bk>
    <bk>
      <rc t="2" v="2992"/>
    </bk>
    <bk>
      <rc t="2" v="2993"/>
    </bk>
    <bk>
      <rc t="2" v="2994"/>
    </bk>
    <bk>
      <rc t="2" v="2995"/>
    </bk>
    <bk>
      <rc t="2" v="2996"/>
    </bk>
    <bk>
      <rc t="2" v="2997"/>
    </bk>
    <bk>
      <rc t="2" v="2998"/>
    </bk>
    <bk>
      <rc t="2" v="2999"/>
    </bk>
    <bk>
      <rc t="2" v="3000"/>
    </bk>
    <bk>
      <rc t="2" v="3001"/>
    </bk>
    <bk>
      <rc t="2" v="3002"/>
    </bk>
    <bk>
      <rc t="2" v="3003"/>
    </bk>
    <bk>
      <rc t="2" v="3004"/>
    </bk>
    <bk>
      <rc t="2" v="3005"/>
    </bk>
    <bk>
      <rc t="2" v="3006"/>
    </bk>
    <bk>
      <rc t="2" v="3007"/>
    </bk>
    <bk>
      <rc t="2" v="3008"/>
    </bk>
    <bk>
      <rc t="2" v="3009"/>
    </bk>
    <bk>
      <rc t="2" v="3010"/>
    </bk>
    <bk>
      <rc t="2" v="3011"/>
    </bk>
    <bk>
      <rc t="2" v="3012"/>
    </bk>
    <bk>
      <rc t="2" v="3013"/>
    </bk>
    <bk>
      <rc t="2" v="3014"/>
    </bk>
    <bk>
      <rc t="2" v="3015"/>
    </bk>
    <bk>
      <rc t="2" v="3016"/>
    </bk>
    <bk>
      <rc t="2" v="3017"/>
    </bk>
    <bk>
      <rc t="2" v="3018"/>
    </bk>
    <bk>
      <rc t="2" v="3019"/>
    </bk>
    <bk>
      <rc t="2" v="3020"/>
    </bk>
    <bk>
      <rc t="2" v="3021"/>
    </bk>
    <bk>
      <rc t="2" v="3022"/>
    </bk>
    <bk>
      <rc t="2" v="3023"/>
    </bk>
    <bk>
      <rc t="2" v="3024"/>
    </bk>
    <bk>
      <rc t="2" v="3025"/>
    </bk>
    <bk>
      <rc t="2" v="3026"/>
    </bk>
    <bk>
      <rc t="2" v="3027"/>
    </bk>
    <bk>
      <rc t="2" v="3028"/>
    </bk>
    <bk>
      <rc t="2" v="3029"/>
    </bk>
    <bk>
      <rc t="2" v="3030"/>
    </bk>
    <bk>
      <rc t="2" v="3031"/>
    </bk>
    <bk>
      <rc t="2" v="3032"/>
    </bk>
    <bk>
      <rc t="2" v="3033"/>
    </bk>
    <bk>
      <rc t="2" v="3034"/>
    </bk>
    <bk>
      <rc t="2" v="3035"/>
    </bk>
    <bk>
      <rc t="2" v="3036"/>
    </bk>
    <bk>
      <rc t="2" v="3037"/>
    </bk>
    <bk>
      <rc t="2" v="3038"/>
    </bk>
    <bk>
      <rc t="2" v="3039"/>
    </bk>
    <bk>
      <rc t="2" v="3040"/>
    </bk>
    <bk>
      <rc t="2" v="3041"/>
    </bk>
    <bk>
      <rc t="2" v="3042"/>
    </bk>
    <bk>
      <rc t="2" v="3043"/>
    </bk>
    <bk>
      <rc t="2" v="3044"/>
    </bk>
    <bk>
      <rc t="2" v="3045"/>
    </bk>
    <bk>
      <rc t="2" v="3046"/>
    </bk>
    <bk>
      <rc t="2" v="3047"/>
    </bk>
    <bk>
      <rc t="2" v="3048"/>
    </bk>
    <bk>
      <rc t="2" v="3049"/>
    </bk>
    <bk>
      <rc t="2" v="3050"/>
    </bk>
    <bk>
      <rc t="2" v="3051"/>
    </bk>
    <bk>
      <rc t="2" v="3052"/>
    </bk>
    <bk>
      <rc t="2" v="3053"/>
    </bk>
    <bk>
      <rc t="2" v="3054"/>
    </bk>
    <bk>
      <rc t="2" v="3055"/>
    </bk>
    <bk>
      <rc t="2" v="3056"/>
    </bk>
    <bk>
      <rc t="2" v="3057"/>
    </bk>
    <bk>
      <rc t="2" v="3058"/>
    </bk>
    <bk>
      <rc t="2" v="3059"/>
    </bk>
    <bk>
      <rc t="2" v="3060"/>
    </bk>
    <bk>
      <rc t="2" v="3061"/>
    </bk>
    <bk>
      <rc t="2" v="3062"/>
    </bk>
    <bk>
      <rc t="2" v="3063"/>
    </bk>
    <bk>
      <rc t="2" v="3064"/>
    </bk>
    <bk>
      <rc t="2" v="3065"/>
    </bk>
    <bk>
      <rc t="2" v="3066"/>
    </bk>
    <bk>
      <rc t="2" v="3067"/>
    </bk>
    <bk>
      <rc t="2" v="3068"/>
    </bk>
    <bk>
      <rc t="2" v="3069"/>
    </bk>
    <bk>
      <rc t="2" v="3070"/>
    </bk>
    <bk>
      <rc t="2" v="3071"/>
    </bk>
    <bk>
      <rc t="2" v="3072"/>
    </bk>
    <bk>
      <rc t="2" v="3073"/>
    </bk>
    <bk>
      <rc t="2" v="3074"/>
    </bk>
    <bk>
      <rc t="2" v="3075"/>
    </bk>
    <bk>
      <rc t="2" v="3076"/>
    </bk>
    <bk>
      <rc t="2" v="3077"/>
    </bk>
    <bk>
      <rc t="2" v="3078"/>
    </bk>
    <bk>
      <rc t="2" v="3079"/>
    </bk>
    <bk>
      <rc t="2" v="3080"/>
    </bk>
    <bk>
      <rc t="2" v="3081"/>
    </bk>
    <bk>
      <rc t="2" v="3082"/>
    </bk>
    <bk>
      <rc t="2" v="3083"/>
    </bk>
    <bk>
      <rc t="2" v="3084"/>
    </bk>
    <bk>
      <rc t="2" v="3085"/>
    </bk>
    <bk>
      <rc t="2" v="3086"/>
    </bk>
    <bk>
      <rc t="2" v="3087"/>
    </bk>
    <bk>
      <rc t="2" v="3088"/>
    </bk>
    <bk>
      <rc t="2" v="3089"/>
    </bk>
    <bk>
      <rc t="2" v="3090"/>
    </bk>
    <bk>
      <rc t="2" v="3091"/>
    </bk>
    <bk>
      <rc t="2" v="3092"/>
    </bk>
    <bk>
      <rc t="2" v="3093"/>
    </bk>
    <bk>
      <rc t="2" v="3094"/>
    </bk>
    <bk>
      <rc t="2" v="3095"/>
    </bk>
    <bk>
      <rc t="2" v="3096"/>
    </bk>
    <bk>
      <rc t="2" v="3097"/>
    </bk>
    <bk>
      <rc t="2" v="3098"/>
    </bk>
    <bk>
      <rc t="2" v="3099"/>
    </bk>
    <bk>
      <rc t="2" v="3100"/>
    </bk>
    <bk>
      <rc t="2" v="3101"/>
    </bk>
    <bk>
      <rc t="2" v="3102"/>
    </bk>
    <bk>
      <rc t="2" v="3103"/>
    </bk>
    <bk>
      <rc t="2" v="3104"/>
    </bk>
    <bk>
      <rc t="2" v="3105"/>
    </bk>
    <bk>
      <rc t="2" v="3106"/>
    </bk>
    <bk>
      <rc t="2" v="3107"/>
    </bk>
    <bk>
      <rc t="2" v="3108"/>
    </bk>
    <bk>
      <rc t="2" v="3109"/>
    </bk>
    <bk>
      <rc t="2" v="3110"/>
    </bk>
    <bk>
      <rc t="2" v="3111"/>
    </bk>
    <bk>
      <rc t="2" v="3112"/>
    </bk>
    <bk>
      <rc t="2" v="3113"/>
    </bk>
    <bk>
      <rc t="2" v="3114"/>
    </bk>
    <bk>
      <rc t="2" v="3115"/>
    </bk>
    <bk>
      <rc t="2" v="3116"/>
    </bk>
    <bk>
      <rc t="2" v="3117"/>
    </bk>
    <bk>
      <rc t="2" v="3118"/>
    </bk>
    <bk>
      <rc t="2" v="3119"/>
    </bk>
    <bk>
      <rc t="2" v="3120"/>
    </bk>
    <bk>
      <rc t="2" v="3121"/>
    </bk>
    <bk>
      <rc t="2" v="3122"/>
    </bk>
    <bk>
      <rc t="2" v="3123"/>
    </bk>
    <bk>
      <rc t="2" v="3124"/>
    </bk>
    <bk>
      <rc t="2" v="3125"/>
    </bk>
    <bk>
      <rc t="2" v="3126"/>
    </bk>
    <bk>
      <rc t="2" v="3127"/>
    </bk>
    <bk>
      <rc t="2" v="3128"/>
    </bk>
    <bk>
      <rc t="2" v="3129"/>
    </bk>
    <bk>
      <rc t="2" v="3130"/>
    </bk>
    <bk>
      <rc t="2" v="3131"/>
    </bk>
    <bk>
      <rc t="2" v="3132"/>
    </bk>
    <bk>
      <rc t="2" v="3133"/>
    </bk>
    <bk>
      <rc t="2" v="3134"/>
    </bk>
    <bk>
      <rc t="2" v="3135"/>
    </bk>
    <bk>
      <rc t="2" v="3136"/>
    </bk>
    <bk>
      <rc t="2" v="3137"/>
    </bk>
    <bk>
      <rc t="2" v="3138"/>
    </bk>
    <bk>
      <rc t="2" v="3139"/>
    </bk>
    <bk>
      <rc t="2" v="3140"/>
    </bk>
    <bk>
      <rc t="2" v="3141"/>
    </bk>
    <bk>
      <rc t="2" v="3142"/>
    </bk>
    <bk>
      <rc t="2" v="3143"/>
    </bk>
    <bk>
      <rc t="2" v="3144"/>
    </bk>
    <bk>
      <rc t="2" v="3145"/>
    </bk>
    <bk>
      <rc t="2" v="3146"/>
    </bk>
    <bk>
      <rc t="2" v="3147"/>
    </bk>
    <bk>
      <rc t="2" v="3148"/>
    </bk>
    <bk>
      <rc t="2" v="3149"/>
    </bk>
    <bk>
      <rc t="2" v="3150"/>
    </bk>
    <bk>
      <rc t="2" v="3151"/>
    </bk>
    <bk>
      <rc t="2" v="3152"/>
    </bk>
    <bk>
      <rc t="2" v="3153"/>
    </bk>
    <bk>
      <rc t="2" v="3154"/>
    </bk>
    <bk>
      <rc t="2" v="3155"/>
    </bk>
    <bk>
      <rc t="2" v="3156"/>
    </bk>
    <bk>
      <rc t="2" v="3157"/>
    </bk>
    <bk>
      <rc t="2" v="3158"/>
    </bk>
    <bk>
      <rc t="2" v="3159"/>
    </bk>
    <bk>
      <rc t="2" v="3160"/>
    </bk>
    <bk>
      <rc t="2" v="3161"/>
    </bk>
    <bk>
      <rc t="2" v="3162"/>
    </bk>
    <bk>
      <rc t="2" v="3163"/>
    </bk>
    <bk>
      <rc t="2" v="3164"/>
    </bk>
    <bk>
      <rc t="2" v="3165"/>
    </bk>
    <bk>
      <rc t="2" v="3166"/>
    </bk>
    <bk>
      <rc t="2" v="3167"/>
    </bk>
    <bk>
      <rc t="2" v="3168"/>
    </bk>
    <bk>
      <rc t="2" v="3169"/>
    </bk>
    <bk>
      <rc t="2" v="3170"/>
    </bk>
    <bk>
      <rc t="2" v="3171"/>
    </bk>
    <bk>
      <rc t="2" v="3172"/>
    </bk>
    <bk>
      <rc t="2" v="3173"/>
    </bk>
    <bk>
      <rc t="2" v="3174"/>
    </bk>
    <bk>
      <rc t="2" v="3175"/>
    </bk>
    <bk>
      <rc t="2" v="3176"/>
    </bk>
    <bk>
      <rc t="2" v="3177"/>
    </bk>
    <bk>
      <rc t="2" v="3178"/>
    </bk>
    <bk>
      <rc t="2" v="3179"/>
    </bk>
    <bk>
      <rc t="2" v="3180"/>
    </bk>
    <bk>
      <rc t="2" v="3181"/>
    </bk>
    <bk>
      <rc t="2" v="3182"/>
    </bk>
    <bk>
      <rc t="2" v="3183"/>
    </bk>
    <bk>
      <rc t="2" v="3184"/>
    </bk>
    <bk>
      <rc t="2" v="3185"/>
    </bk>
    <bk>
      <rc t="2" v="3186"/>
    </bk>
    <bk>
      <rc t="2" v="3187"/>
    </bk>
    <bk>
      <rc t="2" v="3188"/>
    </bk>
    <bk>
      <rc t="2" v="3189"/>
    </bk>
    <bk>
      <rc t="2" v="3190"/>
    </bk>
    <bk>
      <rc t="2" v="3191"/>
    </bk>
    <bk>
      <rc t="2" v="3192"/>
    </bk>
    <bk>
      <rc t="2" v="3193"/>
    </bk>
    <bk>
      <rc t="2" v="3194"/>
    </bk>
    <bk>
      <rc t="2" v="3195"/>
    </bk>
    <bk>
      <rc t="2" v="3196"/>
    </bk>
    <bk>
      <rc t="2" v="3197"/>
    </bk>
    <bk>
      <rc t="2" v="3198"/>
    </bk>
    <bk>
      <rc t="2" v="3199"/>
    </bk>
    <bk>
      <rc t="2" v="3200"/>
    </bk>
    <bk>
      <rc t="2" v="3201"/>
    </bk>
    <bk>
      <rc t="2" v="3202"/>
    </bk>
    <bk>
      <rc t="2" v="3203"/>
    </bk>
    <bk>
      <rc t="2" v="3204"/>
    </bk>
    <bk>
      <rc t="2" v="3205"/>
    </bk>
    <bk>
      <rc t="2" v="3206"/>
    </bk>
    <bk>
      <rc t="2" v="3207"/>
    </bk>
    <bk>
      <rc t="2" v="3208"/>
    </bk>
    <bk>
      <rc t="2" v="3209"/>
    </bk>
    <bk>
      <rc t="2" v="3210"/>
    </bk>
    <bk>
      <rc t="2" v="3211"/>
    </bk>
    <bk>
      <rc t="2" v="3212"/>
    </bk>
    <bk>
      <rc t="2" v="3213"/>
    </bk>
    <bk>
      <rc t="2" v="3214"/>
    </bk>
    <bk>
      <rc t="2" v="3215"/>
    </bk>
    <bk>
      <rc t="2" v="3216"/>
    </bk>
    <bk>
      <rc t="2" v="3217"/>
    </bk>
    <bk>
      <rc t="2" v="3218"/>
    </bk>
    <bk>
      <rc t="2" v="3219"/>
    </bk>
    <bk>
      <rc t="2" v="3220"/>
    </bk>
    <bk>
      <rc t="2" v="3221"/>
    </bk>
    <bk>
      <rc t="2" v="3222"/>
    </bk>
    <bk>
      <rc t="2" v="3223"/>
    </bk>
    <bk>
      <rc t="2" v="3224"/>
    </bk>
    <bk>
      <rc t="2" v="3225"/>
    </bk>
    <bk>
      <rc t="2" v="3226"/>
    </bk>
    <bk>
      <rc t="2" v="3227"/>
    </bk>
    <bk>
      <rc t="2" v="3228"/>
    </bk>
    <bk>
      <rc t="2" v="3229"/>
    </bk>
    <bk>
      <rc t="2" v="3230"/>
    </bk>
    <bk>
      <rc t="2" v="3231"/>
    </bk>
    <bk>
      <rc t="2" v="3232"/>
    </bk>
    <bk>
      <rc t="2" v="3233"/>
    </bk>
    <bk>
      <rc t="2" v="3234"/>
    </bk>
    <bk>
      <rc t="2" v="3235"/>
    </bk>
    <bk>
      <rc t="2" v="3236"/>
    </bk>
    <bk>
      <rc t="2" v="3237"/>
    </bk>
    <bk>
      <rc t="2" v="3238"/>
    </bk>
    <bk>
      <rc t="2" v="3239"/>
    </bk>
    <bk>
      <rc t="2" v="3240"/>
    </bk>
    <bk>
      <rc t="2" v="3241"/>
    </bk>
    <bk>
      <rc t="2" v="3242"/>
    </bk>
    <bk>
      <rc t="2" v="3243"/>
    </bk>
    <bk>
      <rc t="2" v="3244"/>
    </bk>
    <bk>
      <rc t="2" v="3245"/>
    </bk>
    <bk>
      <rc t="2" v="3246"/>
    </bk>
    <bk>
      <rc t="2" v="3247"/>
    </bk>
    <bk>
      <rc t="2" v="3248"/>
    </bk>
    <bk>
      <rc t="2" v="3249"/>
    </bk>
    <bk>
      <rc t="2" v="3250"/>
    </bk>
    <bk>
      <rc t="2" v="3251"/>
    </bk>
    <bk>
      <rc t="2" v="3252"/>
    </bk>
    <bk>
      <rc t="2" v="3253"/>
    </bk>
    <bk>
      <rc t="2" v="3254"/>
    </bk>
    <bk>
      <rc t="2" v="3255"/>
    </bk>
    <bk>
      <rc t="2" v="3256"/>
    </bk>
    <bk>
      <rc t="2" v="3257"/>
    </bk>
    <bk>
      <rc t="2" v="3258"/>
    </bk>
    <bk>
      <rc t="2" v="3259"/>
    </bk>
    <bk>
      <rc t="2" v="3260"/>
    </bk>
    <bk>
      <rc t="2" v="3261"/>
    </bk>
    <bk>
      <rc t="2" v="3262"/>
    </bk>
    <bk>
      <rc t="2" v="3263"/>
    </bk>
    <bk>
      <rc t="2" v="3264"/>
    </bk>
    <bk>
      <rc t="2" v="3265"/>
    </bk>
    <bk>
      <rc t="2" v="3266"/>
    </bk>
    <bk>
      <rc t="2" v="3267"/>
    </bk>
    <bk>
      <rc t="2" v="3268"/>
    </bk>
    <bk>
      <rc t="2" v="3269"/>
    </bk>
    <bk>
      <rc t="2" v="3270"/>
    </bk>
    <bk>
      <rc t="2" v="3271"/>
    </bk>
    <bk>
      <rc t="2" v="3272"/>
    </bk>
    <bk>
      <rc t="2" v="3273"/>
    </bk>
    <bk>
      <rc t="2" v="3274"/>
    </bk>
    <bk>
      <rc t="2" v="3275"/>
    </bk>
    <bk>
      <rc t="2" v="3276"/>
    </bk>
    <bk>
      <rc t="2" v="3277"/>
    </bk>
    <bk>
      <rc t="2" v="3278"/>
    </bk>
    <bk>
      <rc t="2" v="3279"/>
    </bk>
    <bk>
      <rc t="2" v="3280"/>
    </bk>
    <bk>
      <rc t="2" v="3281"/>
    </bk>
    <bk>
      <rc t="2" v="3282"/>
    </bk>
    <bk>
      <rc t="2" v="3283"/>
    </bk>
    <bk>
      <rc t="2" v="3284"/>
    </bk>
    <bk>
      <rc t="2" v="3285"/>
    </bk>
    <bk>
      <rc t="2" v="3286"/>
    </bk>
    <bk>
      <rc t="2" v="3287"/>
    </bk>
    <bk>
      <rc t="2" v="3288"/>
    </bk>
    <bk>
      <rc t="2" v="3289"/>
    </bk>
    <bk>
      <rc t="2" v="3290"/>
    </bk>
    <bk>
      <rc t="2" v="3291"/>
    </bk>
    <bk>
      <rc t="2" v="3292"/>
    </bk>
    <bk>
      <rc t="2" v="3293"/>
    </bk>
    <bk>
      <rc t="2" v="3294"/>
    </bk>
    <bk>
      <rc t="2" v="3295"/>
    </bk>
    <bk>
      <rc t="2" v="3296"/>
    </bk>
    <bk>
      <rc t="2" v="3297"/>
    </bk>
    <bk>
      <rc t="2" v="3298"/>
    </bk>
    <bk>
      <rc t="2" v="3299"/>
    </bk>
    <bk>
      <rc t="2" v="3300"/>
    </bk>
    <bk>
      <rc t="2" v="3301"/>
    </bk>
    <bk>
      <rc t="2" v="3302"/>
    </bk>
    <bk>
      <rc t="2" v="3303"/>
    </bk>
    <bk>
      <rc t="2" v="3304"/>
    </bk>
    <bk>
      <rc t="2" v="3305"/>
    </bk>
    <bk>
      <rc t="2" v="3306"/>
    </bk>
    <bk>
      <rc t="2" v="3307"/>
    </bk>
    <bk>
      <rc t="2" v="3308"/>
    </bk>
    <bk>
      <rc t="2" v="3309"/>
    </bk>
    <bk>
      <rc t="2" v="3310"/>
    </bk>
    <bk>
      <rc t="2" v="3311"/>
    </bk>
    <bk>
      <rc t="2" v="3312"/>
    </bk>
    <bk>
      <rc t="2" v="3313"/>
    </bk>
    <bk>
      <rc t="2" v="3314"/>
    </bk>
    <bk>
      <rc t="2" v="3315"/>
    </bk>
    <bk>
      <rc t="2" v="3316"/>
    </bk>
    <bk>
      <rc t="2" v="3317"/>
    </bk>
    <bk>
      <rc t="2" v="3318"/>
    </bk>
    <bk>
      <rc t="2" v="3319"/>
    </bk>
    <bk>
      <rc t="2" v="3320"/>
    </bk>
    <bk>
      <rc t="2" v="3321"/>
    </bk>
    <bk>
      <rc t="2" v="3322"/>
    </bk>
    <bk>
      <rc t="2" v="3323"/>
    </bk>
    <bk>
      <rc t="2" v="3324"/>
    </bk>
    <bk>
      <rc t="2" v="3325"/>
    </bk>
    <bk>
      <rc t="2" v="3326"/>
    </bk>
    <bk>
      <rc t="2" v="3327"/>
    </bk>
    <bk>
      <rc t="2" v="3328"/>
    </bk>
    <bk>
      <rc t="2" v="3329"/>
    </bk>
    <bk>
      <rc t="2" v="3330"/>
    </bk>
    <bk>
      <rc t="2" v="3331"/>
    </bk>
    <bk>
      <rc t="2" v="3332"/>
    </bk>
    <bk>
      <rc t="2" v="3333"/>
    </bk>
    <bk>
      <rc t="2" v="3334"/>
    </bk>
    <bk>
      <rc t="2" v="3335"/>
    </bk>
    <bk>
      <rc t="2" v="3336"/>
    </bk>
    <bk>
      <rc t="2" v="3337"/>
    </bk>
    <bk>
      <rc t="2" v="3338"/>
    </bk>
    <bk>
      <rc t="2" v="3339"/>
    </bk>
    <bk>
      <rc t="2" v="3340"/>
    </bk>
    <bk>
      <rc t="2" v="3341"/>
    </bk>
    <bk>
      <rc t="2" v="3342"/>
    </bk>
    <bk>
      <rc t="2" v="3343"/>
    </bk>
    <bk>
      <rc t="2" v="3344"/>
    </bk>
    <bk>
      <rc t="2" v="3345"/>
    </bk>
    <bk>
      <rc t="2" v="3346"/>
    </bk>
    <bk>
      <rc t="2" v="3347"/>
    </bk>
    <bk>
      <rc t="2" v="3348"/>
    </bk>
    <bk>
      <rc t="2" v="3349"/>
    </bk>
    <bk>
      <rc t="2" v="3350"/>
    </bk>
    <bk>
      <rc t="2" v="3351"/>
    </bk>
    <bk>
      <rc t="2" v="3352"/>
    </bk>
    <bk>
      <rc t="2" v="3353"/>
    </bk>
    <bk>
      <rc t="2" v="3354"/>
    </bk>
    <bk>
      <rc t="2" v="3355"/>
    </bk>
    <bk>
      <rc t="2" v="3356"/>
    </bk>
    <bk>
      <rc t="2" v="3357"/>
    </bk>
    <bk>
      <rc t="2" v="3358"/>
    </bk>
    <bk>
      <rc t="2" v="3359"/>
    </bk>
    <bk>
      <rc t="2" v="3360"/>
    </bk>
    <bk>
      <rc t="2" v="3361"/>
    </bk>
    <bk>
      <rc t="2" v="3362"/>
    </bk>
    <bk>
      <rc t="2" v="3363"/>
    </bk>
    <bk>
      <rc t="2" v="3364"/>
    </bk>
    <bk>
      <rc t="2" v="3365"/>
    </bk>
    <bk>
      <rc t="2" v="3366"/>
    </bk>
    <bk>
      <rc t="2" v="3367"/>
    </bk>
    <bk>
      <rc t="2" v="3368"/>
    </bk>
    <bk>
      <rc t="2" v="3369"/>
    </bk>
    <bk>
      <rc t="2" v="3370"/>
    </bk>
    <bk>
      <rc t="2" v="3371"/>
    </bk>
    <bk>
      <rc t="2" v="3372"/>
    </bk>
    <bk>
      <rc t="2" v="3373"/>
    </bk>
    <bk>
      <rc t="2" v="3374"/>
    </bk>
    <bk>
      <rc t="2" v="3375"/>
    </bk>
    <bk>
      <rc t="2" v="3376"/>
    </bk>
    <bk>
      <rc t="2" v="3377"/>
    </bk>
    <bk>
      <rc t="2" v="3378"/>
    </bk>
    <bk>
      <rc t="2" v="3379"/>
    </bk>
    <bk>
      <rc t="2" v="3380"/>
    </bk>
    <bk>
      <rc t="2" v="3381"/>
    </bk>
    <bk>
      <rc t="2" v="3382"/>
    </bk>
    <bk>
      <rc t="2" v="3383"/>
    </bk>
    <bk>
      <rc t="2" v="3384"/>
    </bk>
    <bk>
      <rc t="2" v="3385"/>
    </bk>
    <bk>
      <rc t="2" v="3386"/>
    </bk>
    <bk>
      <rc t="2" v="3387"/>
    </bk>
    <bk>
      <rc t="2" v="3388"/>
    </bk>
    <bk>
      <rc t="2" v="3389"/>
    </bk>
    <bk>
      <rc t="2" v="3390"/>
    </bk>
    <bk>
      <rc t="2" v="3391"/>
    </bk>
    <bk>
      <rc t="2" v="3392"/>
    </bk>
    <bk>
      <rc t="2" v="3393"/>
    </bk>
    <bk>
      <rc t="2" v="3394"/>
    </bk>
    <bk>
      <rc t="2" v="3395"/>
    </bk>
    <bk>
      <rc t="2" v="3396"/>
    </bk>
    <bk>
      <rc t="2" v="3397"/>
    </bk>
    <bk>
      <rc t="2" v="3398"/>
    </bk>
    <bk>
      <rc t="2" v="3399"/>
    </bk>
    <bk>
      <rc t="2" v="3400"/>
    </bk>
    <bk>
      <rc t="2" v="3401"/>
    </bk>
    <bk>
      <rc t="2" v="3402"/>
    </bk>
    <bk>
      <rc t="2" v="3403"/>
    </bk>
    <bk>
      <rc t="2" v="3404"/>
    </bk>
    <bk>
      <rc t="2" v="3405"/>
    </bk>
    <bk>
      <rc t="2" v="3406"/>
    </bk>
    <bk>
      <rc t="2" v="3407"/>
    </bk>
    <bk>
      <rc t="2" v="3408"/>
    </bk>
    <bk>
      <rc t="2" v="3409"/>
    </bk>
    <bk>
      <rc t="2" v="3410"/>
    </bk>
    <bk>
      <rc t="2" v="3411"/>
    </bk>
    <bk>
      <rc t="2" v="3412"/>
    </bk>
    <bk>
      <rc t="2" v="3413"/>
    </bk>
    <bk>
      <rc t="2" v="3414"/>
    </bk>
    <bk>
      <rc t="2" v="3415"/>
    </bk>
    <bk>
      <rc t="2" v="3416"/>
    </bk>
    <bk>
      <rc t="2" v="3417"/>
    </bk>
    <bk>
      <rc t="2" v="3418"/>
    </bk>
    <bk>
      <rc t="2" v="3419"/>
    </bk>
    <bk>
      <rc t="2" v="3420"/>
    </bk>
    <bk>
      <rc t="2" v="3421"/>
    </bk>
    <bk>
      <rc t="2" v="3422"/>
    </bk>
    <bk>
      <rc t="2" v="3423"/>
    </bk>
    <bk>
      <rc t="2" v="3424"/>
    </bk>
    <bk>
      <rc t="2" v="3425"/>
    </bk>
    <bk>
      <rc t="2" v="3426"/>
    </bk>
    <bk>
      <rc t="2" v="3427"/>
    </bk>
    <bk>
      <rc t="2" v="3428"/>
    </bk>
    <bk>
      <rc t="2" v="3429"/>
    </bk>
    <bk>
      <rc t="2" v="3430"/>
    </bk>
    <bk>
      <rc t="2" v="3431"/>
    </bk>
    <bk>
      <rc t="2" v="3432"/>
    </bk>
    <bk>
      <rc t="2" v="3433"/>
    </bk>
    <bk>
      <rc t="2" v="3434"/>
    </bk>
    <bk>
      <rc t="2" v="3435"/>
    </bk>
    <bk>
      <rc t="2" v="3436"/>
    </bk>
    <bk>
      <rc t="2" v="3437"/>
    </bk>
    <bk>
      <rc t="2" v="3438"/>
    </bk>
    <bk>
      <rc t="2" v="3439"/>
    </bk>
    <bk>
      <rc t="2" v="3440"/>
    </bk>
    <bk>
      <rc t="2" v="3441"/>
    </bk>
    <bk>
      <rc t="2" v="3442"/>
    </bk>
    <bk>
      <rc t="2" v="3443"/>
    </bk>
    <bk>
      <rc t="2" v="3444"/>
    </bk>
    <bk>
      <rc t="2" v="3445"/>
    </bk>
    <bk>
      <rc t="2" v="3446"/>
    </bk>
    <bk>
      <rc t="2" v="3447"/>
    </bk>
    <bk>
      <rc t="2" v="3448"/>
    </bk>
    <bk>
      <rc t="2" v="3449"/>
    </bk>
    <bk>
      <rc t="2" v="3450"/>
    </bk>
    <bk>
      <rc t="2" v="3451"/>
    </bk>
    <bk>
      <rc t="2" v="3452"/>
    </bk>
    <bk>
      <rc t="2" v="3453"/>
    </bk>
    <bk>
      <rc t="2" v="3454"/>
    </bk>
    <bk>
      <rc t="2" v="3455"/>
    </bk>
    <bk>
      <rc t="2" v="3456"/>
    </bk>
    <bk>
      <rc t="2" v="3457"/>
    </bk>
    <bk>
      <rc t="2" v="3458"/>
    </bk>
    <bk>
      <rc t="2" v="3459"/>
    </bk>
    <bk>
      <rc t="2" v="3460"/>
    </bk>
    <bk>
      <rc t="2" v="3461"/>
    </bk>
    <bk>
      <rc t="2" v="3462"/>
    </bk>
    <bk>
      <rc t="2" v="3463"/>
    </bk>
    <bk>
      <rc t="2" v="3464"/>
    </bk>
    <bk>
      <rc t="2" v="3465"/>
    </bk>
    <bk>
      <rc t="2" v="3466"/>
    </bk>
    <bk>
      <rc t="2" v="3467"/>
    </bk>
    <bk>
      <rc t="2" v="3468"/>
    </bk>
    <bk>
      <rc t="2" v="3469"/>
    </bk>
    <bk>
      <rc t="2" v="3470"/>
    </bk>
    <bk>
      <rc t="2" v="3471"/>
    </bk>
    <bk>
      <rc t="2" v="3472"/>
    </bk>
    <bk>
      <rc t="2" v="3473"/>
    </bk>
    <bk>
      <rc t="2" v="3474"/>
    </bk>
    <bk>
      <rc t="2" v="3475"/>
    </bk>
    <bk>
      <rc t="2" v="3476"/>
    </bk>
    <bk>
      <rc t="2" v="3477"/>
    </bk>
    <bk>
      <rc t="2" v="3478"/>
    </bk>
    <bk>
      <rc t="2" v="3479"/>
    </bk>
    <bk>
      <rc t="2" v="3480"/>
    </bk>
    <bk>
      <rc t="2" v="3481"/>
    </bk>
    <bk>
      <rc t="2" v="3482"/>
    </bk>
    <bk>
      <rc t="2" v="3483"/>
    </bk>
    <bk>
      <rc t="2" v="3484"/>
    </bk>
    <bk>
      <rc t="2" v="3485"/>
    </bk>
    <bk>
      <rc t="2" v="3486"/>
    </bk>
    <bk>
      <rc t="2" v="3487"/>
    </bk>
    <bk>
      <rc t="2" v="3488"/>
    </bk>
    <bk>
      <rc t="2" v="3489"/>
    </bk>
    <bk>
      <rc t="2" v="3490"/>
    </bk>
    <bk>
      <rc t="2" v="3491"/>
    </bk>
    <bk>
      <rc t="2" v="3492"/>
    </bk>
    <bk>
      <rc t="2" v="3493"/>
    </bk>
    <bk>
      <rc t="2" v="3494"/>
    </bk>
    <bk>
      <rc t="2" v="3495"/>
    </bk>
    <bk>
      <rc t="2" v="3496"/>
    </bk>
    <bk>
      <rc t="2" v="3497"/>
    </bk>
    <bk>
      <rc t="2" v="3498"/>
    </bk>
    <bk>
      <rc t="2" v="3499"/>
    </bk>
    <bk>
      <rc t="2" v="3500"/>
    </bk>
    <bk>
      <rc t="2" v="3501"/>
    </bk>
    <bk>
      <rc t="2" v="3502"/>
    </bk>
    <bk>
      <rc t="2" v="3503"/>
    </bk>
    <bk>
      <rc t="2" v="3504"/>
    </bk>
    <bk>
      <rc t="2" v="3505"/>
    </bk>
    <bk>
      <rc t="2" v="3506"/>
    </bk>
    <bk>
      <rc t="2" v="3507"/>
    </bk>
    <bk>
      <rc t="2" v="3508"/>
    </bk>
    <bk>
      <rc t="2" v="3509"/>
    </bk>
    <bk>
      <rc t="2" v="3510"/>
    </bk>
    <bk>
      <rc t="2" v="3511"/>
    </bk>
    <bk>
      <rc t="2" v="3512"/>
    </bk>
    <bk>
      <rc t="2" v="3513"/>
    </bk>
    <bk>
      <rc t="2" v="3514"/>
    </bk>
    <bk>
      <rc t="2" v="3515"/>
    </bk>
    <bk>
      <rc t="2" v="3516"/>
    </bk>
    <bk>
      <rc t="2" v="3517"/>
    </bk>
    <bk>
      <rc t="2" v="3518"/>
    </bk>
    <bk>
      <rc t="2" v="3519"/>
    </bk>
    <bk>
      <rc t="2" v="3520"/>
    </bk>
    <bk>
      <rc t="2" v="3521"/>
    </bk>
    <bk>
      <rc t="2" v="3522"/>
    </bk>
    <bk>
      <rc t="2" v="3523"/>
    </bk>
    <bk>
      <rc t="2" v="3524"/>
    </bk>
    <bk>
      <rc t="2" v="3525"/>
    </bk>
    <bk>
      <rc t="2" v="3526"/>
    </bk>
    <bk>
      <rc t="2" v="3527"/>
    </bk>
    <bk>
      <rc t="2" v="3528"/>
    </bk>
    <bk>
      <rc t="2" v="3529"/>
    </bk>
    <bk>
      <rc t="2" v="3530"/>
    </bk>
    <bk>
      <rc t="2" v="3531"/>
    </bk>
    <bk>
      <rc t="2" v="3532"/>
    </bk>
    <bk>
      <rc t="2" v="3533"/>
    </bk>
    <bk>
      <rc t="2" v="3534"/>
    </bk>
    <bk>
      <rc t="2" v="3535"/>
    </bk>
    <bk>
      <rc t="2" v="3536"/>
    </bk>
    <bk>
      <rc t="2" v="3537"/>
    </bk>
    <bk>
      <rc t="2" v="3538"/>
    </bk>
    <bk>
      <rc t="2" v="3539"/>
    </bk>
    <bk>
      <rc t="2" v="3540"/>
    </bk>
    <bk>
      <rc t="2" v="3541"/>
    </bk>
    <bk>
      <rc t="2" v="3542"/>
    </bk>
    <bk>
      <rc t="2" v="3543"/>
    </bk>
    <bk>
      <rc t="2" v="3544"/>
    </bk>
    <bk>
      <rc t="2" v="3545"/>
    </bk>
    <bk>
      <rc t="2" v="3546"/>
    </bk>
    <bk>
      <rc t="2" v="3547"/>
    </bk>
    <bk>
      <rc t="2" v="3548"/>
    </bk>
    <bk>
      <rc t="2" v="3549"/>
    </bk>
    <bk>
      <rc t="2" v="3550"/>
    </bk>
    <bk>
      <rc t="2" v="3551"/>
    </bk>
    <bk>
      <rc t="2" v="3552"/>
    </bk>
    <bk>
      <rc t="2" v="3553"/>
    </bk>
    <bk>
      <rc t="2" v="3554"/>
    </bk>
    <bk>
      <rc t="2" v="3555"/>
    </bk>
    <bk>
      <rc t="2" v="3556"/>
    </bk>
    <bk>
      <rc t="2" v="3557"/>
    </bk>
    <bk>
      <rc t="2" v="3558"/>
    </bk>
    <bk>
      <rc t="2" v="3559"/>
    </bk>
    <bk>
      <rc t="2" v="3560"/>
    </bk>
    <bk>
      <rc t="2" v="3561"/>
    </bk>
    <bk>
      <rc t="2" v="3562"/>
    </bk>
    <bk>
      <rc t="2" v="3563"/>
    </bk>
    <bk>
      <rc t="2" v="3564"/>
    </bk>
    <bk>
      <rc t="2" v="3565"/>
    </bk>
    <bk>
      <rc t="2" v="3566"/>
    </bk>
    <bk>
      <rc t="2" v="3567"/>
    </bk>
    <bk>
      <rc t="2" v="3568"/>
    </bk>
    <bk>
      <rc t="2" v="3569"/>
    </bk>
    <bk>
      <rc t="2" v="3570"/>
    </bk>
    <bk>
      <rc t="2" v="3571"/>
    </bk>
    <bk>
      <rc t="2" v="3572"/>
    </bk>
    <bk>
      <rc t="2" v="3573"/>
    </bk>
    <bk>
      <rc t="2" v="3574"/>
    </bk>
    <bk>
      <rc t="2" v="3575"/>
    </bk>
    <bk>
      <rc t="2" v="3576"/>
    </bk>
    <bk>
      <rc t="2" v="3577"/>
    </bk>
    <bk>
      <rc t="2" v="3578"/>
    </bk>
    <bk>
      <rc t="2" v="3579"/>
    </bk>
    <bk>
      <rc t="2" v="3580"/>
    </bk>
    <bk>
      <rc t="2" v="3581"/>
    </bk>
    <bk>
      <rc t="2" v="3582"/>
    </bk>
    <bk>
      <rc t="2" v="3583"/>
    </bk>
    <bk>
      <rc t="2" v="3584"/>
    </bk>
    <bk>
      <rc t="2" v="3585"/>
    </bk>
    <bk>
      <rc t="2" v="3586"/>
    </bk>
    <bk>
      <rc t="2" v="3587"/>
    </bk>
    <bk>
      <rc t="2" v="3588"/>
    </bk>
    <bk>
      <rc t="2" v="3589"/>
    </bk>
    <bk>
      <rc t="2" v="3590"/>
    </bk>
    <bk>
      <rc t="2" v="3591"/>
    </bk>
    <bk>
      <rc t="2" v="3592"/>
    </bk>
    <bk>
      <rc t="2" v="3593"/>
    </bk>
    <bk>
      <rc t="2" v="3594"/>
    </bk>
    <bk>
      <rc t="2" v="3595"/>
    </bk>
    <bk>
      <rc t="2" v="3596"/>
    </bk>
    <bk>
      <rc t="2" v="3597"/>
    </bk>
    <bk>
      <rc t="2" v="3598"/>
    </bk>
    <bk>
      <rc t="2" v="3599"/>
    </bk>
    <bk>
      <rc t="2" v="3600"/>
    </bk>
    <bk>
      <rc t="2" v="3601"/>
    </bk>
    <bk>
      <rc t="2" v="3602"/>
    </bk>
    <bk>
      <rc t="2" v="3603"/>
    </bk>
    <bk>
      <rc t="2" v="3604"/>
    </bk>
    <bk>
      <rc t="2" v="3605"/>
    </bk>
    <bk>
      <rc t="2" v="3606"/>
    </bk>
    <bk>
      <rc t="2" v="3607"/>
    </bk>
    <bk>
      <rc t="2" v="3608"/>
    </bk>
    <bk>
      <rc t="2" v="3609"/>
    </bk>
    <bk>
      <rc t="2" v="3610"/>
    </bk>
    <bk>
      <rc t="2" v="3611"/>
    </bk>
    <bk>
      <rc t="2" v="3612"/>
    </bk>
    <bk>
      <rc t="2" v="3613"/>
    </bk>
    <bk>
      <rc t="2" v="3614"/>
    </bk>
    <bk>
      <rc t="2" v="3615"/>
    </bk>
    <bk>
      <rc t="2" v="3616"/>
    </bk>
    <bk>
      <rc t="2" v="3617"/>
    </bk>
    <bk>
      <rc t="2" v="3618"/>
    </bk>
    <bk>
      <rc t="2" v="3619"/>
    </bk>
    <bk>
      <rc t="2" v="3620"/>
    </bk>
    <bk>
      <rc t="2" v="3621"/>
    </bk>
    <bk>
      <rc t="2" v="3622"/>
    </bk>
    <bk>
      <rc t="2" v="3623"/>
    </bk>
    <bk>
      <rc t="2" v="3624"/>
    </bk>
    <bk>
      <rc t="2" v="3625"/>
    </bk>
    <bk>
      <rc t="2" v="3626"/>
    </bk>
    <bk>
      <rc t="2" v="3627"/>
    </bk>
    <bk>
      <rc t="2" v="3628"/>
    </bk>
    <bk>
      <rc t="2" v="3629"/>
    </bk>
    <bk>
      <rc t="2" v="3630"/>
    </bk>
    <bk>
      <rc t="2" v="3631"/>
    </bk>
    <bk>
      <rc t="2" v="3632"/>
    </bk>
    <bk>
      <rc t="2" v="3633"/>
    </bk>
    <bk>
      <rc t="2" v="3634"/>
    </bk>
    <bk>
      <rc t="2" v="3635"/>
    </bk>
    <bk>
      <rc t="2" v="3636"/>
    </bk>
    <bk>
      <rc t="2" v="3637"/>
    </bk>
    <bk>
      <rc t="2" v="3638"/>
    </bk>
    <bk>
      <rc t="2" v="3639"/>
    </bk>
    <bk>
      <rc t="2" v="3640"/>
    </bk>
    <bk>
      <rc t="2" v="3641"/>
    </bk>
    <bk>
      <rc t="2" v="3642"/>
    </bk>
    <bk>
      <rc t="2" v="3643"/>
    </bk>
    <bk>
      <rc t="2" v="3644"/>
    </bk>
    <bk>
      <rc t="2" v="3645"/>
    </bk>
    <bk>
      <rc t="2" v="3646"/>
    </bk>
    <bk>
      <rc t="2" v="3647"/>
    </bk>
    <bk>
      <rc t="2" v="3648"/>
    </bk>
    <bk>
      <rc t="2" v="3649"/>
    </bk>
    <bk>
      <rc t="2" v="3650"/>
    </bk>
    <bk>
      <rc t="2" v="3651"/>
    </bk>
    <bk>
      <rc t="2" v="3652"/>
    </bk>
    <bk>
      <rc t="2" v="3653"/>
    </bk>
    <bk>
      <rc t="2" v="3654"/>
    </bk>
    <bk>
      <rc t="2" v="3655"/>
    </bk>
    <bk>
      <rc t="2" v="3656"/>
    </bk>
    <bk>
      <rc t="2" v="3657"/>
    </bk>
    <bk>
      <rc t="2" v="3658"/>
    </bk>
    <bk>
      <rc t="2" v="3659"/>
    </bk>
    <bk>
      <rc t="2" v="3660"/>
    </bk>
    <bk>
      <rc t="2" v="3661"/>
    </bk>
    <bk>
      <rc t="2" v="3662"/>
    </bk>
    <bk>
      <rc t="2" v="3663"/>
    </bk>
    <bk>
      <rc t="2" v="3664"/>
    </bk>
    <bk>
      <rc t="2" v="3665"/>
    </bk>
    <bk>
      <rc t="2" v="3666"/>
    </bk>
    <bk>
      <rc t="2" v="3667"/>
    </bk>
    <bk>
      <rc t="2" v="3668"/>
    </bk>
    <bk>
      <rc t="2" v="3669"/>
    </bk>
    <bk>
      <rc t="2" v="3670"/>
    </bk>
    <bk>
      <rc t="2" v="3671"/>
    </bk>
    <bk>
      <rc t="2" v="3672"/>
    </bk>
    <bk>
      <rc t="2" v="3673"/>
    </bk>
    <bk>
      <rc t="2" v="3674"/>
    </bk>
    <bk>
      <rc t="2" v="3675"/>
    </bk>
    <bk>
      <rc t="2" v="3676"/>
    </bk>
    <bk>
      <rc t="2" v="3677"/>
    </bk>
    <bk>
      <rc t="2" v="3678"/>
    </bk>
    <bk>
      <rc t="2" v="3679"/>
    </bk>
    <bk>
      <rc t="2" v="3680"/>
    </bk>
    <bk>
      <rc t="2" v="3681"/>
    </bk>
    <bk>
      <rc t="2" v="3682"/>
    </bk>
    <bk>
      <rc t="2" v="3683"/>
    </bk>
    <bk>
      <rc t="2" v="3684"/>
    </bk>
    <bk>
      <rc t="2" v="3685"/>
    </bk>
    <bk>
      <rc t="2" v="3686"/>
    </bk>
    <bk>
      <rc t="2" v="3687"/>
    </bk>
    <bk>
      <rc t="2" v="3688"/>
    </bk>
    <bk>
      <rc t="2" v="3689"/>
    </bk>
    <bk>
      <rc t="2" v="3690"/>
    </bk>
    <bk>
      <rc t="2" v="3691"/>
    </bk>
    <bk>
      <rc t="2" v="3692"/>
    </bk>
    <bk>
      <rc t="2" v="3693"/>
    </bk>
    <bk>
      <rc t="2" v="3694"/>
    </bk>
    <bk>
      <rc t="2" v="3695"/>
    </bk>
    <bk>
      <rc t="2" v="3696"/>
    </bk>
    <bk>
      <rc t="2" v="3697"/>
    </bk>
    <bk>
      <rc t="2" v="3698"/>
    </bk>
    <bk>
      <rc t="2" v="3699"/>
    </bk>
    <bk>
      <rc t="2" v="3700"/>
    </bk>
    <bk>
      <rc t="2" v="3701"/>
    </bk>
    <bk>
      <rc t="2" v="3702"/>
    </bk>
    <bk>
      <rc t="2" v="3703"/>
    </bk>
    <bk>
      <rc t="2" v="3704"/>
    </bk>
    <bk>
      <rc t="2" v="3705"/>
    </bk>
    <bk>
      <rc t="2" v="3706"/>
    </bk>
    <bk>
      <rc t="2" v="3707"/>
    </bk>
    <bk>
      <rc t="2" v="3708"/>
    </bk>
    <bk>
      <rc t="2" v="3709"/>
    </bk>
    <bk>
      <rc t="2" v="3710"/>
    </bk>
    <bk>
      <rc t="2" v="3711"/>
    </bk>
    <bk>
      <rc t="2" v="3712"/>
    </bk>
    <bk>
      <rc t="2" v="3713"/>
    </bk>
    <bk>
      <rc t="2" v="3714"/>
    </bk>
    <bk>
      <rc t="2" v="3715"/>
    </bk>
    <bk>
      <rc t="2" v="3716"/>
    </bk>
    <bk>
      <rc t="2" v="3717"/>
    </bk>
    <bk>
      <rc t="2" v="3718"/>
    </bk>
    <bk>
      <rc t="2" v="3719"/>
    </bk>
    <bk>
      <rc t="2" v="3720"/>
    </bk>
    <bk>
      <rc t="2" v="3721"/>
    </bk>
    <bk>
      <rc t="2" v="3722"/>
    </bk>
    <bk>
      <rc t="2" v="3723"/>
    </bk>
    <bk>
      <rc t="2" v="3724"/>
    </bk>
    <bk>
      <rc t="2" v="3725"/>
    </bk>
    <bk>
      <rc t="2" v="3726"/>
    </bk>
    <bk>
      <rc t="2" v="3727"/>
    </bk>
    <bk>
      <rc t="2" v="3728"/>
    </bk>
    <bk>
      <rc t="2" v="3729"/>
    </bk>
    <bk>
      <rc t="2" v="3730"/>
    </bk>
    <bk>
      <rc t="2" v="3731"/>
    </bk>
    <bk>
      <rc t="2" v="3732"/>
    </bk>
    <bk>
      <rc t="2" v="3733"/>
    </bk>
    <bk>
      <rc t="2" v="3734"/>
    </bk>
    <bk>
      <rc t="2" v="3735"/>
    </bk>
    <bk>
      <rc t="2" v="3736"/>
    </bk>
    <bk>
      <rc t="2" v="3737"/>
    </bk>
    <bk>
      <rc t="2" v="3738"/>
    </bk>
    <bk>
      <rc t="2" v="3739"/>
    </bk>
    <bk>
      <rc t="2" v="3740"/>
    </bk>
    <bk>
      <rc t="2" v="3741"/>
    </bk>
    <bk>
      <rc t="2" v="3742"/>
    </bk>
    <bk>
      <rc t="2" v="3743"/>
    </bk>
    <bk>
      <rc t="2" v="3744"/>
    </bk>
    <bk>
      <rc t="2" v="3745"/>
    </bk>
    <bk>
      <rc t="2" v="3746"/>
    </bk>
    <bk>
      <rc t="2" v="3747"/>
    </bk>
    <bk>
      <rc t="2" v="3748"/>
    </bk>
    <bk>
      <rc t="2" v="3749"/>
    </bk>
    <bk>
      <rc t="2" v="3750"/>
    </bk>
    <bk>
      <rc t="2" v="3751"/>
    </bk>
    <bk>
      <rc t="2" v="3752"/>
    </bk>
    <bk>
      <rc t="2" v="3753"/>
    </bk>
    <bk>
      <rc t="2" v="3754"/>
    </bk>
    <bk>
      <rc t="2" v="3755"/>
    </bk>
    <bk>
      <rc t="2" v="3756"/>
    </bk>
    <bk>
      <rc t="2" v="3757"/>
    </bk>
    <bk>
      <rc t="2" v="3758"/>
    </bk>
    <bk>
      <rc t="2" v="3759"/>
    </bk>
    <bk>
      <rc t="2" v="3760"/>
    </bk>
    <bk>
      <rc t="2" v="3761"/>
    </bk>
    <bk>
      <rc t="2" v="3762"/>
    </bk>
    <bk>
      <rc t="2" v="3763"/>
    </bk>
    <bk>
      <rc t="2" v="3764"/>
    </bk>
    <bk>
      <rc t="2" v="3765"/>
    </bk>
    <bk>
      <rc t="2" v="3766"/>
    </bk>
    <bk>
      <rc t="2" v="3767"/>
    </bk>
    <bk>
      <rc t="2" v="3768"/>
    </bk>
    <bk>
      <rc t="2" v="3769"/>
    </bk>
    <bk>
      <rc t="2" v="3770"/>
    </bk>
    <bk>
      <rc t="2" v="3771"/>
    </bk>
    <bk>
      <rc t="2" v="3772"/>
    </bk>
    <bk>
      <rc t="2" v="3773"/>
    </bk>
    <bk>
      <rc t="2" v="3774"/>
    </bk>
    <bk>
      <rc t="2" v="3775"/>
    </bk>
    <bk>
      <rc t="2" v="3776"/>
    </bk>
    <bk>
      <rc t="2" v="3777"/>
    </bk>
    <bk>
      <rc t="2" v="3778"/>
    </bk>
    <bk>
      <rc t="2" v="3779"/>
    </bk>
    <bk>
      <rc t="2" v="3780"/>
    </bk>
    <bk>
      <rc t="2" v="3781"/>
    </bk>
    <bk>
      <rc t="2" v="3782"/>
    </bk>
    <bk>
      <rc t="2" v="3783"/>
    </bk>
    <bk>
      <rc t="2" v="3784"/>
    </bk>
    <bk>
      <rc t="2" v="3785"/>
    </bk>
    <bk>
      <rc t="2" v="3786"/>
    </bk>
    <bk>
      <rc t="2" v="3787"/>
    </bk>
    <bk>
      <rc t="2" v="3788"/>
    </bk>
    <bk>
      <rc t="2" v="3789"/>
    </bk>
    <bk>
      <rc t="2" v="3790"/>
    </bk>
    <bk>
      <rc t="2" v="3791"/>
    </bk>
    <bk>
      <rc t="2" v="3792"/>
    </bk>
    <bk>
      <rc t="2" v="3793"/>
    </bk>
    <bk>
      <rc t="2" v="3794"/>
    </bk>
    <bk>
      <rc t="2" v="3795"/>
    </bk>
    <bk>
      <rc t="2" v="3796"/>
    </bk>
    <bk>
      <rc t="2" v="3797"/>
    </bk>
    <bk>
      <rc t="2" v="3798"/>
    </bk>
    <bk>
      <rc t="2" v="3799"/>
    </bk>
    <bk>
      <rc t="2" v="3800"/>
    </bk>
    <bk>
      <rc t="2" v="3801"/>
    </bk>
    <bk>
      <rc t="2" v="3802"/>
    </bk>
    <bk>
      <rc t="2" v="3803"/>
    </bk>
    <bk>
      <rc t="2" v="3804"/>
    </bk>
    <bk>
      <rc t="2" v="3805"/>
    </bk>
    <bk>
      <rc t="2" v="3806"/>
    </bk>
    <bk>
      <rc t="2" v="3807"/>
    </bk>
    <bk>
      <rc t="2" v="3808"/>
    </bk>
    <bk>
      <rc t="2" v="3809"/>
    </bk>
    <bk>
      <rc t="2" v="3810"/>
    </bk>
    <bk>
      <rc t="2" v="3811"/>
    </bk>
    <bk>
      <rc t="2" v="3812"/>
    </bk>
    <bk>
      <rc t="2" v="3813"/>
    </bk>
    <bk>
      <rc t="2" v="3814"/>
    </bk>
    <bk>
      <rc t="2" v="3815"/>
    </bk>
    <bk>
      <rc t="2" v="3816"/>
    </bk>
    <bk>
      <rc t="2" v="3817"/>
    </bk>
    <bk>
      <rc t="2" v="3818"/>
    </bk>
    <bk>
      <rc t="2" v="3819"/>
    </bk>
    <bk>
      <rc t="2" v="3820"/>
    </bk>
    <bk>
      <rc t="2" v="3821"/>
    </bk>
    <bk>
      <rc t="2" v="3822"/>
    </bk>
    <bk>
      <rc t="2" v="3823"/>
    </bk>
    <bk>
      <rc t="2" v="3824"/>
    </bk>
    <bk>
      <rc t="2" v="3825"/>
    </bk>
    <bk>
      <rc t="2" v="3826"/>
    </bk>
    <bk>
      <rc t="2" v="3827"/>
    </bk>
    <bk>
      <rc t="2" v="3828"/>
    </bk>
    <bk>
      <rc t="2" v="3829"/>
    </bk>
    <bk>
      <rc t="2" v="3830"/>
    </bk>
    <bk>
      <rc t="2" v="3831"/>
    </bk>
    <bk>
      <rc t="2" v="3832"/>
    </bk>
    <bk>
      <rc t="2" v="3833"/>
    </bk>
    <bk>
      <rc t="2" v="3834"/>
    </bk>
    <bk>
      <rc t="2" v="3835"/>
    </bk>
    <bk>
      <rc t="2" v="3836"/>
    </bk>
    <bk>
      <rc t="2" v="3837"/>
    </bk>
    <bk>
      <rc t="2" v="3838"/>
    </bk>
    <bk>
      <rc t="2" v="3839"/>
    </bk>
    <bk>
      <rc t="2" v="3840"/>
    </bk>
    <bk>
      <rc t="2" v="3841"/>
    </bk>
    <bk>
      <rc t="2" v="3842"/>
    </bk>
    <bk>
      <rc t="2" v="3843"/>
    </bk>
    <bk>
      <rc t="2" v="3844"/>
    </bk>
    <bk>
      <rc t="2" v="3845"/>
    </bk>
    <bk>
      <rc t="2" v="3846"/>
    </bk>
    <bk>
      <rc t="2" v="3847"/>
    </bk>
    <bk>
      <rc t="2" v="3848"/>
    </bk>
    <bk>
      <rc t="2" v="3849"/>
    </bk>
    <bk>
      <rc t="2" v="3850"/>
    </bk>
    <bk>
      <rc t="2" v="3851"/>
    </bk>
    <bk>
      <rc t="2" v="3852"/>
    </bk>
    <bk>
      <rc t="2" v="3853"/>
    </bk>
    <bk>
      <rc t="2" v="3854"/>
    </bk>
    <bk>
      <rc t="2" v="3855"/>
    </bk>
    <bk>
      <rc t="2" v="3856"/>
    </bk>
    <bk>
      <rc t="2" v="3857"/>
    </bk>
    <bk>
      <rc t="2" v="3858"/>
    </bk>
    <bk>
      <rc t="2" v="3859"/>
    </bk>
    <bk>
      <rc t="2" v="3860"/>
    </bk>
    <bk>
      <rc t="2" v="3861"/>
    </bk>
    <bk>
      <rc t="2" v="3862"/>
    </bk>
    <bk>
      <rc t="2" v="3863"/>
    </bk>
    <bk>
      <rc t="2" v="3864"/>
    </bk>
    <bk>
      <rc t="2" v="3865"/>
    </bk>
    <bk>
      <rc t="2" v="3866"/>
    </bk>
    <bk>
      <rc t="2" v="3867"/>
    </bk>
    <bk>
      <rc t="2" v="3868"/>
    </bk>
    <bk>
      <rc t="2" v="3869"/>
    </bk>
    <bk>
      <rc t="2" v="3870"/>
    </bk>
    <bk>
      <rc t="2" v="3871"/>
    </bk>
    <bk>
      <rc t="2" v="3872"/>
    </bk>
    <bk>
      <rc t="2" v="3873"/>
    </bk>
    <bk>
      <rc t="2" v="3874"/>
    </bk>
    <bk>
      <rc t="2" v="3875"/>
    </bk>
    <bk>
      <rc t="2" v="3876"/>
    </bk>
    <bk>
      <rc t="2" v="3877"/>
    </bk>
    <bk>
      <rc t="2" v="3878"/>
    </bk>
    <bk>
      <rc t="2" v="3879"/>
    </bk>
    <bk>
      <rc t="2" v="3880"/>
    </bk>
    <bk>
      <rc t="2" v="3881"/>
    </bk>
    <bk>
      <rc t="2" v="3882"/>
    </bk>
    <bk>
      <rc t="2" v="3883"/>
    </bk>
    <bk>
      <rc t="2" v="3884"/>
    </bk>
    <bk>
      <rc t="2" v="3885"/>
    </bk>
    <bk>
      <rc t="2" v="3886"/>
    </bk>
    <bk>
      <rc t="2" v="3887"/>
    </bk>
    <bk>
      <rc t="2" v="3888"/>
    </bk>
    <bk>
      <rc t="2" v="3889"/>
    </bk>
    <bk>
      <rc t="2" v="3890"/>
    </bk>
    <bk>
      <rc t="2" v="3891"/>
    </bk>
    <bk>
      <rc t="2" v="3892"/>
    </bk>
    <bk>
      <rc t="2" v="3893"/>
    </bk>
    <bk>
      <rc t="2" v="3894"/>
    </bk>
    <bk>
      <rc t="2" v="3895"/>
    </bk>
    <bk>
      <rc t="2" v="3896"/>
    </bk>
    <bk>
      <rc t="2" v="3897"/>
    </bk>
    <bk>
      <rc t="2" v="3898"/>
    </bk>
    <bk>
      <rc t="2" v="3899"/>
    </bk>
    <bk>
      <rc t="2" v="3900"/>
    </bk>
    <bk>
      <rc t="2" v="3901"/>
    </bk>
    <bk>
      <rc t="2" v="3902"/>
    </bk>
    <bk>
      <rc t="2" v="3903"/>
    </bk>
    <bk>
      <rc t="2" v="3904"/>
    </bk>
    <bk>
      <rc t="2" v="3905"/>
    </bk>
    <bk>
      <rc t="2" v="3906"/>
    </bk>
    <bk>
      <rc t="2" v="3907"/>
    </bk>
    <bk>
      <rc t="2" v="3908"/>
    </bk>
    <bk>
      <rc t="2" v="3909"/>
    </bk>
    <bk>
      <rc t="2" v="3910"/>
    </bk>
    <bk>
      <rc t="2" v="3911"/>
    </bk>
    <bk>
      <rc t="2" v="3912"/>
    </bk>
    <bk>
      <rc t="2" v="3913"/>
    </bk>
    <bk>
      <rc t="2" v="3914"/>
    </bk>
    <bk>
      <rc t="2" v="3915"/>
    </bk>
    <bk>
      <rc t="2" v="3916"/>
    </bk>
    <bk>
      <rc t="2" v="3917"/>
    </bk>
    <bk>
      <rc t="2" v="3918"/>
    </bk>
    <bk>
      <rc t="2" v="3919"/>
    </bk>
    <bk>
      <rc t="2" v="3920"/>
    </bk>
    <bk>
      <rc t="2" v="3921"/>
    </bk>
    <bk>
      <rc t="2" v="3922"/>
    </bk>
    <bk>
      <rc t="2" v="3923"/>
    </bk>
    <bk>
      <rc t="2" v="3924"/>
    </bk>
    <bk>
      <rc t="2" v="3925"/>
    </bk>
    <bk>
      <rc t="2" v="3926"/>
    </bk>
    <bk>
      <rc t="2" v="3927"/>
    </bk>
    <bk>
      <rc t="2" v="3928"/>
    </bk>
    <bk>
      <rc t="2" v="3929"/>
    </bk>
    <bk>
      <rc t="2" v="3930"/>
    </bk>
    <bk>
      <rc t="2" v="3931"/>
    </bk>
    <bk>
      <rc t="2" v="3932"/>
    </bk>
    <bk>
      <rc t="2" v="3933"/>
    </bk>
    <bk>
      <rc t="2" v="3934"/>
    </bk>
    <bk>
      <rc t="2" v="3935"/>
    </bk>
    <bk>
      <rc t="2" v="3936"/>
    </bk>
    <bk>
      <rc t="2" v="3937"/>
    </bk>
    <bk>
      <rc t="2" v="3938"/>
    </bk>
    <bk>
      <rc t="2" v="3939"/>
    </bk>
    <bk>
      <rc t="2" v="3940"/>
    </bk>
    <bk>
      <rc t="2" v="3941"/>
    </bk>
    <bk>
      <rc t="2" v="3942"/>
    </bk>
    <bk>
      <rc t="2" v="3943"/>
    </bk>
    <bk>
      <rc t="2" v="3944"/>
    </bk>
    <bk>
      <rc t="2" v="3945"/>
    </bk>
    <bk>
      <rc t="2" v="3946"/>
    </bk>
    <bk>
      <rc t="2" v="3947"/>
    </bk>
    <bk>
      <rc t="2" v="3948"/>
    </bk>
    <bk>
      <rc t="2" v="3949"/>
    </bk>
    <bk>
      <rc t="2" v="3950"/>
    </bk>
    <bk>
      <rc t="2" v="3951"/>
    </bk>
    <bk>
      <rc t="2" v="3952"/>
    </bk>
    <bk>
      <rc t="2" v="3953"/>
    </bk>
    <bk>
      <rc t="2" v="3954"/>
    </bk>
    <bk>
      <rc t="2" v="3955"/>
    </bk>
    <bk>
      <rc t="2" v="3956"/>
    </bk>
    <bk>
      <rc t="2" v="3957"/>
    </bk>
    <bk>
      <rc t="2" v="3958"/>
    </bk>
    <bk>
      <rc t="2" v="3959"/>
    </bk>
    <bk>
      <rc t="2" v="3960"/>
    </bk>
    <bk>
      <rc t="2" v="3961"/>
    </bk>
    <bk>
      <rc t="2" v="3962"/>
    </bk>
    <bk>
      <rc t="2" v="3963"/>
    </bk>
    <bk>
      <rc t="2" v="3964"/>
    </bk>
    <bk>
      <rc t="2" v="3965"/>
    </bk>
    <bk>
      <rc t="2" v="3966"/>
    </bk>
    <bk>
      <rc t="2" v="3967"/>
    </bk>
    <bk>
      <rc t="2" v="3968"/>
    </bk>
    <bk>
      <rc t="2" v="3969"/>
    </bk>
    <bk>
      <rc t="2" v="3970"/>
    </bk>
    <bk>
      <rc t="2" v="3971"/>
    </bk>
    <bk>
      <rc t="2" v="3972"/>
    </bk>
    <bk>
      <rc t="2" v="3973"/>
    </bk>
    <bk>
      <rc t="2" v="3974"/>
    </bk>
    <bk>
      <rc t="2" v="3975"/>
    </bk>
    <bk>
      <rc t="2" v="3976"/>
    </bk>
    <bk>
      <rc t="2" v="3977"/>
    </bk>
    <bk>
      <rc t="2" v="3978"/>
    </bk>
    <bk>
      <rc t="2" v="3979"/>
    </bk>
    <bk>
      <rc t="2" v="3980"/>
    </bk>
    <bk>
      <rc t="2" v="3981"/>
    </bk>
    <bk>
      <rc t="2" v="3982"/>
    </bk>
    <bk>
      <rc t="2" v="3983"/>
    </bk>
    <bk>
      <rc t="2" v="3984"/>
    </bk>
    <bk>
      <rc t="2" v="3985"/>
    </bk>
    <bk>
      <rc t="2" v="3986"/>
    </bk>
    <bk>
      <rc t="2" v="3987"/>
    </bk>
    <bk>
      <rc t="2" v="3988"/>
    </bk>
    <bk>
      <rc t="2" v="3989"/>
    </bk>
    <bk>
      <rc t="2" v="3990"/>
    </bk>
    <bk>
      <rc t="2" v="3991"/>
    </bk>
    <bk>
      <rc t="2" v="3992"/>
    </bk>
    <bk>
      <rc t="2" v="3993"/>
    </bk>
    <bk>
      <rc t="2" v="3994"/>
    </bk>
    <bk>
      <rc t="2" v="3995"/>
    </bk>
    <bk>
      <rc t="2" v="3996"/>
    </bk>
    <bk>
      <rc t="2" v="3997"/>
    </bk>
    <bk>
      <rc t="2" v="3998"/>
    </bk>
    <bk>
      <rc t="2" v="3999"/>
    </bk>
    <bk>
      <rc t="2" v="4000"/>
    </bk>
    <bk>
      <rc t="2" v="4001"/>
    </bk>
    <bk>
      <rc t="2" v="4002"/>
    </bk>
    <bk>
      <rc t="2" v="4003"/>
    </bk>
    <bk>
      <rc t="2" v="4004"/>
    </bk>
    <bk>
      <rc t="2" v="4005"/>
    </bk>
    <bk>
      <rc t="2" v="4006"/>
    </bk>
    <bk>
      <rc t="2" v="4007"/>
    </bk>
    <bk>
      <rc t="2" v="4008"/>
    </bk>
    <bk>
      <rc t="2" v="4009"/>
    </bk>
    <bk>
      <rc t="2" v="4010"/>
    </bk>
    <bk>
      <rc t="2" v="4011"/>
    </bk>
    <bk>
      <rc t="2" v="4012"/>
    </bk>
    <bk>
      <rc t="2" v="4013"/>
    </bk>
    <bk>
      <rc t="2" v="4014"/>
    </bk>
    <bk>
      <rc t="2" v="4015"/>
    </bk>
    <bk>
      <rc t="2" v="4016"/>
    </bk>
    <bk>
      <rc t="2" v="4017"/>
    </bk>
    <bk>
      <rc t="2" v="4018"/>
    </bk>
    <bk>
      <rc t="2" v="4019"/>
    </bk>
    <bk>
      <rc t="2" v="4020"/>
    </bk>
    <bk>
      <rc t="2" v="4021"/>
    </bk>
    <bk>
      <rc t="2" v="4022"/>
    </bk>
    <bk>
      <rc t="2" v="4023"/>
    </bk>
    <bk>
      <rc t="2" v="4024"/>
    </bk>
    <bk>
      <rc t="2" v="4025"/>
    </bk>
    <bk>
      <rc t="2" v="4026"/>
    </bk>
    <bk>
      <rc t="2" v="4027"/>
    </bk>
    <bk>
      <rc t="2" v="4028"/>
    </bk>
    <bk>
      <rc t="2" v="4029"/>
    </bk>
    <bk>
      <rc t="2" v="4030"/>
    </bk>
    <bk>
      <rc t="2" v="4031"/>
    </bk>
    <bk>
      <rc t="2" v="4032"/>
    </bk>
    <bk>
      <rc t="2" v="4033"/>
    </bk>
    <bk>
      <rc t="2" v="4034"/>
    </bk>
    <bk>
      <rc t="2" v="4035"/>
    </bk>
    <bk>
      <rc t="2" v="4036"/>
    </bk>
    <bk>
      <rc t="2" v="4037"/>
    </bk>
    <bk>
      <rc t="2" v="4038"/>
    </bk>
    <bk>
      <rc t="2" v="4039"/>
    </bk>
    <bk>
      <rc t="2" v="4040"/>
    </bk>
    <bk>
      <rc t="2" v="4041"/>
    </bk>
    <bk>
      <rc t="2" v="4042"/>
    </bk>
    <bk>
      <rc t="2" v="4043"/>
    </bk>
    <bk>
      <rc t="2" v="4044"/>
    </bk>
    <bk>
      <rc t="2" v="4045"/>
    </bk>
    <bk>
      <rc t="2" v="4046"/>
    </bk>
    <bk>
      <rc t="2" v="4047"/>
    </bk>
    <bk>
      <rc t="2" v="4048"/>
    </bk>
    <bk>
      <rc t="2" v="4049"/>
    </bk>
    <bk>
      <rc t="2" v="4050"/>
    </bk>
    <bk>
      <rc t="2" v="4051"/>
    </bk>
    <bk>
      <rc t="2" v="4052"/>
    </bk>
    <bk>
      <rc t="2" v="4053"/>
    </bk>
    <bk>
      <rc t="2" v="4054"/>
    </bk>
    <bk>
      <rc t="2" v="4055"/>
    </bk>
    <bk>
      <rc t="2" v="4056"/>
    </bk>
    <bk>
      <rc t="2" v="4057"/>
    </bk>
    <bk>
      <rc t="2" v="4058"/>
    </bk>
    <bk>
      <rc t="2" v="4059"/>
    </bk>
    <bk>
      <rc t="2" v="4060"/>
    </bk>
    <bk>
      <rc t="2" v="4061"/>
    </bk>
    <bk>
      <rc t="2" v="4062"/>
    </bk>
    <bk>
      <rc t="2" v="4063"/>
    </bk>
    <bk>
      <rc t="2" v="4064"/>
    </bk>
    <bk>
      <rc t="2" v="4065"/>
    </bk>
    <bk>
      <rc t="2" v="4066"/>
    </bk>
    <bk>
      <rc t="2" v="4067"/>
    </bk>
    <bk>
      <rc t="2" v="4068"/>
    </bk>
    <bk>
      <rc t="2" v="4069"/>
    </bk>
    <bk>
      <rc t="2" v="4070"/>
    </bk>
    <bk>
      <rc t="2" v="4071"/>
    </bk>
    <bk>
      <rc t="2" v="4072"/>
    </bk>
    <bk>
      <rc t="2" v="4073"/>
    </bk>
    <bk>
      <rc t="2" v="4074"/>
    </bk>
    <bk>
      <rc t="2" v="4075"/>
    </bk>
    <bk>
      <rc t="2" v="4076"/>
    </bk>
    <bk>
      <rc t="2" v="4077"/>
    </bk>
    <bk>
      <rc t="2" v="4078"/>
    </bk>
    <bk>
      <rc t="2" v="4079"/>
    </bk>
    <bk>
      <rc t="2" v="4080"/>
    </bk>
    <bk>
      <rc t="2" v="4081"/>
    </bk>
    <bk>
      <rc t="2" v="4082"/>
    </bk>
    <bk>
      <rc t="2" v="4083"/>
    </bk>
    <bk>
      <rc t="2" v="4084"/>
    </bk>
    <bk>
      <rc t="2" v="4085"/>
    </bk>
    <bk>
      <rc t="2" v="4086"/>
    </bk>
    <bk>
      <rc t="2" v="4087"/>
    </bk>
    <bk>
      <rc t="2" v="4088"/>
    </bk>
    <bk>
      <rc t="2" v="4089"/>
    </bk>
    <bk>
      <rc t="2" v="4090"/>
    </bk>
    <bk>
      <rc t="2" v="4091"/>
    </bk>
    <bk>
      <rc t="2" v="4092"/>
    </bk>
    <bk>
      <rc t="2" v="4093"/>
    </bk>
    <bk>
      <rc t="2" v="4094"/>
    </bk>
    <bk>
      <rc t="2" v="4095"/>
    </bk>
    <bk>
      <rc t="2" v="4096"/>
    </bk>
    <bk>
      <rc t="2" v="4097"/>
    </bk>
    <bk>
      <rc t="2" v="4098"/>
    </bk>
    <bk>
      <rc t="2" v="4099"/>
    </bk>
    <bk>
      <rc t="2" v="4100"/>
    </bk>
    <bk>
      <rc t="2" v="4101"/>
    </bk>
    <bk>
      <rc t="2" v="4102"/>
    </bk>
    <bk>
      <rc t="2" v="4103"/>
    </bk>
    <bk>
      <rc t="2" v="4104"/>
    </bk>
    <bk>
      <rc t="2" v="4105"/>
    </bk>
    <bk>
      <rc t="2" v="4106"/>
    </bk>
    <bk>
      <rc t="2" v="4107"/>
    </bk>
    <bk>
      <rc t="2" v="4108"/>
    </bk>
    <bk>
      <rc t="2" v="4109"/>
    </bk>
    <bk>
      <rc t="2" v="4110"/>
    </bk>
    <bk>
      <rc t="2" v="4111"/>
    </bk>
    <bk>
      <rc t="2" v="4112"/>
    </bk>
    <bk>
      <rc t="2" v="4113"/>
    </bk>
    <bk>
      <rc t="2" v="4114"/>
    </bk>
    <bk>
      <rc t="2" v="4115"/>
    </bk>
    <bk>
      <rc t="2" v="4116"/>
    </bk>
    <bk>
      <rc t="2" v="4117"/>
    </bk>
    <bk>
      <rc t="2" v="4118"/>
    </bk>
    <bk>
      <rc t="2" v="4119"/>
    </bk>
    <bk>
      <rc t="2" v="4120"/>
    </bk>
    <bk>
      <rc t="2" v="4121"/>
    </bk>
    <bk>
      <rc t="2" v="4122"/>
    </bk>
    <bk>
      <rc t="2" v="4123"/>
    </bk>
    <bk>
      <rc t="2" v="4124"/>
    </bk>
    <bk>
      <rc t="2" v="4125"/>
    </bk>
    <bk>
      <rc t="2" v="4126"/>
    </bk>
    <bk>
      <rc t="2" v="4127"/>
    </bk>
    <bk>
      <rc t="2" v="4128"/>
    </bk>
    <bk>
      <rc t="2" v="4129"/>
    </bk>
    <bk>
      <rc t="2" v="4130"/>
    </bk>
    <bk>
      <rc t="2" v="4131"/>
    </bk>
    <bk>
      <rc t="2" v="4132"/>
    </bk>
    <bk>
      <rc t="2" v="4133"/>
    </bk>
    <bk>
      <rc t="2" v="4134"/>
    </bk>
    <bk>
      <rc t="2" v="4135"/>
    </bk>
    <bk>
      <rc t="2" v="4136"/>
    </bk>
    <bk>
      <rc t="2" v="4137"/>
    </bk>
    <bk>
      <rc t="2" v="4138"/>
    </bk>
    <bk>
      <rc t="2" v="4139"/>
    </bk>
    <bk>
      <rc t="2" v="4140"/>
    </bk>
    <bk>
      <rc t="2" v="4141"/>
    </bk>
    <bk>
      <rc t="2" v="4142"/>
    </bk>
    <bk>
      <rc t="2" v="4143"/>
    </bk>
    <bk>
      <rc t="2" v="4144"/>
    </bk>
    <bk>
      <rc t="2" v="4145"/>
    </bk>
    <bk>
      <rc t="2" v="4146"/>
    </bk>
    <bk>
      <rc t="2" v="4147"/>
    </bk>
    <bk>
      <rc t="2" v="4148"/>
    </bk>
    <bk>
      <rc t="2" v="4149"/>
    </bk>
    <bk>
      <rc t="2" v="4150"/>
    </bk>
    <bk>
      <rc t="2" v="4151"/>
    </bk>
    <bk>
      <rc t="2" v="4152"/>
    </bk>
    <bk>
      <rc t="2" v="4153"/>
    </bk>
    <bk>
      <rc t="2" v="4154"/>
    </bk>
    <bk>
      <rc t="2" v="4155"/>
    </bk>
    <bk>
      <rc t="2" v="4156"/>
    </bk>
    <bk>
      <rc t="2" v="4157"/>
    </bk>
    <bk>
      <rc t="2" v="4158"/>
    </bk>
    <bk>
      <rc t="2" v="4159"/>
    </bk>
    <bk>
      <rc t="2" v="4160"/>
    </bk>
    <bk>
      <rc t="2" v="4161"/>
    </bk>
    <bk>
      <rc t="2" v="4162"/>
    </bk>
    <bk>
      <rc t="2" v="4163"/>
    </bk>
    <bk>
      <rc t="2" v="4164"/>
    </bk>
    <bk>
      <rc t="2" v="4165"/>
    </bk>
    <bk>
      <rc t="2" v="4166"/>
    </bk>
    <bk>
      <rc t="2" v="4167"/>
    </bk>
    <bk>
      <rc t="2" v="4168"/>
    </bk>
    <bk>
      <rc t="2" v="4169"/>
    </bk>
    <bk>
      <rc t="2" v="4170"/>
    </bk>
    <bk>
      <rc t="2" v="4171"/>
    </bk>
    <bk>
      <rc t="2" v="4172"/>
    </bk>
    <bk>
      <rc t="2" v="4173"/>
    </bk>
    <bk>
      <rc t="2" v="4174"/>
    </bk>
    <bk>
      <rc t="2" v="4175"/>
    </bk>
    <bk>
      <rc t="2" v="4176"/>
    </bk>
    <bk>
      <rc t="2" v="4177"/>
    </bk>
    <bk>
      <rc t="2" v="4178"/>
    </bk>
    <bk>
      <rc t="2" v="4179"/>
    </bk>
    <bk>
      <rc t="2" v="4180"/>
    </bk>
    <bk>
      <rc t="2" v="4181"/>
    </bk>
    <bk>
      <rc t="2" v="4182"/>
    </bk>
    <bk>
      <rc t="2" v="4183"/>
    </bk>
    <bk>
      <rc t="2" v="4184"/>
    </bk>
    <bk>
      <rc t="2" v="4185"/>
    </bk>
    <bk>
      <rc t="2" v="4186"/>
    </bk>
    <bk>
      <rc t="2" v="4187"/>
    </bk>
    <bk>
      <rc t="2" v="4188"/>
    </bk>
    <bk>
      <rc t="2" v="4189"/>
    </bk>
    <bk>
      <rc t="2" v="4190"/>
    </bk>
    <bk>
      <rc t="2" v="4191"/>
    </bk>
    <bk>
      <rc t="2" v="4192"/>
    </bk>
    <bk>
      <rc t="2" v="4193"/>
    </bk>
    <bk>
      <rc t="2" v="4194"/>
    </bk>
    <bk>
      <rc t="2" v="4195"/>
    </bk>
    <bk>
      <rc t="2" v="4196"/>
    </bk>
    <bk>
      <rc t="2" v="4197"/>
    </bk>
    <bk>
      <rc t="2" v="4198"/>
    </bk>
    <bk>
      <rc t="2" v="4199"/>
    </bk>
    <bk>
      <rc t="2" v="4200"/>
    </bk>
    <bk>
      <rc t="2" v="4201"/>
    </bk>
    <bk>
      <rc t="2" v="4202"/>
    </bk>
    <bk>
      <rc t="2" v="4203"/>
    </bk>
    <bk>
      <rc t="2" v="4204"/>
    </bk>
    <bk>
      <rc t="2" v="4205"/>
    </bk>
    <bk>
      <rc t="2" v="4206"/>
    </bk>
    <bk>
      <rc t="2" v="4207"/>
    </bk>
    <bk>
      <rc t="2" v="4208"/>
    </bk>
    <bk>
      <rc t="2" v="4209"/>
    </bk>
    <bk>
      <rc t="2" v="4210"/>
    </bk>
    <bk>
      <rc t="2" v="4211"/>
    </bk>
    <bk>
      <rc t="2" v="4212"/>
    </bk>
    <bk>
      <rc t="2" v="4213"/>
    </bk>
    <bk>
      <rc t="2" v="4214"/>
    </bk>
    <bk>
      <rc t="2" v="4215"/>
    </bk>
    <bk>
      <rc t="2" v="4216"/>
    </bk>
    <bk>
      <rc t="2" v="4217"/>
    </bk>
    <bk>
      <rc t="2" v="4218"/>
    </bk>
    <bk>
      <rc t="2" v="4219"/>
    </bk>
    <bk>
      <rc t="2" v="4220"/>
    </bk>
    <bk>
      <rc t="2" v="4221"/>
    </bk>
    <bk>
      <rc t="2" v="4222"/>
    </bk>
    <bk>
      <rc t="2" v="4223"/>
    </bk>
    <bk>
      <rc t="2" v="4224"/>
    </bk>
    <bk>
      <rc t="2" v="4225"/>
    </bk>
    <bk>
      <rc t="2" v="4226"/>
    </bk>
    <bk>
      <rc t="2" v="4227"/>
    </bk>
    <bk>
      <rc t="2" v="4228"/>
    </bk>
    <bk>
      <rc t="2" v="4229"/>
    </bk>
    <bk>
      <rc t="2" v="4230"/>
    </bk>
    <bk>
      <rc t="2" v="4231"/>
    </bk>
    <bk>
      <rc t="2" v="4232"/>
    </bk>
    <bk>
      <rc t="2" v="4233"/>
    </bk>
    <bk>
      <rc t="2" v="4234"/>
    </bk>
    <bk>
      <rc t="2" v="4235"/>
    </bk>
    <bk>
      <rc t="2" v="4236"/>
    </bk>
    <bk>
      <rc t="2" v="4237"/>
    </bk>
    <bk>
      <rc t="2" v="4238"/>
    </bk>
    <bk>
      <rc t="2" v="4239"/>
    </bk>
    <bk>
      <rc t="2" v="4240"/>
    </bk>
    <bk>
      <rc t="2" v="4241"/>
    </bk>
    <bk>
      <rc t="2" v="4242"/>
    </bk>
    <bk>
      <rc t="2" v="4243"/>
    </bk>
    <bk>
      <rc t="2" v="4244"/>
    </bk>
    <bk>
      <rc t="2" v="4245"/>
    </bk>
    <bk>
      <rc t="2" v="4246"/>
    </bk>
    <bk>
      <rc t="2" v="4247"/>
    </bk>
    <bk>
      <rc t="2" v="4248"/>
    </bk>
    <bk>
      <rc t="2" v="4249"/>
    </bk>
    <bk>
      <rc t="2" v="4250"/>
    </bk>
    <bk>
      <rc t="2" v="4251"/>
    </bk>
    <bk>
      <rc t="2" v="4252"/>
    </bk>
    <bk>
      <rc t="2" v="4253"/>
    </bk>
    <bk>
      <rc t="2" v="4254"/>
    </bk>
    <bk>
      <rc t="2" v="4255"/>
    </bk>
    <bk>
      <rc t="2" v="4256"/>
    </bk>
    <bk>
      <rc t="2" v="4257"/>
    </bk>
    <bk>
      <rc t="2" v="4258"/>
    </bk>
    <bk>
      <rc t="2" v="4259"/>
    </bk>
    <bk>
      <rc t="2" v="4260"/>
    </bk>
    <bk>
      <rc t="2" v="4261"/>
    </bk>
    <bk>
      <rc t="2" v="4262"/>
    </bk>
    <bk>
      <rc t="2" v="4263"/>
    </bk>
    <bk>
      <rc t="2" v="4264"/>
    </bk>
    <bk>
      <rc t="2" v="4265"/>
    </bk>
    <bk>
      <rc t="2" v="4266"/>
    </bk>
    <bk>
      <rc t="2" v="4267"/>
    </bk>
    <bk>
      <rc t="2" v="4268"/>
    </bk>
    <bk>
      <rc t="2" v="4269"/>
    </bk>
    <bk>
      <rc t="2" v="4270"/>
    </bk>
    <bk>
      <rc t="2" v="4271"/>
    </bk>
    <bk>
      <rc t="2" v="4272"/>
    </bk>
    <bk>
      <rc t="2" v="4273"/>
    </bk>
    <bk>
      <rc t="2" v="4274"/>
    </bk>
    <bk>
      <rc t="2" v="4275"/>
    </bk>
    <bk>
      <rc t="2" v="4276"/>
    </bk>
    <bk>
      <rc t="2" v="4277"/>
    </bk>
    <bk>
      <rc t="2" v="4278"/>
    </bk>
    <bk>
      <rc t="2" v="4279"/>
    </bk>
    <bk>
      <rc t="2" v="4280"/>
    </bk>
    <bk>
      <rc t="2" v="4281"/>
    </bk>
    <bk>
      <rc t="2" v="4282"/>
    </bk>
    <bk>
      <rc t="2" v="4283"/>
    </bk>
    <bk>
      <rc t="2" v="4284"/>
    </bk>
    <bk>
      <rc t="2" v="4285"/>
    </bk>
    <bk>
      <rc t="2" v="4286"/>
    </bk>
    <bk>
      <rc t="2" v="4287"/>
    </bk>
    <bk>
      <rc t="2" v="4288"/>
    </bk>
    <bk>
      <rc t="2" v="4289"/>
    </bk>
    <bk>
      <rc t="2" v="4290"/>
    </bk>
    <bk>
      <rc t="2" v="4291"/>
    </bk>
    <bk>
      <rc t="2" v="4292"/>
    </bk>
    <bk>
      <rc t="2" v="4293"/>
    </bk>
    <bk>
      <rc t="2" v="4294"/>
    </bk>
    <bk>
      <rc t="2" v="4295"/>
    </bk>
    <bk>
      <rc t="2" v="4296"/>
    </bk>
    <bk>
      <rc t="2" v="4297"/>
    </bk>
    <bk>
      <rc t="2" v="4298"/>
    </bk>
    <bk>
      <rc t="2" v="4299"/>
    </bk>
    <bk>
      <rc t="2" v="4300"/>
    </bk>
    <bk>
      <rc t="2" v="4301"/>
    </bk>
    <bk>
      <rc t="2" v="4302"/>
    </bk>
    <bk>
      <rc t="2" v="4303"/>
    </bk>
    <bk>
      <rc t="2" v="4304"/>
    </bk>
    <bk>
      <rc t="2" v="4305"/>
    </bk>
    <bk>
      <rc t="2" v="4306"/>
    </bk>
    <bk>
      <rc t="2" v="4307"/>
    </bk>
    <bk>
      <rc t="2" v="4308"/>
    </bk>
    <bk>
      <rc t="2" v="4309"/>
    </bk>
    <bk>
      <rc t="2" v="4310"/>
    </bk>
    <bk>
      <rc t="2" v="4311"/>
    </bk>
    <bk>
      <rc t="2" v="4312"/>
    </bk>
    <bk>
      <rc t="2" v="4313"/>
    </bk>
    <bk>
      <rc t="2" v="4314"/>
    </bk>
    <bk>
      <rc t="2" v="4315"/>
    </bk>
    <bk>
      <rc t="2" v="4316"/>
    </bk>
    <bk>
      <rc t="2" v="4317"/>
    </bk>
    <bk>
      <rc t="2" v="4318"/>
    </bk>
    <bk>
      <rc t="2" v="4319"/>
    </bk>
    <bk>
      <rc t="2" v="4320"/>
    </bk>
    <bk>
      <rc t="2" v="4321"/>
    </bk>
    <bk>
      <rc t="2" v="4322"/>
    </bk>
    <bk>
      <rc t="2" v="4323"/>
    </bk>
    <bk>
      <rc t="2" v="4324"/>
    </bk>
    <bk>
      <rc t="2" v="4325"/>
    </bk>
    <bk>
      <rc t="2" v="4326"/>
    </bk>
    <bk>
      <rc t="2" v="4327"/>
    </bk>
    <bk>
      <rc t="2" v="4328"/>
    </bk>
    <bk>
      <rc t="2" v="4329"/>
    </bk>
    <bk>
      <rc t="2" v="4330"/>
    </bk>
    <bk>
      <rc t="2" v="4331"/>
    </bk>
    <bk>
      <rc t="2" v="4332"/>
    </bk>
    <bk>
      <rc t="2" v="4333"/>
    </bk>
    <bk>
      <rc t="2" v="4334"/>
    </bk>
    <bk>
      <rc t="2" v="4335"/>
    </bk>
    <bk>
      <rc t="2" v="4336"/>
    </bk>
    <bk>
      <rc t="2" v="4337"/>
    </bk>
    <bk>
      <rc t="2" v="4338"/>
    </bk>
    <bk>
      <rc t="2" v="4339"/>
    </bk>
    <bk>
      <rc t="2" v="4340"/>
    </bk>
    <bk>
      <rc t="2" v="4341"/>
    </bk>
    <bk>
      <rc t="2" v="4342"/>
    </bk>
    <bk>
      <rc t="2" v="4343"/>
    </bk>
    <bk>
      <rc t="2" v="4344"/>
    </bk>
    <bk>
      <rc t="2" v="4345"/>
    </bk>
    <bk>
      <rc t="2" v="4346"/>
    </bk>
    <bk>
      <rc t="2" v="4347"/>
    </bk>
    <bk>
      <rc t="2" v="4348"/>
    </bk>
    <bk>
      <rc t="2" v="4349"/>
    </bk>
    <bk>
      <rc t="2" v="4350"/>
    </bk>
    <bk>
      <rc t="2" v="4351"/>
    </bk>
    <bk>
      <rc t="2" v="4352"/>
    </bk>
    <bk>
      <rc t="2" v="4353"/>
    </bk>
    <bk>
      <rc t="2" v="4354"/>
    </bk>
    <bk>
      <rc t="2" v="4355"/>
    </bk>
    <bk>
      <rc t="2" v="4356"/>
    </bk>
    <bk>
      <rc t="2" v="4357"/>
    </bk>
    <bk>
      <rc t="2" v="4358"/>
    </bk>
    <bk>
      <rc t="2" v="4359"/>
    </bk>
    <bk>
      <rc t="2" v="4360"/>
    </bk>
    <bk>
      <rc t="2" v="4361"/>
    </bk>
    <bk>
      <rc t="2" v="4362"/>
    </bk>
    <bk>
      <rc t="2" v="4363"/>
    </bk>
    <bk>
      <rc t="2" v="4364"/>
    </bk>
    <bk>
      <rc t="2" v="4365"/>
    </bk>
    <bk>
      <rc t="2" v="4366"/>
    </bk>
    <bk>
      <rc t="2" v="4367"/>
    </bk>
    <bk>
      <rc t="2" v="4368"/>
    </bk>
    <bk>
      <rc t="2" v="4369"/>
    </bk>
    <bk>
      <rc t="2" v="4370"/>
    </bk>
    <bk>
      <rc t="2" v="4371"/>
    </bk>
    <bk>
      <rc t="2" v="4372"/>
    </bk>
    <bk>
      <rc t="2" v="4373"/>
    </bk>
    <bk>
      <rc t="2" v="4374"/>
    </bk>
    <bk>
      <rc t="2" v="4375"/>
    </bk>
    <bk>
      <rc t="2" v="4376"/>
    </bk>
    <bk>
      <rc t="2" v="4377"/>
    </bk>
    <bk>
      <rc t="2" v="4378"/>
    </bk>
    <bk>
      <rc t="2" v="4379"/>
    </bk>
    <bk>
      <rc t="2" v="4380"/>
    </bk>
    <bk>
      <rc t="2" v="4381"/>
    </bk>
    <bk>
      <rc t="2" v="4382"/>
    </bk>
    <bk>
      <rc t="2" v="4383"/>
    </bk>
    <bk>
      <rc t="2" v="4384"/>
    </bk>
    <bk>
      <rc t="2" v="4385"/>
    </bk>
    <bk>
      <rc t="2" v="4386"/>
    </bk>
    <bk>
      <rc t="2" v="4387"/>
    </bk>
    <bk>
      <rc t="2" v="4388"/>
    </bk>
    <bk>
      <rc t="2" v="4389"/>
    </bk>
    <bk>
      <rc t="2" v="4390"/>
    </bk>
    <bk>
      <rc t="2" v="4391"/>
    </bk>
    <bk>
      <rc t="2" v="4392"/>
    </bk>
    <bk>
      <rc t="2" v="4393"/>
    </bk>
    <bk>
      <rc t="2" v="4394"/>
    </bk>
    <bk>
      <rc t="2" v="4395"/>
    </bk>
    <bk>
      <rc t="2" v="4396"/>
    </bk>
    <bk>
      <rc t="2" v="4397"/>
    </bk>
    <bk>
      <rc t="2" v="4398"/>
    </bk>
    <bk>
      <rc t="2" v="4399"/>
    </bk>
    <bk>
      <rc t="2" v="4400"/>
    </bk>
    <bk>
      <rc t="2" v="4401"/>
    </bk>
    <bk>
      <rc t="2" v="4402"/>
    </bk>
    <bk>
      <rc t="2" v="4403"/>
    </bk>
    <bk>
      <rc t="2" v="4404"/>
    </bk>
    <bk>
      <rc t="2" v="4405"/>
    </bk>
    <bk>
      <rc t="2" v="4406"/>
    </bk>
    <bk>
      <rc t="2" v="4407"/>
    </bk>
    <bk>
      <rc t="2" v="4408"/>
    </bk>
    <bk>
      <rc t="2" v="4409"/>
    </bk>
    <bk>
      <rc t="2" v="4410"/>
    </bk>
    <bk>
      <rc t="2" v="4411"/>
    </bk>
    <bk>
      <rc t="2" v="4412"/>
    </bk>
    <bk>
      <rc t="2" v="4413"/>
    </bk>
    <bk>
      <rc t="2" v="4414"/>
    </bk>
    <bk>
      <rc t="2" v="4415"/>
    </bk>
    <bk>
      <rc t="2" v="4416"/>
    </bk>
    <bk>
      <rc t="2" v="4417"/>
    </bk>
    <bk>
      <rc t="2" v="4418"/>
    </bk>
    <bk>
      <rc t="2" v="4419"/>
    </bk>
    <bk>
      <rc t="2" v="4420"/>
    </bk>
    <bk>
      <rc t="2" v="4421"/>
    </bk>
    <bk>
      <rc t="2" v="4422"/>
    </bk>
    <bk>
      <rc t="2" v="4423"/>
    </bk>
    <bk>
      <rc t="2" v="4424"/>
    </bk>
    <bk>
      <rc t="2" v="4425"/>
    </bk>
    <bk>
      <rc t="2" v="4426"/>
    </bk>
    <bk>
      <rc t="2" v="4427"/>
    </bk>
    <bk>
      <rc t="2" v="4428"/>
    </bk>
    <bk>
      <rc t="2" v="4429"/>
    </bk>
    <bk>
      <rc t="2" v="4430"/>
    </bk>
    <bk>
      <rc t="2" v="4431"/>
    </bk>
    <bk>
      <rc t="2" v="4432"/>
    </bk>
    <bk>
      <rc t="2" v="4433"/>
    </bk>
    <bk>
      <rc t="2" v="4434"/>
    </bk>
    <bk>
      <rc t="2" v="4435"/>
    </bk>
    <bk>
      <rc t="2" v="4436"/>
    </bk>
    <bk>
      <rc t="2" v="4437"/>
    </bk>
    <bk>
      <rc t="2" v="4438"/>
    </bk>
    <bk>
      <rc t="2" v="4439"/>
    </bk>
    <bk>
      <rc t="2" v="4440"/>
    </bk>
    <bk>
      <rc t="2" v="4441"/>
    </bk>
    <bk>
      <rc t="2" v="4442"/>
    </bk>
    <bk>
      <rc t="2" v="4443"/>
    </bk>
    <bk>
      <rc t="2" v="4444"/>
    </bk>
    <bk>
      <rc t="2" v="4445"/>
    </bk>
    <bk>
      <rc t="2" v="4446"/>
    </bk>
    <bk>
      <rc t="2" v="4447"/>
    </bk>
    <bk>
      <rc t="2" v="4448"/>
    </bk>
    <bk>
      <rc t="2" v="4449"/>
    </bk>
    <bk>
      <rc t="2" v="4450"/>
    </bk>
    <bk>
      <rc t="2" v="4451"/>
    </bk>
    <bk>
      <rc t="2" v="4452"/>
    </bk>
    <bk>
      <rc t="2" v="4453"/>
    </bk>
    <bk>
      <rc t="2" v="4454"/>
    </bk>
    <bk>
      <rc t="2" v="4455"/>
    </bk>
    <bk>
      <rc t="2" v="4456"/>
    </bk>
    <bk>
      <rc t="2" v="4457"/>
    </bk>
    <bk>
      <rc t="2" v="4458"/>
    </bk>
    <bk>
      <rc t="2" v="4459"/>
    </bk>
    <bk>
      <rc t="2" v="4460"/>
    </bk>
    <bk>
      <rc t="2" v="4461"/>
    </bk>
    <bk>
      <rc t="2" v="4462"/>
    </bk>
    <bk>
      <rc t="2" v="4463"/>
    </bk>
    <bk>
      <rc t="2" v="4464"/>
    </bk>
    <bk>
      <rc t="2" v="4465"/>
    </bk>
    <bk>
      <rc t="2" v="4466"/>
    </bk>
    <bk>
      <rc t="2" v="4467"/>
    </bk>
    <bk>
      <rc t="2" v="4468"/>
    </bk>
    <bk>
      <rc t="2" v="4469"/>
    </bk>
    <bk>
      <rc t="2" v="4470"/>
    </bk>
    <bk>
      <rc t="2" v="4471"/>
    </bk>
    <bk>
      <rc t="2" v="4472"/>
    </bk>
    <bk>
      <rc t="2" v="4473"/>
    </bk>
    <bk>
      <rc t="2" v="4474"/>
    </bk>
    <bk>
      <rc t="2" v="4475"/>
    </bk>
    <bk>
      <rc t="2" v="4476"/>
    </bk>
    <bk>
      <rc t="2" v="4477"/>
    </bk>
    <bk>
      <rc t="2" v="4478"/>
    </bk>
    <bk>
      <rc t="2" v="4479"/>
    </bk>
    <bk>
      <rc t="2" v="4480"/>
    </bk>
    <bk>
      <rc t="2" v="4481"/>
    </bk>
    <bk>
      <rc t="2" v="4482"/>
    </bk>
    <bk>
      <rc t="2" v="4483"/>
    </bk>
    <bk>
      <rc t="2" v="4484"/>
    </bk>
    <bk>
      <rc t="2" v="4485"/>
    </bk>
    <bk>
      <rc t="2" v="4486"/>
    </bk>
    <bk>
      <rc t="2" v="4487"/>
    </bk>
    <bk>
      <rc t="2" v="4488"/>
    </bk>
    <bk>
      <rc t="2" v="4489"/>
    </bk>
    <bk>
      <rc t="2" v="4490"/>
    </bk>
    <bk>
      <rc t="2" v="4491"/>
    </bk>
    <bk>
      <rc t="2" v="4492"/>
    </bk>
    <bk>
      <rc t="2" v="4493"/>
    </bk>
    <bk>
      <rc t="2" v="4494"/>
    </bk>
    <bk>
      <rc t="2" v="4495"/>
    </bk>
    <bk>
      <rc t="2" v="4496"/>
    </bk>
    <bk>
      <rc t="2" v="4497"/>
    </bk>
    <bk>
      <rc t="2" v="4498"/>
    </bk>
    <bk>
      <rc t="2" v="4499"/>
    </bk>
    <bk>
      <rc t="2" v="4500"/>
    </bk>
    <bk>
      <rc t="2" v="4501"/>
    </bk>
    <bk>
      <rc t="2" v="4502"/>
    </bk>
    <bk>
      <rc t="2" v="4503"/>
    </bk>
    <bk>
      <rc t="2" v="4504"/>
    </bk>
    <bk>
      <rc t="2" v="4505"/>
    </bk>
    <bk>
      <rc t="2" v="4506"/>
    </bk>
    <bk>
      <rc t="2" v="4507"/>
    </bk>
    <bk>
      <rc t="2" v="4508"/>
    </bk>
    <bk>
      <rc t="2" v="4509"/>
    </bk>
    <bk>
      <rc t="2" v="4510"/>
    </bk>
    <bk>
      <rc t="2" v="4511"/>
    </bk>
    <bk>
      <rc t="2" v="4512"/>
    </bk>
    <bk>
      <rc t="2" v="4513"/>
    </bk>
    <bk>
      <rc t="2" v="4514"/>
    </bk>
    <bk>
      <rc t="2" v="4515"/>
    </bk>
    <bk>
      <rc t="2" v="4516"/>
    </bk>
    <bk>
      <rc t="2" v="4517"/>
    </bk>
    <bk>
      <rc t="2" v="4518"/>
    </bk>
    <bk>
      <rc t="2" v="4519"/>
    </bk>
    <bk>
      <rc t="2" v="4520"/>
    </bk>
    <bk>
      <rc t="2" v="4521"/>
    </bk>
    <bk>
      <rc t="2" v="4522"/>
    </bk>
    <bk>
      <rc t="2" v="4523"/>
    </bk>
    <bk>
      <rc t="2" v="4524"/>
    </bk>
    <bk>
      <rc t="2" v="4525"/>
    </bk>
    <bk>
      <rc t="2" v="4526"/>
    </bk>
    <bk>
      <rc t="2" v="4527"/>
    </bk>
    <bk>
      <rc t="2" v="4528"/>
    </bk>
    <bk>
      <rc t="2" v="4529"/>
    </bk>
    <bk>
      <rc t="2" v="4530"/>
    </bk>
    <bk>
      <rc t="2" v="4531"/>
    </bk>
    <bk>
      <rc t="2" v="4532"/>
    </bk>
    <bk>
      <rc t="2" v="4533"/>
    </bk>
    <bk>
      <rc t="2" v="4534"/>
    </bk>
    <bk>
      <rc t="2" v="4535"/>
    </bk>
    <bk>
      <rc t="2" v="4536"/>
    </bk>
    <bk>
      <rc t="2" v="4537"/>
    </bk>
    <bk>
      <rc t="2" v="4538"/>
    </bk>
    <bk>
      <rc t="2" v="4539"/>
    </bk>
    <bk>
      <rc t="2" v="4540"/>
    </bk>
    <bk>
      <rc t="2" v="4541"/>
    </bk>
    <bk>
      <rc t="2" v="4542"/>
    </bk>
    <bk>
      <rc t="2" v="4543"/>
    </bk>
    <bk>
      <rc t="2" v="4544"/>
    </bk>
    <bk>
      <rc t="2" v="4545"/>
    </bk>
    <bk>
      <rc t="2" v="4546"/>
    </bk>
    <bk>
      <rc t="2" v="4547"/>
    </bk>
    <bk>
      <rc t="2" v="4548"/>
    </bk>
    <bk>
      <rc t="2" v="4549"/>
    </bk>
    <bk>
      <rc t="2" v="4550"/>
    </bk>
    <bk>
      <rc t="2" v="4551"/>
    </bk>
    <bk>
      <rc t="2" v="4552"/>
    </bk>
    <bk>
      <rc t="2" v="4553"/>
    </bk>
    <bk>
      <rc t="2" v="4554"/>
    </bk>
    <bk>
      <rc t="2" v="4555"/>
    </bk>
    <bk>
      <rc t="2" v="4556"/>
    </bk>
    <bk>
      <rc t="2" v="4557"/>
    </bk>
    <bk>
      <rc t="2" v="4558"/>
    </bk>
    <bk>
      <rc t="2" v="4559"/>
    </bk>
    <bk>
      <rc t="2" v="4560"/>
    </bk>
    <bk>
      <rc t="2" v="4561"/>
    </bk>
    <bk>
      <rc t="2" v="4562"/>
    </bk>
    <bk>
      <rc t="2" v="4563"/>
    </bk>
    <bk>
      <rc t="2" v="4564"/>
    </bk>
    <bk>
      <rc t="2" v="4565"/>
    </bk>
    <bk>
      <rc t="2" v="4566"/>
    </bk>
    <bk>
      <rc t="2" v="4567"/>
    </bk>
    <bk>
      <rc t="2" v="4568"/>
    </bk>
    <bk>
      <rc t="2" v="4569"/>
    </bk>
    <bk>
      <rc t="2" v="4570"/>
    </bk>
    <bk>
      <rc t="2" v="4571"/>
    </bk>
    <bk>
      <rc t="2" v="4572"/>
    </bk>
    <bk>
      <rc t="2" v="4573"/>
    </bk>
    <bk>
      <rc t="2" v="4574"/>
    </bk>
    <bk>
      <rc t="2" v="4575"/>
    </bk>
    <bk>
      <rc t="2" v="4576"/>
    </bk>
    <bk>
      <rc t="2" v="4577"/>
    </bk>
    <bk>
      <rc t="2" v="4578"/>
    </bk>
    <bk>
      <rc t="2" v="4579"/>
    </bk>
    <bk>
      <rc t="2" v="4580"/>
    </bk>
    <bk>
      <rc t="2" v="4581"/>
    </bk>
    <bk>
      <rc t="2" v="4582"/>
    </bk>
    <bk>
      <rc t="2" v="4583"/>
    </bk>
    <bk>
      <rc t="2" v="4584"/>
    </bk>
    <bk>
      <rc t="2" v="4585"/>
    </bk>
    <bk>
      <rc t="2" v="4586"/>
    </bk>
    <bk>
      <rc t="2" v="4587"/>
    </bk>
    <bk>
      <rc t="2" v="4588"/>
    </bk>
    <bk>
      <rc t="2" v="4589"/>
    </bk>
    <bk>
      <rc t="2" v="4590"/>
    </bk>
    <bk>
      <rc t="2" v="4591"/>
    </bk>
    <bk>
      <rc t="2" v="4592"/>
    </bk>
    <bk>
      <rc t="2" v="4593"/>
    </bk>
    <bk>
      <rc t="2" v="4594"/>
    </bk>
    <bk>
      <rc t="2" v="4595"/>
    </bk>
    <bk>
      <rc t="2" v="4596"/>
    </bk>
    <bk>
      <rc t="2" v="4597"/>
    </bk>
    <bk>
      <rc t="2" v="4598"/>
    </bk>
    <bk>
      <rc t="2" v="4599"/>
    </bk>
    <bk>
      <rc t="2" v="4600"/>
    </bk>
    <bk>
      <rc t="2" v="4601"/>
    </bk>
    <bk>
      <rc t="2" v="4602"/>
    </bk>
    <bk>
      <rc t="2" v="4603"/>
    </bk>
    <bk>
      <rc t="2" v="4604"/>
    </bk>
    <bk>
      <rc t="2" v="4605"/>
    </bk>
    <bk>
      <rc t="2" v="4606"/>
    </bk>
    <bk>
      <rc t="2" v="4607"/>
    </bk>
    <bk>
      <rc t="2" v="4608"/>
    </bk>
    <bk>
      <rc t="2" v="4609"/>
    </bk>
    <bk>
      <rc t="2" v="4610"/>
    </bk>
    <bk>
      <rc t="2" v="4611"/>
    </bk>
    <bk>
      <rc t="2" v="4612"/>
    </bk>
    <bk>
      <rc t="2" v="4613"/>
    </bk>
    <bk>
      <rc t="2" v="4614"/>
    </bk>
    <bk>
      <rc t="2" v="4615"/>
    </bk>
    <bk>
      <rc t="2" v="4616"/>
    </bk>
    <bk>
      <rc t="2" v="4617"/>
    </bk>
    <bk>
      <rc t="2" v="4618"/>
    </bk>
    <bk>
      <rc t="2" v="4619"/>
    </bk>
    <bk>
      <rc t="2" v="4620"/>
    </bk>
    <bk>
      <rc t="2" v="4621"/>
    </bk>
    <bk>
      <rc t="2" v="4622"/>
    </bk>
    <bk>
      <rc t="2" v="4623"/>
    </bk>
    <bk>
      <rc t="2" v="4624"/>
    </bk>
    <bk>
      <rc t="2" v="4625"/>
    </bk>
    <bk>
      <rc t="2" v="4626"/>
    </bk>
    <bk>
      <rc t="2" v="4627"/>
    </bk>
    <bk>
      <rc t="2" v="4628"/>
    </bk>
    <bk>
      <rc t="2" v="4629"/>
    </bk>
    <bk>
      <rc t="2" v="4630"/>
    </bk>
    <bk>
      <rc t="2" v="4631"/>
    </bk>
    <bk>
      <rc t="2" v="4632"/>
    </bk>
    <bk>
      <rc t="2" v="4633"/>
    </bk>
    <bk>
      <rc t="2" v="4634"/>
    </bk>
    <bk>
      <rc t="2" v="4635"/>
    </bk>
    <bk>
      <rc t="2" v="4636"/>
    </bk>
    <bk>
      <rc t="2" v="4637"/>
    </bk>
    <bk>
      <rc t="2" v="4638"/>
    </bk>
    <bk>
      <rc t="2" v="4639"/>
    </bk>
    <bk>
      <rc t="2" v="4640"/>
    </bk>
    <bk>
      <rc t="2" v="4641"/>
    </bk>
    <bk>
      <rc t="2" v="4642"/>
    </bk>
    <bk>
      <rc t="2" v="4643"/>
    </bk>
    <bk>
      <rc t="2" v="4644"/>
    </bk>
    <bk>
      <rc t="2" v="4645"/>
    </bk>
    <bk>
      <rc t="2" v="4646"/>
    </bk>
    <bk>
      <rc t="2" v="4647"/>
    </bk>
    <bk>
      <rc t="2" v="4648"/>
    </bk>
    <bk>
      <rc t="2" v="4649"/>
    </bk>
    <bk>
      <rc t="2" v="4650"/>
    </bk>
    <bk>
      <rc t="2" v="4651"/>
    </bk>
    <bk>
      <rc t="2" v="4652"/>
    </bk>
    <bk>
      <rc t="2" v="4653"/>
    </bk>
    <bk>
      <rc t="2" v="4654"/>
    </bk>
    <bk>
      <rc t="2" v="4655"/>
    </bk>
    <bk>
      <rc t="2" v="4656"/>
    </bk>
    <bk>
      <rc t="2" v="4657"/>
    </bk>
    <bk>
      <rc t="2" v="4658"/>
    </bk>
    <bk>
      <rc t="2" v="4659"/>
    </bk>
    <bk>
      <rc t="2" v="4660"/>
    </bk>
    <bk>
      <rc t="2" v="4661"/>
    </bk>
    <bk>
      <rc t="2" v="4662"/>
    </bk>
    <bk>
      <rc t="2" v="4663"/>
    </bk>
    <bk>
      <rc t="2" v="4664"/>
    </bk>
    <bk>
      <rc t="2" v="4665"/>
    </bk>
    <bk>
      <rc t="2" v="4666"/>
    </bk>
    <bk>
      <rc t="2" v="4667"/>
    </bk>
    <bk>
      <rc t="2" v="4668"/>
    </bk>
    <bk>
      <rc t="2" v="4669"/>
    </bk>
    <bk>
      <rc t="2" v="4670"/>
    </bk>
    <bk>
      <rc t="2" v="4671"/>
    </bk>
    <bk>
      <rc t="2" v="4672"/>
    </bk>
    <bk>
      <rc t="2" v="4673"/>
    </bk>
    <bk>
      <rc t="2" v="4674"/>
    </bk>
    <bk>
      <rc t="2" v="4675"/>
    </bk>
    <bk>
      <rc t="2" v="4676"/>
    </bk>
    <bk>
      <rc t="2" v="4677"/>
    </bk>
    <bk>
      <rc t="2" v="4678"/>
    </bk>
    <bk>
      <rc t="2" v="4679"/>
    </bk>
    <bk>
      <rc t="2" v="4680"/>
    </bk>
    <bk>
      <rc t="2" v="4681"/>
    </bk>
    <bk>
      <rc t="2" v="4682"/>
    </bk>
    <bk>
      <rc t="2" v="4683"/>
    </bk>
    <bk>
      <rc t="2" v="4684"/>
    </bk>
    <bk>
      <rc t="2" v="4685"/>
    </bk>
    <bk>
      <rc t="2" v="4686"/>
    </bk>
    <bk>
      <rc t="2" v="4687"/>
    </bk>
    <bk>
      <rc t="2" v="4688"/>
    </bk>
    <bk>
      <rc t="2" v="4689"/>
    </bk>
    <bk>
      <rc t="2" v="4690"/>
    </bk>
    <bk>
      <rc t="2" v="4691"/>
    </bk>
    <bk>
      <rc t="2" v="4692"/>
    </bk>
    <bk>
      <rc t="2" v="4693"/>
    </bk>
    <bk>
      <rc t="2" v="4694"/>
    </bk>
    <bk>
      <rc t="2" v="4695"/>
    </bk>
    <bk>
      <rc t="2" v="4696"/>
    </bk>
    <bk>
      <rc t="2" v="4697"/>
    </bk>
    <bk>
      <rc t="2" v="4698"/>
    </bk>
    <bk>
      <rc t="2" v="4699"/>
    </bk>
    <bk>
      <rc t="2" v="4700"/>
    </bk>
    <bk>
      <rc t="2" v="4701"/>
    </bk>
    <bk>
      <rc t="2" v="4702"/>
    </bk>
    <bk>
      <rc t="2" v="4703"/>
    </bk>
    <bk>
      <rc t="2" v="4704"/>
    </bk>
    <bk>
      <rc t="2" v="4705"/>
    </bk>
    <bk>
      <rc t="2" v="4706"/>
    </bk>
    <bk>
      <rc t="2" v="4707"/>
    </bk>
    <bk>
      <rc t="2" v="4708"/>
    </bk>
    <bk>
      <rc t="2" v="4709"/>
    </bk>
    <bk>
      <rc t="2" v="4710"/>
    </bk>
    <bk>
      <rc t="2" v="4711"/>
    </bk>
    <bk>
      <rc t="2" v="4712"/>
    </bk>
    <bk>
      <rc t="2" v="4713"/>
    </bk>
    <bk>
      <rc t="2" v="4714"/>
    </bk>
    <bk>
      <rc t="2" v="4715"/>
    </bk>
    <bk>
      <rc t="2" v="4716"/>
    </bk>
    <bk>
      <rc t="2" v="4717"/>
    </bk>
    <bk>
      <rc t="2" v="4718"/>
    </bk>
    <bk>
      <rc t="2" v="4719"/>
    </bk>
    <bk>
      <rc t="2" v="4720"/>
    </bk>
    <bk>
      <rc t="2" v="4721"/>
    </bk>
    <bk>
      <rc t="2" v="4722"/>
    </bk>
    <bk>
      <rc t="2" v="4723"/>
    </bk>
    <bk>
      <rc t="2" v="4724"/>
    </bk>
    <bk>
      <rc t="2" v="4725"/>
    </bk>
    <bk>
      <rc t="2" v="4726"/>
    </bk>
    <bk>
      <rc t="2" v="4727"/>
    </bk>
    <bk>
      <rc t="2" v="4728"/>
    </bk>
    <bk>
      <rc t="2" v="4729"/>
    </bk>
    <bk>
      <rc t="2" v="4730"/>
    </bk>
    <bk>
      <rc t="2" v="4731"/>
    </bk>
    <bk>
      <rc t="2" v="4732"/>
    </bk>
    <bk>
      <rc t="2" v="4733"/>
    </bk>
    <bk>
      <rc t="2" v="4734"/>
    </bk>
    <bk>
      <rc t="2" v="4735"/>
    </bk>
    <bk>
      <rc t="2" v="4736"/>
    </bk>
    <bk>
      <rc t="2" v="4737"/>
    </bk>
    <bk>
      <rc t="2" v="4738"/>
    </bk>
    <bk>
      <rc t="2" v="4739"/>
    </bk>
    <bk>
      <rc t="2" v="4740"/>
    </bk>
    <bk>
      <rc t="2" v="4741"/>
    </bk>
    <bk>
      <rc t="2" v="4742"/>
    </bk>
    <bk>
      <rc t="2" v="4743"/>
    </bk>
    <bk>
      <rc t="2" v="4744"/>
    </bk>
    <bk>
      <rc t="2" v="4745"/>
    </bk>
    <bk>
      <rc t="2" v="4746"/>
    </bk>
    <bk>
      <rc t="2" v="4747"/>
    </bk>
    <bk>
      <rc t="2" v="4748"/>
    </bk>
    <bk>
      <rc t="2" v="4749"/>
    </bk>
    <bk>
      <rc t="2" v="4750"/>
    </bk>
    <bk>
      <rc t="2" v="4751"/>
    </bk>
    <bk>
      <rc t="2" v="4752"/>
    </bk>
    <bk>
      <rc t="2" v="4753"/>
    </bk>
    <bk>
      <rc t="2" v="4754"/>
    </bk>
    <bk>
      <rc t="2" v="4755"/>
    </bk>
    <bk>
      <rc t="2" v="4756"/>
    </bk>
    <bk>
      <rc t="2" v="4757"/>
    </bk>
    <bk>
      <rc t="2" v="4758"/>
    </bk>
    <bk>
      <rc t="2" v="4759"/>
    </bk>
    <bk>
      <rc t="2" v="4760"/>
    </bk>
    <bk>
      <rc t="2" v="4761"/>
    </bk>
    <bk>
      <rc t="2" v="4762"/>
    </bk>
    <bk>
      <rc t="2" v="4763"/>
    </bk>
    <bk>
      <rc t="2" v="4764"/>
    </bk>
    <bk>
      <rc t="2" v="4765"/>
    </bk>
    <bk>
      <rc t="2" v="4766"/>
    </bk>
    <bk>
      <rc t="2" v="4767"/>
    </bk>
    <bk>
      <rc t="2" v="4768"/>
    </bk>
    <bk>
      <rc t="2" v="4769"/>
    </bk>
    <bk>
      <rc t="2" v="4770"/>
    </bk>
    <bk>
      <rc t="2" v="4771"/>
    </bk>
    <bk>
      <rc t="2" v="4772"/>
    </bk>
    <bk>
      <rc t="2" v="4773"/>
    </bk>
    <bk>
      <rc t="2" v="4774"/>
    </bk>
    <bk>
      <rc t="2" v="4775"/>
    </bk>
    <bk>
      <rc t="2" v="4776"/>
    </bk>
    <bk>
      <rc t="2" v="4777"/>
    </bk>
    <bk>
      <rc t="2" v="4778"/>
    </bk>
    <bk>
      <rc t="2" v="4779"/>
    </bk>
    <bk>
      <rc t="2" v="4780"/>
    </bk>
    <bk>
      <rc t="2" v="4781"/>
    </bk>
    <bk>
      <rc t="2" v="4782"/>
    </bk>
    <bk>
      <rc t="2" v="4783"/>
    </bk>
    <bk>
      <rc t="2" v="4784"/>
    </bk>
    <bk>
      <rc t="2" v="4785"/>
    </bk>
    <bk>
      <rc t="2" v="4786"/>
    </bk>
    <bk>
      <rc t="2" v="4787"/>
    </bk>
    <bk>
      <rc t="2" v="4788"/>
    </bk>
    <bk>
      <rc t="2" v="4789"/>
    </bk>
    <bk>
      <rc t="2" v="4790"/>
    </bk>
    <bk>
      <rc t="2" v="4791"/>
    </bk>
    <bk>
      <rc t="2" v="4792"/>
    </bk>
    <bk>
      <rc t="2" v="4793"/>
    </bk>
    <bk>
      <rc t="2" v="4794"/>
    </bk>
    <bk>
      <rc t="2" v="4795"/>
    </bk>
    <bk>
      <rc t="2" v="4796"/>
    </bk>
    <bk>
      <rc t="2" v="4797"/>
    </bk>
    <bk>
      <rc t="2" v="4798"/>
    </bk>
    <bk>
      <rc t="2" v="4799"/>
    </bk>
    <bk>
      <rc t="2" v="4800"/>
    </bk>
    <bk>
      <rc t="2" v="4801"/>
    </bk>
    <bk>
      <rc t="2" v="4802"/>
    </bk>
    <bk>
      <rc t="2" v="4803"/>
    </bk>
    <bk>
      <rc t="2" v="4804"/>
    </bk>
    <bk>
      <rc t="2" v="4805"/>
    </bk>
    <bk>
      <rc t="2" v="4806"/>
    </bk>
    <bk>
      <rc t="2" v="4807"/>
    </bk>
    <bk>
      <rc t="2" v="4808"/>
    </bk>
    <bk>
      <rc t="2" v="4809"/>
    </bk>
    <bk>
      <rc t="2" v="4810"/>
    </bk>
    <bk>
      <rc t="2" v="4811"/>
    </bk>
    <bk>
      <rc t="2" v="4812"/>
    </bk>
    <bk>
      <rc t="2" v="4813"/>
    </bk>
    <bk>
      <rc t="2" v="4814"/>
    </bk>
    <bk>
      <rc t="2" v="4815"/>
    </bk>
    <bk>
      <rc t="2" v="4816"/>
    </bk>
    <bk>
      <rc t="2" v="4817"/>
    </bk>
    <bk>
      <rc t="2" v="4818"/>
    </bk>
    <bk>
      <rc t="2" v="4819"/>
    </bk>
    <bk>
      <rc t="2" v="4820"/>
    </bk>
    <bk>
      <rc t="2" v="4821"/>
    </bk>
    <bk>
      <rc t="2" v="4822"/>
    </bk>
    <bk>
      <rc t="2" v="4823"/>
    </bk>
    <bk>
      <rc t="2" v="4824"/>
    </bk>
    <bk>
      <rc t="2" v="4825"/>
    </bk>
    <bk>
      <rc t="2" v="4826"/>
    </bk>
    <bk>
      <rc t="2" v="4827"/>
    </bk>
    <bk>
      <rc t="2" v="4828"/>
    </bk>
    <bk>
      <rc t="2" v="4829"/>
    </bk>
    <bk>
      <rc t="2" v="4830"/>
    </bk>
    <bk>
      <rc t="2" v="4831"/>
    </bk>
    <bk>
      <rc t="2" v="4832"/>
    </bk>
    <bk>
      <rc t="2" v="4833"/>
    </bk>
    <bk>
      <rc t="2" v="4834"/>
    </bk>
    <bk>
      <rc t="2" v="4835"/>
    </bk>
    <bk>
      <rc t="2" v="4836"/>
    </bk>
    <bk>
      <rc t="2" v="4837"/>
    </bk>
    <bk>
      <rc t="2" v="4838"/>
    </bk>
    <bk>
      <rc t="2" v="4839"/>
    </bk>
    <bk>
      <rc t="2" v="4840"/>
    </bk>
    <bk>
      <rc t="2" v="4841"/>
    </bk>
    <bk>
      <rc t="2" v="4842"/>
    </bk>
    <bk>
      <rc t="2" v="4843"/>
    </bk>
    <bk>
      <rc t="2" v="4844"/>
    </bk>
    <bk>
      <rc t="2" v="4845"/>
    </bk>
    <bk>
      <rc t="2" v="4846"/>
    </bk>
    <bk>
      <rc t="2" v="4847"/>
    </bk>
    <bk>
      <rc t="2" v="4848"/>
    </bk>
    <bk>
      <rc t="2" v="4849"/>
    </bk>
    <bk>
      <rc t="2" v="4850"/>
    </bk>
    <bk>
      <rc t="2" v="4851"/>
    </bk>
    <bk>
      <rc t="2" v="4852"/>
    </bk>
    <bk>
      <rc t="2" v="4853"/>
    </bk>
    <bk>
      <rc t="2" v="4854"/>
    </bk>
    <bk>
      <rc t="2" v="4855"/>
    </bk>
    <bk>
      <rc t="2" v="4856"/>
    </bk>
    <bk>
      <rc t="2" v="4857"/>
    </bk>
    <bk>
      <rc t="2" v="4858"/>
    </bk>
    <bk>
      <rc t="2" v="4859"/>
    </bk>
    <bk>
      <rc t="2" v="4860"/>
    </bk>
    <bk>
      <rc t="2" v="4861"/>
    </bk>
    <bk>
      <rc t="2" v="4862"/>
    </bk>
    <bk>
      <rc t="2" v="4863"/>
    </bk>
    <bk>
      <rc t="2" v="4864"/>
    </bk>
    <bk>
      <rc t="2" v="4865"/>
    </bk>
    <bk>
      <rc t="2" v="4866"/>
    </bk>
    <bk>
      <rc t="2" v="4867"/>
    </bk>
    <bk>
      <rc t="2" v="4868"/>
    </bk>
    <bk>
      <rc t="2" v="4869"/>
    </bk>
    <bk>
      <rc t="2" v="4870"/>
    </bk>
    <bk>
      <rc t="2" v="4871"/>
    </bk>
    <bk>
      <rc t="2" v="4872"/>
    </bk>
    <bk>
      <rc t="2" v="4873"/>
    </bk>
    <bk>
      <rc t="2" v="4874"/>
    </bk>
    <bk>
      <rc t="2" v="4875"/>
    </bk>
    <bk>
      <rc t="2" v="4876"/>
    </bk>
    <bk>
      <rc t="2" v="4877"/>
    </bk>
    <bk>
      <rc t="2" v="4878"/>
    </bk>
    <bk>
      <rc t="2" v="4879"/>
    </bk>
    <bk>
      <rc t="2" v="4880"/>
    </bk>
    <bk>
      <rc t="2" v="4881"/>
    </bk>
    <bk>
      <rc t="2" v="4882"/>
    </bk>
    <bk>
      <rc t="2" v="4883"/>
    </bk>
    <bk>
      <rc t="2" v="4884"/>
    </bk>
    <bk>
      <rc t="2" v="4885"/>
    </bk>
    <bk>
      <rc t="2" v="4886"/>
    </bk>
    <bk>
      <rc t="2" v="4887"/>
    </bk>
    <bk>
      <rc t="2" v="4888"/>
    </bk>
    <bk>
      <rc t="2" v="4889"/>
    </bk>
    <bk>
      <rc t="2" v="4890"/>
    </bk>
    <bk>
      <rc t="2" v="4891"/>
    </bk>
    <bk>
      <rc t="2" v="4892"/>
    </bk>
    <bk>
      <rc t="2" v="4893"/>
    </bk>
    <bk>
      <rc t="2" v="4894"/>
    </bk>
    <bk>
      <rc t="2" v="4895"/>
    </bk>
    <bk>
      <rc t="2" v="4896"/>
    </bk>
    <bk>
      <rc t="2" v="4897"/>
    </bk>
    <bk>
      <rc t="2" v="4898"/>
    </bk>
    <bk>
      <rc t="2" v="4899"/>
    </bk>
    <bk>
      <rc t="2" v="4900"/>
    </bk>
    <bk>
      <rc t="2" v="4901"/>
    </bk>
    <bk>
      <rc t="2" v="4902"/>
    </bk>
    <bk>
      <rc t="2" v="4903"/>
    </bk>
    <bk>
      <rc t="2" v="4904"/>
    </bk>
    <bk>
      <rc t="2" v="4905"/>
    </bk>
    <bk>
      <rc t="2" v="4906"/>
    </bk>
    <bk>
      <rc t="2" v="4907"/>
    </bk>
    <bk>
      <rc t="2" v="4908"/>
    </bk>
    <bk>
      <rc t="2" v="4909"/>
    </bk>
    <bk>
      <rc t="2" v="4910"/>
    </bk>
    <bk>
      <rc t="2" v="4911"/>
    </bk>
    <bk>
      <rc t="2" v="4912"/>
    </bk>
    <bk>
      <rc t="2" v="4913"/>
    </bk>
    <bk>
      <rc t="2" v="4914"/>
    </bk>
    <bk>
      <rc t="2" v="4915"/>
    </bk>
    <bk>
      <rc t="2" v="4916"/>
    </bk>
    <bk>
      <rc t="2" v="4917"/>
    </bk>
    <bk>
      <rc t="2" v="4918"/>
    </bk>
    <bk>
      <rc t="2" v="4919"/>
    </bk>
    <bk>
      <rc t="2" v="4920"/>
    </bk>
    <bk>
      <rc t="2" v="4921"/>
    </bk>
    <bk>
      <rc t="2" v="4922"/>
    </bk>
    <bk>
      <rc t="2" v="4923"/>
    </bk>
    <bk>
      <rc t="2" v="4924"/>
    </bk>
    <bk>
      <rc t="2" v="4925"/>
    </bk>
    <bk>
      <rc t="2" v="4926"/>
    </bk>
    <bk>
      <rc t="2" v="4927"/>
    </bk>
    <bk>
      <rc t="2" v="4928"/>
    </bk>
    <bk>
      <rc t="2" v="4929"/>
    </bk>
    <bk>
      <rc t="2" v="4930"/>
    </bk>
    <bk>
      <rc t="2" v="4931"/>
    </bk>
    <bk>
      <rc t="2" v="4932"/>
    </bk>
    <bk>
      <rc t="2" v="4933"/>
    </bk>
    <bk>
      <rc t="2" v="4934"/>
    </bk>
    <bk>
      <rc t="2" v="4935"/>
    </bk>
    <bk>
      <rc t="2" v="4936"/>
    </bk>
    <bk>
      <rc t="2" v="4937"/>
    </bk>
    <bk>
      <rc t="2" v="4938"/>
    </bk>
    <bk>
      <rc t="2" v="4939"/>
    </bk>
    <bk>
      <rc t="2" v="4940"/>
    </bk>
    <bk>
      <rc t="2" v="4941"/>
    </bk>
    <bk>
      <rc t="2" v="4942"/>
    </bk>
    <bk>
      <rc t="2" v="4943"/>
    </bk>
    <bk>
      <rc t="2" v="4944"/>
    </bk>
    <bk>
      <rc t="2" v="4945"/>
    </bk>
    <bk>
      <rc t="2" v="4946"/>
    </bk>
    <bk>
      <rc t="2" v="4947"/>
    </bk>
    <bk>
      <rc t="2" v="4948"/>
    </bk>
    <bk>
      <rc t="2" v="4949"/>
    </bk>
    <bk>
      <rc t="2" v="4950"/>
    </bk>
    <bk>
      <rc t="2" v="4951"/>
    </bk>
    <bk>
      <rc t="2" v="4952"/>
    </bk>
    <bk>
      <rc t="2" v="4953"/>
    </bk>
    <bk>
      <rc t="2" v="4954"/>
    </bk>
    <bk>
      <rc t="2" v="4955"/>
    </bk>
    <bk>
      <rc t="2" v="4956"/>
    </bk>
    <bk>
      <rc t="2" v="4957"/>
    </bk>
    <bk>
      <rc t="2" v="4958"/>
    </bk>
    <bk>
      <rc t="2" v="4959"/>
    </bk>
    <bk>
      <rc t="2" v="4960"/>
    </bk>
    <bk>
      <rc t="2" v="4961"/>
    </bk>
    <bk>
      <rc t="2" v="4962"/>
    </bk>
    <bk>
      <rc t="2" v="4963"/>
    </bk>
    <bk>
      <rc t="2" v="4964"/>
    </bk>
    <bk>
      <rc t="2" v="4965"/>
    </bk>
    <bk>
      <rc t="2" v="4966"/>
    </bk>
    <bk>
      <rc t="2" v="4967"/>
    </bk>
    <bk>
      <rc t="2" v="4968"/>
    </bk>
    <bk>
      <rc t="2" v="4969"/>
    </bk>
    <bk>
      <rc t="2" v="4970"/>
    </bk>
    <bk>
      <rc t="2" v="4971"/>
    </bk>
    <bk>
      <rc t="2" v="4972"/>
    </bk>
    <bk>
      <rc t="2" v="4973"/>
    </bk>
    <bk>
      <rc t="2" v="4974"/>
    </bk>
    <bk>
      <rc t="2" v="4975"/>
    </bk>
    <bk>
      <rc t="2" v="4976"/>
    </bk>
    <bk>
      <rc t="2" v="4977"/>
    </bk>
    <bk>
      <rc t="2" v="4978"/>
    </bk>
    <bk>
      <rc t="2" v="4979"/>
    </bk>
    <bk>
      <rc t="2" v="4980"/>
    </bk>
    <bk>
      <rc t="2" v="4981"/>
    </bk>
    <bk>
      <rc t="2" v="4982"/>
    </bk>
    <bk>
      <rc t="2" v="4983"/>
    </bk>
    <bk>
      <rc t="2" v="4984"/>
    </bk>
    <bk>
      <rc t="2" v="4985"/>
    </bk>
    <bk>
      <rc t="2" v="4986"/>
    </bk>
    <bk>
      <rc t="2" v="4987"/>
    </bk>
    <bk>
      <rc t="2" v="4988"/>
    </bk>
    <bk>
      <rc t="2" v="4989"/>
    </bk>
    <bk>
      <rc t="2" v="4990"/>
    </bk>
    <bk>
      <rc t="2" v="4991"/>
    </bk>
    <bk>
      <rc t="2" v="4992"/>
    </bk>
    <bk>
      <rc t="2" v="4993"/>
    </bk>
    <bk>
      <rc t="2" v="4994"/>
    </bk>
    <bk>
      <rc t="2" v="4995"/>
    </bk>
    <bk>
      <rc t="2" v="4996"/>
    </bk>
    <bk>
      <rc t="2" v="4997"/>
    </bk>
    <bk>
      <rc t="2" v="4998"/>
    </bk>
    <bk>
      <rc t="2" v="4999"/>
    </bk>
    <bk>
      <rc t="2" v="5000"/>
    </bk>
    <bk>
      <rc t="2" v="5001"/>
    </bk>
    <bk>
      <rc t="2" v="5002"/>
    </bk>
    <bk>
      <rc t="2" v="5003"/>
    </bk>
    <bk>
      <rc t="2" v="5004"/>
    </bk>
    <bk>
      <rc t="2" v="5005"/>
    </bk>
    <bk>
      <rc t="2" v="5006"/>
    </bk>
    <bk>
      <rc t="2" v="5007"/>
    </bk>
    <bk>
      <rc t="2" v="5008"/>
    </bk>
    <bk>
      <rc t="2" v="5009"/>
    </bk>
    <bk>
      <rc t="2" v="5010"/>
    </bk>
    <bk>
      <rc t="2" v="5011"/>
    </bk>
    <bk>
      <rc t="2" v="5012"/>
    </bk>
    <bk>
      <rc t="2" v="5013"/>
    </bk>
    <bk>
      <rc t="2" v="5014"/>
    </bk>
    <bk>
      <rc t="2" v="5015"/>
    </bk>
    <bk>
      <rc t="2" v="5016"/>
    </bk>
    <bk>
      <rc t="2" v="5017"/>
    </bk>
    <bk>
      <rc t="2" v="5018"/>
    </bk>
    <bk>
      <rc t="2" v="5019"/>
    </bk>
    <bk>
      <rc t="2" v="5020"/>
    </bk>
    <bk>
      <rc t="2" v="5021"/>
    </bk>
    <bk>
      <rc t="2" v="5022"/>
    </bk>
    <bk>
      <rc t="2" v="5023"/>
    </bk>
    <bk>
      <rc t="2" v="5024"/>
    </bk>
    <bk>
      <rc t="2" v="5025"/>
    </bk>
    <bk>
      <rc t="2" v="5026"/>
    </bk>
    <bk>
      <rc t="2" v="5027"/>
    </bk>
    <bk>
      <rc t="2" v="5028"/>
    </bk>
    <bk>
      <rc t="2" v="5029"/>
    </bk>
    <bk>
      <rc t="2" v="5030"/>
    </bk>
    <bk>
      <rc t="2" v="5031"/>
    </bk>
    <bk>
      <rc t="2" v="5032"/>
    </bk>
    <bk>
      <rc t="2" v="5033"/>
    </bk>
    <bk>
      <rc t="2" v="5034"/>
    </bk>
    <bk>
      <rc t="2" v="5035"/>
    </bk>
    <bk>
      <rc t="2" v="5036"/>
    </bk>
    <bk>
      <rc t="2" v="5037"/>
    </bk>
    <bk>
      <rc t="2" v="5038"/>
    </bk>
    <bk>
      <rc t="2" v="5039"/>
    </bk>
    <bk>
      <rc t="2" v="5040"/>
    </bk>
    <bk>
      <rc t="2" v="5041"/>
    </bk>
    <bk>
      <rc t="2" v="5042"/>
    </bk>
    <bk>
      <rc t="2" v="5043"/>
    </bk>
    <bk>
      <rc t="2" v="5044"/>
    </bk>
    <bk>
      <rc t="2" v="5045"/>
    </bk>
    <bk>
      <rc t="2" v="5046"/>
    </bk>
    <bk>
      <rc t="2" v="5047"/>
    </bk>
    <bk>
      <rc t="2" v="5048"/>
    </bk>
    <bk>
      <rc t="2" v="5049"/>
    </bk>
    <bk>
      <rc t="2" v="5050"/>
    </bk>
    <bk>
      <rc t="2" v="5051"/>
    </bk>
    <bk>
      <rc t="2" v="5052"/>
    </bk>
    <bk>
      <rc t="2" v="5053"/>
    </bk>
    <bk>
      <rc t="2" v="5054"/>
    </bk>
    <bk>
      <rc t="2" v="5055"/>
    </bk>
    <bk>
      <rc t="2" v="5056"/>
    </bk>
    <bk>
      <rc t="2" v="5057"/>
    </bk>
    <bk>
      <rc t="2" v="5058"/>
    </bk>
    <bk>
      <rc t="2" v="5059"/>
    </bk>
    <bk>
      <rc t="2" v="5060"/>
    </bk>
    <bk>
      <rc t="2" v="5061"/>
    </bk>
    <bk>
      <rc t="2" v="5062"/>
    </bk>
    <bk>
      <rc t="2" v="5063"/>
    </bk>
    <bk>
      <rc t="2" v="5064"/>
    </bk>
    <bk>
      <rc t="2" v="5065"/>
    </bk>
    <bk>
      <rc t="2" v="5066"/>
    </bk>
    <bk>
      <rc t="2" v="5067"/>
    </bk>
    <bk>
      <rc t="2" v="5068"/>
    </bk>
    <bk>
      <rc t="2" v="5069"/>
    </bk>
    <bk>
      <rc t="2" v="5070"/>
    </bk>
    <bk>
      <rc t="2" v="5071"/>
    </bk>
    <bk>
      <rc t="2" v="5072"/>
    </bk>
    <bk>
      <rc t="2" v="5073"/>
    </bk>
    <bk>
      <rc t="2" v="5074"/>
    </bk>
    <bk>
      <rc t="2" v="5075"/>
    </bk>
    <bk>
      <rc t="2" v="5076"/>
    </bk>
    <bk>
      <rc t="2" v="5077"/>
    </bk>
    <bk>
      <rc t="2" v="5078"/>
    </bk>
    <bk>
      <rc t="2" v="5079"/>
    </bk>
    <bk>
      <rc t="2" v="5080"/>
    </bk>
    <bk>
      <rc t="2" v="5081"/>
    </bk>
    <bk>
      <rc t="2" v="5082"/>
    </bk>
    <bk>
      <rc t="2" v="5083"/>
    </bk>
    <bk>
      <rc t="2" v="5084"/>
    </bk>
    <bk>
      <rc t="2" v="5085"/>
    </bk>
    <bk>
      <rc t="2" v="5086"/>
    </bk>
    <bk>
      <rc t="2" v="5087"/>
    </bk>
    <bk>
      <rc t="2" v="5088"/>
    </bk>
    <bk>
      <rc t="2" v="5089"/>
    </bk>
    <bk>
      <rc t="2" v="5090"/>
    </bk>
    <bk>
      <rc t="2" v="5091"/>
    </bk>
    <bk>
      <rc t="2" v="5092"/>
    </bk>
    <bk>
      <rc t="2" v="5093"/>
    </bk>
    <bk>
      <rc t="2" v="5094"/>
    </bk>
    <bk>
      <rc t="2" v="5095"/>
    </bk>
    <bk>
      <rc t="2" v="5096"/>
    </bk>
    <bk>
      <rc t="2" v="5097"/>
    </bk>
    <bk>
      <rc t="2" v="5098"/>
    </bk>
    <bk>
      <rc t="2" v="5099"/>
    </bk>
    <bk>
      <rc t="2" v="5100"/>
    </bk>
    <bk>
      <rc t="2" v="5101"/>
    </bk>
    <bk>
      <rc t="2" v="5102"/>
    </bk>
    <bk>
      <rc t="2" v="5103"/>
    </bk>
    <bk>
      <rc t="2" v="5104"/>
    </bk>
    <bk>
      <rc t="2" v="5105"/>
    </bk>
    <bk>
      <rc t="2" v="5106"/>
    </bk>
    <bk>
      <rc t="2" v="5107"/>
    </bk>
    <bk>
      <rc t="2" v="5108"/>
    </bk>
    <bk>
      <rc t="2" v="5109"/>
    </bk>
    <bk>
      <rc t="2" v="5110"/>
    </bk>
    <bk>
      <rc t="2" v="5111"/>
    </bk>
    <bk>
      <rc t="2" v="5112"/>
    </bk>
    <bk>
      <rc t="2" v="5113"/>
    </bk>
    <bk>
      <rc t="2" v="5114"/>
    </bk>
    <bk>
      <rc t="2" v="5115"/>
    </bk>
    <bk>
      <rc t="2" v="5116"/>
    </bk>
    <bk>
      <rc t="2" v="5117"/>
    </bk>
    <bk>
      <rc t="2" v="5118"/>
    </bk>
    <bk>
      <rc t="2" v="5119"/>
    </bk>
    <bk>
      <rc t="2" v="5120"/>
    </bk>
    <bk>
      <rc t="2" v="5121"/>
    </bk>
    <bk>
      <rc t="2" v="5122"/>
    </bk>
    <bk>
      <rc t="2" v="5123"/>
    </bk>
    <bk>
      <rc t="2" v="5124"/>
    </bk>
    <bk>
      <rc t="2" v="5125"/>
    </bk>
    <bk>
      <rc t="2" v="5126"/>
    </bk>
    <bk>
      <rc t="2" v="5127"/>
    </bk>
    <bk>
      <rc t="2" v="5128"/>
    </bk>
    <bk>
      <rc t="2" v="5129"/>
    </bk>
    <bk>
      <rc t="2" v="5130"/>
    </bk>
    <bk>
      <rc t="2" v="5131"/>
    </bk>
    <bk>
      <rc t="2" v="5132"/>
    </bk>
    <bk>
      <rc t="2" v="5133"/>
    </bk>
    <bk>
      <rc t="2" v="5134"/>
    </bk>
    <bk>
      <rc t="2" v="5135"/>
    </bk>
    <bk>
      <rc t="2" v="5136"/>
    </bk>
    <bk>
      <rc t="2" v="5137"/>
    </bk>
    <bk>
      <rc t="2" v="5138"/>
    </bk>
    <bk>
      <rc t="2" v="5139"/>
    </bk>
    <bk>
      <rc t="2" v="5140"/>
    </bk>
    <bk>
      <rc t="2" v="5141"/>
    </bk>
    <bk>
      <rc t="2" v="5142"/>
    </bk>
    <bk>
      <rc t="2" v="5143"/>
    </bk>
    <bk>
      <rc t="2" v="5144"/>
    </bk>
    <bk>
      <rc t="2" v="5145"/>
    </bk>
    <bk>
      <rc t="2" v="5146"/>
    </bk>
    <bk>
      <rc t="2" v="5147"/>
    </bk>
    <bk>
      <rc t="2" v="5148"/>
    </bk>
    <bk>
      <rc t="2" v="5149"/>
    </bk>
    <bk>
      <rc t="2" v="5150"/>
    </bk>
    <bk>
      <rc t="2" v="5151"/>
    </bk>
    <bk>
      <rc t="2" v="5152"/>
    </bk>
    <bk>
      <rc t="2" v="5153"/>
    </bk>
    <bk>
      <rc t="2" v="5154"/>
    </bk>
    <bk>
      <rc t="2" v="5155"/>
    </bk>
    <bk>
      <rc t="2" v="5156"/>
    </bk>
    <bk>
      <rc t="2" v="5157"/>
    </bk>
    <bk>
      <rc t="2" v="5158"/>
    </bk>
    <bk>
      <rc t="2" v="5159"/>
    </bk>
    <bk>
      <rc t="2" v="5160"/>
    </bk>
    <bk>
      <rc t="2" v="5161"/>
    </bk>
    <bk>
      <rc t="2" v="5162"/>
    </bk>
    <bk>
      <rc t="2" v="5163"/>
    </bk>
    <bk>
      <rc t="2" v="5164"/>
    </bk>
    <bk>
      <rc t="2" v="5165"/>
    </bk>
    <bk>
      <rc t="2" v="5166"/>
    </bk>
    <bk>
      <rc t="2" v="5167"/>
    </bk>
    <bk>
      <rc t="2" v="5168"/>
    </bk>
    <bk>
      <rc t="2" v="5169"/>
    </bk>
    <bk>
      <rc t="2" v="5170"/>
    </bk>
    <bk>
      <rc t="2" v="5171"/>
    </bk>
    <bk>
      <rc t="2" v="5172"/>
    </bk>
    <bk>
      <rc t="2" v="5173"/>
    </bk>
    <bk>
      <rc t="2" v="5174"/>
    </bk>
    <bk>
      <rc t="2" v="5175"/>
    </bk>
    <bk>
      <rc t="2" v="5176"/>
    </bk>
    <bk>
      <rc t="2" v="5177"/>
    </bk>
    <bk>
      <rc t="2" v="5178"/>
    </bk>
    <bk>
      <rc t="2" v="5179"/>
    </bk>
    <bk>
      <rc t="2" v="5180"/>
    </bk>
    <bk>
      <rc t="2" v="5181"/>
    </bk>
    <bk>
      <rc t="2" v="5182"/>
    </bk>
    <bk>
      <rc t="2" v="5183"/>
    </bk>
    <bk>
      <rc t="2" v="5184"/>
    </bk>
    <bk>
      <rc t="2" v="5185"/>
    </bk>
    <bk>
      <rc t="2" v="5186"/>
    </bk>
    <bk>
      <rc t="2" v="5187"/>
    </bk>
    <bk>
      <rc t="2" v="5188"/>
    </bk>
    <bk>
      <rc t="2" v="5189"/>
    </bk>
    <bk>
      <rc t="2" v="5190"/>
    </bk>
    <bk>
      <rc t="2" v="5191"/>
    </bk>
    <bk>
      <rc t="2" v="5192"/>
    </bk>
    <bk>
      <rc t="2" v="5193"/>
    </bk>
    <bk>
      <rc t="2" v="5194"/>
    </bk>
    <bk>
      <rc t="2" v="5195"/>
    </bk>
    <bk>
      <rc t="2" v="5196"/>
    </bk>
    <bk>
      <rc t="2" v="5197"/>
    </bk>
    <bk>
      <rc t="2" v="5198"/>
    </bk>
    <bk>
      <rc t="2" v="5199"/>
    </bk>
    <bk>
      <rc t="2" v="5200"/>
    </bk>
    <bk>
      <rc t="2" v="5201"/>
    </bk>
    <bk>
      <rc t="2" v="5202"/>
    </bk>
    <bk>
      <rc t="2" v="5203"/>
    </bk>
    <bk>
      <rc t="2" v="5204"/>
    </bk>
    <bk>
      <rc t="2" v="5205"/>
    </bk>
    <bk>
      <rc t="2" v="5206"/>
    </bk>
    <bk>
      <rc t="2" v="5207"/>
    </bk>
    <bk>
      <rc t="2" v="5208"/>
    </bk>
    <bk>
      <rc t="2" v="5209"/>
    </bk>
    <bk>
      <rc t="2" v="5210"/>
    </bk>
    <bk>
      <rc t="2" v="5211"/>
    </bk>
    <bk>
      <rc t="2" v="5212"/>
    </bk>
    <bk>
      <rc t="2" v="5213"/>
    </bk>
    <bk>
      <rc t="2" v="5214"/>
    </bk>
    <bk>
      <rc t="2" v="5215"/>
    </bk>
    <bk>
      <rc t="2" v="5216"/>
    </bk>
    <bk>
      <rc t="2" v="5217"/>
    </bk>
    <bk>
      <rc t="2" v="5218"/>
    </bk>
    <bk>
      <rc t="2" v="5219"/>
    </bk>
    <bk>
      <rc t="2" v="5220"/>
    </bk>
    <bk>
      <rc t="2" v="5221"/>
    </bk>
    <bk>
      <rc t="2" v="5222"/>
    </bk>
    <bk>
      <rc t="2" v="5223"/>
    </bk>
    <bk>
      <rc t="2" v="5224"/>
    </bk>
    <bk>
      <rc t="2" v="5225"/>
    </bk>
    <bk>
      <rc t="2" v="5226"/>
    </bk>
    <bk>
      <rc t="2" v="5227"/>
    </bk>
    <bk>
      <rc t="2" v="5228"/>
    </bk>
    <bk>
      <rc t="2" v="5229"/>
    </bk>
    <bk>
      <rc t="2" v="5230"/>
    </bk>
    <bk>
      <rc t="2" v="5231"/>
    </bk>
    <bk>
      <rc t="2" v="5232"/>
    </bk>
    <bk>
      <rc t="2" v="5233"/>
    </bk>
    <bk>
      <rc t="2" v="5234"/>
    </bk>
    <bk>
      <rc t="2" v="5235"/>
    </bk>
    <bk>
      <rc t="2" v="5236"/>
    </bk>
    <bk>
      <rc t="2" v="5237"/>
    </bk>
    <bk>
      <rc t="2" v="5238"/>
    </bk>
    <bk>
      <rc t="2" v="5239"/>
    </bk>
    <bk>
      <rc t="2" v="5240"/>
    </bk>
    <bk>
      <rc t="2" v="5241"/>
    </bk>
    <bk>
      <rc t="2" v="5242"/>
    </bk>
    <bk>
      <rc t="2" v="5243"/>
    </bk>
    <bk>
      <rc t="2" v="5244"/>
    </bk>
    <bk>
      <rc t="2" v="5245"/>
    </bk>
    <bk>
      <rc t="2" v="5246"/>
    </bk>
    <bk>
      <rc t="2" v="5247"/>
    </bk>
    <bk>
      <rc t="2" v="5248"/>
    </bk>
    <bk>
      <rc t="2" v="5249"/>
    </bk>
    <bk>
      <rc t="2" v="5250"/>
    </bk>
    <bk>
      <rc t="2" v="5251"/>
    </bk>
    <bk>
      <rc t="2" v="5252"/>
    </bk>
    <bk>
      <rc t="2" v="5253"/>
    </bk>
    <bk>
      <rc t="2" v="5254"/>
    </bk>
    <bk>
      <rc t="2" v="5255"/>
    </bk>
    <bk>
      <rc t="2" v="5256"/>
    </bk>
    <bk>
      <rc t="2" v="5257"/>
    </bk>
    <bk>
      <rc t="2" v="5258"/>
    </bk>
    <bk>
      <rc t="2" v="5259"/>
    </bk>
    <bk>
      <rc t="2" v="5260"/>
    </bk>
    <bk>
      <rc t="2" v="5261"/>
    </bk>
    <bk>
      <rc t="2" v="5262"/>
    </bk>
    <bk>
      <rc t="2" v="5263"/>
    </bk>
    <bk>
      <rc t="2" v="5264"/>
    </bk>
    <bk>
      <rc t="2" v="5265"/>
    </bk>
    <bk>
      <rc t="2" v="5266"/>
    </bk>
    <bk>
      <rc t="2" v="5267"/>
    </bk>
    <bk>
      <rc t="2" v="5268"/>
    </bk>
    <bk>
      <rc t="2" v="5269"/>
    </bk>
    <bk>
      <rc t="2" v="5270"/>
    </bk>
    <bk>
      <rc t="2" v="5271"/>
    </bk>
    <bk>
      <rc t="2" v="5272"/>
    </bk>
    <bk>
      <rc t="2" v="5273"/>
    </bk>
    <bk>
      <rc t="2" v="5274"/>
    </bk>
    <bk>
      <rc t="2" v="5275"/>
    </bk>
    <bk>
      <rc t="2" v="5276"/>
    </bk>
    <bk>
      <rc t="2" v="5277"/>
    </bk>
    <bk>
      <rc t="2" v="5278"/>
    </bk>
    <bk>
      <rc t="2" v="5279"/>
    </bk>
    <bk>
      <rc t="2" v="5280"/>
    </bk>
    <bk>
      <rc t="2" v="5281"/>
    </bk>
    <bk>
      <rc t="2" v="5282"/>
    </bk>
    <bk>
      <rc t="2" v="5283"/>
    </bk>
    <bk>
      <rc t="2" v="5284"/>
    </bk>
    <bk>
      <rc t="2" v="5285"/>
    </bk>
    <bk>
      <rc t="2" v="5286"/>
    </bk>
    <bk>
      <rc t="2" v="5287"/>
    </bk>
    <bk>
      <rc t="2" v="5288"/>
    </bk>
    <bk>
      <rc t="2" v="5289"/>
    </bk>
    <bk>
      <rc t="2" v="5290"/>
    </bk>
    <bk>
      <rc t="2" v="5291"/>
    </bk>
    <bk>
      <rc t="2" v="5292"/>
    </bk>
    <bk>
      <rc t="2" v="5293"/>
    </bk>
    <bk>
      <rc t="2" v="5294"/>
    </bk>
    <bk>
      <rc t="2" v="5295"/>
    </bk>
    <bk>
      <rc t="2" v="5296"/>
    </bk>
    <bk>
      <rc t="2" v="5297"/>
    </bk>
    <bk>
      <rc t="2" v="5298"/>
    </bk>
    <bk>
      <rc t="2" v="5299"/>
    </bk>
    <bk>
      <rc t="2" v="5300"/>
    </bk>
    <bk>
      <rc t="2" v="5301"/>
    </bk>
    <bk>
      <rc t="2" v="5302"/>
    </bk>
    <bk>
      <rc t="2" v="5303"/>
    </bk>
    <bk>
      <rc t="2" v="5304"/>
    </bk>
    <bk>
      <rc t="2" v="5305"/>
    </bk>
    <bk>
      <rc t="2" v="5306"/>
    </bk>
    <bk>
      <rc t="2" v="5307"/>
    </bk>
    <bk>
      <rc t="2" v="5308"/>
    </bk>
    <bk>
      <rc t="2" v="5309"/>
    </bk>
    <bk>
      <rc t="2" v="5310"/>
    </bk>
    <bk>
      <rc t="2" v="5311"/>
    </bk>
    <bk>
      <rc t="2" v="5312"/>
    </bk>
    <bk>
      <rc t="2" v="5313"/>
    </bk>
    <bk>
      <rc t="2" v="5314"/>
    </bk>
    <bk>
      <rc t="2" v="5315"/>
    </bk>
    <bk>
      <rc t="2" v="5316"/>
    </bk>
    <bk>
      <rc t="2" v="5317"/>
    </bk>
    <bk>
      <rc t="2" v="5318"/>
    </bk>
    <bk>
      <rc t="2" v="5319"/>
    </bk>
    <bk>
      <rc t="2" v="5320"/>
    </bk>
    <bk>
      <rc t="2" v="5321"/>
    </bk>
    <bk>
      <rc t="2" v="5322"/>
    </bk>
    <bk>
      <rc t="2" v="5323"/>
    </bk>
    <bk>
      <rc t="2" v="5324"/>
    </bk>
    <bk>
      <rc t="2" v="5325"/>
    </bk>
    <bk>
      <rc t="2" v="5326"/>
    </bk>
    <bk>
      <rc t="2" v="5327"/>
    </bk>
    <bk>
      <rc t="2" v="5328"/>
    </bk>
    <bk>
      <rc t="2" v="5329"/>
    </bk>
    <bk>
      <rc t="2" v="5330"/>
    </bk>
    <bk>
      <rc t="2" v="5331"/>
    </bk>
    <bk>
      <rc t="2" v="5332"/>
    </bk>
    <bk>
      <rc t="2" v="5333"/>
    </bk>
    <bk>
      <rc t="2" v="5334"/>
    </bk>
    <bk>
      <rc t="2" v="5335"/>
    </bk>
    <bk>
      <rc t="2" v="5336"/>
    </bk>
    <bk>
      <rc t="2" v="5337"/>
    </bk>
    <bk>
      <rc t="2" v="5338"/>
    </bk>
    <bk>
      <rc t="2" v="5339"/>
    </bk>
    <bk>
      <rc t="2" v="5340"/>
    </bk>
    <bk>
      <rc t="2" v="5341"/>
    </bk>
    <bk>
      <rc t="2" v="5342"/>
    </bk>
    <bk>
      <rc t="2" v="5343"/>
    </bk>
    <bk>
      <rc t="2" v="5344"/>
    </bk>
    <bk>
      <rc t="2" v="5345"/>
    </bk>
    <bk>
      <rc t="2" v="5346"/>
    </bk>
    <bk>
      <rc t="2" v="5347"/>
    </bk>
    <bk>
      <rc t="2" v="5348"/>
    </bk>
    <bk>
      <rc t="2" v="5349"/>
    </bk>
    <bk>
      <rc t="2" v="5350"/>
    </bk>
    <bk>
      <rc t="2" v="5351"/>
    </bk>
    <bk>
      <rc t="2" v="5352"/>
    </bk>
    <bk>
      <rc t="2" v="5353"/>
    </bk>
    <bk>
      <rc t="2" v="5354"/>
    </bk>
    <bk>
      <rc t="2" v="5355"/>
    </bk>
    <bk>
      <rc t="2" v="5356"/>
    </bk>
    <bk>
      <rc t="2" v="5357"/>
    </bk>
    <bk>
      <rc t="2" v="5358"/>
    </bk>
    <bk>
      <rc t="2" v="5359"/>
    </bk>
    <bk>
      <rc t="2" v="5360"/>
    </bk>
    <bk>
      <rc t="2" v="5361"/>
    </bk>
    <bk>
      <rc t="2" v="5362"/>
    </bk>
    <bk>
      <rc t="2" v="5363"/>
    </bk>
    <bk>
      <rc t="2" v="5364"/>
    </bk>
    <bk>
      <rc t="2" v="5365"/>
    </bk>
    <bk>
      <rc t="2" v="5366"/>
    </bk>
    <bk>
      <rc t="2" v="5367"/>
    </bk>
    <bk>
      <rc t="2" v="5368"/>
    </bk>
    <bk>
      <rc t="2" v="5369"/>
    </bk>
    <bk>
      <rc t="2" v="5370"/>
    </bk>
    <bk>
      <rc t="2" v="5371"/>
    </bk>
    <bk>
      <rc t="2" v="5372"/>
    </bk>
    <bk>
      <rc t="2" v="5373"/>
    </bk>
    <bk>
      <rc t="2" v="5374"/>
    </bk>
    <bk>
      <rc t="2" v="5375"/>
    </bk>
    <bk>
      <rc t="2" v="5376"/>
    </bk>
    <bk>
      <rc t="2" v="5377"/>
    </bk>
    <bk>
      <rc t="2" v="5378"/>
    </bk>
    <bk>
      <rc t="2" v="5379"/>
    </bk>
    <bk>
      <rc t="2" v="5380"/>
    </bk>
    <bk>
      <rc t="2" v="5381"/>
    </bk>
    <bk>
      <rc t="2" v="5382"/>
    </bk>
    <bk>
      <rc t="2" v="5383"/>
    </bk>
    <bk>
      <rc t="2" v="5384"/>
    </bk>
    <bk>
      <rc t="2" v="5385"/>
    </bk>
    <bk>
      <rc t="2" v="5386"/>
    </bk>
    <bk>
      <rc t="2" v="5387"/>
    </bk>
    <bk>
      <rc t="2" v="5388"/>
    </bk>
    <bk>
      <rc t="2" v="5389"/>
    </bk>
    <bk>
      <rc t="2" v="5390"/>
    </bk>
    <bk>
      <rc t="2" v="5391"/>
    </bk>
    <bk>
      <rc t="2" v="5392"/>
    </bk>
    <bk>
      <rc t="2" v="5393"/>
    </bk>
    <bk>
      <rc t="2" v="5394"/>
    </bk>
    <bk>
      <rc t="2" v="5395"/>
    </bk>
    <bk>
      <rc t="2" v="5396"/>
    </bk>
    <bk>
      <rc t="2" v="5397"/>
    </bk>
    <bk>
      <rc t="2" v="5398"/>
    </bk>
    <bk>
      <rc t="2" v="5399"/>
    </bk>
    <bk>
      <rc t="2" v="5400"/>
    </bk>
    <bk>
      <rc t="2" v="5401"/>
    </bk>
    <bk>
      <rc t="2" v="5402"/>
    </bk>
    <bk>
      <rc t="2" v="5403"/>
    </bk>
    <bk>
      <rc t="2" v="5404"/>
    </bk>
    <bk>
      <rc t="2" v="5405"/>
    </bk>
    <bk>
      <rc t="2" v="5406"/>
    </bk>
    <bk>
      <rc t="2" v="5407"/>
    </bk>
    <bk>
      <rc t="2" v="5408"/>
    </bk>
    <bk>
      <rc t="2" v="5409"/>
    </bk>
    <bk>
      <rc t="2" v="5410"/>
    </bk>
    <bk>
      <rc t="2" v="5411"/>
    </bk>
    <bk>
      <rc t="2" v="5412"/>
    </bk>
    <bk>
      <rc t="2" v="5413"/>
    </bk>
    <bk>
      <rc t="2" v="5414"/>
    </bk>
    <bk>
      <rc t="2" v="5415"/>
    </bk>
    <bk>
      <rc t="2" v="5416"/>
    </bk>
    <bk>
      <rc t="2" v="5417"/>
    </bk>
    <bk>
      <rc t="2" v="5418"/>
    </bk>
    <bk>
      <rc t="2" v="5419"/>
    </bk>
    <bk>
      <rc t="2" v="5420"/>
    </bk>
    <bk>
      <rc t="2" v="5421"/>
    </bk>
    <bk>
      <rc t="2" v="5422"/>
    </bk>
    <bk>
      <rc t="2" v="5423"/>
    </bk>
    <bk>
      <rc t="2" v="5424"/>
    </bk>
    <bk>
      <rc t="2" v="5425"/>
    </bk>
    <bk>
      <rc t="2" v="5426"/>
    </bk>
    <bk>
      <rc t="2" v="5427"/>
    </bk>
    <bk>
      <rc t="2" v="5428"/>
    </bk>
    <bk>
      <rc t="2" v="5429"/>
    </bk>
    <bk>
      <rc t="2" v="5430"/>
    </bk>
    <bk>
      <rc t="2" v="5431"/>
    </bk>
    <bk>
      <rc t="2" v="5432"/>
    </bk>
    <bk>
      <rc t="2" v="5433"/>
    </bk>
    <bk>
      <rc t="2" v="5434"/>
    </bk>
    <bk>
      <rc t="2" v="5435"/>
    </bk>
    <bk>
      <rc t="2" v="5436"/>
    </bk>
    <bk>
      <rc t="2" v="5437"/>
    </bk>
    <bk>
      <rc t="2" v="5438"/>
    </bk>
    <bk>
      <rc t="2" v="5439"/>
    </bk>
    <bk>
      <rc t="2" v="5440"/>
    </bk>
    <bk>
      <rc t="2" v="5441"/>
    </bk>
    <bk>
      <rc t="2" v="5442"/>
    </bk>
    <bk>
      <rc t="2" v="5443"/>
    </bk>
    <bk>
      <rc t="2" v="5444"/>
    </bk>
    <bk>
      <rc t="2" v="5445"/>
    </bk>
    <bk>
      <rc t="2" v="5446"/>
    </bk>
    <bk>
      <rc t="2" v="5447"/>
    </bk>
    <bk>
      <rc t="2" v="5448"/>
    </bk>
    <bk>
      <rc t="2" v="5449"/>
    </bk>
    <bk>
      <rc t="2" v="5450"/>
    </bk>
    <bk>
      <rc t="2" v="5451"/>
    </bk>
    <bk>
      <rc t="2" v="5452"/>
    </bk>
    <bk>
      <rc t="2" v="5453"/>
    </bk>
    <bk>
      <rc t="2" v="5454"/>
    </bk>
    <bk>
      <rc t="2" v="5455"/>
    </bk>
    <bk>
      <rc t="2" v="5456"/>
    </bk>
    <bk>
      <rc t="2" v="5457"/>
    </bk>
    <bk>
      <rc t="2" v="5458"/>
    </bk>
    <bk>
      <rc t="2" v="5459"/>
    </bk>
    <bk>
      <rc t="2" v="5460"/>
    </bk>
    <bk>
      <rc t="2" v="5461"/>
    </bk>
    <bk>
      <rc t="2" v="5462"/>
    </bk>
    <bk>
      <rc t="2" v="5463"/>
    </bk>
    <bk>
      <rc t="2" v="5464"/>
    </bk>
    <bk>
      <rc t="2" v="5465"/>
    </bk>
    <bk>
      <rc t="2" v="5466"/>
    </bk>
    <bk>
      <rc t="2" v="5467"/>
    </bk>
    <bk>
      <rc t="2" v="5468"/>
    </bk>
    <bk>
      <rc t="2" v="5469"/>
    </bk>
    <bk>
      <rc t="2" v="5470"/>
    </bk>
    <bk>
      <rc t="2" v="5471"/>
    </bk>
    <bk>
      <rc t="2" v="5472"/>
    </bk>
    <bk>
      <rc t="2" v="5473"/>
    </bk>
    <bk>
      <rc t="2" v="5474"/>
    </bk>
    <bk>
      <rc t="2" v="5475"/>
    </bk>
    <bk>
      <rc t="2" v="5476"/>
    </bk>
    <bk>
      <rc t="2" v="5477"/>
    </bk>
    <bk>
      <rc t="2" v="5478"/>
    </bk>
    <bk>
      <rc t="2" v="5479"/>
    </bk>
    <bk>
      <rc t="2" v="5480"/>
    </bk>
    <bk>
      <rc t="2" v="5481"/>
    </bk>
    <bk>
      <rc t="2" v="5482"/>
    </bk>
    <bk>
      <rc t="2" v="5483"/>
    </bk>
    <bk>
      <rc t="2" v="5484"/>
    </bk>
    <bk>
      <rc t="2" v="5485"/>
    </bk>
    <bk>
      <rc t="2" v="5486"/>
    </bk>
    <bk>
      <rc t="2" v="5487"/>
    </bk>
    <bk>
      <rc t="2" v="5488"/>
    </bk>
    <bk>
      <rc t="2" v="5489"/>
    </bk>
    <bk>
      <rc t="2" v="5490"/>
    </bk>
    <bk>
      <rc t="2" v="5491"/>
    </bk>
    <bk>
      <rc t="2" v="5492"/>
    </bk>
    <bk>
      <rc t="2" v="5493"/>
    </bk>
    <bk>
      <rc t="2" v="5494"/>
    </bk>
    <bk>
      <rc t="2" v="5495"/>
    </bk>
    <bk>
      <rc t="2" v="5496"/>
    </bk>
    <bk>
      <rc t="2" v="5497"/>
    </bk>
    <bk>
      <rc t="2" v="5498"/>
    </bk>
    <bk>
      <rc t="2" v="5499"/>
    </bk>
    <bk>
      <rc t="2" v="5500"/>
    </bk>
    <bk>
      <rc t="2" v="5501"/>
    </bk>
    <bk>
      <rc t="2" v="5502"/>
    </bk>
    <bk>
      <rc t="2" v="5503"/>
    </bk>
    <bk>
      <rc t="2" v="5504"/>
    </bk>
    <bk>
      <rc t="2" v="5505"/>
    </bk>
    <bk>
      <rc t="2" v="5506"/>
    </bk>
    <bk>
      <rc t="2" v="5507"/>
    </bk>
    <bk>
      <rc t="2" v="5508"/>
    </bk>
    <bk>
      <rc t="2" v="5509"/>
    </bk>
    <bk>
      <rc t="2" v="5510"/>
    </bk>
    <bk>
      <rc t="2" v="5511"/>
    </bk>
    <bk>
      <rc t="2" v="5512"/>
    </bk>
    <bk>
      <rc t="2" v="5513"/>
    </bk>
    <bk>
      <rc t="2" v="5514"/>
    </bk>
    <bk>
      <rc t="2" v="5515"/>
    </bk>
    <bk>
      <rc t="2" v="5516"/>
    </bk>
    <bk>
      <rc t="2" v="5517"/>
    </bk>
    <bk>
      <rc t="2" v="5518"/>
    </bk>
    <bk>
      <rc t="2" v="5519"/>
    </bk>
    <bk>
      <rc t="2" v="5520"/>
    </bk>
    <bk>
      <rc t="2" v="5521"/>
    </bk>
    <bk>
      <rc t="2" v="5522"/>
    </bk>
    <bk>
      <rc t="2" v="5523"/>
    </bk>
    <bk>
      <rc t="2" v="5524"/>
    </bk>
    <bk>
      <rc t="2" v="5525"/>
    </bk>
    <bk>
      <rc t="2" v="5526"/>
    </bk>
    <bk>
      <rc t="2" v="5527"/>
    </bk>
    <bk>
      <rc t="2" v="5528"/>
    </bk>
    <bk>
      <rc t="2" v="5529"/>
    </bk>
    <bk>
      <rc t="2" v="5530"/>
    </bk>
    <bk>
      <rc t="2" v="5531"/>
    </bk>
    <bk>
      <rc t="2" v="5532"/>
    </bk>
    <bk>
      <rc t="2" v="5533"/>
    </bk>
    <bk>
      <rc t="2" v="5534"/>
    </bk>
    <bk>
      <rc t="2" v="5535"/>
    </bk>
    <bk>
      <rc t="2" v="5536"/>
    </bk>
    <bk>
      <rc t="2" v="5537"/>
    </bk>
    <bk>
      <rc t="2" v="5538"/>
    </bk>
    <bk>
      <rc t="2" v="5539"/>
    </bk>
    <bk>
      <rc t="2" v="5540"/>
    </bk>
    <bk>
      <rc t="2" v="5541"/>
    </bk>
    <bk>
      <rc t="2" v="5542"/>
    </bk>
    <bk>
      <rc t="2" v="5543"/>
    </bk>
    <bk>
      <rc t="2" v="5544"/>
    </bk>
    <bk>
      <rc t="2" v="5545"/>
    </bk>
    <bk>
      <rc t="2" v="5546"/>
    </bk>
    <bk>
      <rc t="2" v="5547"/>
    </bk>
    <bk>
      <rc t="2" v="5548"/>
    </bk>
    <bk>
      <rc t="2" v="5549"/>
    </bk>
    <bk>
      <rc t="2" v="5550"/>
    </bk>
    <bk>
      <rc t="2" v="5551"/>
    </bk>
    <bk>
      <rc t="2" v="5552"/>
    </bk>
    <bk>
      <rc t="2" v="5553"/>
    </bk>
    <bk>
      <rc t="2" v="5554"/>
    </bk>
    <bk>
      <rc t="2" v="5555"/>
    </bk>
    <bk>
      <rc t="2" v="5556"/>
    </bk>
    <bk>
      <rc t="2" v="5557"/>
    </bk>
    <bk>
      <rc t="2" v="5558"/>
    </bk>
    <bk>
      <rc t="2" v="5559"/>
    </bk>
    <bk>
      <rc t="2" v="5560"/>
    </bk>
    <bk>
      <rc t="2" v="5561"/>
    </bk>
    <bk>
      <rc t="2" v="5562"/>
    </bk>
    <bk>
      <rc t="2" v="5563"/>
    </bk>
    <bk>
      <rc t="2" v="5564"/>
    </bk>
    <bk>
      <rc t="2" v="5565"/>
    </bk>
    <bk>
      <rc t="2" v="5566"/>
    </bk>
    <bk>
      <rc t="2" v="5567"/>
    </bk>
    <bk>
      <rc t="2" v="5568"/>
    </bk>
    <bk>
      <rc t="2" v="5569"/>
    </bk>
    <bk>
      <rc t="2" v="5570"/>
    </bk>
    <bk>
      <rc t="2" v="5571"/>
    </bk>
    <bk>
      <rc t="2" v="5572"/>
    </bk>
    <bk>
      <rc t="2" v="5573"/>
    </bk>
    <bk>
      <rc t="2" v="5574"/>
    </bk>
    <bk>
      <rc t="2" v="5575"/>
    </bk>
    <bk>
      <rc t="2" v="5576"/>
    </bk>
    <bk>
      <rc t="2" v="5577"/>
    </bk>
    <bk>
      <rc t="2" v="5578"/>
    </bk>
    <bk>
      <rc t="2" v="5579"/>
    </bk>
    <bk>
      <rc t="2" v="5580"/>
    </bk>
    <bk>
      <rc t="2" v="5581"/>
    </bk>
    <bk>
      <rc t="2" v="5582"/>
    </bk>
    <bk>
      <rc t="2" v="5583"/>
    </bk>
    <bk>
      <rc t="2" v="5584"/>
    </bk>
    <bk>
      <rc t="2" v="5585"/>
    </bk>
    <bk>
      <rc t="2" v="5586"/>
    </bk>
    <bk>
      <rc t="2" v="5587"/>
    </bk>
    <bk>
      <rc t="2" v="5588"/>
    </bk>
    <bk>
      <rc t="2" v="5589"/>
    </bk>
    <bk>
      <rc t="2" v="5590"/>
    </bk>
    <bk>
      <rc t="2" v="5591"/>
    </bk>
    <bk>
      <rc t="2" v="5592"/>
    </bk>
    <bk>
      <rc t="2" v="5593"/>
    </bk>
    <bk>
      <rc t="2" v="5594"/>
    </bk>
    <bk>
      <rc t="2" v="5595"/>
    </bk>
    <bk>
      <rc t="2" v="5596"/>
    </bk>
    <bk>
      <rc t="2" v="5597"/>
    </bk>
    <bk>
      <rc t="2" v="5598"/>
    </bk>
    <bk>
      <rc t="2" v="5599"/>
    </bk>
    <bk>
      <rc t="2" v="5600"/>
    </bk>
    <bk>
      <rc t="2" v="5601"/>
    </bk>
    <bk>
      <rc t="2" v="5602"/>
    </bk>
    <bk>
      <rc t="2" v="5603"/>
    </bk>
    <bk>
      <rc t="2" v="5604"/>
    </bk>
    <bk>
      <rc t="2" v="5605"/>
    </bk>
    <bk>
      <rc t="2" v="5606"/>
    </bk>
    <bk>
      <rc t="2" v="5607"/>
    </bk>
    <bk>
      <rc t="2" v="5608"/>
    </bk>
    <bk>
      <rc t="2" v="5609"/>
    </bk>
    <bk>
      <rc t="2" v="5610"/>
    </bk>
    <bk>
      <rc t="2" v="5611"/>
    </bk>
    <bk>
      <rc t="2" v="5612"/>
    </bk>
    <bk>
      <rc t="2" v="5613"/>
    </bk>
    <bk>
      <rc t="2" v="5614"/>
    </bk>
    <bk>
      <rc t="2" v="5615"/>
    </bk>
    <bk>
      <rc t="2" v="5616"/>
    </bk>
    <bk>
      <rc t="2" v="5617"/>
    </bk>
    <bk>
      <rc t="2" v="5618"/>
    </bk>
    <bk>
      <rc t="2" v="5619"/>
    </bk>
    <bk>
      <rc t="2" v="5620"/>
    </bk>
    <bk>
      <rc t="2" v="5621"/>
    </bk>
    <bk>
      <rc t="2" v="5622"/>
    </bk>
    <bk>
      <rc t="2" v="5623"/>
    </bk>
    <bk>
      <rc t="2" v="5624"/>
    </bk>
    <bk>
      <rc t="2" v="5625"/>
    </bk>
    <bk>
      <rc t="2" v="5626"/>
    </bk>
    <bk>
      <rc t="2" v="5627"/>
    </bk>
    <bk>
      <rc t="2" v="5628"/>
    </bk>
    <bk>
      <rc t="2" v="5629"/>
    </bk>
    <bk>
      <rc t="2" v="5630"/>
    </bk>
    <bk>
      <rc t="2" v="5631"/>
    </bk>
    <bk>
      <rc t="2" v="5632"/>
    </bk>
    <bk>
      <rc t="2" v="5633"/>
    </bk>
    <bk>
      <rc t="2" v="5634"/>
    </bk>
    <bk>
      <rc t="2" v="5635"/>
    </bk>
    <bk>
      <rc t="2" v="5636"/>
    </bk>
    <bk>
      <rc t="2" v="5637"/>
    </bk>
    <bk>
      <rc t="2" v="5638"/>
    </bk>
    <bk>
      <rc t="2" v="5639"/>
    </bk>
    <bk>
      <rc t="2" v="5640"/>
    </bk>
    <bk>
      <rc t="2" v="5641"/>
    </bk>
    <bk>
      <rc t="2" v="5642"/>
    </bk>
    <bk>
      <rc t="2" v="5643"/>
    </bk>
    <bk>
      <rc t="2" v="5644"/>
    </bk>
    <bk>
      <rc t="2" v="5645"/>
    </bk>
    <bk>
      <rc t="2" v="5646"/>
    </bk>
    <bk>
      <rc t="2" v="5647"/>
    </bk>
    <bk>
      <rc t="2" v="5648"/>
    </bk>
    <bk>
      <rc t="2" v="5649"/>
    </bk>
    <bk>
      <rc t="2" v="5650"/>
    </bk>
    <bk>
      <rc t="2" v="5651"/>
    </bk>
    <bk>
      <rc t="2" v="5652"/>
    </bk>
    <bk>
      <rc t="2" v="5653"/>
    </bk>
    <bk>
      <rc t="2" v="5654"/>
    </bk>
    <bk>
      <rc t="2" v="5655"/>
    </bk>
    <bk>
      <rc t="2" v="5656"/>
    </bk>
    <bk>
      <rc t="2" v="5657"/>
    </bk>
    <bk>
      <rc t="2" v="5658"/>
    </bk>
    <bk>
      <rc t="2" v="5659"/>
    </bk>
    <bk>
      <rc t="2" v="5660"/>
    </bk>
    <bk>
      <rc t="2" v="5661"/>
    </bk>
    <bk>
      <rc t="2" v="5662"/>
    </bk>
    <bk>
      <rc t="2" v="5663"/>
    </bk>
    <bk>
      <rc t="2" v="5664"/>
    </bk>
    <bk>
      <rc t="2" v="5665"/>
    </bk>
    <bk>
      <rc t="2" v="5666"/>
    </bk>
    <bk>
      <rc t="2" v="5667"/>
    </bk>
    <bk>
      <rc t="2" v="5668"/>
    </bk>
    <bk>
      <rc t="2" v="5669"/>
    </bk>
    <bk>
      <rc t="2" v="5670"/>
    </bk>
    <bk>
      <rc t="2" v="5671"/>
    </bk>
    <bk>
      <rc t="2" v="5672"/>
    </bk>
    <bk>
      <rc t="2" v="5673"/>
    </bk>
    <bk>
      <rc t="2" v="5674"/>
    </bk>
    <bk>
      <rc t="2" v="5675"/>
    </bk>
    <bk>
      <rc t="2" v="5676"/>
    </bk>
    <bk>
      <rc t="2" v="5677"/>
    </bk>
    <bk>
      <rc t="2" v="5678"/>
    </bk>
    <bk>
      <rc t="2" v="5679"/>
    </bk>
    <bk>
      <rc t="2" v="5680"/>
    </bk>
    <bk>
      <rc t="2" v="5681"/>
    </bk>
    <bk>
      <rc t="2" v="5682"/>
    </bk>
    <bk>
      <rc t="2" v="5683"/>
    </bk>
    <bk>
      <rc t="2" v="5684"/>
    </bk>
    <bk>
      <rc t="2" v="5685"/>
    </bk>
    <bk>
      <rc t="2" v="5686"/>
    </bk>
    <bk>
      <rc t="2" v="5687"/>
    </bk>
    <bk>
      <rc t="2" v="5688"/>
    </bk>
    <bk>
      <rc t="2" v="5689"/>
    </bk>
    <bk>
      <rc t="2" v="5690"/>
    </bk>
    <bk>
      <rc t="2" v="5691"/>
    </bk>
    <bk>
      <rc t="2" v="5692"/>
    </bk>
    <bk>
      <rc t="2" v="5693"/>
    </bk>
    <bk>
      <rc t="2" v="5694"/>
    </bk>
    <bk>
      <rc t="2" v="5695"/>
    </bk>
    <bk>
      <rc t="2" v="5696"/>
    </bk>
    <bk>
      <rc t="2" v="5697"/>
    </bk>
    <bk>
      <rc t="2" v="5698"/>
    </bk>
    <bk>
      <rc t="2" v="5699"/>
    </bk>
    <bk>
      <rc t="2" v="5700"/>
    </bk>
    <bk>
      <rc t="2" v="5701"/>
    </bk>
    <bk>
      <rc t="2" v="5702"/>
    </bk>
    <bk>
      <rc t="2" v="5703"/>
    </bk>
    <bk>
      <rc t="2" v="5704"/>
    </bk>
    <bk>
      <rc t="2" v="5705"/>
    </bk>
    <bk>
      <rc t="2" v="5706"/>
    </bk>
    <bk>
      <rc t="2" v="5707"/>
    </bk>
    <bk>
      <rc t="2" v="5708"/>
    </bk>
    <bk>
      <rc t="2" v="5709"/>
    </bk>
    <bk>
      <rc t="2" v="5710"/>
    </bk>
    <bk>
      <rc t="2" v="5711"/>
    </bk>
    <bk>
      <rc t="2" v="5712"/>
    </bk>
    <bk>
      <rc t="2" v="5713"/>
    </bk>
    <bk>
      <rc t="2" v="5714"/>
    </bk>
    <bk>
      <rc t="2" v="5715"/>
    </bk>
    <bk>
      <rc t="2" v="5716"/>
    </bk>
    <bk>
      <rc t="2" v="5717"/>
    </bk>
    <bk>
      <rc t="2" v="5718"/>
    </bk>
    <bk>
      <rc t="2" v="5719"/>
    </bk>
    <bk>
      <rc t="2" v="5720"/>
    </bk>
    <bk>
      <rc t="2" v="5721"/>
    </bk>
    <bk>
      <rc t="2" v="5722"/>
    </bk>
    <bk>
      <rc t="2" v="5723"/>
    </bk>
    <bk>
      <rc t="2" v="5724"/>
    </bk>
    <bk>
      <rc t="2" v="5725"/>
    </bk>
    <bk>
      <rc t="2" v="5726"/>
    </bk>
    <bk>
      <rc t="2" v="5727"/>
    </bk>
    <bk>
      <rc t="2" v="5728"/>
    </bk>
    <bk>
      <rc t="2" v="5729"/>
    </bk>
    <bk>
      <rc t="2" v="5730"/>
    </bk>
    <bk>
      <rc t="2" v="5731"/>
    </bk>
    <bk>
      <rc t="2" v="5732"/>
    </bk>
    <bk>
      <rc t="2" v="5733"/>
    </bk>
    <bk>
      <rc t="2" v="5734"/>
    </bk>
    <bk>
      <rc t="2" v="5735"/>
    </bk>
    <bk>
      <rc t="2" v="5736"/>
    </bk>
    <bk>
      <rc t="2" v="5737"/>
    </bk>
    <bk>
      <rc t="2" v="5738"/>
    </bk>
    <bk>
      <rc t="2" v="5739"/>
    </bk>
    <bk>
      <rc t="2" v="5740"/>
    </bk>
    <bk>
      <rc t="2" v="5741"/>
    </bk>
    <bk>
      <rc t="2" v="5742"/>
    </bk>
    <bk>
      <rc t="2" v="5743"/>
    </bk>
    <bk>
      <rc t="2" v="5744"/>
    </bk>
    <bk>
      <rc t="2" v="5745"/>
    </bk>
    <bk>
      <rc t="2" v="5746"/>
    </bk>
    <bk>
      <rc t="2" v="5747"/>
    </bk>
    <bk>
      <rc t="2" v="5748"/>
    </bk>
    <bk>
      <rc t="2" v="5749"/>
    </bk>
    <bk>
      <rc t="2" v="5750"/>
    </bk>
    <bk>
      <rc t="2" v="5751"/>
    </bk>
    <bk>
      <rc t="2" v="5752"/>
    </bk>
    <bk>
      <rc t="2" v="5753"/>
    </bk>
    <bk>
      <rc t="2" v="5754"/>
    </bk>
    <bk>
      <rc t="2" v="5755"/>
    </bk>
    <bk>
      <rc t="2" v="5756"/>
    </bk>
    <bk>
      <rc t="2" v="5757"/>
    </bk>
    <bk>
      <rc t="2" v="5758"/>
    </bk>
    <bk>
      <rc t="2" v="5759"/>
    </bk>
    <bk>
      <rc t="2" v="5760"/>
    </bk>
    <bk>
      <rc t="2" v="5761"/>
    </bk>
    <bk>
      <rc t="2" v="5762"/>
    </bk>
    <bk>
      <rc t="2" v="5763"/>
    </bk>
    <bk>
      <rc t="2" v="5764"/>
    </bk>
    <bk>
      <rc t="2" v="5765"/>
    </bk>
    <bk>
      <rc t="2" v="5766"/>
    </bk>
    <bk>
      <rc t="2" v="5767"/>
    </bk>
    <bk>
      <rc t="2" v="5768"/>
    </bk>
    <bk>
      <rc t="2" v="5769"/>
    </bk>
    <bk>
      <rc t="2" v="5770"/>
    </bk>
    <bk>
      <rc t="2" v="5771"/>
    </bk>
    <bk>
      <rc t="2" v="5772"/>
    </bk>
    <bk>
      <rc t="2" v="5773"/>
    </bk>
    <bk>
      <rc t="2" v="5774"/>
    </bk>
    <bk>
      <rc t="2" v="5775"/>
    </bk>
    <bk>
      <rc t="2" v="5776"/>
    </bk>
    <bk>
      <rc t="2" v="5777"/>
    </bk>
    <bk>
      <rc t="2" v="5778"/>
    </bk>
    <bk>
      <rc t="2" v="5779"/>
    </bk>
    <bk>
      <rc t="2" v="5780"/>
    </bk>
    <bk>
      <rc t="2" v="5781"/>
    </bk>
    <bk>
      <rc t="2" v="5782"/>
    </bk>
    <bk>
      <rc t="2" v="5783"/>
    </bk>
    <bk>
      <rc t="2" v="5784"/>
    </bk>
    <bk>
      <rc t="2" v="5785"/>
    </bk>
    <bk>
      <rc t="2" v="5786"/>
    </bk>
    <bk>
      <rc t="2" v="5787"/>
    </bk>
    <bk>
      <rc t="2" v="5788"/>
    </bk>
    <bk>
      <rc t="2" v="5789"/>
    </bk>
    <bk>
      <rc t="2" v="5790"/>
    </bk>
    <bk>
      <rc t="2" v="5791"/>
    </bk>
    <bk>
      <rc t="2" v="5792"/>
    </bk>
    <bk>
      <rc t="2" v="5793"/>
    </bk>
    <bk>
      <rc t="2" v="5794"/>
    </bk>
    <bk>
      <rc t="2" v="5795"/>
    </bk>
    <bk>
      <rc t="2" v="5796"/>
    </bk>
    <bk>
      <rc t="2" v="5797"/>
    </bk>
    <bk>
      <rc t="2" v="5798"/>
    </bk>
    <bk>
      <rc t="2" v="5799"/>
    </bk>
    <bk>
      <rc t="2" v="5800"/>
    </bk>
    <bk>
      <rc t="2" v="5801"/>
    </bk>
    <bk>
      <rc t="2" v="5802"/>
    </bk>
    <bk>
      <rc t="2" v="5803"/>
    </bk>
    <bk>
      <rc t="2" v="5804"/>
    </bk>
    <bk>
      <rc t="2" v="5805"/>
    </bk>
    <bk>
      <rc t="2" v="5806"/>
    </bk>
    <bk>
      <rc t="2" v="5807"/>
    </bk>
    <bk>
      <rc t="2" v="5808"/>
    </bk>
    <bk>
      <rc t="2" v="5809"/>
    </bk>
    <bk>
      <rc t="2" v="5810"/>
    </bk>
    <bk>
      <rc t="2" v="5811"/>
    </bk>
    <bk>
      <rc t="2" v="5812"/>
    </bk>
    <bk>
      <rc t="2" v="5813"/>
    </bk>
    <bk>
      <rc t="2" v="5814"/>
    </bk>
    <bk>
      <rc t="2" v="5815"/>
    </bk>
    <bk>
      <rc t="2" v="5816"/>
    </bk>
    <bk>
      <rc t="2" v="5817"/>
    </bk>
    <bk>
      <rc t="2" v="5818"/>
    </bk>
    <bk>
      <rc t="2" v="5819"/>
    </bk>
    <bk>
      <rc t="2" v="5820"/>
    </bk>
    <bk>
      <rc t="2" v="5821"/>
    </bk>
    <bk>
      <rc t="2" v="5822"/>
    </bk>
    <bk>
      <rc t="2" v="5823"/>
    </bk>
    <bk>
      <rc t="2" v="5824"/>
    </bk>
    <bk>
      <rc t="2" v="5825"/>
    </bk>
    <bk>
      <rc t="2" v="5826"/>
    </bk>
    <bk>
      <rc t="2" v="5827"/>
    </bk>
    <bk>
      <rc t="2" v="5828"/>
    </bk>
    <bk>
      <rc t="2" v="5829"/>
    </bk>
    <bk>
      <rc t="2" v="5830"/>
    </bk>
    <bk>
      <rc t="2" v="5831"/>
    </bk>
    <bk>
      <rc t="2" v="5832"/>
    </bk>
    <bk>
      <rc t="2" v="5833"/>
    </bk>
    <bk>
      <rc t="2" v="5834"/>
    </bk>
    <bk>
      <rc t="2" v="5835"/>
    </bk>
    <bk>
      <rc t="2" v="5836"/>
    </bk>
    <bk>
      <rc t="2" v="5837"/>
    </bk>
    <bk>
      <rc t="2" v="5838"/>
    </bk>
    <bk>
      <rc t="2" v="5839"/>
    </bk>
    <bk>
      <rc t="2" v="5840"/>
    </bk>
    <bk>
      <rc t="2" v="5841"/>
    </bk>
    <bk>
      <rc t="2" v="5842"/>
    </bk>
    <bk>
      <rc t="2" v="5843"/>
    </bk>
    <bk>
      <rc t="2" v="5844"/>
    </bk>
    <bk>
      <rc t="2" v="5845"/>
    </bk>
    <bk>
      <rc t="2" v="5846"/>
    </bk>
    <bk>
      <rc t="2" v="5847"/>
    </bk>
    <bk>
      <rc t="2" v="5848"/>
    </bk>
    <bk>
      <rc t="2" v="5849"/>
    </bk>
    <bk>
      <rc t="2" v="5850"/>
    </bk>
    <bk>
      <rc t="2" v="5851"/>
    </bk>
    <bk>
      <rc t="2" v="5852"/>
    </bk>
    <bk>
      <rc t="2" v="5853"/>
    </bk>
    <bk>
      <rc t="2" v="5854"/>
    </bk>
    <bk>
      <rc t="2" v="5855"/>
    </bk>
    <bk>
      <rc t="2" v="5856"/>
    </bk>
    <bk>
      <rc t="2" v="5857"/>
    </bk>
    <bk>
      <rc t="2" v="5858"/>
    </bk>
    <bk>
      <rc t="2" v="5859"/>
    </bk>
    <bk>
      <rc t="2" v="5860"/>
    </bk>
    <bk>
      <rc t="2" v="5861"/>
    </bk>
    <bk>
      <rc t="2" v="5862"/>
    </bk>
    <bk>
      <rc t="2" v="5863"/>
    </bk>
    <bk>
      <rc t="2" v="5864"/>
    </bk>
    <bk>
      <rc t="2" v="5865"/>
    </bk>
    <bk>
      <rc t="2" v="5866"/>
    </bk>
    <bk>
      <rc t="2" v="5867"/>
    </bk>
    <bk>
      <rc t="2" v="5868"/>
    </bk>
    <bk>
      <rc t="2" v="5869"/>
    </bk>
    <bk>
      <rc t="2" v="5870"/>
    </bk>
    <bk>
      <rc t="2" v="5871"/>
    </bk>
    <bk>
      <rc t="2" v="5872"/>
    </bk>
    <bk>
      <rc t="2" v="5873"/>
    </bk>
    <bk>
      <rc t="2" v="5874"/>
    </bk>
    <bk>
      <rc t="2" v="5875"/>
    </bk>
    <bk>
      <rc t="2" v="5876"/>
    </bk>
    <bk>
      <rc t="2" v="5877"/>
    </bk>
    <bk>
      <rc t="2" v="5878"/>
    </bk>
    <bk>
      <rc t="2" v="5879"/>
    </bk>
    <bk>
      <rc t="2" v="5880"/>
    </bk>
    <bk>
      <rc t="2" v="5881"/>
    </bk>
    <bk>
      <rc t="2" v="5882"/>
    </bk>
    <bk>
      <rc t="2" v="5883"/>
    </bk>
    <bk>
      <rc t="2" v="5884"/>
    </bk>
    <bk>
      <rc t="2" v="5885"/>
    </bk>
    <bk>
      <rc t="2" v="5886"/>
    </bk>
    <bk>
      <rc t="2" v="5887"/>
    </bk>
    <bk>
      <rc t="2" v="5888"/>
    </bk>
    <bk>
      <rc t="2" v="5889"/>
    </bk>
    <bk>
      <rc t="2" v="5890"/>
    </bk>
    <bk>
      <rc t="2" v="5891"/>
    </bk>
    <bk>
      <rc t="2" v="5892"/>
    </bk>
    <bk>
      <rc t="2" v="5893"/>
    </bk>
    <bk>
      <rc t="2" v="5894"/>
    </bk>
    <bk>
      <rc t="2" v="5895"/>
    </bk>
    <bk>
      <rc t="2" v="5896"/>
    </bk>
    <bk>
      <rc t="2" v="5897"/>
    </bk>
    <bk>
      <rc t="2" v="5898"/>
    </bk>
    <bk>
      <rc t="2" v="5899"/>
    </bk>
    <bk>
      <rc t="2" v="5900"/>
    </bk>
    <bk>
      <rc t="2" v="5901"/>
    </bk>
    <bk>
      <rc t="2" v="5902"/>
    </bk>
    <bk>
      <rc t="2" v="5903"/>
    </bk>
    <bk>
      <rc t="2" v="5904"/>
    </bk>
    <bk>
      <rc t="2" v="5905"/>
    </bk>
    <bk>
      <rc t="2" v="5906"/>
    </bk>
    <bk>
      <rc t="2" v="5907"/>
    </bk>
    <bk>
      <rc t="2" v="5908"/>
    </bk>
    <bk>
      <rc t="2" v="5909"/>
    </bk>
    <bk>
      <rc t="2" v="5910"/>
    </bk>
    <bk>
      <rc t="2" v="5911"/>
    </bk>
    <bk>
      <rc t="2" v="5912"/>
    </bk>
    <bk>
      <rc t="2" v="5913"/>
    </bk>
    <bk>
      <rc t="2" v="5914"/>
    </bk>
    <bk>
      <rc t="2" v="5915"/>
    </bk>
    <bk>
      <rc t="2" v="5916"/>
    </bk>
    <bk>
      <rc t="2" v="5917"/>
    </bk>
    <bk>
      <rc t="2" v="5918"/>
    </bk>
    <bk>
      <rc t="2" v="5919"/>
    </bk>
    <bk>
      <rc t="2" v="5920"/>
    </bk>
    <bk>
      <rc t="2" v="5921"/>
    </bk>
    <bk>
      <rc t="2" v="5922"/>
    </bk>
    <bk>
      <rc t="2" v="5923"/>
    </bk>
    <bk>
      <rc t="2" v="5924"/>
    </bk>
    <bk>
      <rc t="2" v="5925"/>
    </bk>
    <bk>
      <rc t="2" v="5926"/>
    </bk>
    <bk>
      <rc t="2" v="5927"/>
    </bk>
    <bk>
      <rc t="2" v="5928"/>
    </bk>
    <bk>
      <rc t="2" v="5929"/>
    </bk>
    <bk>
      <rc t="2" v="5930"/>
    </bk>
    <bk>
      <rc t="2" v="5931"/>
    </bk>
    <bk>
      <rc t="2" v="5932"/>
    </bk>
    <bk>
      <rc t="2" v="5933"/>
    </bk>
    <bk>
      <rc t="2" v="5934"/>
    </bk>
    <bk>
      <rc t="2" v="5935"/>
    </bk>
    <bk>
      <rc t="2" v="5936"/>
    </bk>
    <bk>
      <rc t="2" v="5937"/>
    </bk>
    <bk>
      <rc t="2" v="5938"/>
    </bk>
    <bk>
      <rc t="2" v="5939"/>
    </bk>
    <bk>
      <rc t="2" v="5940"/>
    </bk>
    <bk>
      <rc t="2" v="5941"/>
    </bk>
    <bk>
      <rc t="2" v="5942"/>
    </bk>
    <bk>
      <rc t="2" v="5943"/>
    </bk>
    <bk>
      <rc t="2" v="5944"/>
    </bk>
    <bk>
      <rc t="2" v="5945"/>
    </bk>
    <bk>
      <rc t="2" v="5946"/>
    </bk>
    <bk>
      <rc t="2" v="5947"/>
    </bk>
    <bk>
      <rc t="2" v="5948"/>
    </bk>
    <bk>
      <rc t="2" v="5949"/>
    </bk>
    <bk>
      <rc t="2" v="5950"/>
    </bk>
    <bk>
      <rc t="2" v="5951"/>
    </bk>
    <bk>
      <rc t="2" v="5952"/>
    </bk>
    <bk>
      <rc t="2" v="5953"/>
    </bk>
    <bk>
      <rc t="2" v="5954"/>
    </bk>
    <bk>
      <rc t="2" v="5955"/>
    </bk>
    <bk>
      <rc t="2" v="5956"/>
    </bk>
    <bk>
      <rc t="2" v="5957"/>
    </bk>
    <bk>
      <rc t="2" v="5958"/>
    </bk>
    <bk>
      <rc t="2" v="5959"/>
    </bk>
    <bk>
      <rc t="2" v="5960"/>
    </bk>
    <bk>
      <rc t="2" v="5961"/>
    </bk>
    <bk>
      <rc t="2" v="5962"/>
    </bk>
    <bk>
      <rc t="2" v="5963"/>
    </bk>
    <bk>
      <rc t="2" v="5964"/>
    </bk>
    <bk>
      <rc t="2" v="5965"/>
    </bk>
    <bk>
      <rc t="2" v="5966"/>
    </bk>
    <bk>
      <rc t="2" v="5967"/>
    </bk>
    <bk>
      <rc t="2" v="5968"/>
    </bk>
    <bk>
      <rc t="2" v="5969"/>
    </bk>
    <bk>
      <rc t="2" v="5970"/>
    </bk>
    <bk>
      <rc t="2" v="5971"/>
    </bk>
    <bk>
      <rc t="2" v="5972"/>
    </bk>
    <bk>
      <rc t="2" v="5973"/>
    </bk>
    <bk>
      <rc t="2" v="5974"/>
    </bk>
    <bk>
      <rc t="2" v="5975"/>
    </bk>
    <bk>
      <rc t="2" v="5976"/>
    </bk>
    <bk>
      <rc t="2" v="5977"/>
    </bk>
    <bk>
      <rc t="2" v="5978"/>
    </bk>
    <bk>
      <rc t="2" v="5979"/>
    </bk>
    <bk>
      <rc t="2" v="5980"/>
    </bk>
    <bk>
      <rc t="2" v="5981"/>
    </bk>
    <bk>
      <rc t="2" v="5982"/>
    </bk>
    <bk>
      <rc t="2" v="5983"/>
    </bk>
    <bk>
      <rc t="2" v="5984"/>
    </bk>
    <bk>
      <rc t="2" v="5985"/>
    </bk>
    <bk>
      <rc t="2" v="5986"/>
    </bk>
    <bk>
      <rc t="2" v="5987"/>
    </bk>
    <bk>
      <rc t="2" v="5988"/>
    </bk>
    <bk>
      <rc t="2" v="5989"/>
    </bk>
    <bk>
      <rc t="2" v="5990"/>
    </bk>
    <bk>
      <rc t="2" v="5991"/>
    </bk>
    <bk>
      <rc t="2" v="5992"/>
    </bk>
    <bk>
      <rc t="2" v="5993"/>
    </bk>
    <bk>
      <rc t="2" v="5994"/>
    </bk>
    <bk>
      <rc t="2" v="5995"/>
    </bk>
    <bk>
      <rc t="2" v="5996"/>
    </bk>
    <bk>
      <rc t="2" v="5997"/>
    </bk>
    <bk>
      <rc t="2" v="5998"/>
    </bk>
    <bk>
      <rc t="2" v="5999"/>
    </bk>
    <bk>
      <rc t="2" v="6000"/>
    </bk>
    <bk>
      <rc t="2" v="6001"/>
    </bk>
    <bk>
      <rc t="2" v="6002"/>
    </bk>
    <bk>
      <rc t="2" v="6003"/>
    </bk>
    <bk>
      <rc t="2" v="6004"/>
    </bk>
    <bk>
      <rc t="2" v="6005"/>
    </bk>
    <bk>
      <rc t="2" v="6006"/>
    </bk>
    <bk>
      <rc t="2" v="6007"/>
    </bk>
    <bk>
      <rc t="2" v="6008"/>
    </bk>
    <bk>
      <rc t="2" v="6009"/>
    </bk>
    <bk>
      <rc t="2" v="6010"/>
    </bk>
    <bk>
      <rc t="2" v="6011"/>
    </bk>
    <bk>
      <rc t="2" v="6012"/>
    </bk>
    <bk>
      <rc t="2" v="6013"/>
    </bk>
    <bk>
      <rc t="2" v="6014"/>
    </bk>
    <bk>
      <rc t="2" v="6015"/>
    </bk>
    <bk>
      <rc t="2" v="6016"/>
    </bk>
    <bk>
      <rc t="2" v="6017"/>
    </bk>
    <bk>
      <rc t="2" v="6018"/>
    </bk>
    <bk>
      <rc t="2" v="6019"/>
    </bk>
    <bk>
      <rc t="2" v="6020"/>
    </bk>
    <bk>
      <rc t="2" v="6021"/>
    </bk>
    <bk>
      <rc t="2" v="6022"/>
    </bk>
    <bk>
      <rc t="2" v="6023"/>
    </bk>
    <bk>
      <rc t="2" v="6024"/>
    </bk>
    <bk>
      <rc t="2" v="6025"/>
    </bk>
    <bk>
      <rc t="2" v="6026"/>
    </bk>
    <bk>
      <rc t="2" v="6027"/>
    </bk>
    <bk>
      <rc t="2" v="6028"/>
    </bk>
    <bk>
      <rc t="2" v="6029"/>
    </bk>
    <bk>
      <rc t="2" v="6030"/>
    </bk>
    <bk>
      <rc t="2" v="6031"/>
    </bk>
    <bk>
      <rc t="2" v="6032"/>
    </bk>
    <bk>
      <rc t="2" v="6033"/>
    </bk>
    <bk>
      <rc t="2" v="6034"/>
    </bk>
    <bk>
      <rc t="2" v="6035"/>
    </bk>
    <bk>
      <rc t="2" v="6036"/>
    </bk>
    <bk>
      <rc t="2" v="6037"/>
    </bk>
    <bk>
      <rc t="2" v="6038"/>
    </bk>
    <bk>
      <rc t="2" v="6039"/>
    </bk>
    <bk>
      <rc t="2" v="6040"/>
    </bk>
    <bk>
      <rc t="2" v="6041"/>
    </bk>
    <bk>
      <rc t="2" v="6042"/>
    </bk>
    <bk>
      <rc t="2" v="6043"/>
    </bk>
    <bk>
      <rc t="2" v="6044"/>
    </bk>
    <bk>
      <rc t="2" v="6045"/>
    </bk>
    <bk>
      <rc t="2" v="6046"/>
    </bk>
    <bk>
      <rc t="2" v="6047"/>
    </bk>
    <bk>
      <rc t="2" v="6048"/>
    </bk>
    <bk>
      <rc t="2" v="6049"/>
    </bk>
    <bk>
      <rc t="2" v="6050"/>
    </bk>
    <bk>
      <rc t="2" v="6051"/>
    </bk>
    <bk>
      <rc t="2" v="6052"/>
    </bk>
    <bk>
      <rc t="2" v="6053"/>
    </bk>
    <bk>
      <rc t="2" v="6054"/>
    </bk>
    <bk>
      <rc t="2" v="6055"/>
    </bk>
    <bk>
      <rc t="2" v="6056"/>
    </bk>
    <bk>
      <rc t="2" v="6057"/>
    </bk>
    <bk>
      <rc t="2" v="6058"/>
    </bk>
    <bk>
      <rc t="2" v="6059"/>
    </bk>
    <bk>
      <rc t="2" v="6060"/>
    </bk>
    <bk>
      <rc t="2" v="6061"/>
    </bk>
    <bk>
      <rc t="2" v="6062"/>
    </bk>
    <bk>
      <rc t="2" v="6063"/>
    </bk>
    <bk>
      <rc t="2" v="6064"/>
    </bk>
    <bk>
      <rc t="2" v="6065"/>
    </bk>
    <bk>
      <rc t="2" v="6066"/>
    </bk>
    <bk>
      <rc t="2" v="6067"/>
    </bk>
    <bk>
      <rc t="2" v="6068"/>
    </bk>
    <bk>
      <rc t="2" v="6069"/>
    </bk>
    <bk>
      <rc t="2" v="6070"/>
    </bk>
    <bk>
      <rc t="2" v="6071"/>
    </bk>
    <bk>
      <rc t="2" v="6072"/>
    </bk>
    <bk>
      <rc t="2" v="6073"/>
    </bk>
    <bk>
      <rc t="2" v="6074"/>
    </bk>
    <bk>
      <rc t="2" v="6075"/>
    </bk>
    <bk>
      <rc t="2" v="6076"/>
    </bk>
    <bk>
      <rc t="2" v="6077"/>
    </bk>
    <bk>
      <rc t="2" v="6078"/>
    </bk>
    <bk>
      <rc t="2" v="6079"/>
    </bk>
    <bk>
      <rc t="2" v="6080"/>
    </bk>
    <bk>
      <rc t="2" v="6081"/>
    </bk>
    <bk>
      <rc t="2" v="6082"/>
    </bk>
    <bk>
      <rc t="2" v="6083"/>
    </bk>
    <bk>
      <rc t="2" v="6084"/>
    </bk>
    <bk>
      <rc t="2" v="6085"/>
    </bk>
    <bk>
      <rc t="2" v="6086"/>
    </bk>
    <bk>
      <rc t="2" v="6087"/>
    </bk>
    <bk>
      <rc t="2" v="6088"/>
    </bk>
    <bk>
      <rc t="2" v="6089"/>
    </bk>
    <bk>
      <rc t="2" v="6090"/>
    </bk>
    <bk>
      <rc t="2" v="6091"/>
    </bk>
    <bk>
      <rc t="2" v="6092"/>
    </bk>
    <bk>
      <rc t="2" v="6093"/>
    </bk>
    <bk>
      <rc t="2" v="6094"/>
    </bk>
    <bk>
      <rc t="2" v="6095"/>
    </bk>
    <bk>
      <rc t="2" v="6096"/>
    </bk>
    <bk>
      <rc t="2" v="6097"/>
    </bk>
    <bk>
      <rc t="2" v="6098"/>
    </bk>
    <bk>
      <rc t="2" v="6099"/>
    </bk>
    <bk>
      <rc t="2" v="6100"/>
    </bk>
    <bk>
      <rc t="2" v="6101"/>
    </bk>
    <bk>
      <rc t="2" v="6102"/>
    </bk>
    <bk>
      <rc t="2" v="6103"/>
    </bk>
    <bk>
      <rc t="2" v="6104"/>
    </bk>
    <bk>
      <rc t="2" v="6105"/>
    </bk>
    <bk>
      <rc t="2" v="6106"/>
    </bk>
    <bk>
      <rc t="2" v="6107"/>
    </bk>
    <bk>
      <rc t="2" v="6108"/>
    </bk>
    <bk>
      <rc t="2" v="6109"/>
    </bk>
    <bk>
      <rc t="2" v="6110"/>
    </bk>
    <bk>
      <rc t="2" v="6111"/>
    </bk>
    <bk>
      <rc t="2" v="6112"/>
    </bk>
    <bk>
      <rc t="2" v="6113"/>
    </bk>
    <bk>
      <rc t="2" v="6114"/>
    </bk>
    <bk>
      <rc t="2" v="6115"/>
    </bk>
    <bk>
      <rc t="2" v="6116"/>
    </bk>
    <bk>
      <rc t="2" v="6117"/>
    </bk>
    <bk>
      <rc t="2" v="6118"/>
    </bk>
    <bk>
      <rc t="2" v="6119"/>
    </bk>
    <bk>
      <rc t="2" v="6120"/>
    </bk>
    <bk>
      <rc t="2" v="6121"/>
    </bk>
    <bk>
      <rc t="2" v="6122"/>
    </bk>
    <bk>
      <rc t="2" v="6123"/>
    </bk>
    <bk>
      <rc t="2" v="6124"/>
    </bk>
    <bk>
      <rc t="2" v="6125"/>
    </bk>
    <bk>
      <rc t="2" v="6126"/>
    </bk>
    <bk>
      <rc t="2" v="6127"/>
    </bk>
    <bk>
      <rc t="2" v="6128"/>
    </bk>
    <bk>
      <rc t="2" v="6129"/>
    </bk>
    <bk>
      <rc t="2" v="6130"/>
    </bk>
    <bk>
      <rc t="2" v="6131"/>
    </bk>
    <bk>
      <rc t="2" v="6132"/>
    </bk>
    <bk>
      <rc t="2" v="6133"/>
    </bk>
    <bk>
      <rc t="2" v="6134"/>
    </bk>
    <bk>
      <rc t="2" v="6135"/>
    </bk>
    <bk>
      <rc t="2" v="6136"/>
    </bk>
    <bk>
      <rc t="2" v="6137"/>
    </bk>
    <bk>
      <rc t="2" v="6138"/>
    </bk>
    <bk>
      <rc t="2" v="6139"/>
    </bk>
    <bk>
      <rc t="2" v="6140"/>
    </bk>
    <bk>
      <rc t="2" v="6141"/>
    </bk>
    <bk>
      <rc t="2" v="6142"/>
    </bk>
    <bk>
      <rc t="2" v="6143"/>
    </bk>
    <bk>
      <rc t="2" v="6144"/>
    </bk>
    <bk>
      <rc t="2" v="6145"/>
    </bk>
    <bk>
      <rc t="2" v="6146"/>
    </bk>
    <bk>
      <rc t="2" v="6147"/>
    </bk>
    <bk>
      <rc t="2" v="6148"/>
    </bk>
    <bk>
      <rc t="2" v="6149"/>
    </bk>
    <bk>
      <rc t="2" v="6150"/>
    </bk>
    <bk>
      <rc t="2" v="6151"/>
    </bk>
    <bk>
      <rc t="2" v="6152"/>
    </bk>
    <bk>
      <rc t="2" v="6153"/>
    </bk>
    <bk>
      <rc t="2" v="6154"/>
    </bk>
    <bk>
      <rc t="2" v="6155"/>
    </bk>
    <bk>
      <rc t="2" v="6156"/>
    </bk>
    <bk>
      <rc t="2" v="6157"/>
    </bk>
    <bk>
      <rc t="2" v="6158"/>
    </bk>
    <bk>
      <rc t="2" v="6159"/>
    </bk>
    <bk>
      <rc t="2" v="6160"/>
    </bk>
    <bk>
      <rc t="2" v="6161"/>
    </bk>
    <bk>
      <rc t="2" v="6162"/>
    </bk>
    <bk>
      <rc t="2" v="6163"/>
    </bk>
    <bk>
      <rc t="2" v="6164"/>
    </bk>
    <bk>
      <rc t="2" v="6165"/>
    </bk>
    <bk>
      <rc t="2" v="6166"/>
    </bk>
    <bk>
      <rc t="2" v="6167"/>
    </bk>
    <bk>
      <rc t="2" v="6168"/>
    </bk>
    <bk>
      <rc t="2" v="6169"/>
    </bk>
    <bk>
      <rc t="2" v="6170"/>
    </bk>
    <bk>
      <rc t="2" v="6171"/>
    </bk>
    <bk>
      <rc t="2" v="6172"/>
    </bk>
    <bk>
      <rc t="2" v="6173"/>
    </bk>
    <bk>
      <rc t="2" v="6174"/>
    </bk>
    <bk>
      <rc t="2" v="6175"/>
    </bk>
    <bk>
      <rc t="2" v="6176"/>
    </bk>
    <bk>
      <rc t="2" v="6177"/>
    </bk>
    <bk>
      <rc t="2" v="6178"/>
    </bk>
    <bk>
      <rc t="2" v="6179"/>
    </bk>
    <bk>
      <rc t="2" v="6180"/>
    </bk>
    <bk>
      <rc t="2" v="6181"/>
    </bk>
    <bk>
      <rc t="2" v="6182"/>
    </bk>
    <bk>
      <rc t="2" v="6183"/>
    </bk>
    <bk>
      <rc t="2" v="6184"/>
    </bk>
    <bk>
      <rc t="2" v="6185"/>
    </bk>
    <bk>
      <rc t="2" v="6186"/>
    </bk>
    <bk>
      <rc t="2" v="6187"/>
    </bk>
    <bk>
      <rc t="2" v="6188"/>
    </bk>
    <bk>
      <rc t="2" v="6189"/>
    </bk>
    <bk>
      <rc t="2" v="6190"/>
    </bk>
    <bk>
      <rc t="2" v="6191"/>
    </bk>
    <bk>
      <rc t="2" v="6192"/>
    </bk>
    <bk>
      <rc t="2" v="6193"/>
    </bk>
    <bk>
      <rc t="2" v="6194"/>
    </bk>
    <bk>
      <rc t="2" v="6195"/>
    </bk>
    <bk>
      <rc t="2" v="6196"/>
    </bk>
    <bk>
      <rc t="2" v="6197"/>
    </bk>
    <bk>
      <rc t="2" v="6198"/>
    </bk>
    <bk>
      <rc t="2" v="6199"/>
    </bk>
    <bk>
      <rc t="2" v="6200"/>
    </bk>
    <bk>
      <rc t="2" v="6201"/>
    </bk>
    <bk>
      <rc t="2" v="6202"/>
    </bk>
    <bk>
      <rc t="2" v="6203"/>
    </bk>
    <bk>
      <rc t="2" v="6204"/>
    </bk>
    <bk>
      <rc t="2" v="6205"/>
    </bk>
    <bk>
      <rc t="2" v="6206"/>
    </bk>
    <bk>
      <rc t="2" v="6207"/>
    </bk>
    <bk>
      <rc t="2" v="6208"/>
    </bk>
    <bk>
      <rc t="2" v="6209"/>
    </bk>
    <bk>
      <rc t="2" v="6210"/>
    </bk>
    <bk>
      <rc t="2" v="6211"/>
    </bk>
    <bk>
      <rc t="2" v="6212"/>
    </bk>
    <bk>
      <rc t="2" v="6213"/>
    </bk>
    <bk>
      <rc t="2" v="6214"/>
    </bk>
    <bk>
      <rc t="2" v="6215"/>
    </bk>
    <bk>
      <rc t="2" v="6216"/>
    </bk>
    <bk>
      <rc t="2" v="6217"/>
    </bk>
    <bk>
      <rc t="2" v="6218"/>
    </bk>
    <bk>
      <rc t="2" v="6219"/>
    </bk>
    <bk>
      <rc t="2" v="6220"/>
    </bk>
    <bk>
      <rc t="2" v="6221"/>
    </bk>
    <bk>
      <rc t="2" v="6222"/>
    </bk>
    <bk>
      <rc t="2" v="6223"/>
    </bk>
    <bk>
      <rc t="2" v="6224"/>
    </bk>
    <bk>
      <rc t="2" v="6225"/>
    </bk>
    <bk>
      <rc t="2" v="6226"/>
    </bk>
    <bk>
      <rc t="2" v="6227"/>
    </bk>
    <bk>
      <rc t="2" v="6228"/>
    </bk>
    <bk>
      <rc t="2" v="6229"/>
    </bk>
    <bk>
      <rc t="2" v="6230"/>
    </bk>
    <bk>
      <rc t="2" v="6231"/>
    </bk>
    <bk>
      <rc t="2" v="6232"/>
    </bk>
    <bk>
      <rc t="2" v="6233"/>
    </bk>
    <bk>
      <rc t="2" v="6234"/>
    </bk>
    <bk>
      <rc t="2" v="6235"/>
    </bk>
    <bk>
      <rc t="2" v="6236"/>
    </bk>
    <bk>
      <rc t="2" v="6237"/>
    </bk>
    <bk>
      <rc t="2" v="6238"/>
    </bk>
    <bk>
      <rc t="2" v="6239"/>
    </bk>
    <bk>
      <rc t="2" v="6240"/>
    </bk>
    <bk>
      <rc t="2" v="6241"/>
    </bk>
    <bk>
      <rc t="2" v="6242"/>
    </bk>
    <bk>
      <rc t="2" v="6243"/>
    </bk>
    <bk>
      <rc t="2" v="6244"/>
    </bk>
    <bk>
      <rc t="2" v="6245"/>
    </bk>
    <bk>
      <rc t="2" v="6246"/>
    </bk>
    <bk>
      <rc t="2" v="6247"/>
    </bk>
    <bk>
      <rc t="2" v="6248"/>
    </bk>
    <bk>
      <rc t="2" v="6249"/>
    </bk>
    <bk>
      <rc t="2" v="6250"/>
    </bk>
    <bk>
      <rc t="2" v="6251"/>
    </bk>
    <bk>
      <rc t="2" v="6252"/>
    </bk>
    <bk>
      <rc t="2" v="6253"/>
    </bk>
    <bk>
      <rc t="2" v="6254"/>
    </bk>
    <bk>
      <rc t="2" v="6255"/>
    </bk>
    <bk>
      <rc t="2" v="6256"/>
    </bk>
    <bk>
      <rc t="2" v="6257"/>
    </bk>
    <bk>
      <rc t="2" v="6258"/>
    </bk>
    <bk>
      <rc t="2" v="6259"/>
    </bk>
    <bk>
      <rc t="2" v="6260"/>
    </bk>
    <bk>
      <rc t="2" v="6261"/>
    </bk>
    <bk>
      <rc t="2" v="6262"/>
    </bk>
    <bk>
      <rc t="2" v="6263"/>
    </bk>
    <bk>
      <rc t="2" v="6264"/>
    </bk>
    <bk>
      <rc t="2" v="6265"/>
    </bk>
    <bk>
      <rc t="2" v="6266"/>
    </bk>
    <bk>
      <rc t="2" v="6267"/>
    </bk>
    <bk>
      <rc t="2" v="6268"/>
    </bk>
    <bk>
      <rc t="2" v="6269"/>
    </bk>
    <bk>
      <rc t="2" v="6270"/>
    </bk>
    <bk>
      <rc t="2" v="6271"/>
    </bk>
    <bk>
      <rc t="2" v="6272"/>
    </bk>
    <bk>
      <rc t="2" v="6273"/>
    </bk>
    <bk>
      <rc t="2" v="6274"/>
    </bk>
    <bk>
      <rc t="2" v="6275"/>
    </bk>
    <bk>
      <rc t="2" v="6276"/>
    </bk>
    <bk>
      <rc t="2" v="6277"/>
    </bk>
    <bk>
      <rc t="2" v="6278"/>
    </bk>
    <bk>
      <rc t="2" v="6279"/>
    </bk>
    <bk>
      <rc t="2" v="6280"/>
    </bk>
    <bk>
      <rc t="2" v="6281"/>
    </bk>
    <bk>
      <rc t="2" v="6282"/>
    </bk>
    <bk>
      <rc t="2" v="6283"/>
    </bk>
    <bk>
      <rc t="2" v="6284"/>
    </bk>
    <bk>
      <rc t="2" v="6285"/>
    </bk>
    <bk>
      <rc t="2" v="6286"/>
    </bk>
    <bk>
      <rc t="2" v="6287"/>
    </bk>
    <bk>
      <rc t="2" v="6288"/>
    </bk>
    <bk>
      <rc t="2" v="6289"/>
    </bk>
    <bk>
      <rc t="2" v="6290"/>
    </bk>
    <bk>
      <rc t="2" v="6291"/>
    </bk>
    <bk>
      <rc t="2" v="6292"/>
    </bk>
    <bk>
      <rc t="2" v="6293"/>
    </bk>
    <bk>
      <rc t="2" v="6294"/>
    </bk>
    <bk>
      <rc t="2" v="6295"/>
    </bk>
    <bk>
      <rc t="2" v="6296"/>
    </bk>
    <bk>
      <rc t="2" v="6297"/>
    </bk>
    <bk>
      <rc t="2" v="6298"/>
    </bk>
    <bk>
      <rc t="2" v="6299"/>
    </bk>
    <bk>
      <rc t="2" v="6300"/>
    </bk>
    <bk>
      <rc t="2" v="6301"/>
    </bk>
    <bk>
      <rc t="2" v="6302"/>
    </bk>
    <bk>
      <rc t="2" v="6303"/>
    </bk>
    <bk>
      <rc t="2" v="6304"/>
    </bk>
    <bk>
      <rc t="2" v="6305"/>
    </bk>
    <bk>
      <rc t="2" v="6306"/>
    </bk>
    <bk>
      <rc t="2" v="6307"/>
    </bk>
    <bk>
      <rc t="2" v="6308"/>
    </bk>
    <bk>
      <rc t="2" v="6309"/>
    </bk>
    <bk>
      <rc t="2" v="6310"/>
    </bk>
    <bk>
      <rc t="2" v="6311"/>
    </bk>
    <bk>
      <rc t="2" v="6312"/>
    </bk>
    <bk>
      <rc t="2" v="6313"/>
    </bk>
    <bk>
      <rc t="2" v="6314"/>
    </bk>
    <bk>
      <rc t="2" v="6315"/>
    </bk>
    <bk>
      <rc t="2" v="6316"/>
    </bk>
    <bk>
      <rc t="2" v="6317"/>
    </bk>
    <bk>
      <rc t="2" v="6318"/>
    </bk>
    <bk>
      <rc t="2" v="6319"/>
    </bk>
    <bk>
      <rc t="2" v="6320"/>
    </bk>
    <bk>
      <rc t="2" v="6321"/>
    </bk>
    <bk>
      <rc t="2" v="6322"/>
    </bk>
    <bk>
      <rc t="2" v="6323"/>
    </bk>
    <bk>
      <rc t="2" v="6324"/>
    </bk>
    <bk>
      <rc t="2" v="6325"/>
    </bk>
    <bk>
      <rc t="2" v="6326"/>
    </bk>
    <bk>
      <rc t="2" v="6327"/>
    </bk>
    <bk>
      <rc t="2" v="6328"/>
    </bk>
    <bk>
      <rc t="2" v="6329"/>
    </bk>
    <bk>
      <rc t="2" v="6330"/>
    </bk>
    <bk>
      <rc t="2" v="6331"/>
    </bk>
    <bk>
      <rc t="2" v="6332"/>
    </bk>
    <bk>
      <rc t="2" v="6333"/>
    </bk>
    <bk>
      <rc t="2" v="6334"/>
    </bk>
    <bk>
      <rc t="2" v="6335"/>
    </bk>
    <bk>
      <rc t="2" v="6336"/>
    </bk>
    <bk>
      <rc t="2" v="6337"/>
    </bk>
    <bk>
      <rc t="2" v="6338"/>
    </bk>
    <bk>
      <rc t="2" v="6339"/>
    </bk>
    <bk>
      <rc t="2" v="6340"/>
    </bk>
    <bk>
      <rc t="2" v="6341"/>
    </bk>
    <bk>
      <rc t="2" v="6342"/>
    </bk>
    <bk>
      <rc t="2" v="6343"/>
    </bk>
    <bk>
      <rc t="2" v="6344"/>
    </bk>
    <bk>
      <rc t="2" v="6345"/>
    </bk>
    <bk>
      <rc t="2" v="6346"/>
    </bk>
    <bk>
      <rc t="2" v="6347"/>
    </bk>
    <bk>
      <rc t="2" v="6348"/>
    </bk>
    <bk>
      <rc t="2" v="6349"/>
    </bk>
    <bk>
      <rc t="2" v="6350"/>
    </bk>
    <bk>
      <rc t="2" v="6351"/>
    </bk>
    <bk>
      <rc t="2" v="6352"/>
    </bk>
    <bk>
      <rc t="2" v="6353"/>
    </bk>
    <bk>
      <rc t="2" v="6354"/>
    </bk>
    <bk>
      <rc t="2" v="6355"/>
    </bk>
    <bk>
      <rc t="2" v="6356"/>
    </bk>
    <bk>
      <rc t="2" v="6357"/>
    </bk>
    <bk>
      <rc t="2" v="6358"/>
    </bk>
    <bk>
      <rc t="2" v="6359"/>
    </bk>
    <bk>
      <rc t="2" v="6360"/>
    </bk>
    <bk>
      <rc t="2" v="6361"/>
    </bk>
    <bk>
      <rc t="2" v="6362"/>
    </bk>
    <bk>
      <rc t="2" v="6363"/>
    </bk>
    <bk>
      <rc t="2" v="6364"/>
    </bk>
    <bk>
      <rc t="2" v="6365"/>
    </bk>
    <bk>
      <rc t="2" v="6366"/>
    </bk>
    <bk>
      <rc t="2" v="6367"/>
    </bk>
    <bk>
      <rc t="2" v="6368"/>
    </bk>
    <bk>
      <rc t="2" v="6369"/>
    </bk>
    <bk>
      <rc t="2" v="6370"/>
    </bk>
    <bk>
      <rc t="2" v="6371"/>
    </bk>
    <bk>
      <rc t="2" v="6372"/>
    </bk>
    <bk>
      <rc t="2" v="6373"/>
    </bk>
    <bk>
      <rc t="2" v="6374"/>
    </bk>
    <bk>
      <rc t="2" v="6375"/>
    </bk>
    <bk>
      <rc t="2" v="6376"/>
    </bk>
    <bk>
      <rc t="2" v="6377"/>
    </bk>
    <bk>
      <rc t="2" v="6378"/>
    </bk>
    <bk>
      <rc t="2" v="6379"/>
    </bk>
    <bk>
      <rc t="2" v="6380"/>
    </bk>
    <bk>
      <rc t="2" v="6381"/>
    </bk>
    <bk>
      <rc t="2" v="6382"/>
    </bk>
    <bk>
      <rc t="2" v="6383"/>
    </bk>
    <bk>
      <rc t="2" v="6384"/>
    </bk>
    <bk>
      <rc t="2" v="6385"/>
    </bk>
    <bk>
      <rc t="2" v="6386"/>
    </bk>
    <bk>
      <rc t="2" v="6387"/>
    </bk>
    <bk>
      <rc t="2" v="6388"/>
    </bk>
    <bk>
      <rc t="2" v="6389"/>
    </bk>
    <bk>
      <rc t="2" v="6390"/>
    </bk>
    <bk>
      <rc t="2" v="6391"/>
    </bk>
    <bk>
      <rc t="2" v="6392"/>
    </bk>
    <bk>
      <rc t="2" v="6393"/>
    </bk>
    <bk>
      <rc t="2" v="6394"/>
    </bk>
    <bk>
      <rc t="2" v="6395"/>
    </bk>
    <bk>
      <rc t="2" v="6396"/>
    </bk>
    <bk>
      <rc t="2" v="6397"/>
    </bk>
    <bk>
      <rc t="2" v="6398"/>
    </bk>
    <bk>
      <rc t="2" v="6399"/>
    </bk>
    <bk>
      <rc t="2" v="6400"/>
    </bk>
    <bk>
      <rc t="2" v="6401"/>
    </bk>
    <bk>
      <rc t="2" v="6402"/>
    </bk>
    <bk>
      <rc t="2" v="6403"/>
    </bk>
    <bk>
      <rc t="2" v="6404"/>
    </bk>
    <bk>
      <rc t="2" v="6405"/>
    </bk>
    <bk>
      <rc t="2" v="6406"/>
    </bk>
    <bk>
      <rc t="2" v="6407"/>
    </bk>
    <bk>
      <rc t="2" v="6408"/>
    </bk>
    <bk>
      <rc t="2" v="6409"/>
    </bk>
    <bk>
      <rc t="2" v="6410"/>
    </bk>
    <bk>
      <rc t="2" v="6411"/>
    </bk>
    <bk>
      <rc t="2" v="6412"/>
    </bk>
    <bk>
      <rc t="2" v="6413"/>
    </bk>
    <bk>
      <rc t="2" v="6414"/>
    </bk>
    <bk>
      <rc t="2" v="6415"/>
    </bk>
    <bk>
      <rc t="2" v="6416"/>
    </bk>
    <bk>
      <rc t="2" v="6417"/>
    </bk>
    <bk>
      <rc t="2" v="6418"/>
    </bk>
    <bk>
      <rc t="2" v="6419"/>
    </bk>
    <bk>
      <rc t="2" v="6420"/>
    </bk>
    <bk>
      <rc t="2" v="6421"/>
    </bk>
    <bk>
      <rc t="2" v="6422"/>
    </bk>
    <bk>
      <rc t="2" v="6423"/>
    </bk>
    <bk>
      <rc t="2" v="6424"/>
    </bk>
    <bk>
      <rc t="2" v="6425"/>
    </bk>
    <bk>
      <rc t="2" v="6426"/>
    </bk>
    <bk>
      <rc t="2" v="6427"/>
    </bk>
    <bk>
      <rc t="2" v="6428"/>
    </bk>
    <bk>
      <rc t="2" v="6429"/>
    </bk>
    <bk>
      <rc t="2" v="6430"/>
    </bk>
    <bk>
      <rc t="2" v="6431"/>
    </bk>
    <bk>
      <rc t="2" v="6432"/>
    </bk>
    <bk>
      <rc t="2" v="6433"/>
    </bk>
    <bk>
      <rc t="2" v="6434"/>
    </bk>
    <bk>
      <rc t="2" v="6435"/>
    </bk>
    <bk>
      <rc t="2" v="6436"/>
    </bk>
    <bk>
      <rc t="2" v="6437"/>
    </bk>
    <bk>
      <rc t="2" v="6438"/>
    </bk>
    <bk>
      <rc t="2" v="6439"/>
    </bk>
    <bk>
      <rc t="2" v="6440"/>
    </bk>
    <bk>
      <rc t="2" v="6441"/>
    </bk>
    <bk>
      <rc t="2" v="6442"/>
    </bk>
    <bk>
      <rc t="2" v="6443"/>
    </bk>
    <bk>
      <rc t="2" v="6444"/>
    </bk>
    <bk>
      <rc t="2" v="6445"/>
    </bk>
    <bk>
      <rc t="2" v="6446"/>
    </bk>
    <bk>
      <rc t="2" v="6447"/>
    </bk>
    <bk>
      <rc t="2" v="6448"/>
    </bk>
    <bk>
      <rc t="2" v="6449"/>
    </bk>
    <bk>
      <rc t="2" v="6450"/>
    </bk>
    <bk>
      <rc t="2" v="6451"/>
    </bk>
    <bk>
      <rc t="2" v="6452"/>
    </bk>
    <bk>
      <rc t="2" v="6453"/>
    </bk>
    <bk>
      <rc t="2" v="6454"/>
    </bk>
    <bk>
      <rc t="2" v="6455"/>
    </bk>
    <bk>
      <rc t="2" v="6456"/>
    </bk>
    <bk>
      <rc t="2" v="6457"/>
    </bk>
    <bk>
      <rc t="2" v="6458"/>
    </bk>
    <bk>
      <rc t="2" v="6459"/>
    </bk>
    <bk>
      <rc t="2" v="6460"/>
    </bk>
    <bk>
      <rc t="2" v="6461"/>
    </bk>
    <bk>
      <rc t="2" v="6462"/>
    </bk>
    <bk>
      <rc t="2" v="6463"/>
    </bk>
    <bk>
      <rc t="2" v="6464"/>
    </bk>
    <bk>
      <rc t="2" v="6465"/>
    </bk>
    <bk>
      <rc t="2" v="6466"/>
    </bk>
    <bk>
      <rc t="2" v="6467"/>
    </bk>
    <bk>
      <rc t="2" v="6468"/>
    </bk>
    <bk>
      <rc t="2" v="6469"/>
    </bk>
    <bk>
      <rc t="2" v="6470"/>
    </bk>
    <bk>
      <rc t="2" v="6471"/>
    </bk>
    <bk>
      <rc t="2" v="6472"/>
    </bk>
    <bk>
      <rc t="2" v="6473"/>
    </bk>
    <bk>
      <rc t="2" v="6474"/>
    </bk>
    <bk>
      <rc t="2" v="6475"/>
    </bk>
    <bk>
      <rc t="2" v="6476"/>
    </bk>
    <bk>
      <rc t="2" v="6477"/>
    </bk>
    <bk>
      <rc t="2" v="6478"/>
    </bk>
    <bk>
      <rc t="2" v="6479"/>
    </bk>
    <bk>
      <rc t="2" v="6480"/>
    </bk>
    <bk>
      <rc t="2" v="6481"/>
    </bk>
    <bk>
      <rc t="2" v="6482"/>
    </bk>
    <bk>
      <rc t="2" v="6483"/>
    </bk>
    <bk>
      <rc t="2" v="6484"/>
    </bk>
    <bk>
      <rc t="2" v="6485"/>
    </bk>
    <bk>
      <rc t="2" v="6486"/>
    </bk>
    <bk>
      <rc t="2" v="6487"/>
    </bk>
    <bk>
      <rc t="2" v="6488"/>
    </bk>
    <bk>
      <rc t="2" v="6489"/>
    </bk>
    <bk>
      <rc t="2" v="6490"/>
    </bk>
    <bk>
      <rc t="2" v="6491"/>
    </bk>
    <bk>
      <rc t="2" v="6492"/>
    </bk>
    <bk>
      <rc t="2" v="6493"/>
    </bk>
    <bk>
      <rc t="2" v="6494"/>
    </bk>
    <bk>
      <rc t="2" v="6495"/>
    </bk>
    <bk>
      <rc t="2" v="6496"/>
    </bk>
    <bk>
      <rc t="2" v="6497"/>
    </bk>
    <bk>
      <rc t="2" v="6498"/>
    </bk>
    <bk>
      <rc t="2" v="6499"/>
    </bk>
    <bk>
      <rc t="2" v="6500"/>
    </bk>
    <bk>
      <rc t="2" v="6501"/>
    </bk>
    <bk>
      <rc t="2" v="6502"/>
    </bk>
    <bk>
      <rc t="2" v="6503"/>
    </bk>
    <bk>
      <rc t="2" v="6504"/>
    </bk>
    <bk>
      <rc t="2" v="6505"/>
    </bk>
    <bk>
      <rc t="2" v="6506"/>
    </bk>
    <bk>
      <rc t="2" v="6507"/>
    </bk>
    <bk>
      <rc t="2" v="6508"/>
    </bk>
    <bk>
      <rc t="2" v="6509"/>
    </bk>
    <bk>
      <rc t="2" v="6510"/>
    </bk>
    <bk>
      <rc t="2" v="6511"/>
    </bk>
    <bk>
      <rc t="2" v="6512"/>
    </bk>
    <bk>
      <rc t="2" v="6513"/>
    </bk>
    <bk>
      <rc t="2" v="6514"/>
    </bk>
    <bk>
      <rc t="2" v="6515"/>
    </bk>
    <bk>
      <rc t="2" v="6516"/>
    </bk>
    <bk>
      <rc t="2" v="6517"/>
    </bk>
    <bk>
      <rc t="2" v="6518"/>
    </bk>
    <bk>
      <rc t="2" v="6519"/>
    </bk>
    <bk>
      <rc t="2" v="6520"/>
    </bk>
    <bk>
      <rc t="2" v="6521"/>
    </bk>
    <bk>
      <rc t="2" v="6522"/>
    </bk>
    <bk>
      <rc t="2" v="6523"/>
    </bk>
    <bk>
      <rc t="2" v="6524"/>
    </bk>
    <bk>
      <rc t="2" v="6525"/>
    </bk>
    <bk>
      <rc t="2" v="6526"/>
    </bk>
    <bk>
      <rc t="2" v="6527"/>
    </bk>
    <bk>
      <rc t="2" v="6528"/>
    </bk>
    <bk>
      <rc t="2" v="6529"/>
    </bk>
    <bk>
      <rc t="2" v="6530"/>
    </bk>
    <bk>
      <rc t="2" v="6531"/>
    </bk>
    <bk>
      <rc t="2" v="6532"/>
    </bk>
    <bk>
      <rc t="2" v="6533"/>
    </bk>
    <bk>
      <rc t="2" v="6534"/>
    </bk>
    <bk>
      <rc t="2" v="6535"/>
    </bk>
    <bk>
      <rc t="2" v="6536"/>
    </bk>
    <bk>
      <rc t="2" v="6537"/>
    </bk>
    <bk>
      <rc t="2" v="6538"/>
    </bk>
    <bk>
      <rc t="2" v="6539"/>
    </bk>
    <bk>
      <rc t="2" v="6540"/>
    </bk>
    <bk>
      <rc t="2" v="6541"/>
    </bk>
    <bk>
      <rc t="2" v="6542"/>
    </bk>
    <bk>
      <rc t="2" v="6543"/>
    </bk>
    <bk>
      <rc t="2" v="6544"/>
    </bk>
    <bk>
      <rc t="2" v="6545"/>
    </bk>
    <bk>
      <rc t="2" v="6546"/>
    </bk>
    <bk>
      <rc t="2" v="6547"/>
    </bk>
    <bk>
      <rc t="2" v="6548"/>
    </bk>
    <bk>
      <rc t="2" v="6549"/>
    </bk>
    <bk>
      <rc t="2" v="6550"/>
    </bk>
    <bk>
      <rc t="2" v="6551"/>
    </bk>
    <bk>
      <rc t="2" v="6552"/>
    </bk>
    <bk>
      <rc t="2" v="6553"/>
    </bk>
    <bk>
      <rc t="2" v="6554"/>
    </bk>
    <bk>
      <rc t="2" v="6555"/>
    </bk>
    <bk>
      <rc t="2" v="6556"/>
    </bk>
    <bk>
      <rc t="2" v="6557"/>
    </bk>
    <bk>
      <rc t="2" v="6558"/>
    </bk>
    <bk>
      <rc t="2" v="6559"/>
    </bk>
    <bk>
      <rc t="2" v="6560"/>
    </bk>
    <bk>
      <rc t="2" v="6561"/>
    </bk>
    <bk>
      <rc t="2" v="6562"/>
    </bk>
    <bk>
      <rc t="2" v="6563"/>
    </bk>
    <bk>
      <rc t="2" v="6564"/>
    </bk>
    <bk>
      <rc t="2" v="6565"/>
    </bk>
    <bk>
      <rc t="2" v="6566"/>
    </bk>
    <bk>
      <rc t="2" v="6567"/>
    </bk>
    <bk>
      <rc t="2" v="6568"/>
    </bk>
    <bk>
      <rc t="2" v="6569"/>
    </bk>
    <bk>
      <rc t="2" v="6570"/>
    </bk>
    <bk>
      <rc t="2" v="6571"/>
    </bk>
    <bk>
      <rc t="2" v="6572"/>
    </bk>
    <bk>
      <rc t="2" v="6573"/>
    </bk>
    <bk>
      <rc t="2" v="6574"/>
    </bk>
    <bk>
      <rc t="2" v="6575"/>
    </bk>
    <bk>
      <rc t="2" v="6576"/>
    </bk>
    <bk>
      <rc t="2" v="6577"/>
    </bk>
    <bk>
      <rc t="2" v="6578"/>
    </bk>
    <bk>
      <rc t="2" v="6579"/>
    </bk>
    <bk>
      <rc t="2" v="6580"/>
    </bk>
    <bk>
      <rc t="2" v="6581"/>
    </bk>
    <bk>
      <rc t="2" v="6582"/>
    </bk>
    <bk>
      <rc t="2" v="6583"/>
    </bk>
    <bk>
      <rc t="2" v="6584"/>
    </bk>
    <bk>
      <rc t="2" v="6585"/>
    </bk>
    <bk>
      <rc t="2" v="6586"/>
    </bk>
    <bk>
      <rc t="2" v="6587"/>
    </bk>
    <bk>
      <rc t="2" v="6588"/>
    </bk>
    <bk>
      <rc t="2" v="6589"/>
    </bk>
    <bk>
      <rc t="2" v="6590"/>
    </bk>
    <bk>
      <rc t="2" v="6591"/>
    </bk>
    <bk>
      <rc t="2" v="6592"/>
    </bk>
    <bk>
      <rc t="2" v="6593"/>
    </bk>
    <bk>
      <rc t="2" v="6594"/>
    </bk>
    <bk>
      <rc t="2" v="6595"/>
    </bk>
    <bk>
      <rc t="2" v="6596"/>
    </bk>
    <bk>
      <rc t="2" v="6597"/>
    </bk>
    <bk>
      <rc t="2" v="6598"/>
    </bk>
    <bk>
      <rc t="2" v="6599"/>
    </bk>
    <bk>
      <rc t="2" v="6600"/>
    </bk>
    <bk>
      <rc t="2" v="6601"/>
    </bk>
    <bk>
      <rc t="2" v="6602"/>
    </bk>
    <bk>
      <rc t="2" v="6603"/>
    </bk>
    <bk>
      <rc t="2" v="6604"/>
    </bk>
    <bk>
      <rc t="2" v="6605"/>
    </bk>
    <bk>
      <rc t="2" v="6606"/>
    </bk>
    <bk>
      <rc t="2" v="6607"/>
    </bk>
    <bk>
      <rc t="2" v="6608"/>
    </bk>
    <bk>
      <rc t="2" v="6609"/>
    </bk>
    <bk>
      <rc t="2" v="6610"/>
    </bk>
    <bk>
      <rc t="2" v="6611"/>
    </bk>
    <bk>
      <rc t="2" v="6612"/>
    </bk>
    <bk>
      <rc t="2" v="6613"/>
    </bk>
    <bk>
      <rc t="2" v="6614"/>
    </bk>
    <bk>
      <rc t="2" v="6615"/>
    </bk>
    <bk>
      <rc t="2" v="6616"/>
    </bk>
    <bk>
      <rc t="2" v="6617"/>
    </bk>
    <bk>
      <rc t="2" v="6618"/>
    </bk>
    <bk>
      <rc t="2" v="6619"/>
    </bk>
    <bk>
      <rc t="2" v="6620"/>
    </bk>
    <bk>
      <rc t="2" v="6621"/>
    </bk>
    <bk>
      <rc t="2" v="6622"/>
    </bk>
    <bk>
      <rc t="2" v="6623"/>
    </bk>
    <bk>
      <rc t="2" v="6624"/>
    </bk>
    <bk>
      <rc t="2" v="6625"/>
    </bk>
    <bk>
      <rc t="2" v="6626"/>
    </bk>
    <bk>
      <rc t="2" v="6627"/>
    </bk>
    <bk>
      <rc t="2" v="6628"/>
    </bk>
    <bk>
      <rc t="2" v="6629"/>
    </bk>
    <bk>
      <rc t="2" v="6630"/>
    </bk>
    <bk>
      <rc t="2" v="6631"/>
    </bk>
    <bk>
      <rc t="2" v="6632"/>
    </bk>
    <bk>
      <rc t="2" v="6633"/>
    </bk>
    <bk>
      <rc t="2" v="6634"/>
    </bk>
    <bk>
      <rc t="2" v="6635"/>
    </bk>
    <bk>
      <rc t="2" v="6636"/>
    </bk>
    <bk>
      <rc t="2" v="6637"/>
    </bk>
    <bk>
      <rc t="2" v="6638"/>
    </bk>
    <bk>
      <rc t="2" v="6639"/>
    </bk>
    <bk>
      <rc t="2" v="6640"/>
    </bk>
    <bk>
      <rc t="2" v="6641"/>
    </bk>
    <bk>
      <rc t="2" v="6642"/>
    </bk>
    <bk>
      <rc t="2" v="6643"/>
    </bk>
    <bk>
      <rc t="2" v="6644"/>
    </bk>
    <bk>
      <rc t="2" v="6645"/>
    </bk>
    <bk>
      <rc t="2" v="6646"/>
    </bk>
    <bk>
      <rc t="2" v="6647"/>
    </bk>
    <bk>
      <rc t="2" v="6648"/>
    </bk>
    <bk>
      <rc t="2" v="6649"/>
    </bk>
    <bk>
      <rc t="2" v="6650"/>
    </bk>
    <bk>
      <rc t="2" v="6651"/>
    </bk>
    <bk>
      <rc t="2" v="6652"/>
    </bk>
    <bk>
      <rc t="2" v="6653"/>
    </bk>
    <bk>
      <rc t="2" v="6654"/>
    </bk>
    <bk>
      <rc t="2" v="6655"/>
    </bk>
    <bk>
      <rc t="2" v="6656"/>
    </bk>
    <bk>
      <rc t="2" v="6657"/>
    </bk>
    <bk>
      <rc t="2" v="6658"/>
    </bk>
    <bk>
      <rc t="2" v="6659"/>
    </bk>
    <bk>
      <rc t="2" v="6660"/>
    </bk>
    <bk>
      <rc t="2" v="6661"/>
    </bk>
    <bk>
      <rc t="2" v="6662"/>
    </bk>
    <bk>
      <rc t="2" v="6663"/>
    </bk>
    <bk>
      <rc t="2" v="6664"/>
    </bk>
    <bk>
      <rc t="2" v="6665"/>
    </bk>
    <bk>
      <rc t="2" v="6666"/>
    </bk>
    <bk>
      <rc t="2" v="6667"/>
    </bk>
    <bk>
      <rc t="2" v="6668"/>
    </bk>
    <bk>
      <rc t="2" v="6669"/>
    </bk>
    <bk>
      <rc t="2" v="6670"/>
    </bk>
    <bk>
      <rc t="2" v="6671"/>
    </bk>
    <bk>
      <rc t="2" v="6672"/>
    </bk>
    <bk>
      <rc t="2" v="6673"/>
    </bk>
    <bk>
      <rc t="2" v="6674"/>
    </bk>
    <bk>
      <rc t="2" v="6675"/>
    </bk>
    <bk>
      <rc t="2" v="6676"/>
    </bk>
    <bk>
      <rc t="2" v="6677"/>
    </bk>
    <bk>
      <rc t="2" v="6678"/>
    </bk>
    <bk>
      <rc t="2" v="6679"/>
    </bk>
    <bk>
      <rc t="2" v="6680"/>
    </bk>
    <bk>
      <rc t="2" v="6681"/>
    </bk>
    <bk>
      <rc t="2" v="6682"/>
    </bk>
    <bk>
      <rc t="2" v="6683"/>
    </bk>
    <bk>
      <rc t="2" v="6684"/>
    </bk>
    <bk>
      <rc t="2" v="6685"/>
    </bk>
    <bk>
      <rc t="2" v="6686"/>
    </bk>
    <bk>
      <rc t="2" v="6687"/>
    </bk>
    <bk>
      <rc t="2" v="6688"/>
    </bk>
    <bk>
      <rc t="2" v="6689"/>
    </bk>
    <bk>
      <rc t="2" v="6690"/>
    </bk>
    <bk>
      <rc t="2" v="6691"/>
    </bk>
    <bk>
      <rc t="2" v="6692"/>
    </bk>
    <bk>
      <rc t="2" v="6693"/>
    </bk>
    <bk>
      <rc t="2" v="6694"/>
    </bk>
    <bk>
      <rc t="2" v="6695"/>
    </bk>
    <bk>
      <rc t="2" v="6696"/>
    </bk>
    <bk>
      <rc t="2" v="6697"/>
    </bk>
    <bk>
      <rc t="2" v="6698"/>
    </bk>
    <bk>
      <rc t="2" v="6699"/>
    </bk>
    <bk>
      <rc t="2" v="6700"/>
    </bk>
    <bk>
      <rc t="2" v="6701"/>
    </bk>
    <bk>
      <rc t="2" v="6702"/>
    </bk>
    <bk>
      <rc t="2" v="6703"/>
    </bk>
    <bk>
      <rc t="2" v="6704"/>
    </bk>
    <bk>
      <rc t="2" v="6705"/>
    </bk>
    <bk>
      <rc t="2" v="6706"/>
    </bk>
    <bk>
      <rc t="2" v="6707"/>
    </bk>
    <bk>
      <rc t="2" v="6708"/>
    </bk>
    <bk>
      <rc t="2" v="6709"/>
    </bk>
    <bk>
      <rc t="2" v="6710"/>
    </bk>
    <bk>
      <rc t="2" v="6711"/>
    </bk>
    <bk>
      <rc t="2" v="6712"/>
    </bk>
    <bk>
      <rc t="2" v="6713"/>
    </bk>
    <bk>
      <rc t="2" v="6714"/>
    </bk>
    <bk>
      <rc t="2" v="6715"/>
    </bk>
    <bk>
      <rc t="2" v="6716"/>
    </bk>
    <bk>
      <rc t="2" v="6717"/>
    </bk>
    <bk>
      <rc t="2" v="6718"/>
    </bk>
    <bk>
      <rc t="2" v="6719"/>
    </bk>
    <bk>
      <rc t="2" v="6720"/>
    </bk>
    <bk>
      <rc t="2" v="6721"/>
    </bk>
    <bk>
      <rc t="2" v="6722"/>
    </bk>
    <bk>
      <rc t="2" v="6723"/>
    </bk>
    <bk>
      <rc t="2" v="6724"/>
    </bk>
    <bk>
      <rc t="2" v="6725"/>
    </bk>
    <bk>
      <rc t="2" v="6726"/>
    </bk>
    <bk>
      <rc t="2" v="6727"/>
    </bk>
    <bk>
      <rc t="2" v="6728"/>
    </bk>
    <bk>
      <rc t="2" v="6729"/>
    </bk>
    <bk>
      <rc t="2" v="6730"/>
    </bk>
    <bk>
      <rc t="2" v="6731"/>
    </bk>
    <bk>
      <rc t="2" v="6732"/>
    </bk>
    <bk>
      <rc t="2" v="6733"/>
    </bk>
    <bk>
      <rc t="2" v="6734"/>
    </bk>
    <bk>
      <rc t="2" v="6735"/>
    </bk>
    <bk>
      <rc t="2" v="6736"/>
    </bk>
    <bk>
      <rc t="2" v="6737"/>
    </bk>
    <bk>
      <rc t="2" v="6738"/>
    </bk>
    <bk>
      <rc t="2" v="6739"/>
    </bk>
    <bk>
      <rc t="2" v="6740"/>
    </bk>
    <bk>
      <rc t="2" v="6741"/>
    </bk>
    <bk>
      <rc t="2" v="6742"/>
    </bk>
    <bk>
      <rc t="2" v="6743"/>
    </bk>
    <bk>
      <rc t="2" v="6744"/>
    </bk>
    <bk>
      <rc t="2" v="6745"/>
    </bk>
    <bk>
      <rc t="2" v="6746"/>
    </bk>
    <bk>
      <rc t="2" v="6747"/>
    </bk>
    <bk>
      <rc t="2" v="6748"/>
    </bk>
    <bk>
      <rc t="2" v="6749"/>
    </bk>
    <bk>
      <rc t="2" v="6750"/>
    </bk>
    <bk>
      <rc t="2" v="6751"/>
    </bk>
    <bk>
      <rc t="2" v="6752"/>
    </bk>
    <bk>
      <rc t="2" v="6753"/>
    </bk>
    <bk>
      <rc t="2" v="6754"/>
    </bk>
    <bk>
      <rc t="2" v="6755"/>
    </bk>
    <bk>
      <rc t="2" v="6756"/>
    </bk>
    <bk>
      <rc t="2" v="6757"/>
    </bk>
    <bk>
      <rc t="2" v="6758"/>
    </bk>
    <bk>
      <rc t="2" v="6759"/>
    </bk>
    <bk>
      <rc t="2" v="6760"/>
    </bk>
    <bk>
      <rc t="2" v="6761"/>
    </bk>
    <bk>
      <rc t="2" v="6762"/>
    </bk>
    <bk>
      <rc t="2" v="6763"/>
    </bk>
    <bk>
      <rc t="2" v="6764"/>
    </bk>
    <bk>
      <rc t="2" v="6765"/>
    </bk>
    <bk>
      <rc t="2" v="6766"/>
    </bk>
    <bk>
      <rc t="2" v="6767"/>
    </bk>
    <bk>
      <rc t="2" v="6768"/>
    </bk>
    <bk>
      <rc t="2" v="6769"/>
    </bk>
    <bk>
      <rc t="2" v="6770"/>
    </bk>
    <bk>
      <rc t="2" v="6771"/>
    </bk>
    <bk>
      <rc t="2" v="6772"/>
    </bk>
    <bk>
      <rc t="2" v="6773"/>
    </bk>
    <bk>
      <rc t="2" v="6774"/>
    </bk>
    <bk>
      <rc t="2" v="6775"/>
    </bk>
    <bk>
      <rc t="2" v="6776"/>
    </bk>
    <bk>
      <rc t="2" v="6777"/>
    </bk>
    <bk>
      <rc t="2" v="6778"/>
    </bk>
    <bk>
      <rc t="2" v="6779"/>
    </bk>
    <bk>
      <rc t="2" v="6780"/>
    </bk>
    <bk>
      <rc t="2" v="6781"/>
    </bk>
    <bk>
      <rc t="2" v="6782"/>
    </bk>
    <bk>
      <rc t="2" v="6783"/>
    </bk>
    <bk>
      <rc t="2" v="6784"/>
    </bk>
    <bk>
      <rc t="2" v="6785"/>
    </bk>
    <bk>
      <rc t="2" v="6786"/>
    </bk>
    <bk>
      <rc t="2" v="6787"/>
    </bk>
    <bk>
      <rc t="2" v="6788"/>
    </bk>
    <bk>
      <rc t="2" v="6789"/>
    </bk>
    <bk>
      <rc t="2" v="6790"/>
    </bk>
    <bk>
      <rc t="2" v="6791"/>
    </bk>
    <bk>
      <rc t="2" v="6792"/>
    </bk>
    <bk>
      <rc t="2" v="6793"/>
    </bk>
    <bk>
      <rc t="2" v="6794"/>
    </bk>
    <bk>
      <rc t="2" v="6795"/>
    </bk>
    <bk>
      <rc t="2" v="6796"/>
    </bk>
    <bk>
      <rc t="2" v="6797"/>
    </bk>
    <bk>
      <rc t="2" v="6798"/>
    </bk>
    <bk>
      <rc t="2" v="6799"/>
    </bk>
    <bk>
      <rc t="2" v="6800"/>
    </bk>
    <bk>
      <rc t="2" v="6801"/>
    </bk>
    <bk>
      <rc t="2" v="6802"/>
    </bk>
    <bk>
      <rc t="2" v="6803"/>
    </bk>
    <bk>
      <rc t="2" v="6804"/>
    </bk>
    <bk>
      <rc t="2" v="6805"/>
    </bk>
    <bk>
      <rc t="2" v="6806"/>
    </bk>
    <bk>
      <rc t="2" v="6807"/>
    </bk>
    <bk>
      <rc t="2" v="6808"/>
    </bk>
    <bk>
      <rc t="2" v="6809"/>
    </bk>
    <bk>
      <rc t="2" v="6810"/>
    </bk>
    <bk>
      <rc t="2" v="6811"/>
    </bk>
    <bk>
      <rc t="2" v="6812"/>
    </bk>
    <bk>
      <rc t="2" v="6813"/>
    </bk>
    <bk>
      <rc t="2" v="6814"/>
    </bk>
    <bk>
      <rc t="2" v="6815"/>
    </bk>
    <bk>
      <rc t="2" v="6816"/>
    </bk>
    <bk>
      <rc t="2" v="6817"/>
    </bk>
    <bk>
      <rc t="2" v="6818"/>
    </bk>
    <bk>
      <rc t="2" v="6819"/>
    </bk>
    <bk>
      <rc t="2" v="6820"/>
    </bk>
    <bk>
      <rc t="2" v="6821"/>
    </bk>
    <bk>
      <rc t="2" v="6822"/>
    </bk>
    <bk>
      <rc t="2" v="6823"/>
    </bk>
    <bk>
      <rc t="2" v="6824"/>
    </bk>
    <bk>
      <rc t="2" v="6825"/>
    </bk>
    <bk>
      <rc t="2" v="6826"/>
    </bk>
    <bk>
      <rc t="2" v="6827"/>
    </bk>
    <bk>
      <rc t="2" v="6828"/>
    </bk>
    <bk>
      <rc t="2" v="6829"/>
    </bk>
    <bk>
      <rc t="2" v="6830"/>
    </bk>
    <bk>
      <rc t="2" v="6831"/>
    </bk>
    <bk>
      <rc t="2" v="6832"/>
    </bk>
    <bk>
      <rc t="2" v="6833"/>
    </bk>
    <bk>
      <rc t="2" v="6834"/>
    </bk>
    <bk>
      <rc t="2" v="6835"/>
    </bk>
    <bk>
      <rc t="2" v="6836"/>
    </bk>
    <bk>
      <rc t="2" v="6837"/>
    </bk>
    <bk>
      <rc t="2" v="6838"/>
    </bk>
    <bk>
      <rc t="2" v="6839"/>
    </bk>
    <bk>
      <rc t="2" v="6840"/>
    </bk>
    <bk>
      <rc t="2" v="6841"/>
    </bk>
    <bk>
      <rc t="2" v="6842"/>
    </bk>
    <bk>
      <rc t="2" v="6843"/>
    </bk>
    <bk>
      <rc t="2" v="6844"/>
    </bk>
    <bk>
      <rc t="2" v="6845"/>
    </bk>
    <bk>
      <rc t="2" v="6846"/>
    </bk>
    <bk>
      <rc t="2" v="6847"/>
    </bk>
    <bk>
      <rc t="2" v="6848"/>
    </bk>
    <bk>
      <rc t="2" v="6849"/>
    </bk>
    <bk>
      <rc t="2" v="6850"/>
    </bk>
    <bk>
      <rc t="2" v="6851"/>
    </bk>
    <bk>
      <rc t="2" v="6852"/>
    </bk>
    <bk>
      <rc t="2" v="6853"/>
    </bk>
    <bk>
      <rc t="2" v="6854"/>
    </bk>
    <bk>
      <rc t="2" v="6855"/>
    </bk>
    <bk>
      <rc t="2" v="6856"/>
    </bk>
    <bk>
      <rc t="2" v="6857"/>
    </bk>
    <bk>
      <rc t="2" v="6858"/>
    </bk>
    <bk>
      <rc t="2" v="6859"/>
    </bk>
    <bk>
      <rc t="2" v="6860"/>
    </bk>
    <bk>
      <rc t="2" v="6861"/>
    </bk>
    <bk>
      <rc t="2" v="6862"/>
    </bk>
    <bk>
      <rc t="2" v="6863"/>
    </bk>
    <bk>
      <rc t="2" v="6864"/>
    </bk>
    <bk>
      <rc t="2" v="6865"/>
    </bk>
    <bk>
      <rc t="2" v="6866"/>
    </bk>
    <bk>
      <rc t="2" v="6867"/>
    </bk>
    <bk>
      <rc t="2" v="6868"/>
    </bk>
    <bk>
      <rc t="2" v="6869"/>
    </bk>
    <bk>
      <rc t="2" v="6870"/>
    </bk>
    <bk>
      <rc t="2" v="6871"/>
    </bk>
    <bk>
      <rc t="2" v="6872"/>
    </bk>
    <bk>
      <rc t="2" v="6873"/>
    </bk>
    <bk>
      <rc t="2" v="6874"/>
    </bk>
    <bk>
      <rc t="2" v="6875"/>
    </bk>
    <bk>
      <rc t="2" v="6876"/>
    </bk>
    <bk>
      <rc t="2" v="6877"/>
    </bk>
    <bk>
      <rc t="2" v="6878"/>
    </bk>
    <bk>
      <rc t="2" v="6879"/>
    </bk>
    <bk>
      <rc t="2" v="6880"/>
    </bk>
    <bk>
      <rc t="2" v="6881"/>
    </bk>
    <bk>
      <rc t="2" v="6882"/>
    </bk>
    <bk>
      <rc t="2" v="6883"/>
    </bk>
    <bk>
      <rc t="2" v="6884"/>
    </bk>
    <bk>
      <rc t="2" v="6885"/>
    </bk>
    <bk>
      <rc t="2" v="6886"/>
    </bk>
    <bk>
      <rc t="2" v="6887"/>
    </bk>
    <bk>
      <rc t="2" v="6888"/>
    </bk>
    <bk>
      <rc t="2" v="6889"/>
    </bk>
    <bk>
      <rc t="2" v="6890"/>
    </bk>
    <bk>
      <rc t="2" v="6891"/>
    </bk>
    <bk>
      <rc t="2" v="6892"/>
    </bk>
    <bk>
      <rc t="2" v="6893"/>
    </bk>
    <bk>
      <rc t="2" v="6894"/>
    </bk>
    <bk>
      <rc t="2" v="6895"/>
    </bk>
    <bk>
      <rc t="2" v="6896"/>
    </bk>
    <bk>
      <rc t="2" v="6897"/>
    </bk>
    <bk>
      <rc t="2" v="6898"/>
    </bk>
    <bk>
      <rc t="2" v="6899"/>
    </bk>
    <bk>
      <rc t="2" v="6900"/>
    </bk>
    <bk>
      <rc t="2" v="6901"/>
    </bk>
    <bk>
      <rc t="2" v="6902"/>
    </bk>
    <bk>
      <rc t="2" v="6903"/>
    </bk>
    <bk>
      <rc t="2" v="6904"/>
    </bk>
    <bk>
      <rc t="2" v="6905"/>
    </bk>
    <bk>
      <rc t="2" v="6906"/>
    </bk>
    <bk>
      <rc t="2" v="6907"/>
    </bk>
    <bk>
      <rc t="2" v="6908"/>
    </bk>
    <bk>
      <rc t="2" v="6909"/>
    </bk>
    <bk>
      <rc t="2" v="6910"/>
    </bk>
    <bk>
      <rc t="2" v="6911"/>
    </bk>
    <bk>
      <rc t="2" v="6912"/>
    </bk>
    <bk>
      <rc t="2" v="6913"/>
    </bk>
    <bk>
      <rc t="2" v="6914"/>
    </bk>
    <bk>
      <rc t="2" v="6915"/>
    </bk>
    <bk>
      <rc t="2" v="6916"/>
    </bk>
    <bk>
      <rc t="2" v="6917"/>
    </bk>
    <bk>
      <rc t="2" v="6918"/>
    </bk>
    <bk>
      <rc t="2" v="6919"/>
    </bk>
    <bk>
      <rc t="2" v="6920"/>
    </bk>
    <bk>
      <rc t="2" v="6921"/>
    </bk>
    <bk>
      <rc t="2" v="6922"/>
    </bk>
    <bk>
      <rc t="2" v="6923"/>
    </bk>
    <bk>
      <rc t="2" v="6924"/>
    </bk>
    <bk>
      <rc t="2" v="6925"/>
    </bk>
    <bk>
      <rc t="2" v="6926"/>
    </bk>
    <bk>
      <rc t="2" v="6927"/>
    </bk>
    <bk>
      <rc t="2" v="6928"/>
    </bk>
    <bk>
      <rc t="2" v="6929"/>
    </bk>
    <bk>
      <rc t="2" v="6930"/>
    </bk>
    <bk>
      <rc t="2" v="6931"/>
    </bk>
    <bk>
      <rc t="2" v="6932"/>
    </bk>
    <bk>
      <rc t="2" v="6933"/>
    </bk>
    <bk>
      <rc t="2" v="6934"/>
    </bk>
    <bk>
      <rc t="2" v="6935"/>
    </bk>
    <bk>
      <rc t="2" v="6936"/>
    </bk>
    <bk>
      <rc t="2" v="6937"/>
    </bk>
    <bk>
      <rc t="2" v="6938"/>
    </bk>
    <bk>
      <rc t="2" v="6939"/>
    </bk>
    <bk>
      <rc t="2" v="6940"/>
    </bk>
    <bk>
      <rc t="2" v="6941"/>
    </bk>
    <bk>
      <rc t="2" v="6942"/>
    </bk>
    <bk>
      <rc t="2" v="6943"/>
    </bk>
    <bk>
      <rc t="2" v="6944"/>
    </bk>
    <bk>
      <rc t="2" v="6945"/>
    </bk>
    <bk>
      <rc t="2" v="6946"/>
    </bk>
    <bk>
      <rc t="2" v="6947"/>
    </bk>
    <bk>
      <rc t="2" v="6948"/>
    </bk>
    <bk>
      <rc t="2" v="6949"/>
    </bk>
    <bk>
      <rc t="2" v="6950"/>
    </bk>
    <bk>
      <rc t="2" v="6951"/>
    </bk>
    <bk>
      <rc t="2" v="6952"/>
    </bk>
    <bk>
      <rc t="2" v="6953"/>
    </bk>
    <bk>
      <rc t="2" v="6954"/>
    </bk>
    <bk>
      <rc t="2" v="6955"/>
    </bk>
    <bk>
      <rc t="2" v="6956"/>
    </bk>
    <bk>
      <rc t="2" v="6957"/>
    </bk>
    <bk>
      <rc t="2" v="6958"/>
    </bk>
    <bk>
      <rc t="2" v="6959"/>
    </bk>
    <bk>
      <rc t="2" v="6960"/>
    </bk>
    <bk>
      <rc t="2" v="6961"/>
    </bk>
    <bk>
      <rc t="2" v="6962"/>
    </bk>
    <bk>
      <rc t="2" v="6963"/>
    </bk>
    <bk>
      <rc t="2" v="6964"/>
    </bk>
    <bk>
      <rc t="2" v="6965"/>
    </bk>
    <bk>
      <rc t="2" v="6966"/>
    </bk>
    <bk>
      <rc t="2" v="6967"/>
    </bk>
    <bk>
      <rc t="2" v="6968"/>
    </bk>
    <bk>
      <rc t="2" v="6969"/>
    </bk>
    <bk>
      <rc t="2" v="6970"/>
    </bk>
    <bk>
      <rc t="2" v="6971"/>
    </bk>
    <bk>
      <rc t="2" v="6972"/>
    </bk>
    <bk>
      <rc t="2" v="6973"/>
    </bk>
    <bk>
      <rc t="2" v="6974"/>
    </bk>
    <bk>
      <rc t="2" v="6975"/>
    </bk>
    <bk>
      <rc t="2" v="6976"/>
    </bk>
    <bk>
      <rc t="2" v="6977"/>
    </bk>
    <bk>
      <rc t="2" v="6978"/>
    </bk>
    <bk>
      <rc t="2" v="6979"/>
    </bk>
    <bk>
      <rc t="2" v="6980"/>
    </bk>
    <bk>
      <rc t="2" v="6981"/>
    </bk>
    <bk>
      <rc t="2" v="6982"/>
    </bk>
    <bk>
      <rc t="2" v="6983"/>
    </bk>
    <bk>
      <rc t="2" v="6984"/>
    </bk>
    <bk>
      <rc t="2" v="6985"/>
    </bk>
    <bk>
      <rc t="2" v="6986"/>
    </bk>
    <bk>
      <rc t="2" v="6987"/>
    </bk>
    <bk>
      <rc t="2" v="6988"/>
    </bk>
    <bk>
      <rc t="2" v="6989"/>
    </bk>
    <bk>
      <rc t="2" v="6990"/>
    </bk>
    <bk>
      <rc t="2" v="6991"/>
    </bk>
    <bk>
      <rc t="2" v="6992"/>
    </bk>
    <bk>
      <rc t="2" v="6993"/>
    </bk>
    <bk>
      <rc t="2" v="6994"/>
    </bk>
    <bk>
      <rc t="2" v="6995"/>
    </bk>
    <bk>
      <rc t="2" v="6996"/>
    </bk>
    <bk>
      <rc t="2" v="6997"/>
    </bk>
    <bk>
      <rc t="2" v="6998"/>
    </bk>
    <bk>
      <rc t="2" v="6999"/>
    </bk>
    <bk>
      <rc t="2" v="7000"/>
    </bk>
    <bk>
      <rc t="2" v="7001"/>
    </bk>
    <bk>
      <rc t="2" v="7002"/>
    </bk>
    <bk>
      <rc t="2" v="7003"/>
    </bk>
    <bk>
      <rc t="2" v="7004"/>
    </bk>
    <bk>
      <rc t="2" v="7005"/>
    </bk>
    <bk>
      <rc t="2" v="7006"/>
    </bk>
    <bk>
      <rc t="2" v="7007"/>
    </bk>
    <bk>
      <rc t="2" v="7008"/>
    </bk>
    <bk>
      <rc t="2" v="7009"/>
    </bk>
    <bk>
      <rc t="2" v="7010"/>
    </bk>
    <bk>
      <rc t="2" v="7011"/>
    </bk>
    <bk>
      <rc t="2" v="7012"/>
    </bk>
    <bk>
      <rc t="2" v="7013"/>
    </bk>
    <bk>
      <rc t="2" v="7014"/>
    </bk>
    <bk>
      <rc t="2" v="7015"/>
    </bk>
    <bk>
      <rc t="2" v="7016"/>
    </bk>
    <bk>
      <rc t="2" v="7017"/>
    </bk>
    <bk>
      <rc t="2" v="7018"/>
    </bk>
    <bk>
      <rc t="2" v="7019"/>
    </bk>
    <bk>
      <rc t="2" v="7020"/>
    </bk>
    <bk>
      <rc t="2" v="7021"/>
    </bk>
    <bk>
      <rc t="2" v="7022"/>
    </bk>
    <bk>
      <rc t="2" v="7023"/>
    </bk>
    <bk>
      <rc t="2" v="7024"/>
    </bk>
    <bk>
      <rc t="2" v="7025"/>
    </bk>
    <bk>
      <rc t="2" v="7026"/>
    </bk>
    <bk>
      <rc t="2" v="7027"/>
    </bk>
    <bk>
      <rc t="2" v="7028"/>
    </bk>
    <bk>
      <rc t="2" v="7029"/>
    </bk>
    <bk>
      <rc t="2" v="7030"/>
    </bk>
    <bk>
      <rc t="2" v="7031"/>
    </bk>
    <bk>
      <rc t="2" v="7032"/>
    </bk>
    <bk>
      <rc t="2" v="7033"/>
    </bk>
    <bk>
      <rc t="2" v="7034"/>
    </bk>
    <bk>
      <rc t="2" v="7035"/>
    </bk>
    <bk>
      <rc t="2" v="7036"/>
    </bk>
    <bk>
      <rc t="2" v="7037"/>
    </bk>
    <bk>
      <rc t="2" v="7038"/>
    </bk>
    <bk>
      <rc t="2" v="7039"/>
    </bk>
    <bk>
      <rc t="2" v="7040"/>
    </bk>
    <bk>
      <rc t="2" v="7041"/>
    </bk>
    <bk>
      <rc t="2" v="7042"/>
    </bk>
    <bk>
      <rc t="2" v="7043"/>
    </bk>
    <bk>
      <rc t="2" v="7044"/>
    </bk>
    <bk>
      <rc t="2" v="7045"/>
    </bk>
    <bk>
      <rc t="2" v="7046"/>
    </bk>
    <bk>
      <rc t="2" v="7047"/>
    </bk>
    <bk>
      <rc t="2" v="7048"/>
    </bk>
    <bk>
      <rc t="2" v="7049"/>
    </bk>
    <bk>
      <rc t="2" v="7050"/>
    </bk>
    <bk>
      <rc t="2" v="7051"/>
    </bk>
    <bk>
      <rc t="2" v="7052"/>
    </bk>
    <bk>
      <rc t="2" v="7053"/>
    </bk>
    <bk>
      <rc t="2" v="7054"/>
    </bk>
    <bk>
      <rc t="2" v="7055"/>
    </bk>
    <bk>
      <rc t="2" v="7056"/>
    </bk>
    <bk>
      <rc t="2" v="7057"/>
    </bk>
    <bk>
      <rc t="2" v="7058"/>
    </bk>
    <bk>
      <rc t="2" v="7059"/>
    </bk>
    <bk>
      <rc t="2" v="7060"/>
    </bk>
    <bk>
      <rc t="2" v="7061"/>
    </bk>
    <bk>
      <rc t="2" v="7062"/>
    </bk>
    <bk>
      <rc t="2" v="7063"/>
    </bk>
    <bk>
      <rc t="2" v="7064"/>
    </bk>
    <bk>
      <rc t="2" v="7065"/>
    </bk>
    <bk>
      <rc t="2" v="7066"/>
    </bk>
    <bk>
      <rc t="2" v="7067"/>
    </bk>
    <bk>
      <rc t="2" v="7068"/>
    </bk>
    <bk>
      <rc t="2" v="7069"/>
    </bk>
    <bk>
      <rc t="2" v="7070"/>
    </bk>
    <bk>
      <rc t="2" v="7071"/>
    </bk>
    <bk>
      <rc t="2" v="7072"/>
    </bk>
    <bk>
      <rc t="2" v="7073"/>
    </bk>
    <bk>
      <rc t="2" v="7074"/>
    </bk>
    <bk>
      <rc t="2" v="7075"/>
    </bk>
    <bk>
      <rc t="2" v="7076"/>
    </bk>
    <bk>
      <rc t="2" v="7077"/>
    </bk>
    <bk>
      <rc t="2" v="7078"/>
    </bk>
    <bk>
      <rc t="2" v="7079"/>
    </bk>
    <bk>
      <rc t="2" v="7080"/>
    </bk>
    <bk>
      <rc t="2" v="7081"/>
    </bk>
    <bk>
      <rc t="2" v="7082"/>
    </bk>
    <bk>
      <rc t="2" v="7083"/>
    </bk>
    <bk>
      <rc t="2" v="7084"/>
    </bk>
    <bk>
      <rc t="2" v="7085"/>
    </bk>
    <bk>
      <rc t="2" v="7086"/>
    </bk>
    <bk>
      <rc t="2" v="7087"/>
    </bk>
    <bk>
      <rc t="2" v="7088"/>
    </bk>
    <bk>
      <rc t="2" v="7089"/>
    </bk>
    <bk>
      <rc t="2" v="7090"/>
    </bk>
    <bk>
      <rc t="2" v="7091"/>
    </bk>
    <bk>
      <rc t="2" v="7092"/>
    </bk>
    <bk>
      <rc t="2" v="7093"/>
    </bk>
    <bk>
      <rc t="2" v="7094"/>
    </bk>
    <bk>
      <rc t="2" v="7095"/>
    </bk>
    <bk>
      <rc t="2" v="7096"/>
    </bk>
    <bk>
      <rc t="2" v="7097"/>
    </bk>
    <bk>
      <rc t="2" v="7098"/>
    </bk>
    <bk>
      <rc t="2" v="7099"/>
    </bk>
    <bk>
      <rc t="2" v="7100"/>
    </bk>
    <bk>
      <rc t="2" v="7101"/>
    </bk>
    <bk>
      <rc t="2" v="7102"/>
    </bk>
    <bk>
      <rc t="2" v="7103"/>
    </bk>
    <bk>
      <rc t="2" v="7104"/>
    </bk>
    <bk>
      <rc t="2" v="7105"/>
    </bk>
    <bk>
      <rc t="2" v="7106"/>
    </bk>
    <bk>
      <rc t="2" v="7107"/>
    </bk>
    <bk>
      <rc t="2" v="7108"/>
    </bk>
    <bk>
      <rc t="2" v="7109"/>
    </bk>
    <bk>
      <rc t="2" v="7110"/>
    </bk>
    <bk>
      <rc t="2" v="7111"/>
    </bk>
    <bk>
      <rc t="2" v="7112"/>
    </bk>
    <bk>
      <rc t="2" v="7113"/>
    </bk>
    <bk>
      <rc t="2" v="7114"/>
    </bk>
    <bk>
      <rc t="2" v="7115"/>
    </bk>
    <bk>
      <rc t="2" v="7116"/>
    </bk>
    <bk>
      <rc t="2" v="7117"/>
    </bk>
    <bk>
      <rc t="2" v="7118"/>
    </bk>
    <bk>
      <rc t="2" v="7119"/>
    </bk>
    <bk>
      <rc t="2" v="7120"/>
    </bk>
    <bk>
      <rc t="2" v="7121"/>
    </bk>
    <bk>
      <rc t="2" v="7122"/>
    </bk>
    <bk>
      <rc t="2" v="7123"/>
    </bk>
    <bk>
      <rc t="2" v="7124"/>
    </bk>
    <bk>
      <rc t="2" v="7125"/>
    </bk>
    <bk>
      <rc t="2" v="7126"/>
    </bk>
    <bk>
      <rc t="2" v="7127"/>
    </bk>
    <bk>
      <rc t="2" v="7128"/>
    </bk>
    <bk>
      <rc t="2" v="7129"/>
    </bk>
    <bk>
      <rc t="2" v="7130"/>
    </bk>
    <bk>
      <rc t="2" v="7131"/>
    </bk>
    <bk>
      <rc t="2" v="7132"/>
    </bk>
    <bk>
      <rc t="2" v="7133"/>
    </bk>
    <bk>
      <rc t="2" v="7134"/>
    </bk>
    <bk>
      <rc t="2" v="7135"/>
    </bk>
    <bk>
      <rc t="2" v="7136"/>
    </bk>
    <bk>
      <rc t="2" v="7137"/>
    </bk>
    <bk>
      <rc t="2" v="7138"/>
    </bk>
    <bk>
      <rc t="2" v="7139"/>
    </bk>
    <bk>
      <rc t="2" v="7140"/>
    </bk>
    <bk>
      <rc t="2" v="7141"/>
    </bk>
    <bk>
      <rc t="2" v="7142"/>
    </bk>
    <bk>
      <rc t="2" v="7143"/>
    </bk>
    <bk>
      <rc t="2" v="7144"/>
    </bk>
    <bk>
      <rc t="2" v="7145"/>
    </bk>
    <bk>
      <rc t="2" v="7146"/>
    </bk>
    <bk>
      <rc t="2" v="7147"/>
    </bk>
    <bk>
      <rc t="2" v="7148"/>
    </bk>
    <bk>
      <rc t="2" v="7149"/>
    </bk>
    <bk>
      <rc t="2" v="7150"/>
    </bk>
    <bk>
      <rc t="2" v="7151"/>
    </bk>
    <bk>
      <rc t="2" v="7152"/>
    </bk>
    <bk>
      <rc t="2" v="7153"/>
    </bk>
    <bk>
      <rc t="2" v="7154"/>
    </bk>
    <bk>
      <rc t="2" v="7155"/>
    </bk>
    <bk>
      <rc t="2" v="7156"/>
    </bk>
    <bk>
      <rc t="2" v="7157"/>
    </bk>
    <bk>
      <rc t="2" v="7158"/>
    </bk>
    <bk>
      <rc t="2" v="7159"/>
    </bk>
    <bk>
      <rc t="2" v="7160"/>
    </bk>
    <bk>
      <rc t="2" v="7161"/>
    </bk>
    <bk>
      <rc t="2" v="7162"/>
    </bk>
    <bk>
      <rc t="2" v="7163"/>
    </bk>
    <bk>
      <rc t="2" v="7164"/>
    </bk>
    <bk>
      <rc t="2" v="7165"/>
    </bk>
    <bk>
      <rc t="2" v="7166"/>
    </bk>
    <bk>
      <rc t="2" v="7167"/>
    </bk>
    <bk>
      <rc t="2" v="7168"/>
    </bk>
    <bk>
      <rc t="2" v="7169"/>
    </bk>
    <bk>
      <rc t="2" v="7170"/>
    </bk>
    <bk>
      <rc t="2" v="7171"/>
    </bk>
    <bk>
      <rc t="2" v="7172"/>
    </bk>
    <bk>
      <rc t="2" v="7173"/>
    </bk>
    <bk>
      <rc t="2" v="7174"/>
    </bk>
    <bk>
      <rc t="2" v="7175"/>
    </bk>
    <bk>
      <rc t="2" v="7176"/>
    </bk>
    <bk>
      <rc t="2" v="7177"/>
    </bk>
    <bk>
      <rc t="2" v="7178"/>
    </bk>
    <bk>
      <rc t="2" v="7179"/>
    </bk>
    <bk>
      <rc t="2" v="7180"/>
    </bk>
    <bk>
      <rc t="2" v="7181"/>
    </bk>
    <bk>
      <rc t="2" v="7182"/>
    </bk>
    <bk>
      <rc t="2" v="7183"/>
    </bk>
    <bk>
      <rc t="2" v="7184"/>
    </bk>
    <bk>
      <rc t="2" v="7185"/>
    </bk>
    <bk>
      <rc t="2" v="7186"/>
    </bk>
    <bk>
      <rc t="2" v="7187"/>
    </bk>
    <bk>
      <rc t="2" v="7188"/>
    </bk>
    <bk>
      <rc t="2" v="7189"/>
    </bk>
    <bk>
      <rc t="2" v="7190"/>
    </bk>
    <bk>
      <rc t="2" v="7191"/>
    </bk>
    <bk>
      <rc t="2" v="7192"/>
    </bk>
    <bk>
      <rc t="2" v="7193"/>
    </bk>
    <bk>
      <rc t="2" v="7194"/>
    </bk>
    <bk>
      <rc t="2" v="7195"/>
    </bk>
    <bk>
      <rc t="2" v="7196"/>
    </bk>
    <bk>
      <rc t="2" v="7197"/>
    </bk>
    <bk>
      <rc t="2" v="7198"/>
    </bk>
    <bk>
      <rc t="2" v="7199"/>
    </bk>
    <bk>
      <rc t="2" v="7200"/>
    </bk>
    <bk>
      <rc t="2" v="7201"/>
    </bk>
    <bk>
      <rc t="2" v="7202"/>
    </bk>
    <bk>
      <rc t="2" v="7203"/>
    </bk>
    <bk>
      <rc t="2" v="7204"/>
    </bk>
    <bk>
      <rc t="2" v="7205"/>
    </bk>
    <bk>
      <rc t="2" v="7206"/>
    </bk>
    <bk>
      <rc t="2" v="7207"/>
    </bk>
    <bk>
      <rc t="2" v="7208"/>
    </bk>
    <bk>
      <rc t="2" v="7209"/>
    </bk>
    <bk>
      <rc t="2" v="7210"/>
    </bk>
    <bk>
      <rc t="2" v="7211"/>
    </bk>
    <bk>
      <rc t="2" v="7212"/>
    </bk>
    <bk>
      <rc t="2" v="7213"/>
    </bk>
    <bk>
      <rc t="2" v="7214"/>
    </bk>
    <bk>
      <rc t="2" v="7215"/>
    </bk>
    <bk>
      <rc t="2" v="7216"/>
    </bk>
    <bk>
      <rc t="2" v="7217"/>
    </bk>
    <bk>
      <rc t="2" v="7218"/>
    </bk>
    <bk>
      <rc t="2" v="7219"/>
    </bk>
    <bk>
      <rc t="2" v="7220"/>
    </bk>
    <bk>
      <rc t="2" v="7221"/>
    </bk>
    <bk>
      <rc t="2" v="7222"/>
    </bk>
    <bk>
      <rc t="2" v="7223"/>
    </bk>
    <bk>
      <rc t="2" v="7224"/>
    </bk>
    <bk>
      <rc t="2" v="7225"/>
    </bk>
    <bk>
      <rc t="2" v="7226"/>
    </bk>
    <bk>
      <rc t="2" v="7227"/>
    </bk>
    <bk>
      <rc t="2" v="7228"/>
    </bk>
    <bk>
      <rc t="2" v="7229"/>
    </bk>
    <bk>
      <rc t="2" v="7230"/>
    </bk>
    <bk>
      <rc t="2" v="7231"/>
    </bk>
    <bk>
      <rc t="2" v="7232"/>
    </bk>
    <bk>
      <rc t="2" v="7233"/>
    </bk>
    <bk>
      <rc t="2" v="7234"/>
    </bk>
    <bk>
      <rc t="2" v="7235"/>
    </bk>
    <bk>
      <rc t="2" v="7236"/>
    </bk>
    <bk>
      <rc t="2" v="7237"/>
    </bk>
    <bk>
      <rc t="2" v="7238"/>
    </bk>
    <bk>
      <rc t="2" v="7239"/>
    </bk>
    <bk>
      <rc t="2" v="7240"/>
    </bk>
    <bk>
      <rc t="2" v="7241"/>
    </bk>
    <bk>
      <rc t="2" v="7242"/>
    </bk>
    <bk>
      <rc t="2" v="7243"/>
    </bk>
    <bk>
      <rc t="2" v="7244"/>
    </bk>
    <bk>
      <rc t="2" v="7245"/>
    </bk>
    <bk>
      <rc t="2" v="7246"/>
    </bk>
    <bk>
      <rc t="2" v="7247"/>
    </bk>
    <bk>
      <rc t="2" v="7248"/>
    </bk>
    <bk>
      <rc t="2" v="7249"/>
    </bk>
    <bk>
      <rc t="2" v="7250"/>
    </bk>
    <bk>
      <rc t="2" v="7251"/>
    </bk>
    <bk>
      <rc t="2" v="7252"/>
    </bk>
    <bk>
      <rc t="2" v="7253"/>
    </bk>
    <bk>
      <rc t="2" v="7254"/>
    </bk>
    <bk>
      <rc t="2" v="7255"/>
    </bk>
    <bk>
      <rc t="2" v="7256"/>
    </bk>
    <bk>
      <rc t="2" v="7257"/>
    </bk>
    <bk>
      <rc t="2" v="7258"/>
    </bk>
    <bk>
      <rc t="2" v="7259"/>
    </bk>
    <bk>
      <rc t="2" v="7260"/>
    </bk>
    <bk>
      <rc t="2" v="7261"/>
    </bk>
    <bk>
      <rc t="2" v="7262"/>
    </bk>
    <bk>
      <rc t="2" v="7263"/>
    </bk>
    <bk>
      <rc t="2" v="7264"/>
    </bk>
    <bk>
      <rc t="2" v="7265"/>
    </bk>
    <bk>
      <rc t="2" v="7266"/>
    </bk>
    <bk>
      <rc t="2" v="7267"/>
    </bk>
    <bk>
      <rc t="2" v="7268"/>
    </bk>
    <bk>
      <rc t="2" v="7269"/>
    </bk>
    <bk>
      <rc t="2" v="7270"/>
    </bk>
    <bk>
      <rc t="2" v="7271"/>
    </bk>
    <bk>
      <rc t="2" v="7272"/>
    </bk>
    <bk>
      <rc t="2" v="7273"/>
    </bk>
    <bk>
      <rc t="2" v="7274"/>
    </bk>
    <bk>
      <rc t="2" v="7275"/>
    </bk>
    <bk>
      <rc t="2" v="7276"/>
    </bk>
    <bk>
      <rc t="2" v="7277"/>
    </bk>
    <bk>
      <rc t="2" v="7278"/>
    </bk>
    <bk>
      <rc t="2" v="7279"/>
    </bk>
    <bk>
      <rc t="2" v="7280"/>
    </bk>
    <bk>
      <rc t="2" v="7281"/>
    </bk>
    <bk>
      <rc t="2" v="7282"/>
    </bk>
    <bk>
      <rc t="2" v="7283"/>
    </bk>
    <bk>
      <rc t="2" v="7284"/>
    </bk>
    <bk>
      <rc t="2" v="7285"/>
    </bk>
    <bk>
      <rc t="2" v="7286"/>
    </bk>
    <bk>
      <rc t="2" v="7287"/>
    </bk>
    <bk>
      <rc t="2" v="7288"/>
    </bk>
    <bk>
      <rc t="2" v="7289"/>
    </bk>
    <bk>
      <rc t="2" v="7290"/>
    </bk>
    <bk>
      <rc t="2" v="7291"/>
    </bk>
    <bk>
      <rc t="2" v="7292"/>
    </bk>
    <bk>
      <rc t="2" v="7293"/>
    </bk>
    <bk>
      <rc t="2" v="7294"/>
    </bk>
    <bk>
      <rc t="2" v="7295"/>
    </bk>
    <bk>
      <rc t="2" v="7296"/>
    </bk>
    <bk>
      <rc t="2" v="7297"/>
    </bk>
    <bk>
      <rc t="2" v="7298"/>
    </bk>
    <bk>
      <rc t="2" v="7299"/>
    </bk>
    <bk>
      <rc t="2" v="7300"/>
    </bk>
    <bk>
      <rc t="2" v="7301"/>
    </bk>
    <bk>
      <rc t="2" v="7302"/>
    </bk>
    <bk>
      <rc t="2" v="7303"/>
    </bk>
    <bk>
      <rc t="2" v="7304"/>
    </bk>
    <bk>
      <rc t="2" v="7305"/>
    </bk>
    <bk>
      <rc t="2" v="7306"/>
    </bk>
    <bk>
      <rc t="2" v="7307"/>
    </bk>
    <bk>
      <rc t="2" v="7308"/>
    </bk>
    <bk>
      <rc t="2" v="7309"/>
    </bk>
    <bk>
      <rc t="2" v="7310"/>
    </bk>
    <bk>
      <rc t="2" v="7311"/>
    </bk>
    <bk>
      <rc t="2" v="7312"/>
    </bk>
    <bk>
      <rc t="2" v="7313"/>
    </bk>
    <bk>
      <rc t="2" v="7314"/>
    </bk>
    <bk>
      <rc t="2" v="7315"/>
    </bk>
    <bk>
      <rc t="2" v="7316"/>
    </bk>
    <bk>
      <rc t="2" v="7317"/>
    </bk>
    <bk>
      <rc t="2" v="7318"/>
    </bk>
    <bk>
      <rc t="2" v="7319"/>
    </bk>
    <bk>
      <rc t="2" v="7320"/>
    </bk>
    <bk>
      <rc t="2" v="7321"/>
    </bk>
    <bk>
      <rc t="2" v="7322"/>
    </bk>
    <bk>
      <rc t="2" v="7323"/>
    </bk>
    <bk>
      <rc t="2" v="7324"/>
    </bk>
    <bk>
      <rc t="2" v="7325"/>
    </bk>
    <bk>
      <rc t="2" v="7326"/>
    </bk>
    <bk>
      <rc t="2" v="7327"/>
    </bk>
    <bk>
      <rc t="2" v="7328"/>
    </bk>
    <bk>
      <rc t="2" v="7329"/>
    </bk>
    <bk>
      <rc t="2" v="7330"/>
    </bk>
    <bk>
      <rc t="2" v="7331"/>
    </bk>
    <bk>
      <rc t="2" v="7332"/>
    </bk>
    <bk>
      <rc t="2" v="7333"/>
    </bk>
    <bk>
      <rc t="2" v="7334"/>
    </bk>
    <bk>
      <rc t="2" v="7335"/>
    </bk>
    <bk>
      <rc t="2" v="7336"/>
    </bk>
    <bk>
      <rc t="2" v="7337"/>
    </bk>
    <bk>
      <rc t="2" v="7338"/>
    </bk>
    <bk>
      <rc t="2" v="7339"/>
    </bk>
    <bk>
      <rc t="2" v="7340"/>
    </bk>
    <bk>
      <rc t="2" v="7341"/>
    </bk>
    <bk>
      <rc t="2" v="7342"/>
    </bk>
    <bk>
      <rc t="2" v="7343"/>
    </bk>
    <bk>
      <rc t="2" v="7344"/>
    </bk>
    <bk>
      <rc t="2" v="7345"/>
    </bk>
    <bk>
      <rc t="2" v="7346"/>
    </bk>
    <bk>
      <rc t="2" v="7347"/>
    </bk>
    <bk>
      <rc t="2" v="7348"/>
    </bk>
    <bk>
      <rc t="2" v="7349"/>
    </bk>
    <bk>
      <rc t="2" v="7350"/>
    </bk>
    <bk>
      <rc t="2" v="7351"/>
    </bk>
    <bk>
      <rc t="2" v="7352"/>
    </bk>
    <bk>
      <rc t="2" v="7353"/>
    </bk>
    <bk>
      <rc t="2" v="7354"/>
    </bk>
    <bk>
      <rc t="2" v="7355"/>
    </bk>
    <bk>
      <rc t="2" v="7356"/>
    </bk>
    <bk>
      <rc t="2" v="7357"/>
    </bk>
    <bk>
      <rc t="2" v="7358"/>
    </bk>
    <bk>
      <rc t="2" v="7359"/>
    </bk>
    <bk>
      <rc t="2" v="7360"/>
    </bk>
    <bk>
      <rc t="2" v="7361"/>
    </bk>
    <bk>
      <rc t="2" v="7362"/>
    </bk>
    <bk>
      <rc t="2" v="7363"/>
    </bk>
    <bk>
      <rc t="2" v="7364"/>
    </bk>
    <bk>
      <rc t="2" v="7365"/>
    </bk>
    <bk>
      <rc t="2" v="7366"/>
    </bk>
    <bk>
      <rc t="2" v="7367"/>
    </bk>
    <bk>
      <rc t="2" v="7368"/>
    </bk>
    <bk>
      <rc t="2" v="7369"/>
    </bk>
    <bk>
      <rc t="2" v="7370"/>
    </bk>
    <bk>
      <rc t="2" v="7371"/>
    </bk>
    <bk>
      <rc t="2" v="7372"/>
    </bk>
    <bk>
      <rc t="2" v="7373"/>
    </bk>
    <bk>
      <rc t="2" v="7374"/>
    </bk>
    <bk>
      <rc t="2" v="7375"/>
    </bk>
    <bk>
      <rc t="2" v="7376"/>
    </bk>
    <bk>
      <rc t="2" v="7377"/>
    </bk>
    <bk>
      <rc t="2" v="7378"/>
    </bk>
    <bk>
      <rc t="2" v="7379"/>
    </bk>
    <bk>
      <rc t="2" v="7380"/>
    </bk>
    <bk>
      <rc t="2" v="7381"/>
    </bk>
    <bk>
      <rc t="2" v="7382"/>
    </bk>
    <bk>
      <rc t="2" v="7383"/>
    </bk>
    <bk>
      <rc t="2" v="7384"/>
    </bk>
    <bk>
      <rc t="2" v="7385"/>
    </bk>
    <bk>
      <rc t="2" v="7386"/>
    </bk>
    <bk>
      <rc t="2" v="7387"/>
    </bk>
    <bk>
      <rc t="2" v="7388"/>
    </bk>
    <bk>
      <rc t="2" v="7389"/>
    </bk>
    <bk>
      <rc t="2" v="7390"/>
    </bk>
    <bk>
      <rc t="2" v="7391"/>
    </bk>
    <bk>
      <rc t="2" v="7392"/>
    </bk>
    <bk>
      <rc t="2" v="7393"/>
    </bk>
    <bk>
      <rc t="2" v="7394"/>
    </bk>
    <bk>
      <rc t="2" v="7395"/>
    </bk>
    <bk>
      <rc t="2" v="7396"/>
    </bk>
    <bk>
      <rc t="2" v="7397"/>
    </bk>
    <bk>
      <rc t="2" v="7398"/>
    </bk>
    <bk>
      <rc t="2" v="7399"/>
    </bk>
    <bk>
      <rc t="2" v="7400"/>
    </bk>
    <bk>
      <rc t="2" v="7401"/>
    </bk>
    <bk>
      <rc t="2" v="7402"/>
    </bk>
    <bk>
      <rc t="2" v="7403"/>
    </bk>
    <bk>
      <rc t="2" v="7404"/>
    </bk>
    <bk>
      <rc t="2" v="7405"/>
    </bk>
    <bk>
      <rc t="2" v="7406"/>
    </bk>
    <bk>
      <rc t="2" v="7407"/>
    </bk>
    <bk>
      <rc t="2" v="7408"/>
    </bk>
    <bk>
      <rc t="2" v="7409"/>
    </bk>
    <bk>
      <rc t="2" v="7410"/>
    </bk>
    <bk>
      <rc t="2" v="7411"/>
    </bk>
    <bk>
      <rc t="2" v="7412"/>
    </bk>
    <bk>
      <rc t="2" v="7413"/>
    </bk>
    <bk>
      <rc t="2" v="7414"/>
    </bk>
    <bk>
      <rc t="2" v="7415"/>
    </bk>
    <bk>
      <rc t="2" v="7416"/>
    </bk>
    <bk>
      <rc t="2" v="7417"/>
    </bk>
    <bk>
      <rc t="2" v="7418"/>
    </bk>
    <bk>
      <rc t="2" v="7419"/>
    </bk>
    <bk>
      <rc t="2" v="7420"/>
    </bk>
    <bk>
      <rc t="2" v="7421"/>
    </bk>
    <bk>
      <rc t="2" v="7422"/>
    </bk>
    <bk>
      <rc t="2" v="7423"/>
    </bk>
    <bk>
      <rc t="2" v="7424"/>
    </bk>
    <bk>
      <rc t="2" v="7425"/>
    </bk>
    <bk>
      <rc t="2" v="7426"/>
    </bk>
    <bk>
      <rc t="2" v="7427"/>
    </bk>
    <bk>
      <rc t="2" v="7428"/>
    </bk>
    <bk>
      <rc t="2" v="7429"/>
    </bk>
    <bk>
      <rc t="2" v="7430"/>
    </bk>
    <bk>
      <rc t="2" v="7431"/>
    </bk>
    <bk>
      <rc t="2" v="7432"/>
    </bk>
    <bk>
      <rc t="2" v="7433"/>
    </bk>
    <bk>
      <rc t="2" v="7434"/>
    </bk>
    <bk>
      <rc t="2" v="7435"/>
    </bk>
    <bk>
      <rc t="2" v="7436"/>
    </bk>
    <bk>
      <rc t="2" v="7437"/>
    </bk>
    <bk>
      <rc t="2" v="7438"/>
    </bk>
    <bk>
      <rc t="2" v="7439"/>
    </bk>
    <bk>
      <rc t="2" v="7440"/>
    </bk>
    <bk>
      <rc t="2" v="7441"/>
    </bk>
    <bk>
      <rc t="2" v="7442"/>
    </bk>
    <bk>
      <rc t="2" v="7443"/>
    </bk>
    <bk>
      <rc t="2" v="7444"/>
    </bk>
    <bk>
      <rc t="2" v="7445"/>
    </bk>
    <bk>
      <rc t="2" v="7446"/>
    </bk>
    <bk>
      <rc t="2" v="7447"/>
    </bk>
    <bk>
      <rc t="2" v="7448"/>
    </bk>
    <bk>
      <rc t="2" v="7449"/>
    </bk>
    <bk>
      <rc t="2" v="7450"/>
    </bk>
    <bk>
      <rc t="2" v="7451"/>
    </bk>
    <bk>
      <rc t="2" v="7452"/>
    </bk>
    <bk>
      <rc t="2" v="7453"/>
    </bk>
    <bk>
      <rc t="2" v="7454"/>
    </bk>
    <bk>
      <rc t="2" v="7455"/>
    </bk>
    <bk>
      <rc t="2" v="7456"/>
    </bk>
    <bk>
      <rc t="2" v="7457"/>
    </bk>
    <bk>
      <rc t="2" v="7458"/>
    </bk>
    <bk>
      <rc t="2" v="7459"/>
    </bk>
    <bk>
      <rc t="2" v="7460"/>
    </bk>
    <bk>
      <rc t="2" v="7461"/>
    </bk>
    <bk>
      <rc t="2" v="7462"/>
    </bk>
    <bk>
      <rc t="2" v="7463"/>
    </bk>
    <bk>
      <rc t="2" v="7464"/>
    </bk>
    <bk>
      <rc t="2" v="7465"/>
    </bk>
    <bk>
      <rc t="2" v="7466"/>
    </bk>
    <bk>
      <rc t="2" v="7467"/>
    </bk>
    <bk>
      <rc t="2" v="7468"/>
    </bk>
    <bk>
      <rc t="2" v="7469"/>
    </bk>
    <bk>
      <rc t="2" v="7470"/>
    </bk>
    <bk>
      <rc t="2" v="7471"/>
    </bk>
    <bk>
      <rc t="2" v="7472"/>
    </bk>
    <bk>
      <rc t="2" v="7473"/>
    </bk>
    <bk>
      <rc t="2" v="7474"/>
    </bk>
    <bk>
      <rc t="2" v="7475"/>
    </bk>
    <bk>
      <rc t="2" v="7476"/>
    </bk>
    <bk>
      <rc t="2" v="7477"/>
    </bk>
    <bk>
      <rc t="2" v="7478"/>
    </bk>
    <bk>
      <rc t="2" v="7479"/>
    </bk>
    <bk>
      <rc t="2" v="7480"/>
    </bk>
    <bk>
      <rc t="2" v="7481"/>
    </bk>
    <bk>
      <rc t="2" v="7482"/>
    </bk>
    <bk>
      <rc t="2" v="7483"/>
    </bk>
    <bk>
      <rc t="2" v="7484"/>
    </bk>
    <bk>
      <rc t="2" v="7485"/>
    </bk>
    <bk>
      <rc t="2" v="7486"/>
    </bk>
    <bk>
      <rc t="2" v="7487"/>
    </bk>
    <bk>
      <rc t="2" v="7488"/>
    </bk>
    <bk>
      <rc t="2" v="7489"/>
    </bk>
    <bk>
      <rc t="2" v="7490"/>
    </bk>
    <bk>
      <rc t="2" v="7491"/>
    </bk>
    <bk>
      <rc t="2" v="7492"/>
    </bk>
    <bk>
      <rc t="2" v="7493"/>
    </bk>
    <bk>
      <rc t="2" v="7494"/>
    </bk>
    <bk>
      <rc t="2" v="7495"/>
    </bk>
    <bk>
      <rc t="2" v="7496"/>
    </bk>
    <bk>
      <rc t="2" v="7497"/>
    </bk>
    <bk>
      <rc t="2" v="7498"/>
    </bk>
    <bk>
      <rc t="2" v="7499"/>
    </bk>
    <bk>
      <rc t="2" v="7500"/>
    </bk>
    <bk>
      <rc t="2" v="7501"/>
    </bk>
    <bk>
      <rc t="2" v="7502"/>
    </bk>
    <bk>
      <rc t="2" v="7503"/>
    </bk>
    <bk>
      <rc t="2" v="7504"/>
    </bk>
    <bk>
      <rc t="2" v="7505"/>
    </bk>
    <bk>
      <rc t="2" v="7506"/>
    </bk>
    <bk>
      <rc t="2" v="7507"/>
    </bk>
    <bk>
      <rc t="2" v="7508"/>
    </bk>
    <bk>
      <rc t="2" v="7509"/>
    </bk>
    <bk>
      <rc t="2" v="7510"/>
    </bk>
    <bk>
      <rc t="2" v="7511"/>
    </bk>
    <bk>
      <rc t="2" v="7512"/>
    </bk>
    <bk>
      <rc t="2" v="7513"/>
    </bk>
    <bk>
      <rc t="2" v="7514"/>
    </bk>
    <bk>
      <rc t="2" v="7515"/>
    </bk>
    <bk>
      <rc t="2" v="7516"/>
    </bk>
    <bk>
      <rc t="2" v="7517"/>
    </bk>
    <bk>
      <rc t="2" v="7518"/>
    </bk>
    <bk>
      <rc t="2" v="7519"/>
    </bk>
    <bk>
      <rc t="2" v="7520"/>
    </bk>
    <bk>
      <rc t="2" v="7521"/>
    </bk>
    <bk>
      <rc t="2" v="7522"/>
    </bk>
    <bk>
      <rc t="2" v="7523"/>
    </bk>
    <bk>
      <rc t="2" v="7524"/>
    </bk>
    <bk>
      <rc t="2" v="7525"/>
    </bk>
    <bk>
      <rc t="2" v="7526"/>
    </bk>
    <bk>
      <rc t="2" v="7527"/>
    </bk>
    <bk>
      <rc t="2" v="7528"/>
    </bk>
    <bk>
      <rc t="2" v="7529"/>
    </bk>
    <bk>
      <rc t="2" v="7530"/>
    </bk>
    <bk>
      <rc t="2" v="7531"/>
    </bk>
    <bk>
      <rc t="2" v="7532"/>
    </bk>
    <bk>
      <rc t="2" v="7533"/>
    </bk>
    <bk>
      <rc t="2" v="7534"/>
    </bk>
    <bk>
      <rc t="2" v="7535"/>
    </bk>
    <bk>
      <rc t="2" v="7536"/>
    </bk>
    <bk>
      <rc t="2" v="7537"/>
    </bk>
    <bk>
      <rc t="2" v="7538"/>
    </bk>
    <bk>
      <rc t="2" v="7539"/>
    </bk>
    <bk>
      <rc t="2" v="7540"/>
    </bk>
    <bk>
      <rc t="2" v="7541"/>
    </bk>
    <bk>
      <rc t="2" v="7542"/>
    </bk>
    <bk>
      <rc t="2" v="7543"/>
    </bk>
    <bk>
      <rc t="2" v="7544"/>
    </bk>
    <bk>
      <rc t="2" v="7545"/>
    </bk>
    <bk>
      <rc t="2" v="7546"/>
    </bk>
    <bk>
      <rc t="2" v="7547"/>
    </bk>
    <bk>
      <rc t="2" v="7548"/>
    </bk>
    <bk>
      <rc t="2" v="7549"/>
    </bk>
    <bk>
      <rc t="2" v="7550"/>
    </bk>
    <bk>
      <rc t="2" v="7551"/>
    </bk>
    <bk>
      <rc t="2" v="7552"/>
    </bk>
    <bk>
      <rc t="2" v="7553"/>
    </bk>
    <bk>
      <rc t="2" v="7554"/>
    </bk>
    <bk>
      <rc t="2" v="7555"/>
    </bk>
    <bk>
      <rc t="2" v="7556"/>
    </bk>
    <bk>
      <rc t="2" v="7557"/>
    </bk>
    <bk>
      <rc t="2" v="7558"/>
    </bk>
    <bk>
      <rc t="2" v="7559"/>
    </bk>
    <bk>
      <rc t="2" v="7560"/>
    </bk>
    <bk>
      <rc t="2" v="7561"/>
    </bk>
    <bk>
      <rc t="2" v="7562"/>
    </bk>
    <bk>
      <rc t="2" v="7563"/>
    </bk>
    <bk>
      <rc t="2" v="7564"/>
    </bk>
    <bk>
      <rc t="2" v="7565"/>
    </bk>
    <bk>
      <rc t="2" v="7566"/>
    </bk>
    <bk>
      <rc t="2" v="7567"/>
    </bk>
    <bk>
      <rc t="2" v="7568"/>
    </bk>
    <bk>
      <rc t="2" v="7569"/>
    </bk>
    <bk>
      <rc t="2" v="7570"/>
    </bk>
    <bk>
      <rc t="2" v="7571"/>
    </bk>
    <bk>
      <rc t="2" v="7572"/>
    </bk>
    <bk>
      <rc t="2" v="7573"/>
    </bk>
    <bk>
      <rc t="2" v="7574"/>
    </bk>
    <bk>
      <rc t="2" v="7575"/>
    </bk>
    <bk>
      <rc t="2" v="7576"/>
    </bk>
    <bk>
      <rc t="2" v="7577"/>
    </bk>
    <bk>
      <rc t="2" v="7578"/>
    </bk>
    <bk>
      <rc t="2" v="7579"/>
    </bk>
    <bk>
      <rc t="2" v="7580"/>
    </bk>
    <bk>
      <rc t="2" v="7581"/>
    </bk>
    <bk>
      <rc t="2" v="7582"/>
    </bk>
    <bk>
      <rc t="2" v="7583"/>
    </bk>
    <bk>
      <rc t="2" v="7584"/>
    </bk>
    <bk>
      <rc t="2" v="7585"/>
    </bk>
    <bk>
      <rc t="2" v="7586"/>
    </bk>
    <bk>
      <rc t="2" v="7587"/>
    </bk>
    <bk>
      <rc t="2" v="7588"/>
    </bk>
    <bk>
      <rc t="2" v="7589"/>
    </bk>
    <bk>
      <rc t="2" v="7590"/>
    </bk>
    <bk>
      <rc t="2" v="7591"/>
    </bk>
    <bk>
      <rc t="2" v="7592"/>
    </bk>
    <bk>
      <rc t="2" v="7593"/>
    </bk>
    <bk>
      <rc t="2" v="7594"/>
    </bk>
    <bk>
      <rc t="2" v="7595"/>
    </bk>
    <bk>
      <rc t="2" v="7596"/>
    </bk>
    <bk>
      <rc t="2" v="7597"/>
    </bk>
    <bk>
      <rc t="2" v="7598"/>
    </bk>
    <bk>
      <rc t="2" v="7599"/>
    </bk>
    <bk>
      <rc t="2" v="7600"/>
    </bk>
    <bk>
      <rc t="2" v="7601"/>
    </bk>
    <bk>
      <rc t="2" v="7602"/>
    </bk>
    <bk>
      <rc t="2" v="7603"/>
    </bk>
    <bk>
      <rc t="2" v="7604"/>
    </bk>
    <bk>
      <rc t="2" v="7605"/>
    </bk>
    <bk>
      <rc t="2" v="7606"/>
    </bk>
    <bk>
      <rc t="2" v="7607"/>
    </bk>
    <bk>
      <rc t="2" v="7608"/>
    </bk>
    <bk>
      <rc t="2" v="7609"/>
    </bk>
    <bk>
      <rc t="2" v="7610"/>
    </bk>
    <bk>
      <rc t="2" v="7611"/>
    </bk>
    <bk>
      <rc t="2" v="7612"/>
    </bk>
    <bk>
      <rc t="2" v="7613"/>
    </bk>
    <bk>
      <rc t="2" v="7614"/>
    </bk>
    <bk>
      <rc t="2" v="7615"/>
    </bk>
    <bk>
      <rc t="2" v="7616"/>
    </bk>
    <bk>
      <rc t="2" v="7617"/>
    </bk>
    <bk>
      <rc t="2" v="7618"/>
    </bk>
    <bk>
      <rc t="2" v="7619"/>
    </bk>
    <bk>
      <rc t="2" v="7620"/>
    </bk>
    <bk>
      <rc t="2" v="7621"/>
    </bk>
    <bk>
      <rc t="2" v="7622"/>
    </bk>
    <bk>
      <rc t="2" v="7623"/>
    </bk>
    <bk>
      <rc t="2" v="7624"/>
    </bk>
    <bk>
      <rc t="2" v="7625"/>
    </bk>
    <bk>
      <rc t="2" v="7626"/>
    </bk>
    <bk>
      <rc t="2" v="7627"/>
    </bk>
    <bk>
      <rc t="2" v="7628"/>
    </bk>
    <bk>
      <rc t="2" v="7629"/>
    </bk>
    <bk>
      <rc t="2" v="7630"/>
    </bk>
    <bk>
      <rc t="2" v="7631"/>
    </bk>
    <bk>
      <rc t="2" v="7632"/>
    </bk>
    <bk>
      <rc t="2" v="7633"/>
    </bk>
    <bk>
      <rc t="2" v="7634"/>
    </bk>
    <bk>
      <rc t="2" v="7635"/>
    </bk>
    <bk>
      <rc t="2" v="7636"/>
    </bk>
    <bk>
      <rc t="2" v="7637"/>
    </bk>
    <bk>
      <rc t="2" v="7638"/>
    </bk>
    <bk>
      <rc t="2" v="7639"/>
    </bk>
    <bk>
      <rc t="2" v="7640"/>
    </bk>
    <bk>
      <rc t="2" v="7641"/>
    </bk>
    <bk>
      <rc t="2" v="7642"/>
    </bk>
    <bk>
      <rc t="2" v="7643"/>
    </bk>
    <bk>
      <rc t="2" v="7644"/>
    </bk>
    <bk>
      <rc t="2" v="7645"/>
    </bk>
    <bk>
      <rc t="2" v="7646"/>
    </bk>
    <bk>
      <rc t="2" v="7647"/>
    </bk>
    <bk>
      <rc t="2" v="7648"/>
    </bk>
    <bk>
      <rc t="2" v="7649"/>
    </bk>
    <bk>
      <rc t="2" v="7650"/>
    </bk>
    <bk>
      <rc t="2" v="7651"/>
    </bk>
    <bk>
      <rc t="2" v="7652"/>
    </bk>
    <bk>
      <rc t="2" v="7653"/>
    </bk>
    <bk>
      <rc t="2" v="7654"/>
    </bk>
    <bk>
      <rc t="2" v="7655"/>
    </bk>
    <bk>
      <rc t="2" v="7656"/>
    </bk>
    <bk>
      <rc t="2" v="7657"/>
    </bk>
    <bk>
      <rc t="2" v="7658"/>
    </bk>
    <bk>
      <rc t="2" v="7659"/>
    </bk>
    <bk>
      <rc t="2" v="7660"/>
    </bk>
    <bk>
      <rc t="2" v="7661"/>
    </bk>
    <bk>
      <rc t="2" v="7662"/>
    </bk>
    <bk>
      <rc t="2" v="7663"/>
    </bk>
    <bk>
      <rc t="2" v="7664"/>
    </bk>
    <bk>
      <rc t="2" v="7665"/>
    </bk>
    <bk>
      <rc t="2" v="7666"/>
    </bk>
    <bk>
      <rc t="2" v="7667"/>
    </bk>
    <bk>
      <rc t="2" v="7668"/>
    </bk>
    <bk>
      <rc t="2" v="7669"/>
    </bk>
    <bk>
      <rc t="2" v="7670"/>
    </bk>
    <bk>
      <rc t="2" v="7671"/>
    </bk>
    <bk>
      <rc t="2" v="7672"/>
    </bk>
    <bk>
      <rc t="2" v="7673"/>
    </bk>
    <bk>
      <rc t="2" v="7674"/>
    </bk>
    <bk>
      <rc t="2" v="7675"/>
    </bk>
    <bk>
      <rc t="2" v="7676"/>
    </bk>
    <bk>
      <rc t="2" v="7677"/>
    </bk>
    <bk>
      <rc t="2" v="7678"/>
    </bk>
    <bk>
      <rc t="2" v="7679"/>
    </bk>
    <bk>
      <rc t="2" v="7680"/>
    </bk>
    <bk>
      <rc t="2" v="7681"/>
    </bk>
    <bk>
      <rc t="2" v="7682"/>
    </bk>
    <bk>
      <rc t="2" v="7683"/>
    </bk>
    <bk>
      <rc t="2" v="7684"/>
    </bk>
    <bk>
      <rc t="2" v="7685"/>
    </bk>
    <bk>
      <rc t="2" v="7686"/>
    </bk>
    <bk>
      <rc t="2" v="7687"/>
    </bk>
    <bk>
      <rc t="2" v="7688"/>
    </bk>
    <bk>
      <rc t="2" v="7689"/>
    </bk>
    <bk>
      <rc t="2" v="7690"/>
    </bk>
    <bk>
      <rc t="2" v="7691"/>
    </bk>
    <bk>
      <rc t="2" v="7692"/>
    </bk>
    <bk>
      <rc t="2" v="7693"/>
    </bk>
    <bk>
      <rc t="2" v="7694"/>
    </bk>
    <bk>
      <rc t="2" v="7695"/>
    </bk>
    <bk>
      <rc t="2" v="7696"/>
    </bk>
    <bk>
      <rc t="2" v="7697"/>
    </bk>
    <bk>
      <rc t="2" v="7698"/>
    </bk>
    <bk>
      <rc t="2" v="7699"/>
    </bk>
    <bk>
      <rc t="2" v="7700"/>
    </bk>
    <bk>
      <rc t="2" v="7701"/>
    </bk>
    <bk>
      <rc t="2" v="7702"/>
    </bk>
    <bk>
      <rc t="2" v="7703"/>
    </bk>
    <bk>
      <rc t="2" v="7704"/>
    </bk>
    <bk>
      <rc t="2" v="7705"/>
    </bk>
    <bk>
      <rc t="2" v="7706"/>
    </bk>
    <bk>
      <rc t="2" v="7707"/>
    </bk>
    <bk>
      <rc t="2" v="7708"/>
    </bk>
    <bk>
      <rc t="2" v="7709"/>
    </bk>
    <bk>
      <rc t="2" v="7710"/>
    </bk>
    <bk>
      <rc t="2" v="7711"/>
    </bk>
    <bk>
      <rc t="2" v="7712"/>
    </bk>
    <bk>
      <rc t="2" v="7713"/>
    </bk>
    <bk>
      <rc t="2" v="7714"/>
    </bk>
    <bk>
      <rc t="2" v="7715"/>
    </bk>
    <bk>
      <rc t="2" v="7716"/>
    </bk>
    <bk>
      <rc t="2" v="7717"/>
    </bk>
    <bk>
      <rc t="2" v="7718"/>
    </bk>
    <bk>
      <rc t="2" v="7719"/>
    </bk>
    <bk>
      <rc t="2" v="7720"/>
    </bk>
    <bk>
      <rc t="2" v="7721"/>
    </bk>
    <bk>
      <rc t="2" v="7722"/>
    </bk>
    <bk>
      <rc t="2" v="7723"/>
    </bk>
    <bk>
      <rc t="2" v="7724"/>
    </bk>
    <bk>
      <rc t="2" v="7725"/>
    </bk>
    <bk>
      <rc t="2" v="7726"/>
    </bk>
    <bk>
      <rc t="2" v="7727"/>
    </bk>
    <bk>
      <rc t="2" v="7728"/>
    </bk>
    <bk>
      <rc t="2" v="7729"/>
    </bk>
    <bk>
      <rc t="2" v="7730"/>
    </bk>
    <bk>
      <rc t="2" v="7731"/>
    </bk>
    <bk>
      <rc t="2" v="7732"/>
    </bk>
    <bk>
      <rc t="2" v="7733"/>
    </bk>
    <bk>
      <rc t="2" v="7734"/>
    </bk>
    <bk>
      <rc t="2" v="7735"/>
    </bk>
    <bk>
      <rc t="2" v="7736"/>
    </bk>
    <bk>
      <rc t="2" v="7737"/>
    </bk>
    <bk>
      <rc t="2" v="7738"/>
    </bk>
    <bk>
      <rc t="2" v="7739"/>
    </bk>
    <bk>
      <rc t="2" v="7740"/>
    </bk>
    <bk>
      <rc t="2" v="7741"/>
    </bk>
    <bk>
      <rc t="2" v="7742"/>
    </bk>
    <bk>
      <rc t="2" v="7743"/>
    </bk>
    <bk>
      <rc t="2" v="7744"/>
    </bk>
    <bk>
      <rc t="2" v="7745"/>
    </bk>
    <bk>
      <rc t="2" v="7746"/>
    </bk>
    <bk>
      <rc t="2" v="7747"/>
    </bk>
    <bk>
      <rc t="2" v="7748"/>
    </bk>
    <bk>
      <rc t="2" v="7749"/>
    </bk>
    <bk>
      <rc t="2" v="7750"/>
    </bk>
    <bk>
      <rc t="2" v="7751"/>
    </bk>
    <bk>
      <rc t="2" v="7752"/>
    </bk>
    <bk>
      <rc t="2" v="7753"/>
    </bk>
    <bk>
      <rc t="2" v="7754"/>
    </bk>
    <bk>
      <rc t="2" v="7755"/>
    </bk>
    <bk>
      <rc t="2" v="7756"/>
    </bk>
    <bk>
      <rc t="2" v="7757"/>
    </bk>
    <bk>
      <rc t="2" v="7758"/>
    </bk>
    <bk>
      <rc t="2" v="7759"/>
    </bk>
    <bk>
      <rc t="2" v="7760"/>
    </bk>
    <bk>
      <rc t="2" v="7761"/>
    </bk>
    <bk>
      <rc t="2" v="7762"/>
    </bk>
    <bk>
      <rc t="2" v="7763"/>
    </bk>
    <bk>
      <rc t="2" v="7764"/>
    </bk>
    <bk>
      <rc t="2" v="7765"/>
    </bk>
    <bk>
      <rc t="2" v="7766"/>
    </bk>
    <bk>
      <rc t="2" v="7767"/>
    </bk>
    <bk>
      <rc t="2" v="7768"/>
    </bk>
    <bk>
      <rc t="2" v="7769"/>
    </bk>
    <bk>
      <rc t="2" v="7770"/>
    </bk>
    <bk>
      <rc t="2" v="7771"/>
    </bk>
    <bk>
      <rc t="2" v="7772"/>
    </bk>
    <bk>
      <rc t="2" v="7773"/>
    </bk>
    <bk>
      <rc t="2" v="7774"/>
    </bk>
    <bk>
      <rc t="2" v="7775"/>
    </bk>
    <bk>
      <rc t="2" v="7776"/>
    </bk>
    <bk>
      <rc t="2" v="7777"/>
    </bk>
    <bk>
      <rc t="2" v="7778"/>
    </bk>
    <bk>
      <rc t="2" v="7779"/>
    </bk>
    <bk>
      <rc t="2" v="7780"/>
    </bk>
    <bk>
      <rc t="2" v="7781"/>
    </bk>
    <bk>
      <rc t="2" v="7782"/>
    </bk>
    <bk>
      <rc t="2" v="7783"/>
    </bk>
    <bk>
      <rc t="2" v="7784"/>
    </bk>
    <bk>
      <rc t="2" v="7785"/>
    </bk>
    <bk>
      <rc t="2" v="7786"/>
    </bk>
    <bk>
      <rc t="2" v="7787"/>
    </bk>
    <bk>
      <rc t="2" v="7788"/>
    </bk>
    <bk>
      <rc t="2" v="7789"/>
    </bk>
    <bk>
      <rc t="2" v="7790"/>
    </bk>
    <bk>
      <rc t="2" v="7791"/>
    </bk>
    <bk>
      <rc t="2" v="7792"/>
    </bk>
    <bk>
      <rc t="2" v="7793"/>
    </bk>
    <bk>
      <rc t="2" v="7794"/>
    </bk>
    <bk>
      <rc t="2" v="7795"/>
    </bk>
    <bk>
      <rc t="2" v="7796"/>
    </bk>
    <bk>
      <rc t="2" v="7797"/>
    </bk>
    <bk>
      <rc t="2" v="7798"/>
    </bk>
    <bk>
      <rc t="2" v="7799"/>
    </bk>
    <bk>
      <rc t="2" v="7800"/>
    </bk>
    <bk>
      <rc t="2" v="7801"/>
    </bk>
    <bk>
      <rc t="2" v="7802"/>
    </bk>
    <bk>
      <rc t="2" v="7803"/>
    </bk>
    <bk>
      <rc t="2" v="7804"/>
    </bk>
    <bk>
      <rc t="2" v="7805"/>
    </bk>
    <bk>
      <rc t="2" v="7806"/>
    </bk>
    <bk>
      <rc t="2" v="7807"/>
    </bk>
    <bk>
      <rc t="2" v="7808"/>
    </bk>
    <bk>
      <rc t="2" v="7809"/>
    </bk>
    <bk>
      <rc t="2" v="7810"/>
    </bk>
    <bk>
      <rc t="2" v="7811"/>
    </bk>
    <bk>
      <rc t="2" v="7812"/>
    </bk>
    <bk>
      <rc t="2" v="7813"/>
    </bk>
    <bk>
      <rc t="2" v="7814"/>
    </bk>
    <bk>
      <rc t="2" v="7815"/>
    </bk>
    <bk>
      <rc t="2" v="7816"/>
    </bk>
    <bk>
      <rc t="2" v="7817"/>
    </bk>
    <bk>
      <rc t="2" v="7818"/>
    </bk>
    <bk>
      <rc t="2" v="7819"/>
    </bk>
    <bk>
      <rc t="2" v="7820"/>
    </bk>
    <bk>
      <rc t="2" v="7821"/>
    </bk>
    <bk>
      <rc t="2" v="7822"/>
    </bk>
    <bk>
      <rc t="2" v="7823"/>
    </bk>
    <bk>
      <rc t="2" v="7824"/>
    </bk>
    <bk>
      <rc t="2" v="7825"/>
    </bk>
    <bk>
      <rc t="2" v="7826"/>
    </bk>
    <bk>
      <rc t="2" v="7827"/>
    </bk>
    <bk>
      <rc t="2" v="7828"/>
    </bk>
    <bk>
      <rc t="2" v="7829"/>
    </bk>
    <bk>
      <rc t="2" v="7830"/>
    </bk>
    <bk>
      <rc t="2" v="7831"/>
    </bk>
    <bk>
      <rc t="2" v="7832"/>
    </bk>
    <bk>
      <rc t="2" v="7833"/>
    </bk>
    <bk>
      <rc t="2" v="7834"/>
    </bk>
    <bk>
      <rc t="2" v="7835"/>
    </bk>
    <bk>
      <rc t="2" v="7836"/>
    </bk>
    <bk>
      <rc t="2" v="7837"/>
    </bk>
    <bk>
      <rc t="2" v="7838"/>
    </bk>
    <bk>
      <rc t="2" v="7839"/>
    </bk>
    <bk>
      <rc t="2" v="7840"/>
    </bk>
    <bk>
      <rc t="2" v="7841"/>
    </bk>
    <bk>
      <rc t="2" v="7842"/>
    </bk>
    <bk>
      <rc t="2" v="7843"/>
    </bk>
    <bk>
      <rc t="2" v="7844"/>
    </bk>
    <bk>
      <rc t="2" v="7845"/>
    </bk>
    <bk>
      <rc t="2" v="7846"/>
    </bk>
    <bk>
      <rc t="2" v="7847"/>
    </bk>
    <bk>
      <rc t="2" v="7848"/>
    </bk>
    <bk>
      <rc t="2" v="7849"/>
    </bk>
    <bk>
      <rc t="2" v="7850"/>
    </bk>
    <bk>
      <rc t="2" v="7851"/>
    </bk>
    <bk>
      <rc t="2" v="7852"/>
    </bk>
    <bk>
      <rc t="2" v="7853"/>
    </bk>
    <bk>
      <rc t="2" v="7854"/>
    </bk>
    <bk>
      <rc t="2" v="7855"/>
    </bk>
    <bk>
      <rc t="2" v="7856"/>
    </bk>
    <bk>
      <rc t="2" v="7857"/>
    </bk>
    <bk>
      <rc t="2" v="7858"/>
    </bk>
    <bk>
      <rc t="2" v="7859"/>
    </bk>
    <bk>
      <rc t="2" v="7860"/>
    </bk>
    <bk>
      <rc t="2" v="7861"/>
    </bk>
    <bk>
      <rc t="2" v="7862"/>
    </bk>
    <bk>
      <rc t="2" v="7863"/>
    </bk>
    <bk>
      <rc t="2" v="7864"/>
    </bk>
    <bk>
      <rc t="2" v="7865"/>
    </bk>
    <bk>
      <rc t="2" v="7866"/>
    </bk>
    <bk>
      <rc t="2" v="7867"/>
    </bk>
    <bk>
      <rc t="2" v="7868"/>
    </bk>
    <bk>
      <rc t="2" v="7869"/>
    </bk>
    <bk>
      <rc t="2" v="7870"/>
    </bk>
    <bk>
      <rc t="2" v="7871"/>
    </bk>
    <bk>
      <rc t="2" v="7872"/>
    </bk>
    <bk>
      <rc t="2" v="7873"/>
    </bk>
    <bk>
      <rc t="2" v="7874"/>
    </bk>
    <bk>
      <rc t="2" v="7875"/>
    </bk>
    <bk>
      <rc t="2" v="7876"/>
    </bk>
    <bk>
      <rc t="2" v="7877"/>
    </bk>
    <bk>
      <rc t="2" v="7878"/>
    </bk>
    <bk>
      <rc t="2" v="7879"/>
    </bk>
    <bk>
      <rc t="2" v="7880"/>
    </bk>
    <bk>
      <rc t="2" v="7881"/>
    </bk>
    <bk>
      <rc t="2" v="7882"/>
    </bk>
    <bk>
      <rc t="2" v="7883"/>
    </bk>
    <bk>
      <rc t="2" v="7884"/>
    </bk>
    <bk>
      <rc t="2" v="7885"/>
    </bk>
    <bk>
      <rc t="2" v="7886"/>
    </bk>
    <bk>
      <rc t="2" v="7887"/>
    </bk>
    <bk>
      <rc t="2" v="7888"/>
    </bk>
    <bk>
      <rc t="2" v="7889"/>
    </bk>
    <bk>
      <rc t="2" v="7890"/>
    </bk>
    <bk>
      <rc t="2" v="7891"/>
    </bk>
    <bk>
      <rc t="2" v="7892"/>
    </bk>
    <bk>
      <rc t="2" v="7893"/>
    </bk>
    <bk>
      <rc t="2" v="7894"/>
    </bk>
    <bk>
      <rc t="2" v="7895"/>
    </bk>
    <bk>
      <rc t="2" v="7896"/>
    </bk>
    <bk>
      <rc t="2" v="7897"/>
    </bk>
    <bk>
      <rc t="2" v="7898"/>
    </bk>
    <bk>
      <rc t="2" v="7899"/>
    </bk>
    <bk>
      <rc t="2" v="7900"/>
    </bk>
    <bk>
      <rc t="2" v="7901"/>
    </bk>
    <bk>
      <rc t="2" v="7902"/>
    </bk>
    <bk>
      <rc t="2" v="7903"/>
    </bk>
    <bk>
      <rc t="2" v="7904"/>
    </bk>
    <bk>
      <rc t="2" v="7905"/>
    </bk>
    <bk>
      <rc t="2" v="7906"/>
    </bk>
    <bk>
      <rc t="2" v="7907"/>
    </bk>
    <bk>
      <rc t="2" v="7908"/>
    </bk>
    <bk>
      <rc t="2" v="7909"/>
    </bk>
    <bk>
      <rc t="2" v="7910"/>
    </bk>
    <bk>
      <rc t="2" v="7911"/>
    </bk>
    <bk>
      <rc t="2" v="7912"/>
    </bk>
    <bk>
      <rc t="2" v="7913"/>
    </bk>
    <bk>
      <rc t="2" v="7914"/>
    </bk>
    <bk>
      <rc t="2" v="7915"/>
    </bk>
    <bk>
      <rc t="2" v="7916"/>
    </bk>
    <bk>
      <rc t="2" v="7917"/>
    </bk>
    <bk>
      <rc t="2" v="7918"/>
    </bk>
    <bk>
      <rc t="2" v="7919"/>
    </bk>
    <bk>
      <rc t="2" v="7920"/>
    </bk>
    <bk>
      <rc t="2" v="7921"/>
    </bk>
    <bk>
      <rc t="2" v="7922"/>
    </bk>
    <bk>
      <rc t="2" v="7923"/>
    </bk>
    <bk>
      <rc t="2" v="7924"/>
    </bk>
    <bk>
      <rc t="2" v="7925"/>
    </bk>
    <bk>
      <rc t="2" v="7926"/>
    </bk>
    <bk>
      <rc t="2" v="7927"/>
    </bk>
    <bk>
      <rc t="2" v="7928"/>
    </bk>
    <bk>
      <rc t="2" v="7929"/>
    </bk>
    <bk>
      <rc t="2" v="7930"/>
    </bk>
    <bk>
      <rc t="2" v="7931"/>
    </bk>
    <bk>
      <rc t="2" v="7932"/>
    </bk>
    <bk>
      <rc t="2" v="7933"/>
    </bk>
    <bk>
      <rc t="2" v="7934"/>
    </bk>
    <bk>
      <rc t="2" v="7935"/>
    </bk>
    <bk>
      <rc t="2" v="7936"/>
    </bk>
    <bk>
      <rc t="2" v="7937"/>
    </bk>
    <bk>
      <rc t="2" v="7938"/>
    </bk>
    <bk>
      <rc t="2" v="7939"/>
    </bk>
    <bk>
      <rc t="2" v="7940"/>
    </bk>
    <bk>
      <rc t="2" v="7941"/>
    </bk>
    <bk>
      <rc t="2" v="7942"/>
    </bk>
    <bk>
      <rc t="2" v="7943"/>
    </bk>
    <bk>
      <rc t="2" v="7944"/>
    </bk>
    <bk>
      <rc t="2" v="7945"/>
    </bk>
    <bk>
      <rc t="2" v="7946"/>
    </bk>
    <bk>
      <rc t="2" v="7947"/>
    </bk>
    <bk>
      <rc t="2" v="7948"/>
    </bk>
    <bk>
      <rc t="2" v="7949"/>
    </bk>
    <bk>
      <rc t="2" v="7950"/>
    </bk>
    <bk>
      <rc t="2" v="7951"/>
    </bk>
    <bk>
      <rc t="2" v="7952"/>
    </bk>
    <bk>
      <rc t="2" v="7953"/>
    </bk>
    <bk>
      <rc t="2" v="7954"/>
    </bk>
    <bk>
      <rc t="2" v="7955"/>
    </bk>
    <bk>
      <rc t="2" v="7956"/>
    </bk>
    <bk>
      <rc t="2" v="7957"/>
    </bk>
    <bk>
      <rc t="2" v="7958"/>
    </bk>
    <bk>
      <rc t="2" v="7959"/>
    </bk>
    <bk>
      <rc t="2" v="7960"/>
    </bk>
    <bk>
      <rc t="2" v="7961"/>
    </bk>
    <bk>
      <rc t="2" v="7962"/>
    </bk>
    <bk>
      <rc t="2" v="7963"/>
    </bk>
    <bk>
      <rc t="2" v="7964"/>
    </bk>
    <bk>
      <rc t="2" v="7965"/>
    </bk>
    <bk>
      <rc t="2" v="7966"/>
    </bk>
    <bk>
      <rc t="2" v="7967"/>
    </bk>
    <bk>
      <rc t="2" v="7968"/>
    </bk>
    <bk>
      <rc t="2" v="7969"/>
    </bk>
    <bk>
      <rc t="2" v="7970"/>
    </bk>
    <bk>
      <rc t="2" v="7971"/>
    </bk>
    <bk>
      <rc t="2" v="7972"/>
    </bk>
    <bk>
      <rc t="2" v="7973"/>
    </bk>
    <bk>
      <rc t="2" v="7974"/>
    </bk>
    <bk>
      <rc t="2" v="7975"/>
    </bk>
    <bk>
      <rc t="2" v="7976"/>
    </bk>
    <bk>
      <rc t="2" v="7977"/>
    </bk>
    <bk>
      <rc t="2" v="7978"/>
    </bk>
    <bk>
      <rc t="2" v="7979"/>
    </bk>
    <bk>
      <rc t="2" v="7980"/>
    </bk>
    <bk>
      <rc t="2" v="7981"/>
    </bk>
    <bk>
      <rc t="2" v="7982"/>
    </bk>
    <bk>
      <rc t="2" v="7983"/>
    </bk>
    <bk>
      <rc t="2" v="7984"/>
    </bk>
    <bk>
      <rc t="2" v="7985"/>
    </bk>
    <bk>
      <rc t="2" v="7986"/>
    </bk>
    <bk>
      <rc t="2" v="7987"/>
    </bk>
    <bk>
      <rc t="2" v="7988"/>
    </bk>
    <bk>
      <rc t="2" v="7989"/>
    </bk>
    <bk>
      <rc t="2" v="7990"/>
    </bk>
    <bk>
      <rc t="2" v="7991"/>
    </bk>
    <bk>
      <rc t="2" v="7992"/>
    </bk>
    <bk>
      <rc t="2" v="7993"/>
    </bk>
    <bk>
      <rc t="2" v="7994"/>
    </bk>
    <bk>
      <rc t="2" v="7995"/>
    </bk>
    <bk>
      <rc t="2" v="7996"/>
    </bk>
    <bk>
      <rc t="2" v="7997"/>
    </bk>
    <bk>
      <rc t="2" v="7998"/>
    </bk>
    <bk>
      <rc t="2" v="7999"/>
    </bk>
    <bk>
      <rc t="2" v="8000"/>
    </bk>
    <bk>
      <rc t="2" v="8001"/>
    </bk>
    <bk>
      <rc t="2" v="8002"/>
    </bk>
    <bk>
      <rc t="2" v="8003"/>
    </bk>
    <bk>
      <rc t="2" v="8004"/>
    </bk>
    <bk>
      <rc t="2" v="8005"/>
    </bk>
    <bk>
      <rc t="2" v="8006"/>
    </bk>
    <bk>
      <rc t="2" v="8007"/>
    </bk>
    <bk>
      <rc t="2" v="8008"/>
    </bk>
    <bk>
      <rc t="2" v="8009"/>
    </bk>
    <bk>
      <rc t="2" v="8010"/>
    </bk>
    <bk>
      <rc t="2" v="8011"/>
    </bk>
    <bk>
      <rc t="2" v="8012"/>
    </bk>
    <bk>
      <rc t="2" v="8013"/>
    </bk>
    <bk>
      <rc t="2" v="8014"/>
    </bk>
    <bk>
      <rc t="2" v="8015"/>
    </bk>
    <bk>
      <rc t="2" v="8016"/>
    </bk>
    <bk>
      <rc t="2" v="8017"/>
    </bk>
    <bk>
      <rc t="2" v="8018"/>
    </bk>
    <bk>
      <rc t="2" v="8019"/>
    </bk>
    <bk>
      <rc t="2" v="8020"/>
    </bk>
    <bk>
      <rc t="2" v="8021"/>
    </bk>
    <bk>
      <rc t="2" v="8022"/>
    </bk>
    <bk>
      <rc t="2" v="8023"/>
    </bk>
    <bk>
      <rc t="2" v="8024"/>
    </bk>
    <bk>
      <rc t="2" v="8025"/>
    </bk>
    <bk>
      <rc t="2" v="8026"/>
    </bk>
    <bk>
      <rc t="2" v="8027"/>
    </bk>
    <bk>
      <rc t="2" v="8028"/>
    </bk>
    <bk>
      <rc t="2" v="8029"/>
    </bk>
    <bk>
      <rc t="2" v="8030"/>
    </bk>
    <bk>
      <rc t="2" v="8031"/>
    </bk>
    <bk>
      <rc t="2" v="8032"/>
    </bk>
    <bk>
      <rc t="2" v="8033"/>
    </bk>
    <bk>
      <rc t="2" v="8034"/>
    </bk>
    <bk>
      <rc t="2" v="8035"/>
    </bk>
    <bk>
      <rc t="2" v="8036"/>
    </bk>
    <bk>
      <rc t="2" v="8037"/>
    </bk>
    <bk>
      <rc t="2" v="8038"/>
    </bk>
    <bk>
      <rc t="2" v="8039"/>
    </bk>
    <bk>
      <rc t="2" v="8040"/>
    </bk>
    <bk>
      <rc t="2" v="8041"/>
    </bk>
    <bk>
      <rc t="2" v="8042"/>
    </bk>
    <bk>
      <rc t="2" v="8043"/>
    </bk>
    <bk>
      <rc t="2" v="8044"/>
    </bk>
    <bk>
      <rc t="2" v="8045"/>
    </bk>
    <bk>
      <rc t="2" v="8046"/>
    </bk>
    <bk>
      <rc t="2" v="8047"/>
    </bk>
    <bk>
      <rc t="2" v="8048"/>
    </bk>
    <bk>
      <rc t="2" v="8049"/>
    </bk>
    <bk>
      <rc t="2" v="8050"/>
    </bk>
    <bk>
      <rc t="2" v="8051"/>
    </bk>
    <bk>
      <rc t="2" v="8052"/>
    </bk>
    <bk>
      <rc t="2" v="8053"/>
    </bk>
    <bk>
      <rc t="2" v="8054"/>
    </bk>
    <bk>
      <rc t="2" v="8055"/>
    </bk>
    <bk>
      <rc t="2" v="8056"/>
    </bk>
    <bk>
      <rc t="2" v="8057"/>
    </bk>
    <bk>
      <rc t="2" v="8058"/>
    </bk>
    <bk>
      <rc t="2" v="8059"/>
    </bk>
    <bk>
      <rc t="2" v="8060"/>
    </bk>
    <bk>
      <rc t="2" v="8061"/>
    </bk>
    <bk>
      <rc t="2" v="8062"/>
    </bk>
    <bk>
      <rc t="2" v="8063"/>
    </bk>
    <bk>
      <rc t="2" v="8064"/>
    </bk>
    <bk>
      <rc t="2" v="8065"/>
    </bk>
    <bk>
      <rc t="2" v="8066"/>
    </bk>
    <bk>
      <rc t="2" v="8067"/>
    </bk>
    <bk>
      <rc t="2" v="8068"/>
    </bk>
    <bk>
      <rc t="2" v="8069"/>
    </bk>
    <bk>
      <rc t="2" v="8070"/>
    </bk>
    <bk>
      <rc t="2" v="8071"/>
    </bk>
    <bk>
      <rc t="2" v="8072"/>
    </bk>
    <bk>
      <rc t="2" v="8073"/>
    </bk>
    <bk>
      <rc t="2" v="8074"/>
    </bk>
    <bk>
      <rc t="2" v="8075"/>
    </bk>
    <bk>
      <rc t="2" v="8076"/>
    </bk>
    <bk>
      <rc t="2" v="8077"/>
    </bk>
    <bk>
      <rc t="2" v="8078"/>
    </bk>
    <bk>
      <rc t="2" v="8079"/>
    </bk>
    <bk>
      <rc t="2" v="8080"/>
    </bk>
    <bk>
      <rc t="2" v="8081"/>
    </bk>
    <bk>
      <rc t="2" v="8082"/>
    </bk>
    <bk>
      <rc t="2" v="8083"/>
    </bk>
    <bk>
      <rc t="2" v="8084"/>
    </bk>
    <bk>
      <rc t="2" v="8085"/>
    </bk>
    <bk>
      <rc t="2" v="8086"/>
    </bk>
    <bk>
      <rc t="2" v="8087"/>
    </bk>
    <bk>
      <rc t="2" v="8088"/>
    </bk>
    <bk>
      <rc t="2" v="8089"/>
    </bk>
    <bk>
      <rc t="2" v="8090"/>
    </bk>
    <bk>
      <rc t="2" v="8091"/>
    </bk>
    <bk>
      <rc t="2" v="8092"/>
    </bk>
    <bk>
      <rc t="2" v="8093"/>
    </bk>
    <bk>
      <rc t="2" v="8094"/>
    </bk>
    <bk>
      <rc t="2" v="8095"/>
    </bk>
    <bk>
      <rc t="2" v="8096"/>
    </bk>
    <bk>
      <rc t="2" v="8097"/>
    </bk>
    <bk>
      <rc t="2" v="8098"/>
    </bk>
    <bk>
      <rc t="2" v="8099"/>
    </bk>
    <bk>
      <rc t="2" v="8100"/>
    </bk>
    <bk>
      <rc t="2" v="8101"/>
    </bk>
    <bk>
      <rc t="2" v="8102"/>
    </bk>
    <bk>
      <rc t="2" v="8103"/>
    </bk>
    <bk>
      <rc t="2" v="8104"/>
    </bk>
    <bk>
      <rc t="2" v="8105"/>
    </bk>
    <bk>
      <rc t="2" v="8106"/>
    </bk>
    <bk>
      <rc t="2" v="8107"/>
    </bk>
    <bk>
      <rc t="2" v="8108"/>
    </bk>
    <bk>
      <rc t="2" v="8109"/>
    </bk>
    <bk>
      <rc t="2" v="8110"/>
    </bk>
    <bk>
      <rc t="2" v="8111"/>
    </bk>
    <bk>
      <rc t="2" v="8112"/>
    </bk>
    <bk>
      <rc t="2" v="8113"/>
    </bk>
    <bk>
      <rc t="2" v="8114"/>
    </bk>
    <bk>
      <rc t="2" v="8115"/>
    </bk>
    <bk>
      <rc t="2" v="8116"/>
    </bk>
    <bk>
      <rc t="2" v="8117"/>
    </bk>
    <bk>
      <rc t="2" v="8118"/>
    </bk>
    <bk>
      <rc t="2" v="8119"/>
    </bk>
    <bk>
      <rc t="2" v="8120"/>
    </bk>
    <bk>
      <rc t="2" v="8121"/>
    </bk>
    <bk>
      <rc t="2" v="8122"/>
    </bk>
    <bk>
      <rc t="2" v="8123"/>
    </bk>
    <bk>
      <rc t="2" v="8124"/>
    </bk>
    <bk>
      <rc t="2" v="8125"/>
    </bk>
    <bk>
      <rc t="2" v="8126"/>
    </bk>
    <bk>
      <rc t="2" v="8127"/>
    </bk>
    <bk>
      <rc t="2" v="8128"/>
    </bk>
    <bk>
      <rc t="2" v="8129"/>
    </bk>
    <bk>
      <rc t="2" v="8130"/>
    </bk>
    <bk>
      <rc t="2" v="8131"/>
    </bk>
    <bk>
      <rc t="2" v="8132"/>
    </bk>
    <bk>
      <rc t="2" v="8133"/>
    </bk>
    <bk>
      <rc t="2" v="8134"/>
    </bk>
    <bk>
      <rc t="2" v="8135"/>
    </bk>
    <bk>
      <rc t="2" v="8136"/>
    </bk>
    <bk>
      <rc t="2" v="8137"/>
    </bk>
    <bk>
      <rc t="2" v="8138"/>
    </bk>
    <bk>
      <rc t="2" v="8139"/>
    </bk>
    <bk>
      <rc t="2" v="8140"/>
    </bk>
    <bk>
      <rc t="2" v="8141"/>
    </bk>
    <bk>
      <rc t="2" v="8142"/>
    </bk>
    <bk>
      <rc t="2" v="8143"/>
    </bk>
    <bk>
      <rc t="2" v="8144"/>
    </bk>
    <bk>
      <rc t="2" v="8145"/>
    </bk>
    <bk>
      <rc t="2" v="8146"/>
    </bk>
    <bk>
      <rc t="2" v="8147"/>
    </bk>
    <bk>
      <rc t="2" v="8148"/>
    </bk>
    <bk>
      <rc t="2" v="8149"/>
    </bk>
    <bk>
      <rc t="2" v="8150"/>
    </bk>
    <bk>
      <rc t="2" v="8151"/>
    </bk>
    <bk>
      <rc t="2" v="8152"/>
    </bk>
    <bk>
      <rc t="2" v="8153"/>
    </bk>
    <bk>
      <rc t="2" v="8154"/>
    </bk>
    <bk>
      <rc t="2" v="8155"/>
    </bk>
    <bk>
      <rc t="2" v="8156"/>
    </bk>
    <bk>
      <rc t="2" v="8157"/>
    </bk>
    <bk>
      <rc t="2" v="8158"/>
    </bk>
    <bk>
      <rc t="2" v="8159"/>
    </bk>
    <bk>
      <rc t="2" v="8160"/>
    </bk>
    <bk>
      <rc t="2" v="8161"/>
    </bk>
    <bk>
      <rc t="2" v="8162"/>
    </bk>
    <bk>
      <rc t="2" v="8163"/>
    </bk>
    <bk>
      <rc t="2" v="8164"/>
    </bk>
    <bk>
      <rc t="2" v="8165"/>
    </bk>
    <bk>
      <rc t="2" v="8166"/>
    </bk>
    <bk>
      <rc t="2" v="8167"/>
    </bk>
    <bk>
      <rc t="2" v="8168"/>
    </bk>
    <bk>
      <rc t="2" v="8169"/>
    </bk>
    <bk>
      <rc t="2" v="8170"/>
    </bk>
    <bk>
      <rc t="2" v="8171"/>
    </bk>
    <bk>
      <rc t="2" v="8172"/>
    </bk>
    <bk>
      <rc t="2" v="8173"/>
    </bk>
    <bk>
      <rc t="2" v="8174"/>
    </bk>
    <bk>
      <rc t="2" v="8175"/>
    </bk>
    <bk>
      <rc t="2" v="8176"/>
    </bk>
    <bk>
      <rc t="2" v="8177"/>
    </bk>
    <bk>
      <rc t="2" v="8178"/>
    </bk>
    <bk>
      <rc t="2" v="8179"/>
    </bk>
    <bk>
      <rc t="2" v="8180"/>
    </bk>
    <bk>
      <rc t="2" v="8181"/>
    </bk>
    <bk>
      <rc t="2" v="8182"/>
    </bk>
    <bk>
      <rc t="2" v="8183"/>
    </bk>
    <bk>
      <rc t="2" v="8184"/>
    </bk>
    <bk>
      <rc t="2" v="8185"/>
    </bk>
    <bk>
      <rc t="2" v="8186"/>
    </bk>
    <bk>
      <rc t="2" v="8187"/>
    </bk>
    <bk>
      <rc t="2" v="8188"/>
    </bk>
    <bk>
      <rc t="2" v="8189"/>
    </bk>
    <bk>
      <rc t="2" v="8190"/>
    </bk>
    <bk>
      <rc t="2" v="8191"/>
    </bk>
    <bk>
      <rc t="2" v="8192"/>
    </bk>
    <bk>
      <rc t="2" v="8193"/>
    </bk>
    <bk>
      <rc t="2" v="8194"/>
    </bk>
    <bk>
      <rc t="2" v="8195"/>
    </bk>
    <bk>
      <rc t="2" v="8196"/>
    </bk>
    <bk>
      <rc t="2" v="8197"/>
    </bk>
    <bk>
      <rc t="2" v="8198"/>
    </bk>
    <bk>
      <rc t="2" v="8199"/>
    </bk>
    <bk>
      <rc t="2" v="8200"/>
    </bk>
    <bk>
      <rc t="2" v="8201"/>
    </bk>
    <bk>
      <rc t="2" v="8202"/>
    </bk>
    <bk>
      <rc t="2" v="8203"/>
    </bk>
    <bk>
      <rc t="2" v="8204"/>
    </bk>
    <bk>
      <rc t="2" v="8205"/>
    </bk>
    <bk>
      <rc t="2" v="8206"/>
    </bk>
    <bk>
      <rc t="2" v="8207"/>
    </bk>
    <bk>
      <rc t="2" v="8208"/>
    </bk>
    <bk>
      <rc t="2" v="8209"/>
    </bk>
    <bk>
      <rc t="2" v="8210"/>
    </bk>
    <bk>
      <rc t="2" v="8211"/>
    </bk>
    <bk>
      <rc t="2" v="8212"/>
    </bk>
    <bk>
      <rc t="2" v="8213"/>
    </bk>
    <bk>
      <rc t="2" v="8214"/>
    </bk>
    <bk>
      <rc t="2" v="8215"/>
    </bk>
    <bk>
      <rc t="2" v="8216"/>
    </bk>
    <bk>
      <rc t="2" v="8217"/>
    </bk>
    <bk>
      <rc t="2" v="8218"/>
    </bk>
    <bk>
      <rc t="2" v="8219"/>
    </bk>
    <bk>
      <rc t="2" v="8220"/>
    </bk>
    <bk>
      <rc t="2" v="8221"/>
    </bk>
    <bk>
      <rc t="2" v="8222"/>
    </bk>
    <bk>
      <rc t="2" v="8223"/>
    </bk>
    <bk>
      <rc t="2" v="8224"/>
    </bk>
    <bk>
      <rc t="2" v="8225"/>
    </bk>
    <bk>
      <rc t="2" v="8226"/>
    </bk>
    <bk>
      <rc t="2" v="8227"/>
    </bk>
    <bk>
      <rc t="2" v="8228"/>
    </bk>
    <bk>
      <rc t="2" v="8229"/>
    </bk>
    <bk>
      <rc t="2" v="8230"/>
    </bk>
    <bk>
      <rc t="2" v="8231"/>
    </bk>
    <bk>
      <rc t="2" v="8232"/>
    </bk>
    <bk>
      <rc t="2" v="8233"/>
    </bk>
    <bk>
      <rc t="2" v="8234"/>
    </bk>
    <bk>
      <rc t="2" v="8235"/>
    </bk>
    <bk>
      <rc t="2" v="8236"/>
    </bk>
    <bk>
      <rc t="2" v="8237"/>
    </bk>
    <bk>
      <rc t="2" v="8238"/>
    </bk>
    <bk>
      <rc t="2" v="8239"/>
    </bk>
    <bk>
      <rc t="2" v="8240"/>
    </bk>
    <bk>
      <rc t="2" v="8241"/>
    </bk>
    <bk>
      <rc t="2" v="8242"/>
    </bk>
    <bk>
      <rc t="2" v="8243"/>
    </bk>
    <bk>
      <rc t="2" v="8244"/>
    </bk>
    <bk>
      <rc t="2" v="8245"/>
    </bk>
    <bk>
      <rc t="2" v="8246"/>
    </bk>
    <bk>
      <rc t="2" v="8247"/>
    </bk>
    <bk>
      <rc t="2" v="8248"/>
    </bk>
    <bk>
      <rc t="2" v="8249"/>
    </bk>
    <bk>
      <rc t="2" v="8250"/>
    </bk>
    <bk>
      <rc t="2" v="8251"/>
    </bk>
    <bk>
      <rc t="2" v="8252"/>
    </bk>
    <bk>
      <rc t="2" v="8253"/>
    </bk>
    <bk>
      <rc t="2" v="8254"/>
    </bk>
    <bk>
      <rc t="2" v="8255"/>
    </bk>
    <bk>
      <rc t="2" v="8256"/>
    </bk>
    <bk>
      <rc t="2" v="8257"/>
    </bk>
    <bk>
      <rc t="2" v="8258"/>
    </bk>
    <bk>
      <rc t="2" v="8259"/>
    </bk>
    <bk>
      <rc t="2" v="8260"/>
    </bk>
    <bk>
      <rc t="2" v="8261"/>
    </bk>
    <bk>
      <rc t="2" v="8262"/>
    </bk>
    <bk>
      <rc t="2" v="8263"/>
    </bk>
    <bk>
      <rc t="2" v="8264"/>
    </bk>
    <bk>
      <rc t="2" v="8265"/>
    </bk>
    <bk>
      <rc t="2" v="8266"/>
    </bk>
    <bk>
      <rc t="2" v="8267"/>
    </bk>
    <bk>
      <rc t="2" v="8268"/>
    </bk>
    <bk>
      <rc t="2" v="8269"/>
    </bk>
    <bk>
      <rc t="2" v="8270"/>
    </bk>
    <bk>
      <rc t="2" v="8271"/>
    </bk>
    <bk>
      <rc t="2" v="8272"/>
    </bk>
    <bk>
      <rc t="2" v="8273"/>
    </bk>
    <bk>
      <rc t="2" v="8274"/>
    </bk>
    <bk>
      <rc t="2" v="8275"/>
    </bk>
    <bk>
      <rc t="2" v="8276"/>
    </bk>
    <bk>
      <rc t="2" v="8277"/>
    </bk>
    <bk>
      <rc t="2" v="8278"/>
    </bk>
    <bk>
      <rc t="2" v="8279"/>
    </bk>
    <bk>
      <rc t="2" v="8280"/>
    </bk>
    <bk>
      <rc t="2" v="8281"/>
    </bk>
    <bk>
      <rc t="2" v="8282"/>
    </bk>
    <bk>
      <rc t="2" v="8283"/>
    </bk>
    <bk>
      <rc t="2" v="8284"/>
    </bk>
    <bk>
      <rc t="2" v="8285"/>
    </bk>
    <bk>
      <rc t="2" v="8286"/>
    </bk>
    <bk>
      <rc t="2" v="8287"/>
    </bk>
    <bk>
      <rc t="2" v="8288"/>
    </bk>
    <bk>
      <rc t="2" v="8289"/>
    </bk>
    <bk>
      <rc t="2" v="8290"/>
    </bk>
    <bk>
      <rc t="2" v="8291"/>
    </bk>
    <bk>
      <rc t="2" v="8292"/>
    </bk>
    <bk>
      <rc t="2" v="8293"/>
    </bk>
    <bk>
      <rc t="2" v="8294"/>
    </bk>
    <bk>
      <rc t="2" v="8295"/>
    </bk>
    <bk>
      <rc t="2" v="8296"/>
    </bk>
    <bk>
      <rc t="2" v="8297"/>
    </bk>
    <bk>
      <rc t="2" v="8298"/>
    </bk>
    <bk>
      <rc t="2" v="8299"/>
    </bk>
    <bk>
      <rc t="2" v="8300"/>
    </bk>
    <bk>
      <rc t="2" v="8301"/>
    </bk>
    <bk>
      <rc t="2" v="8302"/>
    </bk>
    <bk>
      <rc t="2" v="8303"/>
    </bk>
    <bk>
      <rc t="2" v="8304"/>
    </bk>
    <bk>
      <rc t="2" v="8305"/>
    </bk>
    <bk>
      <rc t="2" v="8306"/>
    </bk>
    <bk>
      <rc t="2" v="8307"/>
    </bk>
    <bk>
      <rc t="2" v="8308"/>
    </bk>
    <bk>
      <rc t="2" v="8309"/>
    </bk>
    <bk>
      <rc t="2" v="8310"/>
    </bk>
    <bk>
      <rc t="2" v="8311"/>
    </bk>
    <bk>
      <rc t="2" v="8312"/>
    </bk>
    <bk>
      <rc t="2" v="8313"/>
    </bk>
    <bk>
      <rc t="2" v="8314"/>
    </bk>
    <bk>
      <rc t="2" v="8315"/>
    </bk>
    <bk>
      <rc t="2" v="8316"/>
    </bk>
    <bk>
      <rc t="2" v="8317"/>
    </bk>
    <bk>
      <rc t="2" v="8318"/>
    </bk>
    <bk>
      <rc t="2" v="8319"/>
    </bk>
    <bk>
      <rc t="2" v="8320"/>
    </bk>
    <bk>
      <rc t="2" v="8321"/>
    </bk>
    <bk>
      <rc t="2" v="8322"/>
    </bk>
    <bk>
      <rc t="2" v="8323"/>
    </bk>
    <bk>
      <rc t="2" v="8324"/>
    </bk>
    <bk>
      <rc t="2" v="8325"/>
    </bk>
    <bk>
      <rc t="2" v="8326"/>
    </bk>
    <bk>
      <rc t="2" v="8327"/>
    </bk>
    <bk>
      <rc t="2" v="8328"/>
    </bk>
    <bk>
      <rc t="2" v="8329"/>
    </bk>
    <bk>
      <rc t="2" v="8330"/>
    </bk>
    <bk>
      <rc t="2" v="8331"/>
    </bk>
    <bk>
      <rc t="2" v="8332"/>
    </bk>
    <bk>
      <rc t="2" v="8333"/>
    </bk>
    <bk>
      <rc t="2" v="8334"/>
    </bk>
    <bk>
      <rc t="2" v="8335"/>
    </bk>
    <bk>
      <rc t="2" v="8336"/>
    </bk>
    <bk>
      <rc t="2" v="8337"/>
    </bk>
    <bk>
      <rc t="2" v="8338"/>
    </bk>
    <bk>
      <rc t="2" v="8339"/>
    </bk>
    <bk>
      <rc t="2" v="8340"/>
    </bk>
    <bk>
      <rc t="2" v="8341"/>
    </bk>
    <bk>
      <rc t="2" v="8342"/>
    </bk>
    <bk>
      <rc t="2" v="8343"/>
    </bk>
    <bk>
      <rc t="2" v="8344"/>
    </bk>
    <bk>
      <rc t="2" v="8345"/>
    </bk>
    <bk>
      <rc t="2" v="8346"/>
    </bk>
    <bk>
      <rc t="2" v="8347"/>
    </bk>
    <bk>
      <rc t="2" v="8348"/>
    </bk>
    <bk>
      <rc t="2" v="8349"/>
    </bk>
    <bk>
      <rc t="2" v="8350"/>
    </bk>
    <bk>
      <rc t="2" v="8351"/>
    </bk>
    <bk>
      <rc t="2" v="8352"/>
    </bk>
    <bk>
      <rc t="2" v="8353"/>
    </bk>
    <bk>
      <rc t="2" v="8354"/>
    </bk>
    <bk>
      <rc t="2" v="8355"/>
    </bk>
    <bk>
      <rc t="2" v="8356"/>
    </bk>
    <bk>
      <rc t="2" v="8357"/>
    </bk>
    <bk>
      <rc t="2" v="8358"/>
    </bk>
    <bk>
      <rc t="2" v="8359"/>
    </bk>
    <bk>
      <rc t="2" v="8360"/>
    </bk>
    <bk>
      <rc t="2" v="8361"/>
    </bk>
    <bk>
      <rc t="2" v="8362"/>
    </bk>
    <bk>
      <rc t="2" v="8363"/>
    </bk>
    <bk>
      <rc t="2" v="8364"/>
    </bk>
    <bk>
      <rc t="2" v="8365"/>
    </bk>
    <bk>
      <rc t="2" v="8366"/>
    </bk>
    <bk>
      <rc t="2" v="8367"/>
    </bk>
    <bk>
      <rc t="2" v="8368"/>
    </bk>
    <bk>
      <rc t="2" v="8369"/>
    </bk>
    <bk>
      <rc t="2" v="8370"/>
    </bk>
    <bk>
      <rc t="2" v="8371"/>
    </bk>
    <bk>
      <rc t="2" v="8372"/>
    </bk>
    <bk>
      <rc t="2" v="8373"/>
    </bk>
    <bk>
      <rc t="2" v="8374"/>
    </bk>
    <bk>
      <rc t="2" v="8375"/>
    </bk>
    <bk>
      <rc t="2" v="8376"/>
    </bk>
    <bk>
      <rc t="2" v="8377"/>
    </bk>
    <bk>
      <rc t="2" v="8378"/>
    </bk>
    <bk>
      <rc t="2" v="8379"/>
    </bk>
    <bk>
      <rc t="2" v="8380"/>
    </bk>
    <bk>
      <rc t="2" v="8381"/>
    </bk>
    <bk>
      <rc t="2" v="8382"/>
    </bk>
    <bk>
      <rc t="2" v="8383"/>
    </bk>
    <bk>
      <rc t="2" v="8384"/>
    </bk>
    <bk>
      <rc t="2" v="8385"/>
    </bk>
    <bk>
      <rc t="2" v="8386"/>
    </bk>
    <bk>
      <rc t="2" v="8387"/>
    </bk>
    <bk>
      <rc t="2" v="8388"/>
    </bk>
    <bk>
      <rc t="2" v="8389"/>
    </bk>
    <bk>
      <rc t="2" v="8390"/>
    </bk>
    <bk>
      <rc t="2" v="8391"/>
    </bk>
    <bk>
      <rc t="2" v="8392"/>
    </bk>
    <bk>
      <rc t="2" v="8393"/>
    </bk>
    <bk>
      <rc t="2" v="8394"/>
    </bk>
    <bk>
      <rc t="2" v="8395"/>
    </bk>
    <bk>
      <rc t="2" v="8396"/>
    </bk>
    <bk>
      <rc t="2" v="8397"/>
    </bk>
    <bk>
      <rc t="2" v="8398"/>
    </bk>
    <bk>
      <rc t="2" v="8399"/>
    </bk>
    <bk>
      <rc t="2" v="8400"/>
    </bk>
    <bk>
      <rc t="2" v="8401"/>
    </bk>
    <bk>
      <rc t="2" v="8402"/>
    </bk>
    <bk>
      <rc t="2" v="8403"/>
    </bk>
    <bk>
      <rc t="2" v="8404"/>
    </bk>
    <bk>
      <rc t="2" v="8405"/>
    </bk>
    <bk>
      <rc t="2" v="8406"/>
    </bk>
    <bk>
      <rc t="2" v="8407"/>
    </bk>
    <bk>
      <rc t="2" v="8408"/>
    </bk>
    <bk>
      <rc t="2" v="8409"/>
    </bk>
    <bk>
      <rc t="2" v="8410"/>
    </bk>
    <bk>
      <rc t="2" v="8411"/>
    </bk>
    <bk>
      <rc t="2" v="8412"/>
    </bk>
    <bk>
      <rc t="2" v="8413"/>
    </bk>
    <bk>
      <rc t="2" v="8414"/>
    </bk>
    <bk>
      <rc t="2" v="8415"/>
    </bk>
    <bk>
      <rc t="2" v="8416"/>
    </bk>
    <bk>
      <rc t="2" v="8417"/>
    </bk>
    <bk>
      <rc t="2" v="8418"/>
    </bk>
    <bk>
      <rc t="2" v="8419"/>
    </bk>
    <bk>
      <rc t="2" v="8420"/>
    </bk>
    <bk>
      <rc t="2" v="8421"/>
    </bk>
    <bk>
      <rc t="2" v="8422"/>
    </bk>
    <bk>
      <rc t="2" v="8423"/>
    </bk>
    <bk>
      <rc t="2" v="8424"/>
    </bk>
    <bk>
      <rc t="2" v="8425"/>
    </bk>
    <bk>
      <rc t="2" v="8426"/>
    </bk>
    <bk>
      <rc t="2" v="8427"/>
    </bk>
    <bk>
      <rc t="2" v="8428"/>
    </bk>
    <bk>
      <rc t="2" v="8429"/>
    </bk>
    <bk>
      <rc t="2" v="8430"/>
    </bk>
    <bk>
      <rc t="2" v="8431"/>
    </bk>
    <bk>
      <rc t="2" v="8432"/>
    </bk>
    <bk>
      <rc t="2" v="8433"/>
    </bk>
    <bk>
      <rc t="2" v="8434"/>
    </bk>
    <bk>
      <rc t="2" v="8435"/>
    </bk>
    <bk>
      <rc t="2" v="8436"/>
    </bk>
    <bk>
      <rc t="2" v="8437"/>
    </bk>
    <bk>
      <rc t="2" v="8438"/>
    </bk>
    <bk>
      <rc t="2" v="8439"/>
    </bk>
    <bk>
      <rc t="2" v="8440"/>
    </bk>
    <bk>
      <rc t="2" v="8441"/>
    </bk>
    <bk>
      <rc t="2" v="8442"/>
    </bk>
    <bk>
      <rc t="2" v="8443"/>
    </bk>
    <bk>
      <rc t="2" v="8444"/>
    </bk>
    <bk>
      <rc t="2" v="8445"/>
    </bk>
    <bk>
      <rc t="2" v="8446"/>
    </bk>
    <bk>
      <rc t="2" v="8447"/>
    </bk>
    <bk>
      <rc t="2" v="8448"/>
    </bk>
    <bk>
      <rc t="2" v="8449"/>
    </bk>
    <bk>
      <rc t="2" v="8450"/>
    </bk>
    <bk>
      <rc t="2" v="8451"/>
    </bk>
    <bk>
      <rc t="2" v="8452"/>
    </bk>
    <bk>
      <rc t="2" v="8453"/>
    </bk>
    <bk>
      <rc t="2" v="8454"/>
    </bk>
    <bk>
      <rc t="2" v="8455"/>
    </bk>
    <bk>
      <rc t="2" v="8456"/>
    </bk>
    <bk>
      <rc t="2" v="8457"/>
    </bk>
    <bk>
      <rc t="2" v="8458"/>
    </bk>
    <bk>
      <rc t="2" v="8459"/>
    </bk>
    <bk>
      <rc t="2" v="8460"/>
    </bk>
    <bk>
      <rc t="2" v="8461"/>
    </bk>
    <bk>
      <rc t="2" v="8462"/>
    </bk>
    <bk>
      <rc t="2" v="8463"/>
    </bk>
    <bk>
      <rc t="2" v="8464"/>
    </bk>
    <bk>
      <rc t="2" v="8465"/>
    </bk>
    <bk>
      <rc t="2" v="8466"/>
    </bk>
    <bk>
      <rc t="2" v="8467"/>
    </bk>
    <bk>
      <rc t="2" v="8468"/>
    </bk>
    <bk>
      <rc t="2" v="8469"/>
    </bk>
    <bk>
      <rc t="2" v="8470"/>
    </bk>
    <bk>
      <rc t="2" v="8471"/>
    </bk>
    <bk>
      <rc t="2" v="8472"/>
    </bk>
    <bk>
      <rc t="2" v="8473"/>
    </bk>
    <bk>
      <rc t="2" v="8474"/>
    </bk>
    <bk>
      <rc t="2" v="8475"/>
    </bk>
    <bk>
      <rc t="2" v="8476"/>
    </bk>
    <bk>
      <rc t="2" v="8477"/>
    </bk>
    <bk>
      <rc t="2" v="8478"/>
    </bk>
    <bk>
      <rc t="2" v="8479"/>
    </bk>
    <bk>
      <rc t="2" v="8480"/>
    </bk>
    <bk>
      <rc t="2" v="8481"/>
    </bk>
    <bk>
      <rc t="2" v="8482"/>
    </bk>
    <bk>
      <rc t="2" v="8483"/>
    </bk>
    <bk>
      <rc t="2" v="8484"/>
    </bk>
    <bk>
      <rc t="2" v="8485"/>
    </bk>
    <bk>
      <rc t="2" v="8486"/>
    </bk>
    <bk>
      <rc t="2" v="8487"/>
    </bk>
    <bk>
      <rc t="2" v="8488"/>
    </bk>
    <bk>
      <rc t="2" v="8489"/>
    </bk>
    <bk>
      <rc t="2" v="8490"/>
    </bk>
    <bk>
      <rc t="2" v="8491"/>
    </bk>
    <bk>
      <rc t="2" v="8492"/>
    </bk>
    <bk>
      <rc t="2" v="8493"/>
    </bk>
    <bk>
      <rc t="2" v="8494"/>
    </bk>
    <bk>
      <rc t="2" v="8495"/>
    </bk>
    <bk>
      <rc t="2" v="8496"/>
    </bk>
    <bk>
      <rc t="2" v="8497"/>
    </bk>
    <bk>
      <rc t="2" v="8498"/>
    </bk>
    <bk>
      <rc t="2" v="8499"/>
    </bk>
    <bk>
      <rc t="2" v="8500"/>
    </bk>
    <bk>
      <rc t="2" v="8501"/>
    </bk>
    <bk>
      <rc t="2" v="8502"/>
    </bk>
    <bk>
      <rc t="2" v="8503"/>
    </bk>
    <bk>
      <rc t="2" v="8504"/>
    </bk>
    <bk>
      <rc t="2" v="8505"/>
    </bk>
    <bk>
      <rc t="2" v="8506"/>
    </bk>
    <bk>
      <rc t="2" v="8507"/>
    </bk>
    <bk>
      <rc t="2" v="8508"/>
    </bk>
    <bk>
      <rc t="2" v="8509"/>
    </bk>
    <bk>
      <rc t="2" v="8510"/>
    </bk>
    <bk>
      <rc t="2" v="8511"/>
    </bk>
    <bk>
      <rc t="2" v="8512"/>
    </bk>
    <bk>
      <rc t="2" v="8513"/>
    </bk>
    <bk>
      <rc t="2" v="8514"/>
    </bk>
    <bk>
      <rc t="2" v="8515"/>
    </bk>
    <bk>
      <rc t="2" v="8516"/>
    </bk>
    <bk>
      <rc t="2" v="8517"/>
    </bk>
    <bk>
      <rc t="2" v="8518"/>
    </bk>
    <bk>
      <rc t="2" v="8519"/>
    </bk>
    <bk>
      <rc t="2" v="8520"/>
    </bk>
    <bk>
      <rc t="2" v="8521"/>
    </bk>
    <bk>
      <rc t="2" v="8522"/>
    </bk>
    <bk>
      <rc t="2" v="8523"/>
    </bk>
    <bk>
      <rc t="2" v="8524"/>
    </bk>
    <bk>
      <rc t="2" v="8525"/>
    </bk>
    <bk>
      <rc t="2" v="8526"/>
    </bk>
    <bk>
      <rc t="2" v="8527"/>
    </bk>
    <bk>
      <rc t="2" v="8528"/>
    </bk>
    <bk>
      <rc t="2" v="8529"/>
    </bk>
    <bk>
      <rc t="2" v="8530"/>
    </bk>
    <bk>
      <rc t="2" v="8531"/>
    </bk>
    <bk>
      <rc t="2" v="8532"/>
    </bk>
    <bk>
      <rc t="2" v="8533"/>
    </bk>
    <bk>
      <rc t="2" v="8534"/>
    </bk>
    <bk>
      <rc t="2" v="8535"/>
    </bk>
    <bk>
      <rc t="2" v="8536"/>
    </bk>
    <bk>
      <rc t="2" v="8537"/>
    </bk>
    <bk>
      <rc t="2" v="8538"/>
    </bk>
    <bk>
      <rc t="2" v="8539"/>
    </bk>
  </valueMetadata>
</metadata>
</file>

<file path=xl/sharedStrings.xml><?xml version="1.0" encoding="utf-8"?>
<sst xmlns="http://schemas.openxmlformats.org/spreadsheetml/2006/main" count="66" uniqueCount="59">
  <si>
    <t>WEEKLY</t>
  </si>
  <si>
    <t>DAILY</t>
  </si>
  <si>
    <t>MONTHLY</t>
  </si>
  <si>
    <t>Start Date</t>
  </si>
  <si>
    <t>End Date</t>
  </si>
  <si>
    <t>STOCK</t>
  </si>
  <si>
    <t>Target Price</t>
  </si>
  <si>
    <t>Last Price</t>
  </si>
  <si>
    <t>Date</t>
  </si>
  <si>
    <t>Open Price</t>
  </si>
  <si>
    <t>Ticker          | Status        | Spread (%) |    Avg (%) |    Last Px |   Target Px | Action</t>
  </si>
  <si>
    <t>------------------------------------------------------------------------------------------</t>
  </si>
  <si>
    <t>AAPL US Equity  | Overvalued    |       4.38% |       4.00% | $   262.82 | $    251.79 | Consider SELLING</t>
  </si>
  <si>
    <t>AMD US Equity   | Neutral       |      -5.33% |     -14.00% | $   252.92 | $    240.13 | Monitor - Near Sell</t>
  </si>
  <si>
    <t>CRM US Equity   | Neutral       |      22.30% |      39.00% | $   254.83 | $    327.96 | Monitor - Near Buy</t>
  </si>
  <si>
    <t>AMAT US Equity  | Neutral       |      -3.76% |      -4.00% | $   228.75 | $    220.45 | Monitor - Near Sell</t>
  </si>
  <si>
    <t>FTNT US Equity  | Undervalued   |       4.46% |       1.00% | $    85.56 | $     89.56 | Consider BUYING</t>
  </si>
  <si>
    <t>200 EMA</t>
  </si>
  <si>
    <t>200 SMA</t>
  </si>
  <si>
    <t>100 EMA</t>
  </si>
  <si>
    <t>100 SMA</t>
  </si>
  <si>
    <t>50 EMA</t>
  </si>
  <si>
    <t>50 SMA</t>
  </si>
  <si>
    <t>9 EMA</t>
  </si>
  <si>
    <t>9 SMA</t>
  </si>
  <si>
    <t>Starting Average</t>
  </si>
  <si>
    <t>QCOM US Equity</t>
  </si>
  <si>
    <t>ORCL</t>
  </si>
  <si>
    <t>Statistic</t>
  </si>
  <si>
    <t>Value</t>
  </si>
  <si>
    <t>Ticker</t>
  </si>
  <si>
    <t>Timeframe</t>
  </si>
  <si>
    <t>First date</t>
  </si>
  <si>
    <t>Last date</t>
  </si>
  <si>
    <t>Return observations</t>
  </si>
  <si>
    <t>Last close</t>
  </si>
  <si>
    <t>Mean log return (μ)</t>
  </si>
  <si>
    <t>Std. deviation (σ)</t>
  </si>
  <si>
    <t>Annualized drift</t>
  </si>
  <si>
    <t>Annualized volatility</t>
  </si>
  <si>
    <t>Skewness</t>
  </si>
  <si>
    <t>Excess kurtosis</t>
  </si>
  <si>
    <t>Jarque-Bera p-value</t>
  </si>
  <si>
    <t>Band</t>
  </si>
  <si>
    <t>Normal confidence</t>
  </si>
  <si>
    <t>Lower % move</t>
  </si>
  <si>
    <t>Upper % move</t>
  </si>
  <si>
    <t>Lower price</t>
  </si>
  <si>
    <t>Upper price</t>
  </si>
  <si>
    <t>Empirical coverage</t>
  </si>
  <si>
    <t>±1σ</t>
  </si>
  <si>
    <t>±2σ</t>
  </si>
  <si>
    <t>±3σ</t>
  </si>
  <si>
    <t>Close</t>
  </si>
  <si>
    <t>Log Return</t>
  </si>
  <si>
    <t>Z-Score</t>
  </si>
  <si>
    <t>ORCL: lognormal return distribution (daily)</t>
  </si>
  <si>
    <t>File name: Analysis_ORCL_DAILY_2026-09-14.xlsx</t>
  </si>
  <si>
    <t>Generated 2026-09-14 17:14 by xlwings Lite from the Data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</si>
</sst>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$-409]* #,##0.00_);_([$$-409]* \(#,##0.00\);_([$$-409]* &quot;-&quot;??_);_(@_)"/>
    <numFmt numFmtId="165" formatCode="_(* #,##0_);_(* \(#,##0\);_(* &quot;-&quot;??_);_(@_)"/>
    <numFmt numFmtId="166" formatCode="&quot;$&quot;#,##0.00"/>
    <numFmt numFmtId="167" formatCode="m/d/yyyy"/>
    <numFmt numFmtId="168" formatCode="0.000%"/>
    <numFmt numFmtId="169" formatCode="0.000"/>
    <numFmt numFmtId="170" formatCode="0.0000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4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202124"/>
      <name val="Courier New"/>
      <family val="3"/>
    </font>
    <font>
      <b/>
      <sz val="14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7">
    <xf numFmtId="0" fontId="0" fillId="0" borderId="0" xfId="0"/>
    <xf numFmtId="14" fontId="0" fillId="0" borderId="0" xfId="0" applyNumberFormat="1"/>
    <xf numFmtId="8" fontId="0" fillId="0" borderId="0" xfId="0" applyNumberFormat="1"/>
    <xf numFmtId="0" fontId="16" fillId="0" borderId="10" xfId="0" applyFont="1" applyBorder="1" applyAlignment="1">
      <alignment horizontal="center"/>
    </xf>
    <xf numFmtId="14" fontId="0" fillId="0" borderId="11" xfId="0" applyNumberFormat="1" applyBorder="1" applyAlignment="1">
      <alignment horizontal="center"/>
    </xf>
    <xf numFmtId="14" fontId="0" fillId="0" borderId="12" xfId="0" applyNumberFormat="1" applyBorder="1" applyAlignment="1">
      <alignment horizontal="center"/>
    </xf>
    <xf numFmtId="0" fontId="9" fillId="5" borderId="13" xfId="9" applyBorder="1" applyAlignment="1">
      <alignment horizontal="center"/>
    </xf>
    <xf numFmtId="44" fontId="0" fillId="0" borderId="0" xfId="42" applyFont="1"/>
    <xf numFmtId="0" fontId="0" fillId="0" borderId="0" xfId="0" applyAlignment="1">
      <alignment horizontal="center"/>
    </xf>
    <xf numFmtId="43" fontId="0" fillId="0" borderId="0" xfId="44" applyFont="1"/>
    <xf numFmtId="43" fontId="0" fillId="0" borderId="0" xfId="0" applyNumberFormat="1"/>
    <xf numFmtId="43" fontId="0" fillId="0" borderId="0" xfId="43" applyNumberFormat="1" applyFont="1"/>
    <xf numFmtId="0" fontId="9" fillId="5" borderId="4" xfId="9" applyAlignment="1">
      <alignment horizontal="center"/>
    </xf>
    <xf numFmtId="14" fontId="9" fillId="5" borderId="4" xfId="9" applyNumberFormat="1" applyAlignment="1">
      <alignment horizontal="center"/>
    </xf>
    <xf numFmtId="0" fontId="16" fillId="0" borderId="14" xfId="0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16" fillId="0" borderId="16" xfId="0" applyFont="1" applyBorder="1" applyAlignment="1">
      <alignment horizontal="center"/>
    </xf>
    <xf numFmtId="9" fontId="0" fillId="0" borderId="0" xfId="0" applyNumberFormat="1"/>
    <xf numFmtId="164" fontId="0" fillId="0" borderId="0" xfId="0" applyNumberFormat="1"/>
    <xf numFmtId="0" fontId="19" fillId="0" borderId="0" xfId="0" applyFont="1"/>
    <xf numFmtId="0" fontId="20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165" fontId="0" fillId="0" borderId="0" xfId="44" applyNumberFormat="1" applyFont="1"/>
    <xf numFmtId="10" fontId="0" fillId="0" borderId="0" xfId="0" applyNumberFormat="1"/>
    <xf numFmtId="0" fontId="21" fillId="0" borderId="0" xfId="0" applyFont="1"/>
    <xf numFmtId="14" fontId="0" fillId="0" borderId="18" xfId="0" applyNumberFormat="1" applyBorder="1" applyAlignment="1">
      <alignment horizontal="center"/>
    </xf>
    <xf numFmtId="0" fontId="0" fillId="0" borderId="17" xfId="0" applyBorder="1"/>
    <xf numFmtId="166" fontId="0" fillId="0" borderId="0" xfId="0" applyNumberFormat="1"/>
    <xf numFmtId="166" fontId="0" fillId="33" borderId="0" xfId="0" applyNumberFormat="1" applyFill="1"/>
    <xf numFmtId="3" fontId="0" fillId="0" borderId="0" xfId="0" applyNumberFormat="1"/>
    <xf numFmtId="0" fontId="16" fillId="0" borderId="0" xfId="0" applyFont="1"/>
    <xf numFmtId="0" fontId="22" fillId="0" borderId="0" xfId="0" applyFon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2" fontId="0" fillId="0" borderId="0" xfId="0" applyNumberFormat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4" builtinId="3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tos.rtd">
      <tp t="e">
        <v>#N/A</v>
        <stp/>
        <stp>LAST</stp>
        <stp>QCOM</stp>
        <tr r="G2" s="9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ichStyles" Target="richData/richStyle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Array" Target="richData/rdarray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5" Type="http://schemas.microsoft.com/office/2017/06/relationships/rdSupportingPropertyBag" Target="richData/rdsupportingpropertybag.xml"/><Relationship Id="rId10" Type="http://schemas.microsoft.com/office/2017/06/relationships/rdRichValue" Target="richData/rdrichvalue.xml"/><Relationship Id="rId19" Type="http://schemas.openxmlformats.org/officeDocument/2006/relationships/volatileDependencies" Target="volatileDependencies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microsoft.com/office/2017/06/relationships/rdSupportingPropertyBagStructure" Target="richData/rdsupportingpropertybagstructure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tmp"/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24</xdr:row>
      <xdr:rowOff>0</xdr:rowOff>
    </xdr:from>
    <xdr:to>
      <xdr:col>8</xdr:col>
      <xdr:colOff>152400</xdr:colOff>
      <xdr:row>42</xdr:row>
      <xdr:rowOff>139700</xdr:rowOff>
    </xdr:to>
    <xdr:pic>
      <xdr:nvPicPr>
        <xdr:cNvPr id="2" name="Distribution">
          <a:extLst>
            <a:ext uri="{FF2B5EF4-FFF2-40B4-BE49-F238E27FC236}">
              <a16:creationId xmlns:a16="http://schemas.microsoft.com/office/drawing/2014/main" id="{4E2A59D1-95C5-F923-41F6-7543434B14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622800"/>
          <a:ext cx="6756400" cy="35687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8</xdr:col>
      <xdr:colOff>152400</xdr:colOff>
      <xdr:row>62</xdr:row>
      <xdr:rowOff>177800</xdr:rowOff>
    </xdr:to>
    <xdr:pic>
      <xdr:nvPicPr>
        <xdr:cNvPr id="3" name="Price">
          <a:extLst>
            <a:ext uri="{FF2B5EF4-FFF2-40B4-BE49-F238E27FC236}">
              <a16:creationId xmlns:a16="http://schemas.microsoft.com/office/drawing/2014/main" id="{F829DD75-AB0D-158A-BFA4-95BC5F157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385300"/>
          <a:ext cx="6756400" cy="2654300"/>
        </a:xfrm>
        <a:prstGeom prst="rect">
          <a:avLst/>
        </a:prstGeom>
      </xdr:spPr>
    </xdr:pic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">
      <keyFlags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linkedentitycore">
      <keyFlags>
        <key name="%EntityServiceId">
          <flag name="ShowInCardView" value="0"/>
          <flag name="ShowInDotNotation" value="0"/>
          <flag name="ShowInAutoComplete" value="0"/>
        </key>
        <key name="%EntitySubDomain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DotNotation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</types>
</rvTypesInfo>
</file>

<file path=xl/richData/rdarray.xml><?xml version="1.0" encoding="utf-8"?>
<arrayData xmlns="http://schemas.microsoft.com/office/spreadsheetml/2017/richdata2" count="11">
  <a r="1" c="1259">
    <v t="i">0</v>
    <v t="i">1</v>
    <v t="i">2</v>
    <v t="i">3</v>
    <v t="i">7</v>
    <v t="i">8</v>
    <v t="i">9</v>
    <v t="i">10</v>
    <v t="i">13</v>
    <v t="i">14</v>
    <v t="i">15</v>
    <v t="i">16</v>
    <v t="i">17</v>
    <v t="i">20</v>
    <v t="i">21</v>
    <v t="i">22</v>
    <v t="i">23</v>
    <v t="i">24</v>
    <v t="i">27</v>
    <v t="i">28</v>
    <v t="i">29</v>
    <v t="i">30</v>
    <v t="i">31</v>
    <v t="i">34</v>
    <v t="i">35</v>
    <v t="i">36</v>
    <v t="i">37</v>
    <v t="i">38</v>
    <v t="i">41</v>
    <v t="i">42</v>
    <v t="i">43</v>
    <v t="i">44</v>
    <v t="i">45</v>
    <v t="i">48</v>
    <v t="i">49</v>
    <v t="i">50</v>
    <v t="i">51</v>
    <v t="i">52</v>
    <v t="i">55</v>
    <v t="i">56</v>
    <v t="i">57</v>
    <v t="i">58</v>
    <v t="i">59</v>
    <v t="i">62</v>
    <v t="i">63</v>
    <v t="i">64</v>
    <v t="i">65</v>
    <v t="i">66</v>
    <v t="i">69</v>
    <v t="i">70</v>
    <v t="i">71</v>
    <v t="i">72</v>
    <v t="i">73</v>
    <v t="i">76</v>
    <v t="i">77</v>
    <v t="i">78</v>
    <v t="i">79</v>
    <v t="i">80</v>
    <v t="i">83</v>
    <v t="i">84</v>
    <v t="i">85</v>
    <v t="i">87</v>
    <v t="i">90</v>
    <v t="i">91</v>
    <v t="i">92</v>
    <v t="i">93</v>
    <v t="i">94</v>
    <v t="i">97</v>
    <v t="i">98</v>
    <v t="i">99</v>
    <v t="i">100</v>
    <v t="i">101</v>
    <v t="i">104</v>
    <v t="i">105</v>
    <v t="i">106</v>
    <v t="i">107</v>
    <v t="i">108</v>
    <v t="i">111</v>
    <v t="i">112</v>
    <v t="i">113</v>
    <v t="i">114</v>
    <v t="i">118</v>
    <v t="i">119</v>
    <v t="i">120</v>
    <v t="i">121</v>
    <v t="i">122</v>
    <v t="i">125</v>
    <v t="i">126</v>
    <v t="i">127</v>
    <v t="i">128</v>
    <v t="i">129</v>
    <v t="i">132</v>
    <v t="i">133</v>
    <v t="i">134</v>
    <v t="i">135</v>
    <v t="i">136</v>
    <v t="i">140</v>
    <v t="i">141</v>
    <v t="i">142</v>
    <v t="i">143</v>
    <v t="i">146</v>
    <v t="i">147</v>
    <v t="i">148</v>
    <v t="i">149</v>
    <v t="i">150</v>
    <v t="i">153</v>
    <v t="i">154</v>
    <v t="i">155</v>
    <v t="i">156</v>
    <v t="i">157</v>
    <v t="i">160</v>
    <v t="i">161</v>
    <v t="i">162</v>
    <v t="i">163</v>
    <v t="i">164</v>
    <v t="i">167</v>
    <v t="i">168</v>
    <v t="i">169</v>
    <v t="i">170</v>
    <v t="i">171</v>
    <v t="i">175</v>
    <v t="i">176</v>
    <v t="i">177</v>
    <v t="i">178</v>
    <v t="i">181</v>
    <v t="i">182</v>
    <v t="i">183</v>
    <v t="i">184</v>
    <v t="i">185</v>
    <v t="i">188</v>
    <v t="i">189</v>
    <v t="i">190</v>
    <v t="i">191</v>
    <v t="i">192</v>
    <v t="i">195</v>
    <v t="i">196</v>
    <v t="i">197</v>
    <v t="i">198</v>
    <v t="i">199</v>
    <v t="i">202</v>
    <v t="i">203</v>
    <v t="i">204</v>
    <v t="i">205</v>
    <v t="i">206</v>
    <v t="i">209</v>
    <v t="i">210</v>
    <v t="i">211</v>
    <v t="i">212</v>
    <v t="i">213</v>
    <v t="i">216</v>
    <v t="i">217</v>
    <v t="i">218</v>
    <v t="i">219</v>
    <v t="i">220</v>
    <v t="i">223</v>
    <v t="i">224</v>
    <v t="i">225</v>
    <v t="i">226</v>
    <v t="i">230</v>
    <v t="i">231</v>
    <v t="i">232</v>
    <v t="i">233</v>
    <v t="i">234</v>
    <v t="i">237</v>
    <v t="i">238</v>
    <v t="i">239</v>
    <v t="i">240</v>
    <v t="i">241</v>
    <v t="i">244</v>
    <v t="i">245</v>
    <v t="i">246</v>
    <v t="i">247</v>
    <v t="i">248</v>
    <v t="i">251</v>
    <v t="i">252</v>
    <v t="i">253</v>
    <v t="i">254</v>
    <v t="i">255</v>
    <v t="i">258</v>
    <v t="i">259</v>
    <v t="i">260</v>
    <v t="i">261</v>
    <v t="i">262</v>
    <v t="i">265</v>
    <v t="i">266</v>
    <v t="i">267</v>
    <v t="i">268</v>
    <v t="i">269</v>
    <v t="i">273</v>
    <v t="i">274</v>
    <v t="i">275</v>
    <v t="i">276</v>
    <v t="i">279</v>
    <v t="i">280</v>
    <v t="i">281</v>
    <v t="i">282</v>
    <v t="i">283</v>
    <v t="i">286</v>
    <v t="i">287</v>
    <v t="i">288</v>
    <v t="i">289</v>
    <v t="i">290</v>
    <v t="i">294</v>
    <v t="i">295</v>
    <v t="i">296</v>
    <v t="i">297</v>
    <v t="i">300</v>
    <v t="i">301</v>
    <v t="i">302</v>
    <v t="i">303</v>
    <v t="i">304</v>
    <v t="i">308</v>
    <v t="i">309</v>
    <v t="i">310</v>
    <v t="i">311</v>
    <v t="i">314</v>
    <v t="i">315</v>
    <v t="i">316</v>
    <v t="i">317</v>
    <v t="i">318</v>
    <v t="i">321</v>
    <v t="i">322</v>
    <v t="i">323</v>
    <v t="i">324</v>
    <v t="i">325</v>
    <v t="i">328</v>
    <v t="i">329</v>
    <v t="i">330</v>
    <v t="i">331</v>
    <v t="i">332</v>
    <v t="i">335</v>
    <v t="i">336</v>
    <v t="i">337</v>
    <v t="i">338</v>
    <v t="i">339</v>
    <v t="i">342</v>
    <v t="i">343</v>
    <v t="i">344</v>
    <v t="i">345</v>
    <v t="i">346</v>
    <v t="i">349</v>
    <v t="i">350</v>
    <v t="i">351</v>
    <v t="i">352</v>
    <v t="i">353</v>
    <v t="i">356</v>
    <v t="i">357</v>
    <v t="i">358</v>
    <v t="i">359</v>
    <v t="i">360</v>
    <v t="i">363</v>
    <v t="i">364</v>
    <v t="i">365</v>
    <v t="i">366</v>
    <v t="i">367</v>
    <v t="i">371</v>
    <v t="i">372</v>
    <v t="i">373</v>
    <v t="i">374</v>
    <v t="i">377</v>
    <v t="i">378</v>
    <v t="i">379</v>
    <v t="i">380</v>
    <v t="i">381</v>
    <v t="i">384</v>
    <v t="i">385</v>
    <v t="i">386</v>
    <v t="i">387</v>
    <v t="i">388</v>
    <v t="i">391</v>
    <v t="i">392</v>
    <v t="i">393</v>
    <v t="i">394</v>
    <v t="i">395</v>
    <v t="i">398</v>
    <v t="i">399</v>
    <v t="i">400</v>
    <v t="i">401</v>
    <v t="i">402</v>
    <v t="i">405</v>
    <v t="i">406</v>
    <v t="i">407</v>
    <v t="i">408</v>
    <v t="i">409</v>
    <v t="i">412</v>
    <v t="i">413</v>
    <v t="i">414</v>
    <v t="i">415</v>
    <v t="i">416</v>
    <v t="i">419</v>
    <v t="i">420</v>
    <v t="i">421</v>
    <v t="i">422</v>
    <v t="i">423</v>
    <v t="i">426</v>
    <v t="i">427</v>
    <v t="i">428</v>
    <v t="i">429</v>
    <v t="i">430</v>
    <v t="i">433</v>
    <v t="i">434</v>
    <v t="i">435</v>
    <v t="i">436</v>
    <v t="i">437</v>
    <v t="i">440</v>
    <v t="i">441</v>
    <v t="i">442</v>
    <v t="i">443</v>
    <v t="i">444</v>
    <v t="i">447</v>
    <v t="i">448</v>
    <v t="i">449</v>
    <v t="i">451</v>
    <v t="i">454</v>
    <v t="i">455</v>
    <v t="i">456</v>
    <v t="i">457</v>
    <v t="i">458</v>
    <v t="i">461</v>
    <v t="i">462</v>
    <v t="i">463</v>
    <v t="i">464</v>
    <v t="i">465</v>
    <v t="i">468</v>
    <v t="i">469</v>
    <v t="i">470</v>
    <v t="i">471</v>
    <v t="i">472</v>
    <v t="i">475</v>
    <v t="i">476</v>
    <v t="i">477</v>
    <v t="i">478</v>
    <v t="i">479</v>
    <v t="i">483</v>
    <v t="i">484</v>
    <v t="i">485</v>
    <v t="i">486</v>
    <v t="i">490</v>
    <v t="i">491</v>
    <v t="i">492</v>
    <v t="i">493</v>
    <v t="i">496</v>
    <v t="i">497</v>
    <v t="i">498</v>
    <v t="i">499</v>
    <v t="i">500</v>
    <v t="i">504</v>
    <v t="i">505</v>
    <v t="i">506</v>
    <v t="i">507</v>
    <v t="i">510</v>
    <v t="i">511</v>
    <v t="i">512</v>
    <v t="i">513</v>
    <v t="i">514</v>
    <v t="i">517</v>
    <v t="i">518</v>
    <v t="i">519</v>
    <v t="i">520</v>
    <v t="i">521</v>
    <v t="i">524</v>
    <v t="i">525</v>
    <v t="i">526</v>
    <v t="i">527</v>
    <v t="i">528</v>
    <v t="i">531</v>
    <v t="i">532</v>
    <v t="i">533</v>
    <v t="i">534</v>
    <v t="i">535</v>
    <v t="i">539</v>
    <v t="i">540</v>
    <v t="i">541</v>
    <v t="i">542</v>
    <v t="i">545</v>
    <v t="i">546</v>
    <v t="i">547</v>
    <v t="i">548</v>
    <v t="i">549</v>
    <v t="i">552</v>
    <v t="i">553</v>
    <v t="i">554</v>
    <v t="i">555</v>
    <v t="i">556</v>
    <v t="i">559</v>
    <v t="i">560</v>
    <v t="i">561</v>
    <v t="i">562</v>
    <v t="i">563</v>
    <v t="i">566</v>
    <v t="i">567</v>
    <v t="i">568</v>
    <v t="i">569</v>
    <v t="i">570</v>
    <v t="i">573</v>
    <v t="i">574</v>
    <v t="i">575</v>
    <v t="i">576</v>
    <v t="i">577</v>
    <v t="i">580</v>
    <v t="i">581</v>
    <v t="i">582</v>
    <v t="i">583</v>
    <v t="i">587</v>
    <v t="i">588</v>
    <v t="i">589</v>
    <v t="i">590</v>
    <v t="i">591</v>
    <v t="i">594</v>
    <v t="i">595</v>
    <v t="i">596</v>
    <v t="i">597</v>
    <v t="i">598</v>
    <v t="i">601</v>
    <v t="i">602</v>
    <v t="i">603</v>
    <v t="i">604</v>
    <v t="i">605</v>
    <v t="i">608</v>
    <v t="i">609</v>
    <v t="i">610</v>
    <v t="i">611</v>
    <v t="i">612</v>
    <v t="i">615</v>
    <v t="i">616</v>
    <v t="i">617</v>
    <v t="i">618</v>
    <v t="i">619</v>
    <v t="i">622</v>
    <v t="i">623</v>
    <v t="i">624</v>
    <v t="i">625</v>
    <v t="i">626</v>
    <v t="i">629</v>
    <v t="i">630</v>
    <v t="i">631</v>
    <v t="i">632</v>
    <v t="i">633</v>
    <v t="i">637</v>
    <v t="i">638</v>
    <v t="i">639</v>
    <v t="i">640</v>
    <v t="i">643</v>
    <v t="i">644</v>
    <v t="i">645</v>
    <v t="i">646</v>
    <v t="i">647</v>
    <v t="i">650</v>
    <v t="i">651</v>
    <v t="i">652</v>
    <v t="i">653</v>
    <v t="i">654</v>
    <v t="i">658</v>
    <v t="i">659</v>
    <v t="i">660</v>
    <v t="i">661</v>
    <v t="i">664</v>
    <v t="i">665</v>
    <v t="i">666</v>
    <v t="i">667</v>
    <v t="i">668</v>
    <v t="i">671</v>
    <v t="i">673</v>
    <v t="i">674</v>
    <v t="i">675</v>
    <v t="i">678</v>
    <v t="i">679</v>
    <v t="i">680</v>
    <v t="i">681</v>
    <v t="i">682</v>
    <v t="i">685</v>
    <v t="i">686</v>
    <v t="i">687</v>
    <v t="i">688</v>
    <v t="i">689</v>
    <v t="i">692</v>
    <v t="i">693</v>
    <v t="i">694</v>
    <v t="i">695</v>
    <v t="i">696</v>
    <v t="i">699</v>
    <v t="i">700</v>
    <v t="i">701</v>
    <v t="i">702</v>
    <v t="i">703</v>
    <v t="i">706</v>
    <v t="i">707</v>
    <v t="i">708</v>
    <v t="i">709</v>
    <v t="i">710</v>
    <v t="i">713</v>
    <v t="i">714</v>
    <v t="i">715</v>
    <v t="i">716</v>
    <v t="i">717</v>
    <v t="i">720</v>
    <v t="i">721</v>
    <v t="i">722</v>
    <v t="i">723</v>
    <v t="i">724</v>
    <v t="i">727</v>
    <v t="i">728</v>
    <v t="i">729</v>
    <v t="i">730</v>
    <v t="i">731</v>
    <v t="i">735</v>
    <v t="i">736</v>
    <v t="i">737</v>
    <v t="i">738</v>
    <v t="i">741</v>
    <v t="i">742</v>
    <v t="i">743</v>
    <v t="i">744</v>
    <v t="i">745</v>
    <v t="i">748</v>
    <v t="i">749</v>
    <v t="i">750</v>
    <v t="i">751</v>
    <v t="i">752</v>
    <v t="i">755</v>
    <v t="i">756</v>
    <v t="i">757</v>
    <v t="i">758</v>
    <v t="i">759</v>
    <v t="i">762</v>
    <v t="i">763</v>
    <v t="i">764</v>
    <v t="i">765</v>
    <v t="i">766</v>
    <v t="i">769</v>
    <v t="i">770</v>
    <v t="i">771</v>
    <v t="i">772</v>
    <v t="i">773</v>
    <v t="i">776</v>
    <v t="i">777</v>
    <v t="i">778</v>
    <v t="i">779</v>
    <v t="i">780</v>
    <v t="i">783</v>
    <v t="i">784</v>
    <v t="i">785</v>
    <v t="i">786</v>
    <v t="i">787</v>
    <v t="i">790</v>
    <v t="i">791</v>
    <v t="i">792</v>
    <v t="i">793</v>
    <v t="i">794</v>
    <v t="i">797</v>
    <v t="i">798</v>
    <v t="i">799</v>
    <v t="i">800</v>
    <v t="i">801</v>
    <v t="i">804</v>
    <v t="i">805</v>
    <v t="i">806</v>
    <v t="i">807</v>
    <v t="i">808</v>
    <v t="i">811</v>
    <v t="i">812</v>
    <v t="i">813</v>
    <v t="i">815</v>
    <v t="i">818</v>
    <v t="i">819</v>
    <v t="i">820</v>
    <v t="i">821</v>
    <v t="i">822</v>
    <v t="i">825</v>
    <v t="i">826</v>
    <v t="i">827</v>
    <v t="i">828</v>
    <v t="i">829</v>
    <v t="i">832</v>
    <v t="i">833</v>
    <v t="i">834</v>
    <v t="i">835</v>
    <v t="i">836</v>
    <v t="i">839</v>
    <v t="i">840</v>
    <v t="i">841</v>
    <v t="i">842</v>
    <v t="i">843</v>
    <v t="i">847</v>
    <v t="i">848</v>
    <v t="i">849</v>
    <v t="i">850</v>
    <v t="i">854</v>
    <v t="i">855</v>
    <v t="i">856</v>
    <v t="i">857</v>
    <v t="i">860</v>
    <v t="i">861</v>
    <v t="i">862</v>
    <v t="i">863</v>
    <v t="i">864</v>
    <v t="i">868</v>
    <v t="i">869</v>
    <v t="i">870</v>
    <v t="i">871</v>
    <v t="i">874</v>
    <v t="i">875</v>
    <v t="i">876</v>
    <v t="i">877</v>
    <v t="i">878</v>
    <v t="i">881</v>
    <v t="i">882</v>
    <v t="i">883</v>
    <v t="i">884</v>
    <v t="i">885</v>
    <v t="i">888</v>
    <v t="i">889</v>
    <v t="i">890</v>
    <v t="i">891</v>
    <v t="i">892</v>
    <v t="i">895</v>
    <v t="i">896</v>
    <v t="i">897</v>
    <v t="i">898</v>
    <v t="i">899</v>
    <v t="i">903</v>
    <v t="i">904</v>
    <v t="i">905</v>
    <v t="i">906</v>
    <v t="i">909</v>
    <v t="i">910</v>
    <v t="i">911</v>
    <v t="i">912</v>
    <v t="i">913</v>
    <v t="i">916</v>
    <v t="i">917</v>
    <v t="i">918</v>
    <v t="i">919</v>
    <v t="i">920</v>
    <v t="i">923</v>
    <v t="i">924</v>
    <v t="i">925</v>
    <v t="i">926</v>
    <v t="i">927</v>
    <v t="i">930</v>
    <v t="i">931</v>
    <v t="i">932</v>
    <v t="i">933</v>
    <v t="i">934</v>
    <v t="i">937</v>
    <v t="i">938</v>
    <v t="i">939</v>
    <v t="i">940</v>
    <v t="i">944</v>
    <v t="i">945</v>
    <v t="i">946</v>
    <v t="i">947</v>
    <v t="i">948</v>
    <v t="i">951</v>
    <v t="i">952</v>
    <v t="i">953</v>
    <v t="i">954</v>
    <v t="i">955</v>
    <v t="i">958</v>
    <v t="i">959</v>
    <v t="i">960</v>
    <v t="i">961</v>
    <v t="i">962</v>
    <v t="i">965</v>
    <v t="i">966</v>
    <v t="i">967</v>
    <v t="i">968</v>
    <v t="i">969</v>
    <v t="i">972</v>
    <v t="i">973</v>
    <v t="i">974</v>
    <v t="i">975</v>
    <v t="i">976</v>
    <v t="i">979</v>
    <v t="i">980</v>
    <v t="i">981</v>
    <v t="i">982</v>
    <v t="i">983</v>
    <v t="i">986</v>
    <v t="i">987</v>
    <v t="i">988</v>
    <v t="i">989</v>
    <v t="i">990</v>
    <v t="i">993</v>
    <v t="i">994</v>
    <v t="i">995</v>
    <v t="i">996</v>
    <v t="i">997</v>
    <v t="i">1001</v>
    <v t="i">1002</v>
    <v t="i">1003</v>
    <v t="i">1004</v>
    <v t="i">1007</v>
    <v t="i">1008</v>
    <v t="i">1009</v>
    <v t="i">1010</v>
    <v t="i">1011</v>
    <v t="i">1014</v>
    <v t="i">1015</v>
    <v t="i">1016</v>
    <v t="i">1017</v>
    <v t="i">1018</v>
    <v t="i">1021</v>
    <v t="i">1022</v>
    <v t="i">1024</v>
    <v t="i">1025</v>
    <v t="i">1028</v>
    <v t="i">1029</v>
    <v t="i">1030</v>
    <v t="i">1031</v>
    <v t="i">1032</v>
    <v t="i">1035</v>
    <v t="i">1036</v>
    <v t="i">1037</v>
    <v t="i">1039</v>
    <v t="i">1042</v>
    <v t="i">1043</v>
    <v t="i">1044</v>
    <v t="i">1045</v>
    <v t="i">1046</v>
    <v t="i">1049</v>
    <v t="i">1050</v>
    <v t="i">1051</v>
    <v t="i">1052</v>
    <v t="i">1053</v>
    <v t="i">1056</v>
    <v t="i">1057</v>
    <v t="i">1058</v>
    <v t="i">1059</v>
    <v t="i">1060</v>
    <v t="i">1063</v>
    <v t="i">1064</v>
    <v t="i">1065</v>
    <v t="i">1066</v>
    <v t="i">1067</v>
    <v t="i">1070</v>
    <v t="i">1071</v>
    <v t="i">1072</v>
    <v t="i">1073</v>
    <v t="i">1074</v>
    <v t="i">1077</v>
    <v t="i">1078</v>
    <v t="i">1079</v>
    <v t="i">1080</v>
    <v t="i">1081</v>
    <v t="i">1084</v>
    <v t="i">1085</v>
    <v t="i">1086</v>
    <v t="i">1087</v>
    <v t="i">1088</v>
    <v t="i">1091</v>
    <v t="i">1092</v>
    <v t="i">1093</v>
    <v t="i">1094</v>
    <v t="i">1095</v>
    <v t="i">1099</v>
    <v t="i">1100</v>
    <v t="i">1101</v>
    <v t="i">1102</v>
    <v t="i">1105</v>
    <v t="i">1106</v>
    <v t="i">1107</v>
    <v t="i">1108</v>
    <v t="i">1109</v>
    <v t="i">1112</v>
    <v t="i">1113</v>
    <v t="i">1114</v>
    <v t="i">1115</v>
    <v t="i">1116</v>
    <v t="i">1119</v>
    <v t="i">1120</v>
    <v t="i">1121</v>
    <v t="i">1122</v>
    <v t="i">1123</v>
    <v t="i">1126</v>
    <v t="i">1127</v>
    <v t="i">1128</v>
    <v t="i">1129</v>
    <v t="i">1130</v>
    <v t="i">1133</v>
    <v t="i">1134</v>
    <v t="i">1135</v>
    <v t="i">1136</v>
    <v t="i">1137</v>
    <v t="i">1140</v>
    <v t="i">1141</v>
    <v t="i">1142</v>
    <v t="i">1143</v>
    <v t="i">1144</v>
    <v t="i">1147</v>
    <v t="i">1148</v>
    <v t="i">1149</v>
    <v t="i">1150</v>
    <v t="i">1151</v>
    <v t="i">1154</v>
    <v t="i">1155</v>
    <v t="i">1156</v>
    <v t="i">1157</v>
    <v t="i">1158</v>
    <v t="i">1161</v>
    <v t="i">1162</v>
    <v t="i">1163</v>
    <v t="i">1164</v>
    <v t="i">1165</v>
    <v t="i">1168</v>
    <v t="i">1169</v>
    <v t="i">1170</v>
    <v t="i">1171</v>
    <v t="i">1172</v>
    <v t="i">1175</v>
    <v t="i">1176</v>
    <v t="i">1177</v>
    <v t="i">1178</v>
    <v t="i">1179</v>
    <v t="i">1182</v>
    <v t="i">1183</v>
    <v t="i">1184</v>
    <v t="i">1186</v>
    <v t="i">1189</v>
    <v t="i">1190</v>
    <v t="i">1191</v>
    <v t="i">1192</v>
    <v t="i">1193</v>
    <v t="i">1196</v>
    <v t="i">1197</v>
    <v t="i">1198</v>
    <v t="i">1199</v>
    <v t="i">1200</v>
    <v t="i">1203</v>
    <v t="i">1204</v>
    <v t="i">1205</v>
    <v t="i">1206</v>
    <v t="i">1207</v>
    <v t="i">1210</v>
    <v t="i">1211</v>
    <v t="i">1213</v>
    <v t="i">1214</v>
    <v t="i">1217</v>
    <v t="i">1218</v>
    <v t="i">1220</v>
    <v t="i">1221</v>
    <v t="i">1224</v>
    <v t="i">1225</v>
    <v t="i">1226</v>
    <v t="i">1228</v>
    <v t="i">1231</v>
    <v t="i">1232</v>
    <v t="i">1233</v>
    <v t="i">1234</v>
    <v t="i">1235</v>
    <v t="i">1239</v>
    <v t="i">1240</v>
    <v t="i">1241</v>
    <v t="i">1242</v>
    <v t="i">1245</v>
    <v t="i">1246</v>
    <v t="i">1247</v>
    <v t="i">1248</v>
    <v t="i">1249</v>
    <v t="i">1252</v>
    <v t="i">1253</v>
    <v t="i">1254</v>
    <v t="i">1255</v>
    <v t="i">1256</v>
    <v t="i">1259</v>
    <v t="i">1260</v>
    <v t="i">1261</v>
    <v t="i">1262</v>
    <v t="i">1263</v>
    <v t="i">1267</v>
    <v t="i">1268</v>
    <v t="i">1269</v>
    <v t="i">1270</v>
    <v t="i">1273</v>
    <v t="i">1274</v>
    <v t="i">1275</v>
    <v t="i">1276</v>
    <v t="i">1277</v>
    <v t="i">1280</v>
    <v t="i">1281</v>
    <v t="i">1282</v>
    <v t="i">1283</v>
    <v t="i">1284</v>
    <v t="i">1287</v>
    <v t="i">1288</v>
    <v t="i">1289</v>
    <v t="i">1290</v>
    <v t="i">1291</v>
    <v t="i">1294</v>
    <v t="i">1295</v>
    <v t="i">1296</v>
    <v t="i">1297</v>
    <v t="i">1298</v>
    <v t="i">1301</v>
    <v t="i">1302</v>
    <v t="i">1303</v>
    <v t="i">1304</v>
    <v t="i">1305</v>
    <v t="i">1308</v>
    <v t="i">1309</v>
    <v t="i">1310</v>
    <v t="i">1311</v>
    <v t="i">1312</v>
    <v t="i">1315</v>
    <v t="i">1316</v>
    <v t="i">1317</v>
    <v t="i">1318</v>
    <v t="i">1319</v>
    <v t="i">1322</v>
    <v t="i">1323</v>
    <v t="i">1324</v>
    <v t="i">1325</v>
    <v t="i">1329</v>
    <v t="i">1330</v>
    <v t="i">1331</v>
    <v t="i">1332</v>
    <v t="i">1333</v>
    <v t="i">1336</v>
    <v t="i">1337</v>
    <v t="i">1338</v>
    <v t="i">1339</v>
    <v t="i">1340</v>
    <v t="i">1343</v>
    <v t="i">1344</v>
    <v t="i">1345</v>
    <v t="i">1346</v>
    <v t="i">1347</v>
    <v t="i">1350</v>
    <v t="i">1351</v>
    <v t="i">1352</v>
    <v t="i">1353</v>
    <v t="i">1354</v>
    <v t="i">1357</v>
    <v t="i">1358</v>
    <v t="i">1359</v>
    <v t="i">1360</v>
    <v t="i">1361</v>
    <v t="i">1365</v>
    <v t="i">1366</v>
    <v t="i">1367</v>
    <v t="i">1368</v>
    <v t="i">1371</v>
    <v t="i">1372</v>
    <v t="i">1373</v>
    <v t="i">1374</v>
    <v t="i">1375</v>
    <v t="i">1378</v>
    <v t="i">1379</v>
    <v t="i">1380</v>
    <v t="i">1381</v>
    <v t="i">1382</v>
    <v t="i">1385</v>
    <v t="i">1386</v>
    <v t="i">1387</v>
    <v t="i">1389</v>
    <v t="i">1392</v>
    <v t="i">1393</v>
    <v t="i">1394</v>
    <v t="i">1395</v>
    <v t="i">1396</v>
    <v t="i">1399</v>
    <v t="i">1400</v>
    <v t="i">1401</v>
    <v t="i">1402</v>
    <v t="i">1406</v>
    <v t="i">1407</v>
    <v t="i">1408</v>
    <v t="i">1409</v>
    <v t="i">1410</v>
    <v t="i">1413</v>
    <v t="i">1414</v>
    <v t="i">1415</v>
    <v t="i">1416</v>
    <v t="i">1417</v>
    <v t="i">1420</v>
    <v t="i">1421</v>
    <v t="i">1422</v>
    <v t="i">1423</v>
    <v t="i">1424</v>
    <v t="i">1427</v>
    <v t="i">1428</v>
    <v t="i">1429</v>
    <v t="i">1430</v>
    <v t="i">1431</v>
    <v t="i">1434</v>
    <v t="i">1435</v>
    <v t="i">1436</v>
    <v t="i">1437</v>
    <v t="i">1438</v>
    <v t="i">1441</v>
    <v t="i">1442</v>
    <v t="i">1443</v>
    <v t="i">1444</v>
    <v t="i">1445</v>
    <v t="i">1448</v>
    <v t="i">1449</v>
    <v t="i">1450</v>
    <v t="i">1451</v>
    <v t="i">1452</v>
    <v t="i">1455</v>
    <v t="i">1456</v>
    <v t="i">1457</v>
    <v t="i">1458</v>
    <v t="i">1459</v>
    <v t="i">1463</v>
    <v t="i">1464</v>
    <v t="i">1465</v>
    <v t="i">1466</v>
    <v t="i">1469</v>
    <v t="i">1470</v>
    <v t="i">1471</v>
    <v t="i">1472</v>
    <v t="i">1473</v>
    <v t="i">1476</v>
    <v t="i">1477</v>
    <v t="i">1478</v>
    <v t="i">1479</v>
    <v t="i">1480</v>
    <v t="i">1483</v>
    <v t="i">1484</v>
    <v t="i">1485</v>
    <v t="i">1486</v>
    <v t="i">1487</v>
    <v t="i">1490</v>
    <v t="i">1491</v>
    <v t="i">1492</v>
    <v t="i">1493</v>
    <v t="i">1494</v>
    <v t="i">1497</v>
    <v t="i">1498</v>
    <v t="i">1499</v>
    <v t="i">1500</v>
    <v t="i">1501</v>
    <v t="i">1504</v>
    <v t="i">1505</v>
    <v t="i">1506</v>
    <v t="i">1507</v>
    <v t="i">1508</v>
    <v t="i">1511</v>
    <v t="i">1512</v>
    <v t="i">1513</v>
    <v t="i">1514</v>
    <v t="i">1515</v>
    <v t="i">1518</v>
    <v t="i">1519</v>
    <v t="i">1520</v>
    <v t="i">1521</v>
    <v t="i">1522</v>
    <v t="i">1525</v>
    <v t="i">1526</v>
    <v t="i">1527</v>
    <v t="i">1528</v>
    <v t="i">1529</v>
    <v t="i">1532</v>
    <v t="i">1533</v>
    <v t="i">1534</v>
    <v t="i">1535</v>
    <v t="i">1536</v>
    <v t="i">1539</v>
    <v t="i">1540</v>
    <v t="i">1541</v>
    <v t="i">1542</v>
    <v t="i">1543</v>
    <v t="i">1546</v>
    <v t="i">1547</v>
    <v t="i">1548</v>
    <v t="i">1550</v>
    <v t="i">1553</v>
    <v t="i">1554</v>
    <v t="i">1555</v>
    <v t="i">1556</v>
    <v t="i">1557</v>
    <v t="i">1560</v>
    <v t="i">1561</v>
    <v t="i">1562</v>
    <v t="i">1563</v>
    <v t="i">1564</v>
    <v t="i">1567</v>
    <v t="i">1568</v>
    <v t="i">1569</v>
    <v t="i">1570</v>
    <v t="i">1571</v>
    <v t="i">1574</v>
    <v t="i">1575</v>
    <v t="i">1576</v>
    <v t="i">1578</v>
    <v t="i">1581</v>
    <v t="i">1582</v>
    <v t="i">1583</v>
    <v t="i">1585</v>
    <v t="i">1588</v>
    <v t="i">1589</v>
    <v t="i">1590</v>
    <v t="i">1591</v>
    <v t="i">1592</v>
    <v t="i">1595</v>
    <v t="i">1596</v>
    <v t="i">1597</v>
    <v t="i">1598</v>
    <v t="i">1599</v>
    <v t="i">1603</v>
    <v t="i">1604</v>
    <v t="i">1605</v>
    <v t="i">1606</v>
    <v t="i">1609</v>
    <v t="i">1610</v>
    <v t="i">1611</v>
    <v t="i">1612</v>
    <v t="i">1613</v>
    <v t="i">1616</v>
    <v t="i">1617</v>
    <v t="i">1618</v>
    <v t="i">1619</v>
    <v t="i">1620</v>
    <v t="i">1623</v>
    <v t="i">1624</v>
    <v t="i">1625</v>
    <v t="i">1626</v>
    <v t="i">1627</v>
    <v t="i">1631</v>
    <v t="i">1632</v>
    <v t="i">1633</v>
    <v t="i">1634</v>
    <v t="i">1637</v>
    <v t="i">1638</v>
    <v t="i">1639</v>
    <v t="i">1640</v>
    <v t="i">1641</v>
    <v t="i">1644</v>
    <v t="i">1645</v>
    <v t="i">1646</v>
    <v t="i">1647</v>
    <v t="i">1648</v>
    <v t="i">1651</v>
    <v t="i">1652</v>
    <v t="i">1653</v>
    <v t="i">1654</v>
    <v t="i">1655</v>
    <v t="i">1658</v>
    <v t="i">1659</v>
    <v t="i">1660</v>
    <v t="i">1661</v>
    <v t="i">1662</v>
    <v t="i">1665</v>
    <v t="i">1666</v>
    <v t="i">1667</v>
    <v t="i">1668</v>
    <v t="i">1669</v>
    <v t="i">1672</v>
    <v t="i">1673</v>
    <v t="i">1674</v>
    <v t="i">1675</v>
    <v t="i">1679</v>
    <v t="i">1680</v>
    <v t="i">1681</v>
    <v t="i">1682</v>
    <v t="i">1683</v>
    <v t="i">1686</v>
    <v t="i">1687</v>
    <v t="i">1688</v>
    <v t="i">1689</v>
    <v t="i">1690</v>
    <v t="i">1693</v>
    <v t="i">1694</v>
    <v t="i">1695</v>
    <v t="i">1696</v>
    <v t="i">1697</v>
    <v t="i">1700</v>
    <v t="i">1701</v>
    <v t="i">1702</v>
    <v t="i">1703</v>
    <v t="i">1704</v>
    <v t="i">1707</v>
    <v t="i">1708</v>
    <v t="i">1709</v>
    <v t="i">1710</v>
    <v t="i">1711</v>
    <v t="i">1714</v>
    <v t="i">1715</v>
    <v t="i">1716</v>
    <v t="i">1717</v>
    <v t="i">1718</v>
    <v t="i">1721</v>
    <v t="i">1722</v>
    <v t="i">1723</v>
    <v t="i">1724</v>
    <v t="i">1725</v>
    <v t="i">1729</v>
    <v t="i">1730</v>
    <v t="i">1731</v>
    <v t="i">1732</v>
    <v t="i">1735</v>
    <v t="i">1736</v>
    <v t="i">1737</v>
    <v t="i">1738</v>
    <v t="i">1739</v>
    <v t="i">1742</v>
    <v t="i">1743</v>
    <v t="i">1744</v>
    <v t="i">1745</v>
    <v t="i">1746</v>
    <v t="i">1749</v>
    <v t="i">1750</v>
    <v t="i">1751</v>
    <v t="i">1752</v>
    <v t="i">1756</v>
    <v t="i">1757</v>
    <v t="i">1758</v>
    <v t="i">1759</v>
    <v t="i">1760</v>
    <v t="i">1763</v>
    <v t="i">1764</v>
    <v t="i">1765</v>
    <v t="i">1766</v>
    <v t="i">1770</v>
    <v t="i">1771</v>
    <v t="i">1772</v>
    <v t="i">1773</v>
    <v t="i">1774</v>
    <v t="i">1777</v>
    <v t="i">1778</v>
    <v t="i">1779</v>
    <v t="i">1780</v>
    <v t="i">1781</v>
    <v t="i">1784</v>
    <v t="i">1785</v>
    <v t="i">1786</v>
    <v t="i">1787</v>
    <v t="i">1788</v>
    <v t="i">1791</v>
    <v t="i">1792</v>
    <v t="i">1793</v>
    <v t="i">1794</v>
    <v t="i">1795</v>
    <v t="i">1798</v>
    <v t="i">1799</v>
    <v t="i">1800</v>
    <v t="i">1801</v>
    <v t="i">1802</v>
    <v t="i">1805</v>
    <v t="i">1806</v>
    <v t="i">1807</v>
    <v t="i">1808</v>
    <v t="i">1809</v>
    <v t="i">1812</v>
    <v t="i">1813</v>
    <v t="i">1814</v>
    <v t="i">1815</v>
    <v t="i">1816</v>
    <v t="i">1819</v>
    <v t="i">1820</v>
    <v t="i">1821</v>
    <v t="i">1822</v>
    <v t="i">1823</v>
    <v t="i">1826</v>
    <v t="i">1827</v>
    <v t="i">1828</v>
    <v t="i">1829</v>
    <v t="i">1830</v>
  </a>
  <a r="1" c="1259">
    <v>89.13</v>
    <v>89.95</v>
    <v>89.8</v>
    <v>90</v>
    <v>88.72</v>
    <v>89.47</v>
    <v>89.54</v>
    <v>89.68</v>
    <v>88.89</v>
    <v>86.39</v>
    <v>87.73</v>
    <v>87.25</v>
    <v>86.39</v>
    <v>86.17</v>
    <v>86.92</v>
    <v>88.44</v>
    <v>89.42</v>
    <v>89.94</v>
    <v>91.04</v>
    <v>90.49</v>
    <v>91.25</v>
    <v>87.13</v>
    <v>89.74</v>
    <v>89.26</v>
    <v>91.49</v>
    <v>91.34</v>
    <v>92.31</v>
    <v>94.39</v>
    <v>95.29</v>
    <v>95.57</v>
    <v>96.4</v>
    <v>95.28</v>
    <v>95.33</v>
    <v>96.51</v>
    <v>97.06</v>
    <v>96.64</v>
    <v>96.3</v>
    <v>98.25</v>
    <v>97.89</v>
    <v>96.98</v>
    <v>96.03</v>
    <v>96.23</v>
    <v>95.94</v>
    <v>94.38</v>
    <v>95.87</v>
    <v>96.15</v>
    <v>95.63</v>
    <v>94.95</v>
    <v>95.14</v>
    <v>94.59</v>
    <v>93.83</v>
    <v>94.04</v>
    <v>93.54</v>
    <v>94.02</v>
    <v>95.61</v>
    <v>95.33</v>
    <v>94.66</v>
    <v>93.97</v>
    <v>94.61</v>
    <v>92.94</v>
    <v>93.58</v>
    <v>92.33</v>
    <v>92.94</v>
    <v>90.74</v>
    <v>89.75</v>
    <v>89.99</v>
    <v>88.24</v>
    <v>88.94</v>
    <v>90.05</v>
    <v>88.94</v>
    <v>88.77</v>
    <v>102.63</v>
    <v>100.89</v>
    <v>99.89</v>
    <v>103.65</v>
    <v>103.22</v>
    <v>96.62</v>
    <v>91.64</v>
    <v>91.51</v>
    <v>89.86</v>
    <v>89.72</v>
    <v>89.54</v>
    <v>88.65</v>
    <v>88.21</v>
    <v>88.01</v>
    <v>87.21</v>
    <v>87.9</v>
    <v>88.84</v>
    <v>86.46</v>
    <v>86.34</v>
    <v>87.51</v>
    <v>89.28</v>
    <v>88.48</v>
    <v>88.31</v>
    <v>87.79</v>
    <v>87.69</v>
    <v>85.55</v>
    <v>83.38</v>
    <v>82.72</v>
    <v>82.22</v>
    <v>82.42</v>
    <v>81.069999999999993</v>
    <v>79.59</v>
    <v>79.78</v>
    <v>80.48</v>
    <v>81.16</v>
    <v>81.040000000000006</v>
    <v>82.5</v>
    <v>81.94</v>
    <v>82.11</v>
    <v>80.739999999999995</v>
    <v>80.790000000000006</v>
    <v>83.45</v>
    <v>81.849999999999994</v>
    <v>79.75</v>
    <v>78.95</v>
    <v>79.77</v>
    <v>79.19</v>
    <v>75.53</v>
    <v>74.569999999999993</v>
    <v>74.12</v>
    <v>72.47</v>
    <v>74.81</v>
    <v>76.349999999999994</v>
    <v>75.97</v>
    <v>76.010000000000005</v>
    <v>78.28</v>
    <v>78.25</v>
    <v>76.489999999999995</v>
    <v>74.319999999999993</v>
    <v>73.33</v>
    <v>76.099999999999994</v>
    <v>76.650000000000006</v>
    <v>77.819999999999993</v>
    <v>77.069999999999993</v>
    <v>80.599999999999994</v>
    <v>79.959999999999994</v>
    <v>80.599999999999994</v>
    <v>81.680000000000007</v>
    <v>80.959999999999994</v>
    <v>81.8</v>
    <v>80.39</v>
    <v>82.24</v>
    <v>81.73</v>
    <v>83.6</v>
    <v>84.29</v>
    <v>83.36</v>
    <v>82.73</v>
    <v>82.01</v>
    <v>84.07</v>
    <v>82.94</v>
    <v>82.12</v>
    <v>81.540000000000006</v>
    <v>80.94</v>
    <v>79.760000000000005</v>
    <v>79.33</v>
    <v>79.75</v>
    <v>79.45</v>
    <v>78.22</v>
    <v>79.56</v>
    <v>80.290000000000006</v>
    <v>79.48</v>
    <v>76.209999999999994</v>
    <v>76.98</v>
    <v>74.510000000000005</v>
    <v>74.760000000000005</v>
    <v>76.14</v>
    <v>73.400000000000006</v>
    <v>74</v>
    <v>73.290000000000006</v>
    <v>75.209999999999994</v>
    <v>72.8</v>
    <v>72.489999999999995</v>
    <v>71.540000000000006</v>
    <v>72.53</v>
    <v>71.03</v>
    <v>70.73</v>
    <v>71.17</v>
    <v>69.709999999999994</v>
    <v>71.88</v>
    <v>68.3</v>
    <v>67.040000000000006</v>
    <v>68.63</v>
    <v>70.040000000000006</v>
    <v>69.03</v>
    <v>69.83</v>
    <v>71.66</v>
    <v>72.78</v>
    <v>71.92</v>
    <v>71.599999999999994</v>
    <v>73.14</v>
    <v>71.790000000000006</v>
    <v>72.97</v>
    <v>72.69</v>
    <v>71.38</v>
    <v>69.22</v>
    <v>67.14</v>
    <v>64.05</v>
    <v>70.72</v>
    <v>69.7</v>
    <v>68.709999999999994</v>
    <v>67.72</v>
    <v>67.680000000000007</v>
    <v>66.53</v>
    <v>67.63</v>
    <v>70.7</v>
    <v>70.41</v>
    <v>68.58</v>
    <v>69.209999999999994</v>
    <v>69.87</v>
    <v>70.87</v>
    <v>71.989999999999995</v>
    <v>71.66</v>
    <v>71.83</v>
    <v>71.87</v>
    <v>71.569999999999993</v>
    <v>70.41</v>
    <v>70.03</v>
    <v>69.45</v>
    <v>70.739999999999995</v>
    <v>70.209999999999994</v>
    <v>72.239999999999995</v>
    <v>72.59</v>
    <v>74.540000000000006</v>
    <v>74.900000000000006</v>
    <v>74.86</v>
    <v>74.03</v>
    <v>75.87</v>
    <v>77.040000000000006</v>
    <v>77.84</v>
    <v>77.44</v>
    <v>76.349999999999994</v>
    <v>77.37</v>
    <v>77.400000000000006</v>
    <v>77.349999999999994</v>
    <v>76.47</v>
    <v>76.77</v>
    <v>77.540000000000006</v>
    <v>77.16</v>
    <v>79.150000000000006</v>
    <v>79.11</v>
    <v>79.52</v>
    <v>79.25</v>
    <v>79.319999999999993</v>
    <v>78.66</v>
    <v>76.459999999999994</v>
    <v>76.41</v>
    <v>76.17</v>
    <v>76.89</v>
    <v>74.650000000000006</v>
    <v>74.19</v>
    <v>74.14</v>
    <v>74.150000000000006</v>
    <v>75.3</v>
    <v>74.680000000000007</v>
    <v>73.83</v>
    <v>74.489999999999995</v>
    <v>74.650000000000006</v>
    <v>75.91</v>
    <v>77.08</v>
    <v>76.040000000000006</v>
    <v>72.12</v>
    <v>70.239999999999995</v>
    <v>68.83</v>
    <v>69.069999999999993</v>
    <v>68.11</v>
    <v>66.75</v>
    <v>66.03</v>
    <v>64.55</v>
    <v>63.45</v>
    <v>62.42</v>
    <v>63.07</v>
    <v>61.4</v>
    <v>61.07</v>
    <v>63.08</v>
    <v>65.69</v>
    <v>66.64</v>
    <v>65.3</v>
    <v>63.29</v>
    <v>62.57</v>
    <v>62.41</v>
    <v>63.78</v>
    <v>65.2</v>
    <v>64.31</v>
    <v>67.02</v>
    <v>67.03</v>
    <v>66.3</v>
    <v>69.25</v>
    <v>72.7</v>
    <v>72.92</v>
    <v>73.14</v>
    <v>74.819999999999993</v>
    <v>75.150000000000006</v>
    <v>77.36</v>
    <v>78.069999999999993</v>
    <v>77.11</v>
    <v>75.12</v>
    <v>75.03</v>
    <v>76</v>
    <v>76.739999999999995</v>
    <v>75.64</v>
    <v>75.66</v>
    <v>77.17</v>
    <v>77.739999999999995</v>
    <v>78.53</v>
    <v>79.180000000000007</v>
    <v>79.89</v>
    <v>79.2</v>
    <v>79.73</v>
    <v>79.819999999999993</v>
    <v>82.12</v>
    <v>82.56</v>
    <v>82.72</v>
    <v>81.39</v>
    <v>80.849999999999994</v>
    <v>83.03</v>
    <v>84.11</v>
    <v>83.35</v>
    <v>79.430000000000007</v>
    <v>78.91</v>
    <v>78.78</v>
    <v>80.069999999999993</v>
    <v>79.86</v>
    <v>81.28</v>
    <v>80.56</v>
    <v>81.819999999999993</v>
    <v>80.069999999999993</v>
    <v>79.58</v>
    <v>80.5</v>
    <v>80.94</v>
    <v>81.5</v>
    <v>80.489999999999995</v>
    <v>80.849999999999994</v>
    <v>80.98</v>
    <v>80.33</v>
    <v>81.400000000000006</v>
    <v>81.739999999999995</v>
    <v>83.72</v>
    <v>84.48</v>
    <v>84.31</v>
    <v>85.66</v>
    <v>86.42</v>
    <v>86.5</v>
    <v>88.6</v>
    <v>88.78</v>
    <v>89.2</v>
    <v>88.6</v>
    <v>86.71</v>
    <v>85.94</v>
    <v>87.25</v>
    <v>88.97</v>
    <v>89.7</v>
    <v>89.64</v>
    <v>89.83</v>
    <v>88.99</v>
    <v>87.35</v>
    <v>88.46</v>
    <v>90.05</v>
    <v>89.38</v>
    <v>89.62</v>
    <v>88.53</v>
    <v>87.74</v>
    <v>86.69</v>
    <v>86.65</v>
    <v>87.14</v>
    <v>89.42</v>
    <v>89.09</v>
    <v>88.34</v>
    <v>87.72</v>
    <v>87.28</v>
    <v>86.2</v>
    <v>86.32</v>
    <v>88.58</v>
    <v>88.66</v>
    <v>87.96</v>
    <v>87.4</v>
    <v>86.34</v>
    <v>86.97</v>
    <v>89.25</v>
    <v>89.74</v>
    <v>88.36</v>
    <v>88.49</v>
    <v>86.87</v>
    <v>84.07</v>
    <v>84.93</v>
    <v>84.56</v>
    <v>82.98</v>
    <v>84.82</v>
    <v>85.26</v>
    <v>86.96</v>
    <v>87.58</v>
    <v>87.9</v>
    <v>87.78</v>
    <v>88.01</v>
    <v>90.14</v>
    <v>89.85</v>
    <v>90.62</v>
    <v>90.51</v>
    <v>92.92</v>
    <v>93.92</v>
    <v>94</v>
    <v>94.89</v>
    <v>95.92</v>
    <v>93.76</v>
    <v>93.97</v>
    <v>93.9</v>
    <v>95.55</v>
    <v>95.71</v>
    <v>95.59</v>
    <v>96.47</v>
    <v>95.81</v>
    <v>94.83</v>
    <v>95.15</v>
    <v>95.44</v>
    <v>94.06</v>
    <v>93.71</v>
    <v>95.04</v>
    <v>94.72</v>
    <v>94.87</v>
    <v>94.8</v>
    <v>94.78</v>
    <v>94.97</v>
    <v>96.97</v>
    <v>96.79</v>
    <v>96.14</v>
    <v>97.52</v>
    <v>97.44</v>
    <v>97.85</v>
    <v>97.26</v>
    <v>98.25</v>
    <v>99.77</v>
    <v>102.34</v>
    <v>102.84</v>
    <v>101.77</v>
    <v>98.54</v>
    <v>98.32</v>
    <v>104.29</v>
    <v>104.08</v>
    <v>105.15</v>
    <v>105.94</v>
    <v>105.99</v>
    <v>105.89</v>
    <v>106.93</v>
    <v>107.1</v>
    <v>105.25</v>
    <v>107.48</v>
    <v>109.85</v>
    <v>116.43</v>
    <v>116.68</v>
    <v>122.27</v>
    <v>126.55</v>
    <v>125.46</v>
    <v>122.04</v>
    <v>122.1</v>
    <v>120.58</v>
    <v>118.64</v>
    <v>116.78</v>
    <v>117.84</v>
    <v>116.53</v>
    <v>117.78</v>
    <v>119.09</v>
    <v>117.15</v>
    <v>115.96</v>
    <v>115.45</v>
    <v>114.61</v>
    <v>114.38</v>
    <v>114.88</v>
    <v>116.02</v>
    <v>117.45</v>
    <v>119.27</v>
    <v>118.89</v>
    <v>120.77</v>
    <v>118.69</v>
    <v>115.88</v>
    <v>117.65</v>
    <v>118.07</v>
    <v>117.95</v>
    <v>115.5</v>
    <v>116.4</v>
    <v>115.99</v>
    <v>117.23</v>
    <v>117.91</v>
    <v>115.71</v>
    <v>114.55</v>
    <v>114.44</v>
    <v>116.1</v>
    <v>115.23</v>
    <v>113.1</v>
    <v>112.99</v>
    <v>113.06</v>
    <v>115.57</v>
    <v>117.29</v>
    <v>115.34</v>
    <v>114.88</v>
    <v>116.46</v>
    <v>116.59</v>
    <v>116.54</v>
    <v>117.84</v>
    <v>112.91</v>
    <v>116.06</v>
    <v>116.84</v>
    <v>120.65</v>
    <v>121.12</v>
    <v>120.39</v>
    <v>120.93</v>
    <v>123.98</v>
    <v>124.33</v>
    <v>125.09</v>
    <v>126.32</v>
    <v>126.71</v>
    <v>109.61</v>
    <v>111.84</v>
    <v>113.66</v>
    <v>113.91</v>
    <v>112.21</v>
    <v>112.77</v>
    <v>112.87</v>
    <v>109.43</v>
    <v>109.03</v>
    <v>108.3</v>
    <v>104.88</v>
    <v>104.62</v>
    <v>106.15</v>
    <v>105.92</v>
    <v>106.71</v>
    <v>104.52</v>
    <v>107.08</v>
    <v>108.35</v>
    <v>109.96</v>
    <v>110.32</v>
    <v>109.71</v>
    <v>109.64</v>
    <v>109.11</v>
    <v>108.25</v>
    <v>108.71</v>
    <v>109.04</v>
    <v>108.25</v>
    <v>108.34</v>
    <v>101.85</v>
    <v>103.66</v>
    <v>103.2</v>
    <v>101.43</v>
    <v>100.4</v>
    <v>100.99</v>
    <v>101.65</v>
    <v>103.4</v>
    <v>105.75</v>
    <v>106.87</v>
    <v>108.05</v>
    <v>109.11</v>
    <v>108.99</v>
    <v>112.33</v>
    <v>112.18</v>
    <v>113.07</v>
    <v>114.15</v>
    <v>116.1</v>
    <v>114.06</v>
    <v>114.67</v>
    <v>115.36</v>
    <v>116.92</v>
    <v>116.08</v>
    <v>116.24</v>
    <v>116.25</v>
    <v>116.47</v>
    <v>116.24</v>
    <v>116.21</v>
    <v>116.21</v>
    <v>117.16</v>
    <v>115.78</v>
    <v>114.53</v>
    <v>112.03</v>
    <v>112.87</v>
    <v>113.61</v>
    <v>115.13</v>
    <v>100.81</v>
    <v>102.99</v>
    <v>100.31</v>
    <v>103.32</v>
    <v>105</v>
    <v>106.25</v>
    <v>104.15</v>
    <v>105.86</v>
    <v>106.2</v>
    <v>106.19</v>
    <v>105.94</v>
    <v>106.25</v>
    <v>105.43</v>
    <v>104.06</v>
    <v>102.46</v>
    <v>102.59</v>
    <v>102.73</v>
    <v>104.66</v>
    <v>103.63</v>
    <v>103.92</v>
    <v>104.77</v>
    <v>106.6</v>
    <v>106.57</v>
    <v>106.43</v>
    <v>108.7</v>
    <v>109.67</v>
    <v>110.1</v>
    <v>111.83</v>
    <v>114.31</v>
    <v>115</v>
    <v>114.64</v>
    <v>113.75</v>
    <v>114.16</v>
    <v>111.7</v>
    <v>115.53</v>
    <v>115.79</v>
    <v>116.39</v>
    <v>115.3</v>
    <v>117.27</v>
    <v>116.68</v>
    <v>116.64</v>
    <v>115.84</v>
    <v>113.68</v>
    <v>114.26</v>
    <v>112.78</v>
    <v>111.31</v>
    <v>108.45</v>
    <v>108.16</v>
    <v>111.01</v>
    <v>111.95</v>
    <v>110.97</v>
    <v>111.38</v>
    <v>111.68</v>
    <v>111.68</v>
    <v>113.78</v>
    <v>114.06</v>
    <v>110.94</v>
    <v>112.27</v>
    <v>114.54</v>
    <v>112.42</v>
    <v>114.13</v>
    <v>127.54</v>
    <v>125.52</v>
    <v>125.53</v>
    <v>125.54</v>
    <v>127.8</v>
    <v>129.19</v>
    <v>129.24</v>
    <v>129.01</v>
    <v>127.79</v>
    <v>126.08</v>
    <v>126.47</v>
    <v>125.27</v>
    <v>125.61</v>
    <v>125.48</v>
    <v>124.34</v>
    <v>126.24</v>
    <v>124.19</v>
    <v>124.9</v>
    <v>124.35</v>
    <v>123.23</v>
    <v>121.75</v>
    <v>123.24</v>
    <v>121.11</v>
    <v>119.88</v>
    <v>120.62</v>
    <v>118.67</v>
    <v>116</v>
    <v>114.88</v>
    <v>114.53</v>
    <v>115.09</v>
    <v>115.34</v>
    <v>114.89</v>
    <v>117.21</v>
    <v>116.49</v>
    <v>113.75</v>
    <v>114.63</v>
    <v>114.96</v>
    <v>115.8</v>
    <v>118.34</v>
    <v>117.93</v>
    <v>117.39</v>
    <v>116.64</v>
    <v>116.67</v>
    <v>116.37</v>
    <v>120.87</v>
    <v>121.63</v>
    <v>122.16</v>
    <v>123.5</v>
    <v>124.52</v>
    <v>124.63</v>
    <v>124.6</v>
    <v>124.09</v>
    <v>122.91</v>
    <v>124.49</v>
    <v>123.74</v>
    <v>117.09</v>
    <v>117.19</v>
    <v>119.28</v>
    <v>120.07</v>
    <v>122.63</v>
    <v>123.5</v>
    <v>125.92</v>
    <v>124.5</v>
    <v>123.88</v>
    <v>140.38</v>
    <v>139.85</v>
    <v>138.13</v>
    <v>141.31</v>
    <v>144.63999999999999</v>
    <v>142.91</v>
    <v>141.5</v>
    <v>139.88999999999999</v>
    <v>139.16999999999999</v>
    <v>138.22999999999999</v>
    <v>140.18</v>
    <v>141.19999999999999</v>
    <v>143.09</v>
    <v>143.28</v>
    <v>144.38</v>
    <v>144.83000000000001</v>
    <v>145.03</v>
    <v>140.68</v>
    <v>142.07</v>
    <v>142.76</v>
    <v>144.77000000000001</v>
    <v>143.07</v>
    <v>142.61000000000001</v>
    <v>139.26</v>
    <v>138.03</v>
    <v>138.56</v>
    <v>140.16999999999999</v>
    <v>143.11000000000001</v>
    <v>138.77000000000001</v>
    <v>137.82</v>
    <v>139.01</v>
    <v>138.31</v>
    <v>135.66999999999999</v>
    <v>139.44999999999999</v>
    <v>137.51</v>
    <v>133.28</v>
    <v>127.86</v>
    <v>128.21</v>
    <v>125.9</v>
    <v>128.96</v>
    <v>132.06</v>
    <v>132.58000000000001</v>
    <v>134.26</v>
    <v>135.6</v>
    <v>136.93</v>
    <v>137.47</v>
    <v>137.91999999999999</v>
    <v>139.16999999999999</v>
    <v>140.19999999999999</v>
    <v>138.08000000000001</v>
    <v>139.19</v>
    <v>138.9</v>
    <v>138.47999999999999</v>
    <v>137.88</v>
    <v>139.41999999999999</v>
    <v>141.29</v>
    <v>139.5</v>
    <v>140.75</v>
    <v>142.61000000000001</v>
    <v>141.81</v>
    <v>139.88999999999999</v>
    <v>155.88999999999999</v>
    <v>157.18</v>
    <v>161.38</v>
    <v>162.03</v>
    <v>170.33</v>
    <v>167.47</v>
    <v>164.53</v>
    <v>167.59</v>
    <v>168</v>
    <v>165.95</v>
    <v>165.8</v>
    <v>166.28</v>
    <v>168.1</v>
    <v>168.74</v>
    <v>170.4</v>
    <v>167.16</v>
    <v>167.71</v>
    <v>166.86</v>
    <v>170.86</v>
    <v>169.97</v>
    <v>174.37</v>
    <v>178.29</v>
    <v>175.41</v>
    <v>175.77</v>
    <v>176.12</v>
    <v>174.09</v>
    <v>174.77</v>
    <v>175.68</v>
    <v>174.69</v>
    <v>173.76</v>
    <v>175.31</v>
    <v>173.1</v>
    <v>174.38</v>
    <v>173.52</v>
    <v>172.42</v>
    <v>173.43</v>
    <v>174.56</v>
    <v>167.84</v>
    <v>170.02</v>
    <v>169.59</v>
    <v>171.78</v>
    <v>181.24</v>
    <v>186.37</v>
    <v>189.25</v>
    <v>189.13</v>
    <v>189.58</v>
    <v>189.63</v>
    <v>187.05</v>
    <v>183.74</v>
    <v>185.73</v>
    <v>188.9</v>
    <v>190.75</v>
    <v>192.43</v>
    <v>192.29</v>
    <v>187.99</v>
    <v>190.37</v>
    <v>182.7</v>
    <v>184.84</v>
    <v>181.41</v>
    <v>182.89</v>
    <v>188.19</v>
    <v>186.24</v>
    <v>191.69</v>
    <v>190.45</v>
    <v>177.74</v>
    <v>178.58</v>
    <v>175.32</v>
    <v>173.39</v>
    <v>171.23</v>
    <v>169.71</v>
    <v>165.41</v>
    <v>168.79</v>
    <v>169.66</v>
    <v>169.14</v>
    <v>171.41</v>
    <v>171.68</v>
    <v>168.96</v>
    <v>166.91</v>
    <v>166.64</v>
    <v>166.03</v>
    <v>166.32</v>
    <v>165.69</v>
    <v>162.03</v>
    <v>163.13999999999999</v>
    <v>154.5</v>
    <v>153.91999999999999</v>
    <v>156.31</v>
    <v>158.31</v>
    <v>159.54</v>
    <v>161.03</v>
    <v>172.57</v>
    <v>184.22</v>
    <v>186.47</v>
    <v>183.6</v>
    <v>158.28</v>
    <v>164</v>
    <v>162.02000000000001</v>
    <v>170.38</v>
    <v>170.06</v>
    <v>168.6</v>
    <v>167.89</v>
    <v>171.66</v>
    <v>172.35</v>
    <v>174.46</v>
    <v>178.92</v>
    <v>177.19</v>
    <v>172.22</v>
    <v>173.86</v>
    <v>174.16</v>
    <v>179.8</v>
    <v>181.52</v>
    <v>176</v>
    <v>167.81</v>
    <v>169.96</v>
    <v>168.54</v>
    <v>172.47</v>
    <v>164.76</v>
    <v>166.06</v>
    <v>162.02000000000001</v>
    <v>157.47</v>
    <v>161.56</v>
    <v>150.94</v>
    <v>155.16</v>
    <v>148.79</v>
    <v>144.18</v>
    <v>150.88999999999999</v>
    <v>147.66</v>
    <v>149.27000000000001</v>
    <v>154.01</v>
    <v>149.44999999999999</v>
    <v>152.44999999999999</v>
    <v>152.72</v>
    <v>152.22999999999999</v>
    <v>154.87</v>
    <v>153.93</v>
    <v>147.80000000000001</v>
    <v>145.78</v>
    <v>140.87</v>
    <v>139.81</v>
    <v>141.94</v>
    <v>145.86000000000001</v>
    <v>137.22999999999999</v>
    <v>128.27000000000001</v>
    <v>127.16</v>
    <v>124.5</v>
    <v>139.69</v>
    <v>133.35</v>
    <v>132.35</v>
    <v>134.63999999999999</v>
    <v>133.94</v>
    <v>129.76</v>
    <v>128.62</v>
    <v>122.82</v>
    <v>127.24</v>
    <v>131.4</v>
    <v>137.51</v>
    <v>138.49</v>
    <v>140.13999999999999</v>
    <v>140.79</v>
    <v>140.72</v>
    <v>145.49</v>
    <v>150.72999999999999</v>
    <v>149.29</v>
    <v>147.69999999999999</v>
    <v>149.37</v>
    <v>150.30000000000001</v>
    <v>150.34</v>
    <v>157.22</v>
    <v>162.27000000000001</v>
    <v>162.94999999999999</v>
    <v>159.4</v>
    <v>160.49</v>
    <v>159.63999999999999</v>
    <v>160.31</v>
    <v>157.18</v>
    <v>157.31</v>
    <v>155.97</v>
    <v>161.91</v>
    <v>163.85</v>
    <v>162.9</v>
    <v>165.53</v>
    <v>166.57</v>
    <v>169.14</v>
    <v>168.1</v>
    <v>171.14</v>
    <v>174.02</v>
    <v>177.15</v>
    <v>177.48</v>
    <v>176.38</v>
    <v>199.86</v>
    <v>215.22</v>
    <v>211.1</v>
    <v>208.18</v>
    <v>210.87</v>
    <v>205.17</v>
    <v>207.04</v>
    <v>215.27</v>
    <v>210.72</v>
    <v>212.82</v>
    <v>210.24</v>
    <v>218.63</v>
    <v>218.96</v>
    <v>229.98</v>
    <v>237.32</v>
    <v>232.26</v>
    <v>234.5</v>
    <v>235.81</v>
    <v>235</v>
    <v>230.56</v>
    <v>229.28</v>
    <v>234.96</v>
    <v>241.3</v>
    <v>248.75</v>
    <v>245.45</v>
    <v>243.54</v>
    <v>238.11</v>
    <v>241.9</v>
    <v>242.83</v>
    <v>245.12</v>
    <v>247.71</v>
    <v>249.98</v>
    <v>250.6</v>
    <v>253.77</v>
    <v>244.42</v>
    <v>252.53</v>
    <v>255.67</v>
    <v>256.43</v>
    <v>249.39</v>
    <v>250.05</v>
    <v>252.68</v>
    <v>253.86</v>
    <v>244.18</v>
    <v>244.96</v>
    <v>248.28</v>
    <v>249.07</v>
    <v>234.62</v>
    <v>235.06</v>
    <v>233.16</v>
    <v>236.37</v>
    <v>235.41</v>
    <v>234.21</v>
    <v>235.81</v>
    <v>240.32</v>
    <v>226.13</v>
    <v>225.3</v>
    <v>223.45</v>
    <v>223</v>
    <v>232.8</v>
    <v>238.48</v>
    <v>241.51</v>
    <v>328.33</v>
    <v>307.86</v>
    <v>292.18</v>
    <v>302.14</v>
    <v>306.64999999999998</v>
    <v>301.41000000000003</v>
    <v>296.62</v>
    <v>308.66000000000003</v>
    <v>328.15</v>
    <v>313.83</v>
    <v>308.45999999999998</v>
    <v>291.33</v>
    <v>283.45999999999998</v>
    <v>282.76</v>
    <v>281.24</v>
    <v>289.01</v>
    <v>288.77999999999997</v>
    <v>286.14</v>
    <v>291.58999999999997</v>
    <v>284.24</v>
    <v>288.63</v>
    <v>296.95999999999998</v>
    <v>292.95999999999998</v>
    <v>308.01</v>
    <v>299</v>
    <v>303.62</v>
    <v>313</v>
    <v>291.31</v>
    <v>277.18</v>
    <v>275.14999999999998</v>
    <v>272.66000000000003</v>
    <v>280.07</v>
    <v>283.33</v>
    <v>281.39999999999998</v>
    <v>280.83</v>
    <v>275.3</v>
    <v>256.89</v>
    <v>262.61</v>
    <v>257.85000000000002</v>
    <v>248.17</v>
    <v>250.31</v>
    <v>243.8</v>
    <v>239.26</v>
    <v>240.83</v>
    <v>236.15</v>
    <v>226.99</v>
    <v>217.57</v>
    <v>222.85</v>
    <v>219.86</v>
    <v>220.49</v>
    <v>225.53</v>
    <v>210.69</v>
    <v>198.76</v>
    <v>200.28</v>
    <v>197.03</v>
    <v>204.96</v>
    <v>201.95</v>
    <v>200.94</v>
    <v>201.1</v>
    <v>207.73</v>
    <v>214.33</v>
    <v>217.58</v>
    <v>220.54</v>
    <v>221.53</v>
    <v>223.01</v>
    <v>198.85</v>
    <v>189.97</v>
    <v>184.92</v>
    <v>188.65</v>
    <v>178.46</v>
    <v>180.03</v>
    <v>191.97</v>
    <v>198.38</v>
    <v>195.34</v>
    <v>197.49</v>
    <v>197.99</v>
    <v>195.38</v>
    <v>197.21</v>
    <v>194.91</v>
    <v>195.71</v>
    <v>192.59</v>
    <v>193.75</v>
    <v>192.84</v>
    <v>189.65</v>
    <v>198.52</v>
    <v>204.68</v>
    <v>202.29</v>
    <v>193.61</v>
    <v>189.85</v>
    <v>191.09</v>
    <v>179.92</v>
    <v>173.88</v>
    <v>178.18</v>
    <v>177.16</v>
    <v>182.44</v>
    <v>174.9</v>
    <v>172.8</v>
    <v>169.01</v>
    <v>164.58</v>
    <v>160.06</v>
    <v>154.66999999999999</v>
    <v>146.66999999999999</v>
    <v>136.47999999999999</v>
    <v>142.82</v>
    <v>156.59</v>
    <v>159.88999999999999</v>
    <v>157.16</v>
    <v>156.47999999999999</v>
    <v>160.13999999999999</v>
    <v>153.97</v>
    <v>156.16999999999999</v>
    <v>156.54</v>
    <v>148.08000000000001</v>
    <v>141.31</v>
    <v>146.13999999999999</v>
    <v>147.88999999999999</v>
    <v>150.31</v>
    <v>145.4</v>
    <v>149.25</v>
    <v>149.01</v>
    <v>152.37</v>
    <v>154.79</v>
    <v>152.96</v>
    <v>151.56</v>
    <v>149.4</v>
    <v>163.12</v>
    <v>159.16</v>
    <v>155.11000000000001</v>
    <v>155.97</v>
    <v>154.69</v>
    <v>152.9</v>
    <v>155.52000000000001</v>
    <v>149.68</v>
    <v>154.34</v>
    <v>147.09</v>
    <v>146.02000000000001</v>
    <v>142.81</v>
    <v>139.66</v>
    <v>138.80000000000001</v>
    <v>147.11000000000001</v>
    <v>145.22999999999999</v>
    <v>146.38</v>
    <v>145.54</v>
    <v>143.16999999999999</v>
    <v>143.66</v>
    <v>137.86000000000001</v>
    <v>138.09</v>
    <v>155.62</v>
    <v>163</v>
    <v>169.81</v>
    <v>178.34</v>
    <v>175.06</v>
    <v>177.58</v>
    <v>181.17</v>
    <v>187.5</v>
    <v>176.28</v>
    <v>173.28</v>
    <v>172.96</v>
    <v>165.96</v>
    <v>163.83000000000001</v>
    <v>161.38999999999999</v>
    <v>171.83</v>
    <v>180.29</v>
    <v>185.35</v>
    <v>194.03</v>
    <v>194.59</v>
    <v>195.95</v>
    <v>193.84</v>
    <v>186.83</v>
    <v>189.76</v>
    <v>195.61</v>
    <v>192.95</v>
    <v>186.61</v>
    <v>181.46</v>
    <v>188.16</v>
    <v>189.77</v>
    <v>192.08</v>
    <v>193.06</v>
    <v>190.96</v>
    <v>203.7</v>
    <v>225.78</v>
    <v>248.15</v>
    <v>244.58</v>
    <v>230.33</v>
    <v>236.34</v>
    <v>213.68</v>
    <v>211.82</v>
    <v>205.81</v>
    <v>201.26</v>
    <v>184.1</v>
    <v>184.13</v>
    <v>192.64</v>
    <v>188.33</v>
    <v>183.53</v>
    <v>184.29</v>
    <v>175.07</v>
    <v>165.16</v>
    <v>157.53</v>
    <v>152.46</v>
    <v>148.53</v>
    <v>147.76</v>
    <v>146.55000000000001</v>
    <v>142.5</v>
    <v>140.27000000000001</v>
    <v>143.76</v>
    <v>141.6</v>
    <v>140.49</v>
    <v>144.22</v>
    <v>140.63999999999999</v>
    <v>131.54</v>
    <v>127.94</v>
    <v>132.49</v>
    <v>124.21</v>
    <v>126.41</v>
    <v>121.38</v>
    <v>127.05</v>
    <v>125.84</v>
    <v>120.04</v>
    <v>114.99</v>
    <v>119.9</v>
    <v>119.96</v>
    <v>117.74</v>
    <v>127.56</v>
    <v>129.87</v>
    <v>141.85</v>
    <v>145.74</v>
    <v>144.38999999999999</v>
    <v>143.47</v>
    <v>147.02000000000001</v>
    <v>151.05000000000001</v>
    <v>145.47999999999999</v>
    <v>153.28</v>
    <v>156.22</v>
    <v>150.52000000000001</v>
    <v>146.65</v>
    <v>142.79</v>
    <v>143.81</v>
    <v>142.07</v>
    <v>146.47</v>
    <v>142.44999999999999</v>
    <v>144.76</v>
    <v>148.87</v>
    <v>151.94</v>
    <v>150.85</v>
    <v>149.12</v>
    <v>141.32</v>
    <v>145.75</v>
    <v>154.04</v>
    <v>158.78</v>
  </a>
  <a r="1" c="1259">
    <v>89.45</v>
    <v>89.26</v>
    <v>90.17</v>
    <v>89.34</v>
    <v>90.04</v>
    <v>88.14</v>
    <v>89.6</v>
    <v>89.65</v>
    <v>90.12</v>
    <v>86.19</v>
    <v>86.55</v>
    <v>87.67</v>
    <v>86.204999999999998</v>
    <v>85.03</v>
    <v>86.74</v>
    <v>87.614999999999995</v>
    <v>88.94</v>
    <v>89.27</v>
    <v>89.78</v>
    <v>90.64</v>
    <v>91.15</v>
    <v>91.25</v>
    <v>87.76</v>
    <v>89.48</v>
    <v>89.35</v>
    <v>90.42</v>
    <v>91.71</v>
    <v>92.38</v>
    <v>94.29</v>
    <v>95.83</v>
    <v>96.1</v>
    <v>96.8</v>
    <v>95.09</v>
    <v>95.5</v>
    <v>97</v>
    <v>97.27</v>
    <v>96.57</v>
    <v>96.29</v>
    <v>98.44</v>
    <v>98.3</v>
    <v>96.81</v>
    <v>96.65</v>
    <v>95.79</v>
    <v>96</v>
    <v>93.73</v>
    <v>96.5</v>
    <v>96.23</v>
    <v>96.2</v>
    <v>95.25</v>
    <v>95.11</v>
    <v>94.1</v>
    <v>94.11</v>
    <v>94.29</v>
    <v>93.82</v>
    <v>94.14</v>
    <v>95.76</v>
    <v>95.15</v>
    <v>94.81</v>
    <v>93.73</v>
    <v>94.16</v>
    <v>92.23</v>
    <v>92.89</v>
    <v>93.17</v>
    <v>93.02</v>
    <v>91.69</v>
    <v>89.4</v>
    <v>90.35</v>
    <v>88.34</v>
    <v>89.98</v>
    <v>90.05</v>
    <v>89.12</v>
    <v>104.29</v>
    <v>102.44</v>
    <v>99.995000000000005</v>
    <v>100.58</v>
    <v>103.95</v>
    <v>97.69</v>
    <v>96.42</v>
    <v>91.805000000000007</v>
    <v>91.27</v>
    <v>90.03</v>
    <v>89.7</v>
    <v>89.7</v>
    <v>88.5</v>
    <v>88.65</v>
    <v>88.05</v>
    <v>87.33</v>
    <v>87.9</v>
    <v>88.49</v>
    <v>86</v>
    <v>86.45</v>
    <v>87.38</v>
    <v>88.64</v>
    <v>88.89</v>
    <v>88.73</v>
    <v>87.48</v>
    <v>86.87</v>
    <v>85.77</v>
    <v>83.92</v>
    <v>83.36</v>
    <v>81.22</v>
    <v>81.33</v>
    <v>81.91</v>
    <v>80.11</v>
    <v>79.989999999999995</v>
    <v>80.489999999999995</v>
    <v>81.400000000000006</v>
    <v>81.16</v>
    <v>81.63</v>
    <v>82.03</v>
    <v>82.14</v>
    <v>80.290000000000006</v>
    <v>81.745000000000005</v>
    <v>82.75</v>
    <v>81.84</v>
    <v>79.58</v>
    <v>79.39</v>
    <v>79.47</v>
    <v>78.760000000000005</v>
    <v>75.5</v>
    <v>73.819999999999993</v>
    <v>74.069999999999993</v>
    <v>70.94</v>
    <v>74.650000000000006</v>
    <v>75.569999999999993</v>
    <v>75.98</v>
    <v>76.45</v>
    <v>78.959999999999994</v>
    <v>77.67</v>
    <v>76.290000000000006</v>
    <v>73.84</v>
    <v>74.92</v>
    <v>75.099999999999994</v>
    <v>76.7</v>
    <v>77.92</v>
    <v>78.05</v>
    <v>81</v>
    <v>79.78</v>
    <v>79.63</v>
    <v>81.28</v>
    <v>81.459999999999994</v>
    <v>81.25</v>
    <v>80.650000000000006</v>
    <v>82.04</v>
    <v>81.739999999999995</v>
    <v>84.49</v>
    <v>83.96</v>
    <v>83.11</v>
    <v>83.04</v>
    <v>82.25</v>
    <v>83.4</v>
    <v>81.92</v>
    <v>81.25</v>
    <v>81.709999999999994</v>
    <v>80.63</v>
    <v>79.95</v>
    <v>79.260000000000005</v>
    <v>79.83</v>
    <v>79.150000000000006</v>
    <v>78.25</v>
    <v>79.790000000000006</v>
    <v>81.489999999999995</v>
    <v>79.27</v>
    <v>76.2</v>
    <v>76.349999999999994</v>
    <v>74.58</v>
    <v>75.52</v>
    <v>75.34</v>
    <v>73.930000000000007</v>
    <v>73.849999999999994</v>
    <v>73.38</v>
    <v>74</v>
    <v>72.13</v>
    <v>71.64</v>
    <v>72.5</v>
    <v>72.31</v>
    <v>70.88</v>
    <v>70.959999999999994</v>
    <v>70.69</v>
    <v>71.045000000000002</v>
    <v>70.8</v>
    <v>67.48</v>
    <v>67.88</v>
    <v>69.31</v>
    <v>69.67</v>
    <v>68.88</v>
    <v>70.13</v>
    <v>72.36</v>
    <v>72.23</v>
    <v>73.02</v>
    <v>71.48</v>
    <v>72.56</v>
    <v>72.63</v>
    <v>71.59</v>
    <v>72.010000000000005</v>
    <v>70.77</v>
    <v>67.98</v>
    <v>65.78</v>
    <v>72</v>
    <v>70.45</v>
    <v>68.5</v>
    <v>68.75</v>
    <v>68.61</v>
    <v>66.930000000000007</v>
    <v>66.45</v>
    <v>68.33</v>
    <v>69.37</v>
    <v>70.569999999999993</v>
    <v>69.03</v>
    <v>68.209999999999994</v>
    <v>69.849999999999994</v>
    <v>70.38</v>
    <v>72.319999999999993</v>
    <v>71.83</v>
    <v>71.69</v>
    <v>71</v>
    <v>71.599999999999994</v>
    <v>69.05</v>
    <v>69.16</v>
    <v>70.260000000000005</v>
    <v>71.25</v>
    <v>70.643000000000001</v>
    <v>72.55</v>
    <v>72.150000000000006</v>
    <v>74.819999999999993</v>
    <v>75.099999999999994</v>
    <v>74.8</v>
    <v>74.38</v>
    <v>75.64</v>
    <v>77.010000000000005</v>
    <v>77.180000000000007</v>
    <v>76.989999999999995</v>
    <v>76.72</v>
    <v>77.45</v>
    <v>76.27</v>
    <v>76.92</v>
    <v>76.209999999999994</v>
    <v>77.59</v>
    <v>77.95</v>
    <v>78</v>
    <v>78.84</v>
    <v>78.900000000000006</v>
    <v>79</v>
    <v>79.28</v>
    <v>79.03</v>
    <v>77.930000000000007</v>
    <v>76.25</v>
    <v>76.47</v>
    <v>76.34</v>
    <v>76.98</v>
    <v>74.11</v>
    <v>74.42</v>
    <v>74.459999999999994</v>
    <v>74.12</v>
    <v>75.739999999999995</v>
    <v>74.7</v>
    <v>73.680000000000007</v>
    <v>74.03</v>
    <v>74.650000000000006</v>
    <v>76.63</v>
    <v>76.06</v>
    <v>75.790000000000006</v>
    <v>71.5</v>
    <v>69.58</v>
    <v>68.2</v>
    <v>68.27</v>
    <v>68.709999999999994</v>
    <v>66.849999999999994</v>
    <v>65.349999999999994</v>
    <v>64.33</v>
    <v>64.16</v>
    <v>62.62</v>
    <v>62.29</v>
    <v>61.26</v>
    <v>60.99</v>
    <v>63.8</v>
    <v>65.34</v>
    <v>66.33</v>
    <v>64.489999999999995</v>
    <v>63.61</v>
    <v>61.85</v>
    <v>62.62</v>
    <v>62.48</v>
    <v>65.72</v>
    <v>65.88</v>
    <v>68</v>
    <v>66.489999999999995</v>
    <v>67.53</v>
    <v>71.03</v>
    <v>72.930000000000007</v>
    <v>73.45</v>
    <v>72.61</v>
    <v>74.75</v>
    <v>75.3</v>
    <v>76.5</v>
    <v>78.599999999999994</v>
    <v>76.650000000000006</v>
    <v>74.72</v>
    <v>75.94</v>
    <v>76.11</v>
    <v>76.95</v>
    <v>75.38</v>
    <v>77.7</v>
    <v>77.13</v>
    <v>77.48</v>
    <v>78.930000000000007</v>
    <v>79.12</v>
    <v>79.17</v>
    <v>80</v>
    <v>79.569999999999993</v>
    <v>79.89</v>
    <v>82.12</v>
    <v>82.85</v>
    <v>82.11</v>
    <v>81.33</v>
    <v>80.47</v>
    <v>83.05</v>
    <v>83.2</v>
    <v>82.41</v>
    <v>79.349999999999994</v>
    <v>78.67</v>
    <v>79.13</v>
    <v>79.650000000000006</v>
    <v>80.31</v>
    <v>84.94</v>
    <v>80.81</v>
    <v>80.790000000000006</v>
    <v>79.959999999999994</v>
    <v>79.92</v>
    <v>80.5</v>
    <v>81.349999999999994</v>
    <v>80.94</v>
    <v>80.510000000000005</v>
    <v>80.88</v>
    <v>81.09</v>
    <v>80.97</v>
    <v>81.13</v>
    <v>82.47</v>
    <v>84.2</v>
    <v>85</v>
    <v>84.74</v>
    <v>86.84</v>
    <v>85.64</v>
    <v>87.37</v>
    <v>88.7</v>
    <v>87.95</v>
    <v>89.19</v>
    <v>88.6</v>
    <v>86.4</v>
    <v>86.03</v>
    <v>87.19</v>
    <v>89.05</v>
    <v>88.7</v>
    <v>89.89</v>
    <v>89.5</v>
    <v>88.47</v>
    <v>87.69</v>
    <v>88.37</v>
    <v>90.66</v>
    <v>88.47</v>
    <v>89.51</v>
    <v>87.87</v>
    <v>86.93</v>
    <v>87.14</v>
    <v>86.53</v>
    <v>87.28</v>
    <v>89</v>
    <v>88.85</v>
    <v>87.46</v>
    <v>87.2</v>
    <v>86.76</v>
    <v>86.68</v>
    <v>87.15</v>
    <v>87.31</v>
    <v>88.86</v>
    <v>87.7</v>
    <v>86.9</v>
    <v>86.06</v>
    <v>87.32</v>
    <v>89.41</v>
    <v>89.58</v>
    <v>88.4</v>
    <v>88.33</v>
    <v>84.41</v>
    <v>83.32</v>
    <v>85.93</v>
    <v>83.08</v>
    <v>82.92</v>
    <v>85</v>
    <v>85.28</v>
    <v>87.49</v>
    <v>87.54</v>
    <v>88.65</v>
    <v>87.98</v>
    <v>88.62</v>
    <v>90.22</v>
    <v>90.13</v>
    <v>90.85</v>
    <v>90.56</v>
    <v>92.38</v>
    <v>93.85</v>
    <v>93.62</v>
    <v>94.33</v>
    <v>94.68</v>
    <v>93.46</v>
    <v>94.38</v>
    <v>94.18</v>
    <v>95.5</v>
    <v>95.64</v>
    <v>96</v>
    <v>95.59</v>
    <v>96</v>
    <v>95.01</v>
    <v>95.34</v>
    <v>95.14</v>
    <v>93.75</v>
    <v>94.31</v>
    <v>94.27</v>
    <v>94.8</v>
    <v>94.93</v>
    <v>95.07</v>
    <v>94.98</v>
    <v>95</v>
    <v>97.08</v>
    <v>96.2</v>
    <v>96.79</v>
    <v>97.54</v>
    <v>97.61</v>
    <v>97.87</v>
    <v>97.17</v>
    <v>98.78</v>
    <v>99.77</v>
    <v>102.39</v>
    <v>102.48</v>
    <v>101.07</v>
    <v>97.95</v>
    <v>99.2</v>
    <v>104.35</v>
    <v>104.9</v>
    <v>104.47</v>
    <v>104.88</v>
    <v>106.52</v>
    <v>105.89</v>
    <v>106.81</v>
    <v>107.14</v>
    <v>105.67</v>
    <v>107.7</v>
    <v>114.34</v>
    <v>123.32</v>
    <v>116.5</v>
    <v>121.95</v>
    <v>127.14</v>
    <v>124.45</v>
    <v>121.95</v>
    <v>121.61</v>
    <v>119.59</v>
    <v>117.99</v>
    <v>116.57</v>
    <v>116.78</v>
    <v>115.65</v>
    <v>119.84</v>
    <v>118.01</v>
    <v>116.52</v>
    <v>114.66500000000001</v>
    <v>114.84</v>
    <v>114.28</v>
    <v>114.19499999999999</v>
    <v>115.67</v>
    <v>117.09</v>
    <v>118.18</v>
    <v>118.85</v>
    <v>118.78</v>
    <v>120.82</v>
    <v>117.49</v>
    <v>116.49</v>
    <v>117.94</v>
    <v>117.98</v>
    <v>117.42</v>
    <v>117.55</v>
    <v>116.68</v>
    <v>116.43</v>
    <v>116.92</v>
    <v>116.92</v>
    <v>115.24</v>
    <v>115.34</v>
    <v>115.47</v>
    <v>115.04</v>
    <v>115.34</v>
    <v>113.78</v>
    <v>112.39</v>
    <v>113.18</v>
    <v>115.45</v>
    <v>117.16</v>
    <v>115.74</v>
    <v>114.5</v>
    <v>116.9</v>
    <v>117.51</v>
    <v>117.1</v>
    <v>119.68</v>
    <v>112.91</v>
    <v>116.37</v>
    <v>120.95</v>
    <v>120.72</v>
    <v>121</v>
    <v>121.01</v>
    <v>122.44</v>
    <v>123.06</v>
    <v>123.83</v>
    <v>124.8</v>
    <v>127.02</v>
    <v>112.08</v>
    <v>108.32</v>
    <v>113.5</v>
    <v>114.19</v>
    <v>113.42</v>
    <v>112.47499999999999</v>
    <v>112.81</v>
    <v>111.51</v>
    <v>109.99</v>
    <v>108.45</v>
    <v>107.14</v>
    <v>105</v>
    <v>104.03</v>
    <v>107.11</v>
    <v>105.81</v>
    <v>106.42</v>
    <v>104.96</v>
    <v>106.97</v>
    <v>107.93</v>
    <v>110.75</v>
    <v>110.21</v>
    <v>109.51</v>
    <v>109.95</v>
    <v>109.19</v>
    <v>108.95</v>
    <v>107.58</v>
    <v>108.4</v>
    <v>108.63</v>
    <v>106.99</v>
    <v>102.04</v>
    <v>103.95</v>
    <v>102.7</v>
    <v>101.69</v>
    <v>101</v>
    <v>101.14</v>
    <v>102.005</v>
    <v>103.8</v>
    <v>106.45</v>
    <v>107.17</v>
    <v>108.06</v>
    <v>109.99</v>
    <v>109.23</v>
    <v>112.4</v>
    <v>112.09</v>
    <v>113.07</v>
    <v>114.86</v>
    <v>116.15</v>
    <v>113.76</v>
    <v>114.61</v>
    <v>115.65</v>
    <v>117.21</v>
    <v>116.7</v>
    <v>116.49</v>
    <v>116.005</v>
    <v>116</v>
    <v>117.34</v>
    <v>116.86</v>
    <v>116.07</v>
    <v>116.27</v>
    <v>114.57</v>
    <v>114.94</v>
    <v>112.41</v>
    <v>112.01</v>
    <v>113.77</v>
    <v>102.7</v>
    <v>101.08</v>
    <v>101.87</v>
    <v>99.69</v>
    <v>103.41</v>
    <v>104.98</v>
    <v>105.95</v>
    <v>104.7</v>
    <v>105.7</v>
    <v>106.52</v>
    <v>106.32</v>
    <v>106.01</v>
    <v>106.6</v>
    <v>104.52</v>
    <v>103.3</v>
    <v>102.77</v>
    <v>102.53</v>
    <v>102.94</v>
    <v>103.85</v>
    <v>103.09</v>
    <v>104.35</v>
    <v>105.1</v>
    <v>106.41</v>
    <v>106.46</v>
    <v>106.99</v>
    <v>109.32</v>
    <v>110.06</v>
    <v>110.29</v>
    <v>113.42</v>
    <v>114.89</v>
    <v>114.64</v>
    <v>114.19</v>
    <v>113.36</v>
    <v>113.81</v>
    <v>112.91</v>
    <v>115.82</v>
    <v>115.53</v>
    <v>116.74</v>
    <v>115.8</v>
    <v>117.09</v>
    <v>117.06</v>
    <v>116.26</v>
    <v>113.79</v>
    <v>114.32</v>
    <v>114.25</v>
    <v>113.02</v>
    <v>110.54</v>
    <v>106.76</v>
    <v>111.49</v>
    <v>112</v>
    <v>112</v>
    <v>110.62</v>
    <v>111.26</v>
    <v>111.68</v>
    <v>111.68</v>
    <v>113.58</v>
    <v>112.82</v>
    <v>111.5</v>
    <v>113.94</v>
    <v>114.07</v>
    <v>111.61</v>
    <v>126.26</v>
    <v>128</v>
    <v>127.23</v>
    <v>124.04</v>
    <v>127.2</v>
    <v>127.745</v>
    <v>129.97999999999999</v>
    <v>130.52000000000001</v>
    <v>129.01</v>
    <v>127.67</v>
    <v>126.75</v>
    <v>127.33</v>
    <v>125.39</v>
    <v>125.54</v>
    <v>124.51</v>
    <v>124.26</v>
    <v>127.6</v>
    <v>124.42</v>
    <v>125</v>
    <v>124.35</v>
    <v>121.35</v>
    <v>121.72</v>
    <v>121.74</v>
    <v>122.18</v>
    <v>120.09</v>
    <v>120.98</v>
    <v>118.76</v>
    <v>116.12</v>
    <v>116.03</v>
    <v>115.17</v>
    <v>115.38</v>
    <v>113.63</v>
    <v>117.04</v>
    <v>116.99</v>
    <v>115.09</v>
    <v>113.91</v>
    <v>115.23</v>
    <v>115.98</v>
    <v>116.33</v>
    <v>118</v>
    <v>117.71</v>
    <v>117.39</v>
    <v>117.15</v>
    <v>117.13</v>
    <v>116.5</v>
    <v>120.17</v>
    <v>121.94</v>
    <v>123.18</v>
    <v>123.8</v>
    <v>124.46</v>
    <v>124.63</v>
    <v>126.55</v>
    <v>123.42</v>
    <v>123.24</v>
    <v>122.99</v>
    <v>120.17</v>
    <v>116.59</v>
    <v>117.53</v>
    <v>119.02</v>
    <v>121.65</v>
    <v>122.88</v>
    <v>124.21</v>
    <v>125.73</v>
    <v>124.05</v>
    <v>134.69</v>
    <v>140.43</v>
    <v>139.26</v>
    <v>138.80000000000001</v>
    <v>141.22</v>
    <v>145.32</v>
    <v>143.72</v>
    <v>140</v>
    <v>139</v>
    <v>139.49</v>
    <v>139.25</v>
    <v>139.435</v>
    <v>141.69</v>
    <v>142.63</v>
    <v>143.75</v>
    <v>144.94999999999999</v>
    <v>144.76</v>
    <v>145.13</v>
    <v>141.12</v>
    <v>142.36000000000001</v>
    <v>142.71</v>
    <v>145.72999999999999</v>
    <v>143.07</v>
    <v>140.47999999999999</v>
    <v>139.36000000000001</v>
    <v>138.35</v>
    <v>139.74</v>
    <v>141.30000000000001</v>
    <v>141.69999999999999</v>
    <v>140.15</v>
    <v>138.87</v>
    <v>139.27000000000001</v>
    <v>139.07</v>
    <v>139.69</v>
    <v>139.29</v>
    <v>132.77000000000001</v>
    <v>127.89</v>
    <v>130.54</v>
    <v>128.91999999999999</v>
    <v>128</v>
    <v>128.4</v>
    <v>132.25</v>
    <v>132.97</v>
    <v>134.04</v>
    <v>136.93</v>
    <v>136.79</v>
    <v>137.53</v>
    <v>137.82</v>
    <v>138.80000000000001</v>
    <v>140.69999999999999</v>
    <v>138.72999999999999</v>
    <v>139.38999999999999</v>
    <v>137.85</v>
    <v>138.83000000000001</v>
    <v>139.13999999999999</v>
    <v>140.33000000000001</v>
    <v>140.44999999999999</v>
    <v>138.44</v>
    <v>141.4</v>
    <v>143.79</v>
    <v>142.49</v>
    <v>154.22999999999999</v>
    <v>156.78</v>
    <v>159.04</v>
    <v>173.7</v>
    <v>164.99</v>
    <v>170.28</v>
    <v>167.62</v>
    <v>167.25</v>
    <v>167.13</v>
    <v>167.22499999999999</v>
    <v>165.74</v>
    <v>167.69</v>
    <v>167.65</v>
    <v>168.09</v>
    <v>169.5</v>
    <v>170.22</v>
    <v>167.6</v>
    <v>166.89</v>
    <v>168.71</v>
    <v>170.42</v>
    <v>170.6</v>
    <v>174.56</v>
    <v>177.65</v>
    <v>175.495</v>
    <v>176.55</v>
    <v>176.94</v>
    <v>173.5</v>
    <v>177.5</v>
    <v>176.8</v>
    <v>174.45</v>
    <v>175.45</v>
    <v>174.5</v>
    <v>173.315</v>
    <v>174.78</v>
    <v>174.04499999999999</v>
    <v>172.29</v>
    <v>173.98</v>
    <v>170.52</v>
    <v>170.15</v>
    <v>170.31</v>
    <v>170.47</v>
    <v>178.52</v>
    <v>181.08</v>
    <v>186.26</v>
    <v>191.05</v>
    <v>188.54</v>
    <v>189</v>
    <v>188.66</v>
    <v>184.52</v>
    <v>184.3</v>
    <v>184.89</v>
    <v>190.9</v>
    <v>191.94</v>
    <v>193</v>
    <v>194.5</v>
    <v>188.32</v>
    <v>188.95500000000001</v>
    <v>184.01</v>
    <v>185.29</v>
    <v>181.18</v>
    <v>188</v>
    <v>189.02</v>
    <v>187</v>
    <v>196.3</v>
    <v>173.46</v>
    <v>178</v>
    <v>178</v>
    <v>175</v>
    <v>173.84</v>
    <v>170.75</v>
    <v>169.41</v>
    <v>167.55</v>
    <v>167.73</v>
    <v>169.59</v>
    <v>169.7</v>
    <v>170.5</v>
    <v>170.38</v>
    <v>166.51</v>
    <v>167.2</v>
    <v>168.52</v>
    <v>166.7</v>
    <v>167.31</v>
    <v>165.58</v>
    <v>162.18</v>
    <v>159.19999999999999</v>
    <v>153.74</v>
    <v>156.41999999999999</v>
    <v>158.66499999999999</v>
    <v>160.15</v>
    <v>161.77000000000001</v>
    <v>163.87</v>
    <v>191.51</v>
    <v>181.64</v>
    <v>188.64</v>
    <v>168.9</v>
    <v>162.99</v>
    <v>164.02500000000001</v>
    <v>164.78</v>
    <v>170.41</v>
    <v>163.19999999999999</v>
    <v>170.4</v>
    <v>168.99</v>
    <v>173</v>
    <v>175</v>
    <v>176</v>
    <v>177.62</v>
    <v>174.89</v>
    <v>173</v>
    <v>174.25</v>
    <v>176.75</v>
    <v>178.58</v>
    <v>179.81</v>
    <v>176.12</v>
    <v>173.57</v>
    <v>169.29</v>
    <v>170.98</v>
    <v>173</v>
    <v>163.11000000000001</v>
    <v>166.95</v>
    <v>159.22</v>
    <v>158.06</v>
    <v>157.155</v>
    <v>150.62</v>
    <v>150.53</v>
    <v>143.41999999999999</v>
    <v>146.22999999999999</v>
    <v>149.79</v>
    <v>148.91499999999999</v>
    <v>150.4</v>
    <v>152.37</v>
    <v>150.06</v>
    <v>151.58000000000001</v>
    <v>151.65</v>
    <v>156.34</v>
    <v>154.51</v>
    <v>152.88999999999999</v>
    <v>145.85</v>
    <v>143.78</v>
    <v>138.63999999999999</v>
    <v>139.76</v>
    <v>139.86000000000001</v>
    <v>139.25</v>
    <v>132.91</v>
    <v>118.86</v>
    <v>132.54</v>
    <v>123.4</v>
    <v>136.65</v>
    <v>132.11000000000001</v>
    <v>136.80000000000001</v>
    <v>134.76</v>
    <v>132.28</v>
    <v>130.9</v>
    <v>126.88500000000001</v>
    <v>124.5</v>
    <v>134.91</v>
    <v>132.51</v>
    <v>137.49</v>
    <v>139.65</v>
    <v>139.81</v>
    <v>138.47999999999999</v>
    <v>146.56</v>
    <v>148.33000000000001</v>
    <v>149.435</v>
    <v>146.97999999999999</v>
    <v>147.5</v>
    <v>149.05000000000001</v>
    <v>150.04</v>
    <v>156.31</v>
    <v>158.22</v>
    <v>162.36000000000001</v>
    <v>161.36000000000001</v>
    <v>160</v>
    <v>158.30000000000001</v>
    <v>158.63</v>
    <v>158.35</v>
    <v>156.97499999999999</v>
    <v>154.99</v>
    <v>159.32</v>
    <v>161.86500000000001</v>
    <v>165</v>
    <v>163.43</v>
    <v>164.16499999999999</v>
    <v>166.8</v>
    <v>169.71</v>
    <v>169</v>
    <v>174</v>
    <v>174.86</v>
    <v>177.71</v>
    <v>177.55</v>
    <v>189.96</v>
    <v>201.58</v>
    <v>213.2</v>
    <v>210.66</v>
    <v>211.08500000000001</v>
    <v>213.35</v>
    <v>205.505</v>
    <v>209.99</v>
    <v>214.93989999999999</v>
    <v>212</v>
    <v>213.69</v>
    <v>226.5</v>
    <v>219.3</v>
    <v>217.68</v>
    <v>233.22</v>
    <v>235.11</v>
    <v>237.13</v>
    <v>235.51</v>
    <v>239.94</v>
    <v>231.37</v>
    <v>229.45</v>
    <v>232.405</v>
    <v>235.5</v>
    <v>243.34</v>
    <v>248.5</v>
    <v>245.31</v>
    <v>241.98</v>
    <v>239.95</v>
    <v>242.41</v>
    <v>242.34</v>
    <v>246</v>
    <v>248.7</v>
    <v>248.64</v>
    <v>255.76499999999999</v>
    <v>247.83</v>
    <v>245.9</v>
    <v>255.41</v>
    <v>256.83999999999997</v>
    <v>257.70999999999998</v>
    <v>250.03</v>
    <v>248.4</v>
    <v>252.58</v>
    <v>257.17</v>
    <v>244.95</v>
    <v>246.92</v>
    <v>246.2</v>
    <v>249.25</v>
    <v>232.18</v>
    <v>233.04499999999999</v>
    <v>234.06</v>
    <v>237.35</v>
    <v>235</v>
    <v>234.995</v>
    <v>235.54</v>
    <v>237.61</v>
    <v>222</v>
    <v>225.9</v>
    <v>222</v>
    <v>232.55</v>
    <v>239.89</v>
    <v>239.94</v>
    <v>319.19</v>
    <v>330.34</v>
    <v>305.79000000000002</v>
    <v>306.45</v>
    <v>314.06</v>
    <v>307.69</v>
    <v>303.03500000000003</v>
    <v>299</v>
    <v>309.63</v>
    <v>324</v>
    <v>311.86</v>
    <v>295.27</v>
    <v>293</v>
    <v>284.60000000000002</v>
    <v>283.69</v>
    <v>278.8</v>
    <v>291.8</v>
    <v>289.60000000000002</v>
    <v>292.38</v>
    <v>293.22000000000003</v>
    <v>285.42</v>
    <v>291.55</v>
    <v>300.27999999999997</v>
    <v>298.7</v>
    <v>303.57</v>
    <v>304.89999999999998</v>
    <v>305.60000000000002</v>
    <v>303.75</v>
    <v>288.95</v>
    <v>278.11</v>
    <v>274.82</v>
    <v>272.95999999999998</v>
    <v>285.92</v>
    <v>286.57</v>
    <v>283</v>
    <v>281.45999999999998</v>
    <v>268.74</v>
    <v>259.51</v>
    <v>265.24</v>
    <v>249.98</v>
    <v>247.91</v>
    <v>247.94</v>
    <v>239</v>
    <v>245.95</v>
    <v>236.23</v>
    <v>236.74</v>
    <v>224.99</v>
    <v>210.83</v>
    <v>218.21</v>
    <v>216.20500000000001</v>
    <v>219.06</v>
    <v>231.16</v>
    <v>207.08</v>
    <v>196.85499999999999</v>
    <v>194.08</v>
    <v>209.5</v>
    <v>199.51</v>
    <v>200.5</v>
    <v>205.14</v>
    <v>200.33</v>
    <v>207.86</v>
    <v>219</v>
    <v>221.345</v>
    <v>220.03</v>
    <v>221.8</v>
    <v>190.62</v>
    <v>196.37</v>
    <v>188.29</v>
    <v>184.7</v>
    <v>183.31</v>
    <v>182.72</v>
    <v>188.38499999999999</v>
    <v>196.82</v>
    <v>196.43</v>
    <v>195</v>
    <v>198.06</v>
    <v>194.16</v>
    <v>196.06</v>
    <v>196.42</v>
    <v>197.47</v>
    <v>198.34</v>
    <v>192.56</v>
    <v>195.3</v>
    <v>190.88</v>
    <v>191.655</v>
    <v>197.6</v>
    <v>205</v>
    <v>201.68</v>
    <v>195.01</v>
    <v>189.91</v>
    <v>187.19</v>
    <v>179.68</v>
    <v>179.37</v>
    <v>172.62</v>
    <v>179.1</v>
    <v>179.19</v>
    <v>174.91499999999999</v>
    <v>170.15</v>
    <v>168.17</v>
    <v>170.92</v>
    <v>158.26</v>
    <v>153.88999999999999</v>
    <v>145.6</v>
    <v>139.75</v>
    <v>148.49</v>
    <v>160</v>
    <v>163.66</v>
    <v>157.93</v>
    <v>159.25</v>
    <v>157.97999999999999</v>
    <v>154.405</v>
    <v>157.19</v>
    <v>153.30000000000001</v>
    <v>145.69</v>
    <v>140.84</v>
    <v>149.16</v>
    <v>148.79</v>
    <v>143.88</v>
    <v>141.62</v>
    <v>144.75</v>
    <v>150.01</v>
    <v>152.59</v>
    <v>152.91999999999999</v>
    <v>150.69999999999999</v>
    <v>153.62</v>
    <v>166.38</v>
    <v>164.66</v>
    <v>159.05000000000001</v>
    <v>156.06</v>
    <v>155.44</v>
    <v>153.4</v>
    <v>150.46</v>
    <v>153.05000000000001</v>
    <v>151.41999999999999</v>
    <v>153</v>
    <v>149.22499999999999</v>
    <v>143.88999999999999</v>
    <v>140.93</v>
    <v>140.04</v>
    <v>140.30000000000001</v>
    <v>149.09</v>
    <v>142.78</v>
    <v>147.44</v>
    <v>143.78</v>
    <v>150.30000000000001</v>
    <v>142.19999999999999</v>
    <v>137.32</v>
    <v>139.77000000000001</v>
    <v>167.93</v>
    <v>166.89</v>
    <v>176.42</v>
    <v>182.93</v>
    <v>176.81</v>
    <v>178.35</v>
    <v>186.18</v>
    <v>180.4</v>
    <v>180.505</v>
    <v>172.584</v>
    <v>162.16</v>
    <v>164.04</v>
    <v>162.02000000000001</v>
    <v>166.42</v>
    <v>176.02</v>
    <v>182.125</v>
    <v>186.2</v>
    <v>198.61</v>
    <v>192.58</v>
    <v>192.15</v>
    <v>192.92</v>
    <v>189.03</v>
    <v>188.18</v>
    <v>190.49</v>
    <v>190</v>
    <v>186</v>
    <v>179.94</v>
    <v>189.01</v>
    <v>191.67</v>
    <v>193.3</v>
    <v>191.48</v>
    <v>194.04</v>
    <v>209</v>
    <v>230.5</v>
    <v>242.8</v>
    <v>240.48</v>
    <v>227</v>
    <v>229.49</v>
    <v>217.75</v>
    <v>213.905</v>
    <v>198.5</v>
    <v>179.67</v>
    <v>185.01</v>
    <v>187.39</v>
    <v>190.01</v>
    <v>186.155</v>
    <v>183.01</v>
    <v>182.31</v>
    <v>170.23</v>
    <v>162.47499999999999</v>
    <v>157.35</v>
    <v>150.26</v>
    <v>153.94</v>
    <v>147.25</v>
    <v>144.49</v>
    <v>143.30000000000001</v>
    <v>144.30000000000001</v>
    <v>143.72</v>
    <v>139.05500000000001</v>
    <v>141.41999999999999</v>
    <v>145.65</v>
    <v>139.03</v>
    <v>132</v>
    <v>130.56</v>
    <v>131.47499999999999</v>
    <v>121.7</v>
    <v>124.27</v>
    <v>122.81</v>
    <v>126.18</v>
    <v>123.96</v>
    <v>122.47</v>
    <v>118</v>
    <v>118.18</v>
    <v>119.42</v>
    <v>122.87</v>
    <v>130.07</v>
    <v>131.91999999999999</v>
    <v>141.01</v>
    <v>145</v>
    <v>139.25</v>
    <v>145.32</v>
    <v>148.26</v>
    <v>151.19999999999999</v>
    <v>152.81</v>
    <v>151.97999999999999</v>
    <v>155.84</v>
    <v>148.44999999999999</v>
    <v>143.25</v>
    <v>142.69499999999999</v>
    <v>144.30000000000001</v>
    <v>143.715</v>
    <v>145.12</v>
    <v>143.30000000000001</v>
    <v>147</v>
    <v>152.10599999999999</v>
    <v>153.6</v>
    <v>149.31</v>
    <v>146.75</v>
    <v>140.26</v>
    <v>147.27000000000001</v>
    <v>159.45500000000001</v>
  </a>
  <a r="1" c="1259">
    <v>89.5</v>
    <v>90.17</v>
    <v>90.5</v>
    <v>90.475700000000003</v>
    <v>90.67</v>
    <v>89.6</v>
    <v>90.83</v>
    <v>90.55</v>
    <v>90.51</v>
    <v>86.95</v>
    <v>88.36</v>
    <v>87.97</v>
    <v>87.57</v>
    <v>87.41</v>
    <v>87.66</v>
    <v>89</v>
    <v>90.06</v>
    <v>90.06</v>
    <v>91.305000000000007</v>
    <v>92.27</v>
    <v>92.08</v>
    <v>91.58</v>
    <v>90.265000000000001</v>
    <v>90.433599999999998</v>
    <v>91.97</v>
    <v>91.5</v>
    <v>92.88</v>
    <v>95.02</v>
    <v>96.8</v>
    <v>96.52</v>
    <v>96.99</v>
    <v>97.35</v>
    <v>96.04</v>
    <v>96.65</v>
    <v>97.279899999999998</v>
    <v>97.969700000000003</v>
    <v>96.83</v>
    <v>98.27</v>
    <v>98.95</v>
    <v>98.56</v>
    <v>97.3</v>
    <v>97.7</v>
    <v>96.97</v>
    <v>96.03</v>
    <v>95.915000000000006</v>
    <v>96.87</v>
    <v>96.61</v>
    <v>96.55</v>
    <v>95.25</v>
    <v>95.61</v>
    <v>94.85</v>
    <v>94.76</v>
    <v>94.47</v>
    <v>94.25</v>
    <v>96.37</v>
    <v>96.135000000000005</v>
    <v>95.33</v>
    <v>96.96</v>
    <v>95.67</v>
    <v>94.29</v>
    <v>93.7</v>
    <v>94.08</v>
    <v>94.13</v>
    <v>93.52</v>
    <v>92.39</v>
    <v>91.04</v>
    <v>90.79</v>
    <v>89.17</v>
    <v>90.73</v>
    <v>90.17</v>
    <v>89.99</v>
    <v>106.34</v>
    <v>104.36</v>
    <v>101.46</v>
    <v>103.76</v>
    <v>104</v>
    <v>99.95</v>
    <v>96.42</v>
    <v>91.84</v>
    <v>91.86</v>
    <v>90.36</v>
    <v>90.33</v>
    <v>89.8</v>
    <v>89.19</v>
    <v>88.91</v>
    <v>88.1</v>
    <v>87.94</v>
    <v>89.584299999999999</v>
    <v>88.6</v>
    <v>87.418899999999994</v>
    <v>88</v>
    <v>89.38</v>
    <v>89</v>
    <v>89.52</v>
    <v>88.92</v>
    <v>88.1</v>
    <v>86.97</v>
    <v>86.69</v>
    <v>85</v>
    <v>83.39</v>
    <v>82.42</v>
    <v>82.1</v>
    <v>82.03</v>
    <v>81.150000000000006</v>
    <v>80.5</v>
    <v>81.64</v>
    <v>81.400000000000006</v>
    <v>82.88</v>
    <v>82.759</v>
    <v>82.91</v>
    <v>82.25</v>
    <v>80.86</v>
    <v>83.65</v>
    <v>83.78</v>
    <v>82.43</v>
    <v>79.73</v>
    <v>79.924999999999997</v>
    <v>79.781700000000001</v>
    <v>78.98</v>
    <v>75.73</v>
    <v>74.91</v>
    <v>74.38</v>
    <v>74.944999999999993</v>
    <v>76.834999999999994</v>
    <v>76.699799999999996</v>
    <v>76.499899999999997</v>
    <v>78.86</v>
    <v>79.040000000000006</v>
    <v>77.91</v>
    <v>76.39</v>
    <v>75.23</v>
    <v>76.95</v>
    <v>76.849999999999994</v>
    <v>79.900000000000006</v>
    <v>78.599999999999994</v>
    <v>81.540000000000006</v>
    <v>81.23</v>
    <v>81.290000000000006</v>
    <v>81.99</v>
    <v>81.98</v>
    <v>82.23</v>
    <v>81.41</v>
    <v>82.814999999999998</v>
    <v>82.84</v>
    <v>83.706800000000001</v>
    <v>84.51</v>
    <v>84.36</v>
    <v>83.91</v>
    <v>83.36</v>
    <v>84.295000000000002</v>
    <v>84.52</v>
    <v>82.47</v>
    <v>82.01</v>
    <v>81.83</v>
    <v>81.13</v>
    <v>80.989999999999995</v>
    <v>79.959999999999994</v>
    <v>80.36</v>
    <v>79.98</v>
    <v>79.78</v>
    <v>81.86</v>
    <v>81.599999999999994</v>
    <v>79.7</v>
    <v>77.06</v>
    <v>76.650000000000006</v>
    <v>76.02</v>
    <v>76.63</v>
    <v>75.87</v>
    <v>74.599999999999994</v>
    <v>74.209999999999994</v>
    <v>75.349999999999994</v>
    <v>74.72</v>
    <v>72.94</v>
    <v>72.59</v>
    <v>73.62</v>
    <v>73.459999999999994</v>
    <v>70.930000000000007</v>
    <v>71.98</v>
    <v>70.91</v>
    <v>71.900000000000006</v>
    <v>70.94</v>
    <v>67.900000000000006</v>
    <v>68.69</v>
    <v>70.47</v>
    <v>70.53</v>
    <v>70.22</v>
    <v>72.12</v>
    <v>72.844999999999999</v>
    <v>72.98</v>
    <v>73.27</v>
    <v>73.185000000000002</v>
    <v>72.954999999999998</v>
    <v>74.84</v>
    <v>73.13</v>
    <v>72.150000000000006</v>
    <v>71.16</v>
    <v>68.215000000000003</v>
    <v>66.099999999999994</v>
    <v>72.430000000000007</v>
    <v>71.415000000000006</v>
    <v>68.959999999999994</v>
    <v>69.37</v>
    <v>69.53</v>
    <v>67.569999999999993</v>
    <v>67.87</v>
    <v>70.78</v>
    <v>70.849999999999994</v>
    <v>71.069999999999993</v>
    <v>70.09</v>
    <v>70.25</v>
    <v>70.98</v>
    <v>72</v>
    <v>72.739999999999995</v>
    <v>71.98</v>
    <v>72.239999999999995</v>
    <v>71.97</v>
    <v>71.94</v>
    <v>70.53</v>
    <v>69.584999999999994</v>
    <v>70.87</v>
    <v>71.709999999999994</v>
    <v>72.3</v>
    <v>73.099999999999994</v>
    <v>74.63</v>
    <v>75.290000000000006</v>
    <v>75.430000000000007</v>
    <v>75.3</v>
    <v>76.12</v>
    <v>77.275000000000006</v>
    <v>78.16</v>
    <v>77.808099999999996</v>
    <v>77.260000000000005</v>
    <v>77.760000000000005</v>
    <v>77.849999999999994</v>
    <v>77.400000000000006</v>
    <v>77.430000000000007</v>
    <v>76.91</v>
    <v>77.98</v>
    <v>78</v>
    <v>79.42</v>
    <v>79.415000000000006</v>
    <v>79.655000000000001</v>
    <v>79.77</v>
    <v>79.883499999999998</v>
    <v>79.13</v>
    <v>77.930000000000007</v>
    <v>77.010000000000005</v>
    <v>76.56</v>
    <v>76.91</v>
    <v>77.260000000000005</v>
    <v>74.86</v>
    <v>74.67</v>
    <v>75.150000000000006</v>
    <v>75.37</v>
    <v>76.77</v>
    <v>75.194999999999993</v>
    <v>74.67</v>
    <v>74.8</v>
    <v>76.010000000000005</v>
    <v>77.377099999999999</v>
    <v>79.4101</v>
    <v>75.87</v>
    <v>72.09</v>
    <v>69.8</v>
    <v>69.13</v>
    <v>68.454999999999998</v>
    <v>68.88</v>
    <v>66.94</v>
    <v>65.44</v>
    <v>64.92</v>
    <v>64.400000000000006</v>
    <v>63.344999999999999</v>
    <v>62.6</v>
    <v>62.14</v>
    <v>63.234999999999999</v>
    <v>65.83</v>
    <v>67.19</v>
    <v>66.81</v>
    <v>64.62</v>
    <v>63.9</v>
    <v>63.1</v>
    <v>64.275000000000006</v>
    <v>65.704999999999998</v>
    <v>66.614999999999995</v>
    <v>67.564999999999998</v>
    <v>68.58</v>
    <v>67.19</v>
    <v>69.92</v>
    <v>72.790000000000006</v>
    <v>73.69</v>
    <v>74.11</v>
    <v>75.72</v>
    <v>75.879900000000006</v>
    <v>77.674999999999997</v>
    <v>78.33</v>
    <v>79.23</v>
    <v>77.430000000000007</v>
    <v>75.69</v>
    <v>76.67</v>
    <v>77.09</v>
    <v>77.14</v>
    <v>76.540000000000006</v>
    <v>78.472499999999997</v>
    <v>77.891099999999994</v>
    <v>79.534999999999997</v>
    <v>80.674999999999997</v>
    <v>80.23</v>
    <v>79.575000000000003</v>
    <v>80.459999999999994</v>
    <v>80.099999999999994</v>
    <v>82.21</v>
    <v>82.92</v>
    <v>83.484999999999999</v>
    <v>82.14</v>
    <v>81.5</v>
    <v>83.174999999999997</v>
    <v>84.53</v>
    <v>83.62</v>
    <v>82.42</v>
    <v>79.819999999999993</v>
    <v>79.444999999999993</v>
    <v>80.209999999999994</v>
    <v>80.36</v>
    <v>81.41</v>
    <v>85.58</v>
    <v>82.89</v>
    <v>81.03</v>
    <v>80.459999999999994</v>
    <v>81.099999999999994</v>
    <v>81.489999999999995</v>
    <v>82.14</v>
    <v>81.17</v>
    <v>80.900000000000006</v>
    <v>81.47</v>
    <v>81.639899999999997</v>
    <v>81.8</v>
    <v>81.93</v>
    <v>83.84</v>
    <v>85.17</v>
    <v>85.4</v>
    <v>86.34</v>
    <v>87.59</v>
    <v>86.61</v>
    <v>88.66</v>
    <v>89.194999999999993</v>
    <v>89.466200000000001</v>
    <v>89.44</v>
    <v>88.63</v>
    <v>86.99</v>
    <v>87.38</v>
    <v>89.13</v>
    <v>90.094999999999999</v>
    <v>89.86</v>
    <v>90.49</v>
    <v>89.72</v>
    <v>88.62</v>
    <v>88.48</v>
    <v>90.644999999999996</v>
    <v>91.22</v>
    <v>90.254999999999995</v>
    <v>89.61</v>
    <v>88.02</v>
    <v>87.915000000000006</v>
    <v>87.9</v>
    <v>87.38</v>
    <v>89.45</v>
    <v>89.41</v>
    <v>89.21</v>
    <v>88.27</v>
    <v>87.43</v>
    <v>86.94</v>
    <v>87.18</v>
    <v>89.48</v>
    <v>88.89</v>
    <v>88.97</v>
    <v>88.01</v>
    <v>87.21</v>
    <v>87.28</v>
    <v>89.29</v>
    <v>90.665000000000006</v>
    <v>90.08</v>
    <v>89.084999999999994</v>
    <v>89.64</v>
    <v>85.25</v>
    <v>85.53</v>
    <v>85.93</v>
    <v>83.37</v>
    <v>85.11</v>
    <v>85.98</v>
    <v>87.51</v>
    <v>87.848200000000006</v>
    <v>89.16</v>
    <v>89.64</v>
    <v>88.48</v>
    <v>90.5</v>
    <v>90.88</v>
    <v>90.66</v>
    <v>91.18</v>
    <v>93</v>
    <v>94</v>
    <v>94.02</v>
    <v>95.108000000000004</v>
    <v>96.08</v>
    <v>95.11</v>
    <v>94.13</v>
    <v>95.32</v>
    <v>95.745000000000005</v>
    <v>95.99</v>
    <v>95.99</v>
    <v>96.741299999999995</v>
    <v>96.47</v>
    <v>96.15</v>
    <v>95.31</v>
    <v>96.075000000000003</v>
    <v>95.7</v>
    <v>94.81</v>
    <v>95.09</v>
    <v>95.4</v>
    <v>95.73</v>
    <v>95.24</v>
    <v>95.42</v>
    <v>95.12</v>
    <v>97.31</v>
    <v>97.28</v>
    <v>96.89</v>
    <v>97.674999999999997</v>
    <v>97.63</v>
    <v>97.92</v>
    <v>97.96</v>
    <v>98.844999999999999</v>
    <v>100.4</v>
    <v>102.46</v>
    <v>103.07</v>
    <v>103.1</v>
    <v>101.43</v>
    <v>98.88</v>
    <v>104.66</v>
    <v>106.23</v>
    <v>105.98</v>
    <v>106.49</v>
    <v>106.61</v>
    <v>106.77</v>
    <v>107.6</v>
    <v>107.49</v>
    <v>108.37</v>
    <v>107.785</v>
    <v>110.15</v>
    <v>117.51</v>
    <v>123.99</v>
    <v>122.51</v>
    <v>127.54</v>
    <v>127.4</v>
    <v>125.25</v>
    <v>123.36</v>
    <v>122.59</v>
    <v>119.9</v>
    <v>119.425</v>
    <v>118.46</v>
    <v>118.62</v>
    <v>117.8</v>
    <v>121.72499999999999</v>
    <v>118.25</v>
    <v>117.01</v>
    <v>115.81</v>
    <v>115.98</v>
    <v>115.03</v>
    <v>115</v>
    <v>118.09</v>
    <v>118.58</v>
    <v>119.97</v>
    <v>119.97</v>
    <v>121.29</v>
    <v>121.355</v>
    <v>119.05</v>
    <v>119.27</v>
    <v>118.54</v>
    <v>118.514</v>
    <v>117.62</v>
    <v>117.6</v>
    <v>117.3</v>
    <v>117.24</v>
    <v>118.04</v>
    <v>116.98</v>
    <v>116.17</v>
    <v>116.4</v>
    <v>116.38</v>
    <v>115.61</v>
    <v>115.71</v>
    <v>115.09480000000001</v>
    <v>113.48</v>
    <v>115.8062</v>
    <v>118.059</v>
    <v>117.81</v>
    <v>116.78</v>
    <v>116.99</v>
    <v>117.35</v>
    <v>117.68</v>
    <v>120.45</v>
    <v>119.73</v>
    <v>116.148</v>
    <v>117.71</v>
    <v>121.2099</v>
    <v>121.7363</v>
    <v>121.98</v>
    <v>121.69</v>
    <v>124.28</v>
    <v>124.58</v>
    <v>125.96</v>
    <v>126.69</v>
    <v>127.41500000000001</v>
    <v>113.3</v>
    <v>112.94</v>
    <v>115.14</v>
    <v>115.2</v>
    <v>114.465</v>
    <v>113.74</v>
    <v>114.6953</v>
    <v>112.5</v>
    <v>110.6</v>
    <v>108.65</v>
    <v>107.4</v>
    <v>105.27679999999999</v>
    <v>106.6</v>
    <v>107.36499999999999</v>
    <v>106.7347</v>
    <v>106.5</v>
    <v>107.3</v>
    <v>108.44</v>
    <v>110.53</v>
    <v>110.97</v>
    <v>111.06</v>
    <v>110.059</v>
    <v>110.92</v>
    <v>109.51</v>
    <v>109.59</v>
    <v>109.79</v>
    <v>109.73</v>
    <v>110.22</v>
    <v>107.035</v>
    <v>104.69</v>
    <v>104.46</v>
    <v>103.67</v>
    <v>102.39</v>
    <v>102.09</v>
    <v>102.4067</v>
    <v>103.52</v>
    <v>106.2</v>
    <v>107.22</v>
    <v>109.07</v>
    <v>109.21</v>
    <v>110.37990000000001</v>
    <v>112.56</v>
    <v>113.3091</v>
    <v>113.18</v>
    <v>114.49</v>
    <v>116.46</v>
    <v>116.31</v>
    <v>115.87</v>
    <v>115.64</v>
    <v>117.149</v>
    <v>117.67</v>
    <v>117.29</v>
    <v>116.59</v>
    <v>116.77</v>
    <v>116.8</v>
    <v>117.58</v>
    <v>117.23</v>
    <v>117.35</v>
    <v>116.68</v>
    <v>115.27</v>
    <v>114.99</v>
    <v>113.03</v>
    <v>113.64</v>
    <v>115.35</v>
    <v>104.95</v>
    <v>103.1</v>
    <v>102.24939999999999</v>
    <v>103.99</v>
    <v>106.15600000000001</v>
    <v>106.34</v>
    <v>106.09</v>
    <v>105.925</v>
    <v>106.49</v>
    <v>106.65</v>
    <v>106.33</v>
    <v>106.605</v>
    <v>106.91800000000001</v>
    <v>104.68</v>
    <v>103.38</v>
    <v>103.36</v>
    <v>103.72</v>
    <v>104.77</v>
    <v>104.48</v>
    <v>104.07</v>
    <v>104.84</v>
    <v>106.7</v>
    <v>106.66</v>
    <v>107.5</v>
    <v>108.88</v>
    <v>110.22</v>
    <v>110.69</v>
    <v>112.68</v>
    <v>115.42</v>
    <v>116.18</v>
    <v>115.48</v>
    <v>114.59</v>
    <v>114.4</v>
    <v>114.27</v>
    <v>115.78</v>
    <v>116.49</v>
    <v>116.715</v>
    <v>116.95</v>
    <v>117.59</v>
    <v>117.7872</v>
    <v>117.34</v>
    <v>117.1</v>
    <v>114.21</v>
    <v>114.72</v>
    <v>114.31</v>
    <v>113.11</v>
    <v>110.765</v>
    <v>108.375</v>
    <v>111.88500000000001</v>
    <v>113.37</v>
    <v>112.54</v>
    <v>111.51</v>
    <v>112.02</v>
    <v>112.4423</v>
    <v>113.94</v>
    <v>114.6</v>
    <v>113.2</v>
    <v>113.05</v>
    <v>114.8</v>
    <v>114.33</v>
    <v>114.75</v>
    <v>129.37</v>
    <v>128.80000000000001</v>
    <v>127.8</v>
    <v>126.01</v>
    <v>128.94999999999999</v>
    <v>129.21</v>
    <v>130.69</v>
    <v>132.77369999999999</v>
    <v>129.20500000000001</v>
    <v>127.67</v>
    <v>126.935</v>
    <v>127.82</v>
    <v>126.17</v>
    <v>126.27200000000001</v>
    <v>124.93</v>
    <v>126.405</v>
    <v>127.99</v>
    <v>125.995</v>
    <v>125.11499999999999</v>
    <v>124.75</v>
    <v>123.08</v>
    <v>123.82</v>
    <v>121.84</v>
    <v>122.47</v>
    <v>121.4426</v>
    <v>121.04</v>
    <v>118.76</v>
    <v>116.77</v>
    <v>116.33499999999999</v>
    <v>115.86</v>
    <v>115.73</v>
    <v>114.99</v>
    <v>119.21</v>
    <v>117.31</v>
    <v>115.52</v>
    <v>116.76</v>
    <v>115.81</v>
    <v>116.21</v>
    <v>118.36</v>
    <v>119.129</v>
    <v>117.98</v>
    <v>117.7256</v>
    <v>117.63</v>
    <v>117.19</v>
    <v>122.55</v>
    <v>122.09</v>
    <v>122.45</v>
    <v>123.58</v>
    <v>124.68</v>
    <v>125.36</v>
    <v>125.16</v>
    <v>126.7</v>
    <v>123.51</v>
    <v>124.82</v>
    <v>123.92</v>
    <v>121.44</v>
    <v>117.4175</v>
    <v>119.33</v>
    <v>120.37</v>
    <v>122.79</v>
    <v>124.27</v>
    <v>126.22</v>
    <v>126.95</v>
    <v>124.83</v>
    <v>140.95500000000001</v>
    <v>142.4</v>
    <v>139.97</v>
    <v>141.44</v>
    <v>145.06</v>
    <v>145.32</v>
    <v>143.72</v>
    <v>141.53</v>
    <v>139.55000000000001</v>
    <v>140.745</v>
    <v>141.41999999999999</v>
    <v>142.82</v>
    <v>144.05500000000001</v>
    <v>144.22</v>
    <v>144.65</v>
    <v>145.785</v>
    <v>145.22999999999999</v>
    <v>145.69990000000001</v>
    <v>142.38</v>
    <v>143.47999999999999</v>
    <v>145.13</v>
    <v>146.59</v>
    <v>143.5</v>
    <v>141.79</v>
    <v>140.06</v>
    <v>140.44</v>
    <v>140.68</v>
    <v>143.22</v>
    <v>142.66</v>
    <v>141.07</v>
    <v>139.96</v>
    <v>139.78</v>
    <v>139.565</v>
    <v>141.55000000000001</v>
    <v>140.38999999999999</v>
    <v>134.30000000000001</v>
    <v>129.97</v>
    <v>131.03749999999999</v>
    <v>130.30000000000001</v>
    <v>129.82</v>
    <v>132.37</v>
    <v>132.71</v>
    <v>134.54</v>
    <v>135.97</v>
    <v>137.25</v>
    <v>137.82</v>
    <v>137.94999999999999</v>
    <v>139.79</v>
    <v>140.30000000000001</v>
    <v>141.08000000000001</v>
    <v>139.79</v>
    <v>139.4</v>
    <v>139.5</v>
    <v>138.94999999999999</v>
    <v>141.16</v>
    <v>141.72</v>
    <v>142.19999999999999</v>
    <v>141.1009</v>
    <v>143.28</v>
    <v>143.94</v>
    <v>143.30000000000001</v>
    <v>160.52000000000001</v>
    <v>159.44</v>
    <v>162.34</v>
    <v>173.935</v>
    <v>173.99</v>
    <v>170.64</v>
    <v>167.62</v>
    <v>168.16</v>
    <v>168.83</v>
    <v>167.33</v>
    <v>166.1</v>
    <v>168.75</v>
    <v>168.36</v>
    <v>169.10980000000001</v>
    <v>170.52</v>
    <v>170.51</v>
    <v>169.18</v>
    <v>167.86</v>
    <v>170.9</v>
    <v>172.33</v>
    <v>174.64</v>
    <v>178.61</v>
    <v>178.3</v>
    <v>177</v>
    <v>177.22</v>
    <v>178.2199</v>
    <v>174.91200000000001</v>
    <v>177.75</v>
    <v>176.97</v>
    <v>175.15</v>
    <v>175.85</v>
    <v>176.07</v>
    <v>174.95419999999999</v>
    <v>176.29</v>
    <v>174.17</v>
    <v>174.0231</v>
    <v>176.16</v>
    <v>170.88</v>
    <v>172.27</v>
    <v>170.48</v>
    <v>171.89</v>
    <v>182.1</v>
    <v>186.67</v>
    <v>190.16</v>
    <v>191.5</v>
    <v>190.61</v>
    <v>191.77</v>
    <v>189.59</v>
    <v>185.8</v>
    <v>186.18</v>
    <v>189.32</v>
    <v>190.97</v>
    <v>196.04</v>
    <v>194.2</v>
    <v>194.75</v>
    <v>192.4</v>
    <v>188.95500000000001</v>
    <v>185.93</v>
    <v>185.29</v>
    <v>183.04</v>
    <v>189.79</v>
    <v>189.02</v>
    <v>192.63</v>
    <v>198.3099</v>
    <v>177.8</v>
    <v>181.38</v>
    <v>178.16990000000001</v>
    <v>176.14</v>
    <v>174.27</v>
    <v>172.99</v>
    <v>171.23</v>
    <v>171</v>
    <v>171.26</v>
    <v>169.62</v>
    <v>171.77</v>
    <v>172.55</v>
    <v>171.15</v>
    <v>167.91</v>
    <v>167.3</v>
    <v>168.69</v>
    <v>167.2</v>
    <v>168.05</v>
    <v>166.16</v>
    <v>163.98</v>
    <v>159.19999999999999</v>
    <v>154.15</v>
    <v>157.25</v>
    <v>159.14949999999999</v>
    <v>161.5</v>
    <v>163.16</v>
    <v>173.37</v>
    <v>191.99</v>
    <v>186.57</v>
    <v>189.1</v>
    <v>172.52</v>
    <v>165.82499999999999</v>
    <v>164.02500000000001</v>
    <v>171.49</v>
    <v>173</v>
    <v>169.9</v>
    <v>170.4</v>
    <v>171.89</v>
    <v>175.65</v>
    <v>177.39</v>
    <v>179.99</v>
    <v>179.12</v>
    <v>174.89</v>
    <v>174.375</v>
    <v>175.03</v>
    <v>182.24</v>
    <v>181.68</v>
    <v>180.27</v>
    <v>176.875</v>
    <v>174.17</v>
    <v>170.6</v>
    <v>173.87</v>
    <v>174.86</v>
    <v>166.15</v>
    <v>167.12</v>
    <v>159.76</v>
    <v>162.4853</v>
    <v>157.155</v>
    <v>156.47999999999999</v>
    <v>152.52000000000001</v>
    <v>145.78</v>
    <v>152.22999999999999</v>
    <v>150.16999999999999</v>
    <v>150.88</v>
    <v>155.75</v>
    <v>152.41499999999999</v>
    <v>154.07</v>
    <v>154.49</v>
    <v>153.84</v>
    <v>156.60499999999999</v>
    <v>155.6</v>
    <v>153.03</v>
    <v>147.04</v>
    <v>145.65</v>
    <v>140.59</v>
    <v>143.25</v>
    <v>147.88999999999999</v>
    <v>141.4</v>
    <v>133.82</v>
    <v>134.11000000000001</v>
    <v>132.99</v>
    <v>140.59</v>
    <v>136.65</v>
    <v>133</v>
    <v>136.80000000000001</v>
    <v>136.482</v>
    <v>132.5368</v>
    <v>131.30000000000001</v>
    <v>127.19499999999999</v>
    <v>127.99</v>
    <v>135.87</v>
    <v>137.86000000000001</v>
    <v>139</v>
    <v>140.66999999999999</v>
    <v>141.16</v>
    <v>141.30000000000001</v>
    <v>148.63999999999999</v>
    <v>153.06</v>
    <v>150.82</v>
    <v>148.941</v>
    <v>149.9</v>
    <v>151.81</v>
    <v>151.79910000000001</v>
    <v>157.43</v>
    <v>163.22</v>
    <v>163.41</v>
    <v>161.74</v>
    <v>160.84</v>
    <v>161.9699</v>
    <v>160.36000000000001</v>
    <v>160.9</v>
    <v>159.19</v>
    <v>157.375</v>
    <v>162.4</v>
    <v>164.32</v>
    <v>165.32</v>
    <v>165.75</v>
    <v>167</v>
    <v>169.33</v>
    <v>170.48</v>
    <v>172.25989999999999</v>
    <v>174.79</v>
    <v>178.72</v>
    <v>177.85</v>
    <v>179.55</v>
    <v>202.49</v>
    <v>216.59989999999999</v>
    <v>215.17</v>
    <v>215.88</v>
    <v>214.7199</v>
    <v>213.8</v>
    <v>207.27</v>
    <v>216.36500000000001</v>
    <v>216.9299</v>
    <v>214.42</v>
    <v>214.65</v>
    <v>228.22</v>
    <v>223.17</v>
    <v>231.9</v>
    <v>237.98990000000001</v>
    <v>235.25</v>
    <v>241.4385</v>
    <v>236.51</v>
    <v>240.05500000000001</v>
    <v>234</v>
    <v>230.64</v>
    <v>235.6</v>
    <v>241.33</v>
    <v>251.59989999999999</v>
    <v>249.68</v>
    <v>246.8</v>
    <v>242.29</v>
    <v>243.42</v>
    <v>244.08</v>
    <v>245.47</v>
    <v>247.78</v>
    <v>253.07</v>
    <v>251.05</v>
    <v>260.87</v>
    <v>248.41</v>
    <v>252.91</v>
    <v>258.48719999999997</v>
    <v>256.83999999999997</v>
    <v>257.76</v>
    <v>250.89340000000001</v>
    <v>254.69</v>
    <v>257.87</v>
    <v>257.66989999999998</v>
    <v>248.92</v>
    <v>250.63</v>
    <v>249.16</v>
    <v>249.25</v>
    <v>235.88</v>
    <v>235.91990000000001</v>
    <v>238.5</v>
    <v>239.03</v>
    <v>236.905</v>
    <v>236.53</v>
    <v>241.95</v>
    <v>238.22</v>
    <v>225.45</v>
    <v>225.9</v>
    <v>223.57</v>
    <v>234.62</v>
    <v>242.42</v>
    <v>243.49</v>
    <v>345.72</v>
    <v>331</v>
    <v>307.97000000000003</v>
    <v>307.02999999999997</v>
    <v>319.97000000000003</v>
    <v>308.66000000000003</v>
    <v>303.82</v>
    <v>311.11</v>
    <v>329.5</v>
    <v>325</v>
    <v>312.47000000000003</v>
    <v>298.75</v>
    <v>294</v>
    <v>285.98</v>
    <v>284</v>
    <v>289.99</v>
    <v>294.97000000000003</v>
    <v>294.64</v>
    <v>296.68</v>
    <v>293.22000000000003</v>
    <v>291.52999999999997</v>
    <v>300.97000000000003</v>
    <v>307.72000000000003</v>
    <v>310.7</v>
    <v>304.42</v>
    <v>311.01</v>
    <v>322.54000000000002</v>
    <v>304.27999999999997</v>
    <v>289.24</v>
    <v>280.29989999999998</v>
    <v>277.2</v>
    <v>283.10000000000002</v>
    <v>287.19</v>
    <v>287</v>
    <v>285.45999999999998</v>
    <v>281.62</v>
    <v>269.76</v>
    <v>265.81</v>
    <v>265.62</v>
    <v>255.28</v>
    <v>252.4</v>
    <v>249.07</v>
    <v>240.4</v>
    <v>247.24</v>
    <v>237.45</v>
    <v>236.81</v>
    <v>225.16</v>
    <v>227.05</v>
    <v>222.8</v>
    <v>223.7</v>
    <v>228.1499</v>
    <v>234</v>
    <v>208.31</v>
    <v>203.82</v>
    <v>199.41</v>
    <v>210</v>
    <v>202.3399</v>
    <v>203.5</v>
    <v>209.7</v>
    <v>207.92</v>
    <v>215.41</v>
    <v>219.5</v>
    <v>224.75</v>
    <v>222.62</v>
    <v>225.32</v>
    <v>201.99</v>
    <v>197.85</v>
    <v>188.96969999999999</v>
    <v>189.8</v>
    <v>186.5</v>
    <v>184.76</v>
    <v>195.12</v>
    <v>198.8</v>
    <v>197.2</v>
    <v>198.28</v>
    <v>200.3699</v>
    <v>198.51</v>
    <v>198.38</v>
    <v>197.2</v>
    <v>198.59</v>
    <v>201.69</v>
    <v>194.875</v>
    <v>195.67</v>
    <v>190.95</v>
    <v>200.18</v>
    <v>206.6</v>
    <v>207.8</v>
    <v>201.68</v>
    <v>195.01</v>
    <v>191.87</v>
    <v>187.19</v>
    <v>180.6</v>
    <v>180.16</v>
    <v>179.65</v>
    <v>185.31</v>
    <v>179.72</v>
    <v>181.68</v>
    <v>170.23</v>
    <v>168.9</v>
    <v>171.2</v>
    <v>159.38</v>
    <v>153.94</v>
    <v>146.55000000000001</v>
    <v>143.19999999999999</v>
    <v>159.75</v>
    <v>165.39</v>
    <v>163.66</v>
    <v>159.04</v>
    <v>162.30000000000001</v>
    <v>159.28</v>
    <v>157.30000000000001</v>
    <v>160.08269999999999</v>
    <v>153.99</v>
    <v>145.80000000000001</v>
    <v>146.76</v>
    <v>153.27940000000001</v>
    <v>152.5</v>
    <v>146.08000000000001</v>
    <v>150.16999999999999</v>
    <v>150.93</v>
    <v>153.61000000000001</v>
    <v>157.94</v>
    <v>159.19</v>
    <v>152</v>
    <v>154.13999999999999</v>
    <v>171.76</v>
    <v>167.83</v>
    <v>160.77000000000001</v>
    <v>158.74</v>
    <v>158.91999999999999</v>
    <v>154.96520000000001</v>
    <v>156.91999999999999</v>
    <v>153.25</v>
    <v>155.78</v>
    <v>153.9</v>
    <v>149.84</v>
    <v>146.47</v>
    <v>141.69</v>
    <v>141.19999999999999</v>
    <v>147.39500000000001</v>
    <v>149.65</v>
    <v>146.44</v>
    <v>148.55000000000001</v>
    <v>144.57</v>
    <v>151.46</v>
    <v>142.80000000000001</v>
    <v>140.16499999999999</v>
    <v>155.91</v>
    <v>169.4</v>
    <v>172.56</v>
    <v>180.27</v>
    <v>184.5</v>
    <v>177.76</v>
    <v>185.34</v>
    <v>189.18</v>
    <v>181.89</v>
    <v>180.71</v>
    <v>173.55</v>
    <v>168.69990000000001</v>
    <v>164.76</v>
    <v>165.18</v>
    <v>174.3</v>
    <v>183.5</v>
    <v>186.52</v>
    <v>194.29</v>
    <v>200.15</v>
    <v>198</v>
    <v>195.68219999999999</v>
    <v>192.92</v>
    <v>191.57</v>
    <v>200.709</v>
    <v>196.43</v>
    <v>190.76</v>
    <v>188.72479999999999</v>
    <v>188.22</v>
    <v>192.82</v>
    <v>197</v>
    <v>195.2</v>
    <v>192.14</v>
    <v>205</v>
    <v>226.29</v>
    <v>250.25</v>
    <v>249</v>
    <v>240.51</v>
    <v>238.95</v>
    <v>231.44</v>
    <v>219.06</v>
    <v>220.5</v>
    <v>212.47989999999999</v>
    <v>184.77</v>
    <v>185.58</v>
    <v>195.32</v>
    <v>195.32</v>
    <v>190.19</v>
    <v>187.99</v>
    <v>184.58</v>
    <v>174.33</v>
    <v>165.75</v>
    <v>157.62</v>
    <v>153.54</v>
    <v>154.5</v>
    <v>149.93</v>
    <v>147.55000000000001</v>
    <v>147.06</v>
    <v>145.62219999999999</v>
    <v>145.56</v>
    <v>141.84</v>
    <v>149.07</v>
    <v>145.68</v>
    <v>139.65</v>
    <v>132.76</v>
    <v>133.9</v>
    <v>131.78</v>
    <v>128.435</v>
    <v>125.4897</v>
    <v>127.42</v>
    <v>128.84</v>
    <v>124.7</v>
    <v>123.08</v>
    <v>121.99</v>
    <v>122.33</v>
    <v>121.92</v>
    <v>128.34</v>
    <v>132.4</v>
    <v>143.07</v>
    <v>148.69999999999999</v>
    <v>146.38990000000001</v>
    <v>146.58000000000001</v>
    <v>147.16</v>
    <v>151.99</v>
    <v>151.99</v>
    <v>154.88999999999999</v>
    <v>159.26</v>
    <v>156.38999999999999</v>
    <v>150.4</v>
    <v>146</v>
    <v>146.08000000000001</v>
    <v>145.91999999999999</v>
    <v>148.35</v>
    <v>145.12</v>
    <v>146.33500000000001</v>
    <v>151.63</v>
    <v>153.83000000000001</v>
    <v>153.99</v>
    <v>151.26</v>
    <v>146.79</v>
    <v>146.69</v>
    <v>156.77000000000001</v>
    <v>159.69999999999999</v>
  </a>
  <a r="1" c="1259">
    <v>88.49</v>
    <v>88.87</v>
    <v>89.41</v>
    <v>89.3</v>
    <v>88.54</v>
    <v>87.97</v>
    <v>89.41</v>
    <v>89.51</v>
    <v>88.23</v>
    <v>84.73</v>
    <v>86.17</v>
    <v>86.19</v>
    <v>85.95</v>
    <v>84.93</v>
    <v>86.12</v>
    <v>87.24</v>
    <v>88.66</v>
    <v>88.94</v>
    <v>89.15</v>
    <v>90.051400000000001</v>
    <v>91</v>
    <v>87.12</v>
    <v>87.594999999999999</v>
    <v>88.96</v>
    <v>89.168199999999999</v>
    <v>89.65</v>
    <v>91.65</v>
    <v>92.11</v>
    <v>94.2</v>
    <v>95.26</v>
    <v>95.95</v>
    <v>94.37</v>
    <v>94.73</v>
    <v>95.1</v>
    <v>96.32</v>
    <v>96.25</v>
    <v>95.71</v>
    <v>96.22</v>
    <v>97.55</v>
    <v>96.94</v>
    <v>96</v>
    <v>95.93</v>
    <v>95.46</v>
    <v>93.91</v>
    <v>93.5</v>
    <v>94.747100000000003</v>
    <v>95.32</v>
    <v>94.1</v>
    <v>94.31</v>
    <v>94.055000000000007</v>
    <v>93.355000000000004</v>
    <v>93.8</v>
    <v>93.43</v>
    <v>92.92</v>
    <v>94.02</v>
    <v>94.82</v>
    <v>93.5</v>
    <v>93.94</v>
    <v>93.41</v>
    <v>92.26</v>
    <v>92.15</v>
    <v>92.07</v>
    <v>92.864999999999995</v>
    <v>90.61</v>
    <v>89.66</v>
    <v>89.000100000000003</v>
    <v>87.722999999999999</v>
    <v>87.85</v>
    <v>89.21</v>
    <v>87.91</v>
    <v>88.24</v>
    <v>100.1</v>
    <v>100.52249999999999</v>
    <v>99.39</v>
    <v>100.24</v>
    <v>102.28</v>
    <v>95.81</v>
    <v>91.52</v>
    <v>89.71</v>
    <v>89.51</v>
    <v>89.06</v>
    <v>89.02</v>
    <v>88.52</v>
    <v>87.716399999999993</v>
    <v>87.77</v>
    <v>87.18</v>
    <v>85.76</v>
    <v>87.73</v>
    <v>86.22</v>
    <v>85.55</v>
    <v>86.280100000000004</v>
    <v>86.951999999999998</v>
    <v>87.4101</v>
    <v>87.67</v>
    <v>87.55</v>
    <v>86.66</v>
    <v>85.34</v>
    <v>83.23</v>
    <v>82.52</v>
    <v>82.03</v>
    <v>79.59</v>
    <v>80.2</v>
    <v>79.275000000000006</v>
    <v>79.2</v>
    <v>78.569999999999993</v>
    <v>80.12</v>
    <v>79.644999999999996</v>
    <v>80.84</v>
    <v>81.63</v>
    <v>81.474999999999994</v>
    <v>80.66</v>
    <v>79.8001</v>
    <v>81.650000000000006</v>
    <v>81.62</v>
    <v>79.533799999999999</v>
    <v>78.44</v>
    <v>79.209999999999994</v>
    <v>78.22</v>
    <v>75.33</v>
    <v>74.28</v>
    <v>73.62</v>
    <v>72.349999999999994</v>
    <v>70.23</v>
    <v>74.319999999999993</v>
    <v>75.02</v>
    <v>75.62</v>
    <v>76.25</v>
    <v>77.430000000000007</v>
    <v>75.78</v>
    <v>73.444999999999993</v>
    <v>73.114999999999995</v>
    <v>74.69</v>
    <v>75.03</v>
    <v>74</v>
    <v>75.44</v>
    <v>77.069999999999993</v>
    <v>77.75</v>
    <v>79.260000000000005</v>
    <v>78.84</v>
    <v>80.27</v>
    <v>80.83</v>
    <v>80.22</v>
    <v>80.489999999999995</v>
    <v>81.23</v>
    <v>81.739999999999995</v>
    <v>83.113</v>
    <v>83.12</v>
    <v>82.59</v>
    <v>81.47</v>
    <v>82</v>
    <v>82.67</v>
    <v>81.370099999999994</v>
    <v>80.78</v>
    <v>80.260000000000005</v>
    <v>79.7</v>
    <v>79.02</v>
    <v>78.63</v>
    <v>79.319999999999993</v>
    <v>77.91</v>
    <v>78.235500000000002</v>
    <v>79.790000000000006</v>
    <v>79.33</v>
    <v>76.16</v>
    <v>74.7</v>
    <v>74.48</v>
    <v>74.42</v>
    <v>74.599999999999994</v>
    <v>73.150000000000006</v>
    <v>72.525000000000006</v>
    <v>72.805000000000007</v>
    <v>72.790000000000006</v>
    <v>71.989999999999995</v>
    <v>71.63</v>
    <v>71.17</v>
    <v>71.27</v>
    <v>70.87</v>
    <v>68.97</v>
    <v>70.53</v>
    <v>69.39</v>
    <v>70.7</v>
    <v>67.81</v>
    <v>66.72</v>
    <v>66.849999999999994</v>
    <v>68.67</v>
    <v>68.31</v>
    <v>68.77</v>
    <v>69.91</v>
    <v>71.55</v>
    <v>71.52</v>
    <v>71.150000000000006</v>
    <v>71.010000000000005</v>
    <v>71.2273</v>
    <v>72.63</v>
    <v>71.59</v>
    <v>70.94</v>
    <v>69.2</v>
    <v>66.959999999999994</v>
    <v>63.76</v>
    <v>69.02</v>
    <v>68.67</v>
    <v>67.58</v>
    <v>67.389899999999997</v>
    <v>67.39</v>
    <v>66.38</v>
    <v>66.31</v>
    <v>67.97</v>
    <v>68.94</v>
    <v>68.53</v>
    <v>68.78</v>
    <v>68.209999999999994</v>
    <v>69.81</v>
    <v>70.180000000000007</v>
    <v>71.31</v>
    <v>71.174999999999997</v>
    <v>71.33</v>
    <v>70.900000000000006</v>
    <v>70.069999999999993</v>
    <v>68.680000000000007</v>
    <v>68.23</v>
    <v>70</v>
    <v>70.144999999999996</v>
    <v>70.260000000000005</v>
    <v>72.16</v>
    <v>72.127200000000002</v>
    <v>74.260000000000005</v>
    <v>74.34</v>
    <v>73.704999999999998</v>
    <v>74.319999999999993</v>
    <v>75.31</v>
    <v>77</v>
    <v>76.7</v>
    <v>76.06</v>
    <v>76.3</v>
    <v>77.11</v>
    <v>76</v>
    <v>76.270799999999994</v>
    <v>75.84</v>
    <v>77.2</v>
    <v>77.08</v>
    <v>77.66</v>
    <v>78.5</v>
    <v>78.849999999999994</v>
    <v>78.95</v>
    <v>79.010000000000005</v>
    <v>78.4392</v>
    <v>76.17</v>
    <v>76.25</v>
    <v>76.05</v>
    <v>75.98</v>
    <v>74.569999999999993</v>
    <v>74.069999999999993</v>
    <v>73.459999999999994</v>
    <v>74.040000000000006</v>
    <v>73.53</v>
    <v>74.48</v>
    <v>73.55</v>
    <v>73.42</v>
    <v>73.61</v>
    <v>74.44</v>
    <v>76.27</v>
    <v>75.780100000000004</v>
    <v>71.77</v>
    <v>69.745000000000005</v>
    <v>68.245000000000005</v>
    <v>67.905000000000001</v>
    <v>67.448999999999998</v>
    <v>66.739999999999995</v>
    <v>65.84</v>
    <v>63.87</v>
    <v>63.39</v>
    <v>62.034999999999997</v>
    <v>62.25</v>
    <v>60.78</v>
    <v>61.06</v>
    <v>60.805</v>
    <v>63.8</v>
    <v>64.98</v>
    <v>65.224999999999994</v>
    <v>62.74</v>
    <v>62.02</v>
    <v>61.65</v>
    <v>62.17</v>
    <v>62.27</v>
    <v>64.209999999999994</v>
    <v>65.87</v>
    <v>66.33</v>
    <v>65.775000000000006</v>
    <v>67.19</v>
    <v>70.31</v>
    <v>71.78</v>
    <v>72.61</v>
    <v>72.55</v>
    <v>74.545000000000002</v>
    <v>75.3</v>
    <v>76.400000000000006</v>
    <v>76.34</v>
    <v>75.004999999999995</v>
    <v>74.05</v>
    <v>74.239999999999995</v>
    <v>75.489999999999995</v>
    <v>75.02</v>
    <v>75</v>
    <v>76.709999999999994</v>
    <v>76.569999999999993</v>
    <v>77.334999999999994</v>
    <v>78.010000000000005</v>
    <v>78.864999999999995</v>
    <v>78.19</v>
    <v>78.849999999999994</v>
    <v>78.900000000000006</v>
    <v>79.83</v>
    <v>81.78</v>
    <v>82.534999999999997</v>
    <v>81.069999999999993</v>
    <v>80.52</v>
    <v>80</v>
    <v>82.35</v>
    <v>82.58</v>
    <v>79.41</v>
    <v>78.06</v>
    <v>78.58</v>
    <v>78.53</v>
    <v>79.540000000000006</v>
    <v>79.935000000000002</v>
    <v>79.7</v>
    <v>80.569999999999993</v>
    <v>79.459999999999994</v>
    <v>79.48</v>
    <v>79.680000000000007</v>
    <v>80.349999999999994</v>
    <v>80.94</v>
    <v>79.430000000000007</v>
    <v>79.989999999999995</v>
    <v>80.605000000000004</v>
    <v>80.194999999999993</v>
    <v>80.7</v>
    <v>80.760000000000005</v>
    <v>82.26</v>
    <v>83.64</v>
    <v>83.22</v>
    <v>83.82</v>
    <v>86.16</v>
    <v>85.57</v>
    <v>87.09</v>
    <v>88.17</v>
    <v>87.66</v>
    <v>88.424999999999997</v>
    <v>86.6</v>
    <v>85.254999999999995</v>
    <v>85.495000000000005</v>
    <v>86.97</v>
    <v>88</v>
    <v>87.74</v>
    <v>89.09</v>
    <v>88.96</v>
    <v>86.99</v>
    <v>87.35</v>
    <v>88.21</v>
    <v>88.944999999999993</v>
    <v>88.27</v>
    <v>88.4</v>
    <v>86.3</v>
    <v>86.51</v>
    <v>86.325000000000003</v>
    <v>86.334999999999994</v>
    <v>87.2</v>
    <v>87.71</v>
    <v>88.03</v>
    <v>87.012600000000006</v>
    <v>86.51</v>
    <v>86.15</v>
    <v>85.98</v>
    <v>87.06</v>
    <v>87.14</v>
    <v>87.36</v>
    <v>87.18</v>
    <v>85.99</v>
    <v>85.87</v>
    <v>87.08</v>
    <v>89.15</v>
    <v>88.05</v>
    <v>88.15</v>
    <v>86.53</v>
    <v>82.88</v>
    <v>82.04</v>
    <v>83.43</v>
    <v>82.12</v>
    <v>82.08</v>
    <v>84.61</v>
    <v>85.25</v>
    <v>86.66</v>
    <v>87.44</v>
    <v>87.64</v>
    <v>87.51</v>
    <v>88.545000000000002</v>
    <v>89.48</v>
    <v>89.81</v>
    <v>89.71</v>
    <v>90.41</v>
    <v>92.09</v>
    <v>92.93</v>
    <v>93.48</v>
    <v>93.99</v>
    <v>93.55</v>
    <v>93.2</v>
    <v>93.594999999999999</v>
    <v>93.94</v>
    <v>94.68</v>
    <v>95.31</v>
    <v>95.774900000000002</v>
    <v>95.59</v>
    <v>94.6</v>
    <v>94.26</v>
    <v>94.97</v>
    <v>94.02</v>
    <v>93.34</v>
    <v>93.290599999999998</v>
    <v>94.24</v>
    <v>94.7</v>
    <v>93.85</v>
    <v>94.54</v>
    <v>94.41</v>
    <v>94.83</v>
    <v>96.44</v>
    <v>96.1</v>
    <v>96.256</v>
    <v>96.334999999999994</v>
    <v>96.93</v>
    <v>97.045000000000002</v>
    <v>96.92</v>
    <v>98.43</v>
    <v>99.73</v>
    <v>101.92</v>
    <v>101.73</v>
    <v>98.465000000000003</v>
    <v>97.29</v>
    <v>98.77</v>
    <v>104.03</v>
    <v>104.19</v>
    <v>104.15</v>
    <v>104.78</v>
    <v>105.75</v>
    <v>105.51</v>
    <v>106.15</v>
    <v>104.83499999999999</v>
    <v>105.35</v>
    <v>107.41</v>
    <v>114.34</v>
    <v>116.02</v>
    <v>115.74</v>
    <v>121.66</v>
    <v>125.15</v>
    <v>121.96</v>
    <v>120.36</v>
    <v>120.07</v>
    <v>118.14</v>
    <v>116.7</v>
    <v>116.26</v>
    <v>116.39</v>
    <v>114.63</v>
    <v>119.0301</v>
    <v>116.825</v>
    <v>115.41</v>
    <v>114.64</v>
    <v>114.49</v>
    <v>113.66</v>
    <v>113.43</v>
    <v>115.64</v>
    <v>116.76</v>
    <v>117.68</v>
    <v>118.2533</v>
    <v>117.81</v>
    <v>118.42</v>
    <v>115.23</v>
    <v>116.21</v>
    <v>116.73</v>
    <v>116.81</v>
    <v>115</v>
    <v>115.64</v>
    <v>115.65</v>
    <v>115.83</v>
    <v>116.47499999999999</v>
    <v>114.32</v>
    <v>114.26</v>
    <v>114.255</v>
    <v>115.07</v>
    <v>114.22</v>
    <v>112.33</v>
    <v>112.48</v>
    <v>111.13</v>
    <v>113.15</v>
    <v>114.84</v>
    <v>115.27</v>
    <v>114.36</v>
    <v>113.95</v>
    <v>115.19</v>
    <v>115.73</v>
    <v>112.10980000000001</v>
    <v>112.41</v>
    <v>112.74</v>
    <v>115.7</v>
    <v>118.53</v>
    <v>120.15</v>
    <v>120.12</v>
    <v>120.09</v>
    <v>121.18</v>
    <v>122.73</v>
    <v>122.59439999999999</v>
    <v>124.3475</v>
    <v>124.72</v>
    <v>107.3</v>
    <v>108.2</v>
    <v>111.95</v>
    <v>112.5</v>
    <v>111.58</v>
    <v>111.71</v>
    <v>112.46</v>
    <v>109.331</v>
    <v>108.51</v>
    <v>107.5</v>
    <v>104.31</v>
    <v>103.35</v>
    <v>103.27</v>
    <v>105.38</v>
    <v>105.29</v>
    <v>103.54</v>
    <v>104.5</v>
    <v>106.185</v>
    <v>107.58</v>
    <v>109.47</v>
    <v>109.62</v>
    <v>108.83</v>
    <v>108.88</v>
    <v>107.79</v>
    <v>108.3116</v>
    <v>106.902</v>
    <v>107.86</v>
    <v>108.19</v>
    <v>100.66</v>
    <v>102.01</v>
    <v>102.5</v>
    <v>101.01</v>
    <v>99.87</v>
    <v>100.59</v>
    <v>100.82</v>
    <v>101.1</v>
    <v>103.8</v>
    <v>105.57</v>
    <v>106.62</v>
    <v>107.44</v>
    <v>108.58</v>
    <v>109.19</v>
    <v>111.61</v>
    <v>111.14</v>
    <v>112.78</v>
    <v>114.45</v>
    <v>113.925</v>
    <v>113.47</v>
    <v>114.16</v>
    <v>115.51</v>
    <v>115.68</v>
    <v>115.51</v>
    <v>115.34</v>
    <v>115.45</v>
    <v>115.87</v>
    <v>115.96</v>
    <v>115.18</v>
    <v>115.26</v>
    <v>114.55</v>
    <v>113.81</v>
    <v>111.93</v>
    <v>111.81</v>
    <v>111.59</v>
    <v>113.61</v>
    <v>100.69</v>
    <v>99.26</v>
    <v>99.87</v>
    <v>99.36</v>
    <v>102.91</v>
    <v>104.8</v>
    <v>104.05</v>
    <v>104.52</v>
    <v>105.46</v>
    <v>105.34</v>
    <v>105.56</v>
    <v>105.58</v>
    <v>104.78</v>
    <v>102.44</v>
    <v>101.74</v>
    <v>102.4</v>
    <v>102.29</v>
    <v>102.13</v>
    <v>103.29</v>
    <v>102.72</v>
    <v>103.54</v>
    <v>104.965</v>
    <v>105.42</v>
    <v>105.68</v>
    <v>106.62</v>
    <v>109.02</v>
    <v>109.27</v>
    <v>109.56</v>
    <v>113.33</v>
    <v>114.35</v>
    <v>114.27460000000001</v>
    <v>113.01</v>
    <v>112.63</v>
    <v>111.67</v>
    <v>112.55</v>
    <v>115.1575</v>
    <v>114.77</v>
    <v>114.98</v>
    <v>115.3</v>
    <v>115.97</v>
    <v>115.73</v>
    <v>115.38</v>
    <v>113</v>
    <v>113.53</v>
    <v>112.57</v>
    <v>111.245</v>
    <v>107.68</v>
    <v>106.51</v>
    <v>109.66</v>
    <v>111.71</v>
    <v>110.93</v>
    <v>109.79</v>
    <v>111.1</v>
    <v>110.63500000000001</v>
    <v>111.52</v>
    <v>113.39</v>
    <v>110.36499999999999</v>
    <v>110.67</v>
    <v>112.29</v>
    <v>111.54</v>
    <v>111.18</v>
    <v>124.6</v>
    <v>124.83</v>
    <v>124.94</v>
    <v>123.5586</v>
    <v>126.88</v>
    <v>126.49</v>
    <v>128.27000000000001</v>
    <v>128.94999999999999</v>
    <v>127.55</v>
    <v>126.05</v>
    <v>125.84</v>
    <v>124.47</v>
    <v>125.2</v>
    <v>124.56</v>
    <v>123.43</v>
    <v>124.06</v>
    <v>124.03</v>
    <v>124.14</v>
    <v>123.76</v>
    <v>121.24</v>
    <v>121.32</v>
    <v>121.36</v>
    <v>120.41500000000001</v>
    <v>119.44</v>
    <v>119.75</v>
    <v>118.61</v>
    <v>115.7</v>
    <v>114.46</v>
    <v>114.34</v>
    <v>114.75</v>
    <v>113.88</v>
    <v>112.78</v>
    <v>116.15</v>
    <v>115.29</v>
    <v>113.69</v>
    <v>113.65</v>
    <v>114.26</v>
    <v>115.07</v>
    <v>116.18</v>
    <v>117.29</v>
    <v>117.11</v>
    <v>116.5</v>
    <v>115.91</v>
    <v>116.19499999999999</v>
    <v>116.13</v>
    <v>119.67</v>
    <v>121.21</v>
    <v>122.08</v>
    <v>123.24</v>
    <v>123.92</v>
    <v>123.295</v>
    <v>123.16</v>
    <v>121.42</v>
    <v>123.011</v>
    <v>122.77</v>
    <v>117.03</v>
    <v>114.55</v>
    <v>117.34</v>
    <v>118.72</v>
    <v>120.5077</v>
    <v>122.25</v>
    <v>123.27</v>
    <v>124.05</v>
    <v>122.29</v>
    <v>133.96</v>
    <v>138.77000000000001</v>
    <v>137.38</v>
    <v>138.25</v>
    <v>141.22</v>
    <v>141.94999999999999</v>
    <v>140.44</v>
    <v>139.12</v>
    <v>137.56</v>
    <v>138.08000000000001</v>
    <v>138.81</v>
    <v>139.27000000000001</v>
    <v>141.07</v>
    <v>142.55000000000001</v>
    <v>143.5</v>
    <v>144.02000000000001</v>
    <v>143.43</v>
    <v>138</v>
    <v>139.73500000000001</v>
    <v>141.67840000000001</v>
    <v>141.26</v>
    <v>141.91999999999999</v>
    <v>142.05000000000001</v>
    <v>138.68010000000001</v>
    <v>137.202</v>
    <v>138.08000000000001</v>
    <v>139.12</v>
    <v>141.21</v>
    <v>138.4</v>
    <v>137.69999999999999</v>
    <v>138.38</v>
    <v>137.82499999999999</v>
    <v>134.96</v>
    <v>138.66</v>
    <v>135.77000000000001</v>
    <v>131.80000000000001</v>
    <v>126.6639</v>
    <v>128.08000000000001</v>
    <v>125.75</v>
    <v>127.65</v>
    <v>128.34</v>
    <v>131.21</v>
    <v>132.81</v>
    <v>134.01</v>
    <v>135.72</v>
    <v>136.38999999999999</v>
    <v>136.45500000000001</v>
    <v>137.82</v>
    <v>138.55000000000001</v>
    <v>137.65</v>
    <v>137.26</v>
    <v>138.19</v>
    <v>137.74</v>
    <v>136.91</v>
    <v>138.85</v>
    <v>140.095</v>
    <v>138.83000000000001</v>
    <v>137.94999999999999</v>
    <v>140.30500000000001</v>
    <v>139.4</v>
    <v>139.51</v>
    <v>153.12</v>
    <v>154.84010000000001</v>
    <v>157.9</v>
    <v>161</v>
    <v>164.51</v>
    <v>166.77</v>
    <v>163.72999999999999</v>
    <v>164.51</v>
    <v>166.6</v>
    <v>164.26</v>
    <v>163.92</v>
    <v>165.66</v>
    <v>166.48</v>
    <v>166.51</v>
    <v>166.45</v>
    <v>165.97</v>
    <v>167.27</v>
    <v>166.24</v>
    <v>168.16499999999999</v>
    <v>169.55</v>
    <v>170.44200000000001</v>
    <v>173.81</v>
    <v>174.18010000000001</v>
    <v>174.4</v>
    <v>175.5</v>
    <v>173.75</v>
    <v>171.64</v>
    <v>175.14</v>
    <v>174.58</v>
    <v>173.16</v>
    <v>174.28</v>
    <v>173.01</v>
    <v>172.91</v>
    <v>173.1</v>
    <v>172.13499999999999</v>
    <v>172.29</v>
    <v>172.79</v>
    <v>167.39750000000001</v>
    <v>169.1</v>
    <v>168.73</v>
    <v>170.32</v>
    <v>177.4153</v>
    <v>180.54</v>
    <v>186.26</v>
    <v>187.84</v>
    <v>187.2</v>
    <v>188.7895</v>
    <v>186.71</v>
    <v>182.33</v>
    <v>182.88</v>
    <v>184.32</v>
    <v>187.82</v>
    <v>191.64009999999999</v>
    <v>191.06</v>
    <v>187.99</v>
    <v>188.32</v>
    <v>182.22</v>
    <v>184</v>
    <v>181</v>
    <v>179.11</v>
    <v>185.9</v>
    <v>185.85</v>
    <v>186.38</v>
    <v>188.93</v>
    <v>171.0592</v>
    <v>174.83009999999999</v>
    <v>174.81</v>
    <v>171.64</v>
    <v>170.93</v>
    <v>169.27</v>
    <v>165.36</v>
    <v>167.4</v>
    <v>165.63</v>
    <v>167.16829999999999</v>
    <v>169.03</v>
    <v>170.5</v>
    <v>167.2</v>
    <v>164.55</v>
    <v>165.84</v>
    <v>164.9</v>
    <v>165.27</v>
    <v>165.19</v>
    <v>161.32</v>
    <v>161.43</v>
    <v>153.91999999999999</v>
    <v>152.41999999999999</v>
    <v>154.35</v>
    <v>157.26</v>
    <v>158.41</v>
    <v>160.54</v>
    <v>162.75</v>
    <v>180.57</v>
    <v>181.5</v>
    <v>181.87</v>
    <v>152.66</v>
    <v>156.75</v>
    <v>160.01</v>
    <v>164.1</v>
    <v>169.12960000000001</v>
    <v>163.19999999999999</v>
    <v>166.35</v>
    <v>168.52</v>
    <v>171.57</v>
    <v>173.18</v>
    <v>174.92</v>
    <v>176.45</v>
    <v>170.71</v>
    <v>172.1</v>
    <v>172.81280000000001</v>
    <v>176.09</v>
    <v>175.7</v>
    <v>174.43</v>
    <v>167.55</v>
    <v>164.66</v>
    <v>164.441</v>
    <v>169.125</v>
    <v>164.58</v>
    <v>160.81</v>
    <v>161.13</v>
    <v>153.52000000000001</v>
    <v>157.05000000000001</v>
    <v>149.7286</v>
    <v>148.5</v>
    <v>146.80000000000001</v>
    <v>137.69999999999999</v>
    <v>145.0121</v>
    <v>145.47999999999999</v>
    <v>147.88</v>
    <v>150.4</v>
    <v>148.63</v>
    <v>150</v>
    <v>150.82</v>
    <v>150.11000000000001</v>
    <v>154.03</v>
    <v>153.05000000000001</v>
    <v>146.56</v>
    <v>144.91999999999999</v>
    <v>139.11000000000001</v>
    <v>136.76</v>
    <v>138.76</v>
    <v>139.86000000000001</v>
    <v>136.63999999999999</v>
    <v>126.95</v>
    <v>118.86</v>
    <v>121.69499999999999</v>
    <v>123.4</v>
    <v>129.255</v>
    <v>128.84</v>
    <v>132.87</v>
    <v>133.72</v>
    <v>127.85</v>
    <v>128.44</v>
    <v>121.235</v>
    <v>123.39</v>
    <v>130.99</v>
    <v>132</v>
    <v>136.755</v>
    <v>138.08000000000001</v>
    <v>139.55000000000001</v>
    <v>135.565</v>
    <v>145.33500000000001</v>
    <v>148.33000000000001</v>
    <v>148.52010000000001</v>
    <v>145.72</v>
    <v>147.24</v>
    <v>148.61000000000001</v>
    <v>149.79</v>
    <v>154.41650000000001</v>
    <v>157.57</v>
    <v>161.05779999999999</v>
    <v>158.91</v>
    <v>158.52000000000001</v>
    <v>157.8289</v>
    <v>157.53</v>
    <v>156.459</v>
    <v>156.82</v>
    <v>154.25720000000001</v>
    <v>158.91999999999999</v>
    <v>161.28</v>
    <v>161.49</v>
    <v>161.55009999999999</v>
    <v>162.6</v>
    <v>166.59</v>
    <v>167.57</v>
    <v>168.755</v>
    <v>172.6601</v>
    <v>173.79</v>
    <v>174.28</v>
    <v>176.2</v>
    <v>188.88</v>
    <v>201.2</v>
    <v>209.97630000000001</v>
    <v>207.48050000000001</v>
    <v>209.5701</v>
    <v>204.64</v>
    <v>202.54</v>
    <v>208.55</v>
    <v>210.23</v>
    <v>210.3587</v>
    <v>209.96</v>
    <v>218.3801</v>
    <v>216.30789999999999</v>
    <v>216.72</v>
    <v>231.2</v>
    <v>229.5</v>
    <v>233.19</v>
    <v>232</v>
    <v>233.5</v>
    <v>229.87</v>
    <v>225.12</v>
    <v>229.2</v>
    <v>233.19</v>
    <v>242.01</v>
    <v>245</v>
    <v>243.24</v>
    <v>235.4101</v>
    <v>238.66</v>
    <v>240.56010000000001</v>
    <v>241.43</v>
    <v>243.42</v>
    <v>246.59</v>
    <v>245.6</v>
    <v>253.31800000000001</v>
    <v>242</v>
    <v>245.9</v>
    <v>251.37</v>
    <v>251.72</v>
    <v>246.52</v>
    <v>247.86</v>
    <v>245.56</v>
    <v>251.08</v>
    <v>242.63499999999999</v>
    <v>242.57</v>
    <v>242.92500000000001</v>
    <v>243.62</v>
    <v>232.23</v>
    <v>228.2543</v>
    <v>232.43</v>
    <v>231.46</v>
    <v>235.27</v>
    <v>232.71</v>
    <v>232.68</v>
    <v>235.12</v>
    <v>223.11</v>
    <v>218.79</v>
    <v>221.75</v>
    <v>219.56010000000001</v>
    <v>225.88499999999999</v>
    <v>235.31</v>
    <v>234.56</v>
    <v>312.08999999999997</v>
    <v>304.60000000000002</v>
    <v>291.75</v>
    <v>297.29000000000002</v>
    <v>302.2724</v>
    <v>295.02999999999997</v>
    <v>292</v>
    <v>297.32</v>
    <v>306.92</v>
    <v>310.05</v>
    <v>300.02999999999997</v>
    <v>288.55</v>
    <v>283</v>
    <v>279.61</v>
    <v>275.89999999999998</v>
    <v>277.88</v>
    <v>286.05</v>
    <v>284</v>
    <v>290.8</v>
    <v>271</v>
    <v>283.60000000000002</v>
    <v>287.26</v>
    <v>292.01</v>
    <v>297.74</v>
    <v>291.98</v>
    <v>298.92</v>
    <v>303.07</v>
    <v>287.5</v>
    <v>275.31</v>
    <v>272.26</v>
    <v>269.25</v>
    <v>272.38499999999999</v>
    <v>282.245</v>
    <v>279.81</v>
    <v>280.54000000000002</v>
    <v>271.35000000000002</v>
    <v>256.27999999999997</v>
    <v>256.7097</v>
    <v>255.23</v>
    <v>245.185</v>
    <v>247.03</v>
    <v>239.29</v>
    <v>232.35</v>
    <v>237.07</v>
    <v>228.89</v>
    <v>226.17</v>
    <v>215.22</v>
    <v>210.77</v>
    <v>215.56</v>
    <v>214.5</v>
    <v>217.31</v>
    <v>210.3</v>
    <v>193.55</v>
    <v>194.3</v>
    <v>185.63</v>
    <v>202.24</v>
    <v>197.61</v>
    <v>196.7</v>
    <v>200</v>
    <v>199.4</v>
    <v>206.315</v>
    <v>213.62</v>
    <v>216.91</v>
    <v>218.28</v>
    <v>217.58</v>
    <v>186.23</v>
    <v>185.98</v>
    <v>181.4</v>
    <v>184.49</v>
    <v>177.07</v>
    <v>178.58</v>
    <v>188.12</v>
    <v>192.83</v>
    <v>192.19</v>
    <v>194.42</v>
    <v>196.11</v>
    <v>192.64</v>
    <v>195.71</v>
    <v>194.73</v>
    <v>194.21</v>
    <v>192.33</v>
    <v>190.7</v>
    <v>192</v>
    <v>186.15</v>
    <v>188.78</v>
    <v>197.01079999999999</v>
    <v>200.655</v>
    <v>190.81</v>
    <v>189.39</v>
    <v>186.53</v>
    <v>179.36</v>
    <v>170.6</v>
    <v>176.5</v>
    <v>172</v>
    <v>178.53</v>
    <v>173.68</v>
    <v>171.86</v>
    <v>161.52000000000001</v>
    <v>163.24</v>
    <v>160</v>
    <v>151.9</v>
    <v>144.43199999999999</v>
    <v>135.25</v>
    <v>138.91</v>
    <v>147</v>
    <v>156.96</v>
    <v>154</v>
    <v>152.5</v>
    <v>155.29</v>
    <v>152.88</v>
    <v>151.37</v>
    <v>155.77000000000001</v>
    <v>147.38999999999999</v>
    <v>138.58500000000001</v>
    <v>138.72999999999999</v>
    <v>147.33500000000001</v>
    <v>145.15</v>
    <v>142.1</v>
    <v>141.18</v>
    <v>143.05000000000001</v>
    <v>149.1</v>
    <v>150.12</v>
    <v>151.62</v>
    <v>146.4348</v>
    <v>148.44999999999999</v>
    <v>160.58000000000001</v>
    <v>158.61000000000001</v>
    <v>154.15</v>
    <v>154.5104</v>
    <v>153.5001</v>
    <v>152.04</v>
    <v>148.88999999999999</v>
    <v>147.94999999999999</v>
    <v>150.71</v>
    <v>146.85</v>
    <v>144.60079999999999</v>
    <v>142.54</v>
    <v>138.30099999999999</v>
    <v>136.94999999999999</v>
    <v>139.85</v>
    <v>144.66999999999999</v>
    <v>140.30000000000001</v>
    <v>143.85</v>
    <v>139.94</v>
    <v>142.9</v>
    <v>136</v>
    <v>134.57</v>
    <v>139.72</v>
    <v>161.56</v>
    <v>166.21</v>
    <v>173.8</v>
    <v>173.36</v>
    <v>173.51</v>
    <v>176.01230000000001</v>
    <v>182.8</v>
    <v>174.08</v>
    <v>168.8</v>
    <v>167.9</v>
    <v>162.05000000000001</v>
    <v>160.65</v>
    <v>160.33000000000001</v>
    <v>166.15</v>
    <v>174.26</v>
    <v>179</v>
    <v>182.67</v>
    <v>190.8</v>
    <v>190.21</v>
    <v>190.6</v>
    <v>180.87010000000001</v>
    <v>185.06</v>
    <v>185.45</v>
    <v>188.9</v>
    <v>183.27</v>
    <v>180.93</v>
    <v>178.8</v>
    <v>187.2</v>
    <v>191.1</v>
    <v>190.56</v>
    <v>187.9161</v>
    <v>193.37719999999999</v>
    <v>208.01</v>
    <v>224.6</v>
    <v>238.84</v>
    <v>227.60499999999999</v>
    <v>224</v>
    <v>209.45009999999999</v>
    <v>209.33099999999999</v>
    <v>197.7901</v>
    <v>198.18</v>
    <v>175.28</v>
    <v>179</v>
    <v>186.21340000000001</v>
    <v>187.66</v>
    <v>182.58</v>
    <v>177.7</v>
    <v>174.4</v>
    <v>164.61</v>
    <v>155.35</v>
    <v>150.36000000000001</v>
    <v>148</v>
    <v>145.19999999999999</v>
    <v>144.47999999999999</v>
    <v>142.5</v>
    <v>138.8272</v>
    <v>141.16</v>
    <v>137.55000000000001</v>
    <v>137.54499999999999</v>
    <v>140.94</v>
    <v>139.26</v>
    <v>131.35</v>
    <v>127.6</v>
    <v>128.84</v>
    <v>123.66</v>
    <v>121.5</v>
    <v>120.03</v>
    <v>122.21</v>
    <v>124.7</v>
    <v>119.44</v>
    <v>114.75</v>
    <v>116.8</v>
    <v>114.5</v>
    <v>116.2</v>
    <v>121.58</v>
    <v>125.7</v>
    <v>130.21</v>
    <v>141.01</v>
    <v>142.5</v>
    <v>138.72</v>
    <v>142.34</v>
    <v>146.62</v>
    <v>144.24</v>
    <v>147.88999999999999</v>
    <v>151.91</v>
    <v>148.80009999999999</v>
    <v>145.5</v>
    <v>142.35</v>
    <v>137.43</v>
    <v>141.02000000000001</v>
    <v>142.6</v>
    <v>141.25</v>
    <v>142.51</v>
    <v>146.82499999999999</v>
    <v>147.52000000000001</v>
    <v>149.71</v>
    <v>147.75</v>
    <v>139.94999999999999</v>
    <v>139.72</v>
    <v>146.91999999999999</v>
    <v>156.71</v>
  </a>
  <a r="1" c="1259">
    <v>8113258</v>
    <v>8208004</v>
    <v>7717680</v>
    <v>8457134</v>
    <v>11046158</v>
    <v>8851215</v>
    <v>11034731</v>
    <v>10547389</v>
    <v>18883408</v>
    <v>22714211</v>
    <v>14951102</v>
    <v>12410530</v>
    <v>58069781</v>
    <v>13897724</v>
    <v>11124697</v>
    <v>9908007</v>
    <v>9720231</v>
    <v>7617784</v>
    <v>11532971</v>
    <v>15041761</v>
    <v>12007329</v>
    <v>15651919</v>
    <v>13320918</v>
    <v>10853862</v>
    <v>9788585</v>
    <v>10268251</v>
    <v>9124444</v>
    <v>13202330</v>
    <v>12959279</v>
    <v>9964109</v>
    <v>9461742</v>
    <v>7911808</v>
    <v>7423125</v>
    <v>7344106</v>
    <v>5616545</v>
    <v>6574073</v>
    <v>6224679</v>
    <v>6819582</v>
    <v>5083106</v>
    <v>7089655</v>
    <v>5941450</v>
    <v>5177185</v>
    <v>7578628</v>
    <v>7327599</v>
    <v>6229796</v>
    <v>5746432</v>
    <v>5857745</v>
    <v>6160237</v>
    <v>5056415</v>
    <v>6102570</v>
    <v>5828755</v>
    <v>3620667</v>
    <v>6435453</v>
    <v>5700925</v>
    <v>7392924</v>
    <v>6257596</v>
    <v>5727254</v>
    <v>8938025</v>
    <v>6489341</v>
    <v>8905642</v>
    <v>10908548</v>
    <v>4519322</v>
    <v>9552635</v>
    <v>23271206</v>
    <v>12085340</v>
    <v>7090016</v>
    <v>10808740</v>
    <v>8398492</v>
    <v>6803903</v>
    <v>7695809</v>
    <v>8615780</v>
    <v>45824639</v>
    <v>16317620</v>
    <v>9511569</v>
    <v>14452216</v>
    <v>9053176</v>
    <v>28961171</v>
    <v>17205399</v>
    <v>15822978</v>
    <v>10538961</v>
    <v>9655431</v>
    <v>7668988</v>
    <v>5614472</v>
    <v>5628531</v>
    <v>7382356</v>
    <v>5908158</v>
    <v>10653484</v>
    <v>11958975</v>
    <v>11236680</v>
    <v>7918392</v>
    <v>9836795</v>
    <v>11025508</v>
    <v>7249777</v>
    <v>5840337</v>
    <v>6044282</v>
    <v>6054842</v>
    <v>6827937</v>
    <v>10501777</v>
    <v>10836879</v>
    <v>11608986</v>
    <v>16771776</v>
    <v>13469908</v>
    <v>13971284</v>
    <v>10333982</v>
    <v>7854679</v>
    <v>10594228</v>
    <v>8016863</v>
    <v>9287553</v>
    <v>8207183</v>
    <v>5570209</v>
    <v>6292225</v>
    <v>6585399</v>
    <v>8755857</v>
    <v>6336287</v>
    <v>7670453</v>
    <v>5389794</v>
    <v>5713602</v>
    <v>6227096</v>
    <v>9247133</v>
    <v>7790102</v>
    <v>8039023</v>
    <v>6807081</v>
    <v>11240472</v>
    <v>8291803</v>
    <v>9234369</v>
    <v>8752131</v>
    <v>8527165</v>
    <v>8203025</v>
    <v>8841964</v>
    <v>11110149</v>
    <v>9134057</v>
    <v>8959496</v>
    <v>13812596</v>
    <v>22795849</v>
    <v>13306302</v>
    <v>16847194</v>
    <v>14071329</v>
    <v>10462536</v>
    <v>24176035</v>
    <v>8131283</v>
    <v>9292304</v>
    <v>7451282</v>
    <v>7025694</v>
    <v>5685003</v>
    <v>6626753</v>
    <v>5762029</v>
    <v>5533157</v>
    <v>9433347</v>
    <v>6147478</v>
    <v>7884320</v>
    <v>5143421</v>
    <v>5492353</v>
    <v>7112164</v>
    <v>6182460</v>
    <v>5738411</v>
    <v>6174735</v>
    <v>4728639</v>
    <v>5590385</v>
    <v>4955883</v>
    <v>5412371</v>
    <v>9472638</v>
    <v>5616095</v>
    <v>9357054</v>
    <v>7305933</v>
    <v>7555238</v>
    <v>7279244</v>
    <v>6178748</v>
    <v>7946947</v>
    <v>7379947</v>
    <v>5211626</v>
    <v>6760142</v>
    <v>7197207</v>
    <v>6222457</v>
    <v>7019736</v>
    <v>8129032</v>
    <v>6932051</v>
    <v>11698892</v>
    <v>6700124</v>
    <v>6942287</v>
    <v>5952505</v>
    <v>7977287</v>
    <v>9451784</v>
    <v>7531062</v>
    <v>7370173</v>
    <v>6644122</v>
    <v>7103302</v>
    <v>6759102</v>
    <v>6566671</v>
    <v>16890347</v>
    <v>5804707</v>
    <v>6200443</v>
    <v>8169519</v>
    <v>5274706</v>
    <v>5675655</v>
    <v>5253466</v>
    <v>6828482</v>
    <v>10261566</v>
    <v>16547246</v>
    <v>29661295</v>
    <v>11765545</v>
    <v>10685987</v>
    <v>16445643</v>
    <v>10047748</v>
    <v>8222382</v>
    <v>8775794</v>
    <v>20132584</v>
    <v>8840843</v>
    <v>7253564</v>
    <v>8077928</v>
    <v>9888767</v>
    <v>7805555</v>
    <v>9043000</v>
    <v>6043679</v>
    <v>7814621</v>
    <v>4927307</v>
    <v>4554846</v>
    <v>7140901</v>
    <v>6454765</v>
    <v>4915580</v>
    <v>5134170</v>
    <v>4642410</v>
    <v>7160284</v>
    <v>5655726</v>
    <v>7005112</v>
    <v>6659961</v>
    <v>5721609</v>
    <v>7284442</v>
    <v>6677226</v>
    <v>5688062</v>
    <v>5926562</v>
    <v>5227535</v>
    <v>6403482</v>
    <v>6127778</v>
    <v>3656151</v>
    <v>4858132</v>
    <v>4733592</v>
    <v>4243763</v>
    <v>5258490</v>
    <v>5555003</v>
    <v>6692347</v>
    <v>3733644</v>
    <v>6185088</v>
    <v>5185253</v>
    <v>4120543</v>
    <v>4679022</v>
    <v>5757837</v>
    <v>4432266</v>
    <v>3876359</v>
    <v>3523549</v>
    <v>4904315</v>
    <v>4295701</v>
    <v>5099130</v>
    <v>8612925</v>
    <v>8139759</v>
    <v>11027695</v>
    <v>7090148</v>
    <v>5792572</v>
    <v>6897091</v>
    <v>7764742</v>
    <v>15628850</v>
    <v>29476532</v>
    <v>21601363</v>
    <v>12478141</v>
    <v>23411963</v>
    <v>8363973</v>
    <v>8624496</v>
    <v>6768203</v>
    <v>7190884</v>
    <v>9282634</v>
    <v>6897757</v>
    <v>9284984</v>
    <v>8549898</v>
    <v>8882075</v>
    <v>9794421</v>
    <v>9661405</v>
    <v>9892607</v>
    <v>9201607</v>
    <v>6991998</v>
    <v>7138048</v>
    <v>6407213</v>
    <v>7377104</v>
    <v>9008662</v>
    <v>10147221</v>
    <v>8045062</v>
    <v>11368318</v>
    <v>6688607</v>
    <v>5506033</v>
    <v>17600525</v>
    <v>15652602</v>
    <v>11489360</v>
    <v>9137741</v>
    <v>10693739</v>
    <v>7053018</v>
    <v>8758344</v>
    <v>12348964</v>
    <v>7752961</v>
    <v>7524547</v>
    <v>6761242</v>
    <v>7218982</v>
    <v>5394281</v>
    <v>9104244</v>
    <v>6013703</v>
    <v>10437314</v>
    <v>7712925</v>
    <v>7152952</v>
    <v>7618478</v>
    <v>6011890</v>
    <v>5717402</v>
    <v>6106989</v>
    <v>5235554</v>
    <v>8796154</v>
    <v>6347899</v>
    <v>2754876</v>
    <v>5113103</v>
    <v>4928270</v>
    <v>9610329</v>
    <v>6127308</v>
    <v>4798927</v>
    <v>9102943</v>
    <v>7656126</v>
    <v>5105512</v>
    <v>5918748</v>
    <v>6850806</v>
    <v>15807550</v>
    <v>22812160</v>
    <v>11183148</v>
    <v>8198939</v>
    <v>19200747</v>
    <v>7738813</v>
    <v>6390180</v>
    <v>5932395</v>
    <v>8182431</v>
    <v>4129226</v>
    <v>4290843</v>
    <v>3794094</v>
    <v>3867801</v>
    <v>5375702</v>
    <v>8997534</v>
    <v>7836238</v>
    <v>7643784</v>
    <v>8641597</v>
    <v>7519836</v>
    <v>5703270</v>
    <v>8359667</v>
    <v>6071099</v>
    <v>5090938</v>
    <v>6550412</v>
    <v>6397707</v>
    <v>5597039</v>
    <v>5567493</v>
    <v>7390256</v>
    <v>7004581</v>
    <v>5896812</v>
    <v>7302869</v>
    <v>5676836</v>
    <v>6255306</v>
    <v>6200413</v>
    <v>6141252</v>
    <v>8269151</v>
    <v>5671823</v>
    <v>4097311</v>
    <v>9226071</v>
    <v>7624398</v>
    <v>4960391</v>
    <v>5318403</v>
    <v>5560902</v>
    <v>7484776</v>
    <v>4330547</v>
    <v>5942533</v>
    <v>6398487</v>
    <v>5260328</v>
    <v>5840102</v>
    <v>8637135</v>
    <v>7659188</v>
    <v>6748861</v>
    <v>7468234</v>
    <v>5119757</v>
    <v>5293599</v>
    <v>5498531</v>
    <v>7424800</v>
    <v>5382366</v>
    <v>5159208</v>
    <v>10572293</v>
    <v>16029345</v>
    <v>10299942</v>
    <v>8732248</v>
    <v>11463010</v>
    <v>10149163</v>
    <v>13066028</v>
    <v>9177289</v>
    <v>6683731</v>
    <v>7233663</v>
    <v>10747139</v>
    <v>5852248</v>
    <v>8170050</v>
    <v>6378927</v>
    <v>5233647</v>
    <v>5640690</v>
    <v>10476333</v>
    <v>8410872</v>
    <v>6651475</v>
    <v>7478750</v>
    <v>9146244</v>
    <v>8681735</v>
    <v>8196049</v>
    <v>8040306</v>
    <v>6240215</v>
    <v>6485060</v>
    <v>4772486</v>
    <v>7219366</v>
    <v>4766371</v>
    <v>5815527</v>
    <v>7335787</v>
    <v>4901783</v>
    <v>5768842</v>
    <v>6395726</v>
    <v>5615746</v>
    <v>8498551</v>
    <v>5459865</v>
    <v>5995080</v>
    <v>6744810</v>
    <v>5038200</v>
    <v>8068571</v>
    <v>5314753</v>
    <v>6333498</v>
    <v>5935280</v>
    <v>5144541</v>
    <v>4994703</v>
    <v>4443811</v>
    <v>6898204</v>
    <v>9436009</v>
    <v>10005725</v>
    <v>8560257</v>
    <v>5890481</v>
    <v>10047261</v>
    <v>6815861</v>
    <v>16729608</v>
    <v>13994064</v>
    <v>10296707</v>
    <v>13713520</v>
    <v>7835885</v>
    <v>8652377</v>
    <v>7997782</v>
    <v>7022994</v>
    <v>9842484</v>
    <v>9529126</v>
    <v>12597073</v>
    <v>39532005</v>
    <v>39190916</v>
    <v>26264249</v>
    <v>27476726</v>
    <v>19514667</v>
    <v>16280340</v>
    <v>17582950</v>
    <v>12204559</v>
    <v>19734336</v>
    <v>8987034</v>
    <v>6970419</v>
    <v>9240450</v>
    <v>9234347</v>
    <v>13703101</v>
    <v>4284699</v>
    <v>8471859</v>
    <v>7987217</v>
    <v>7001618</v>
    <v>6931013</v>
    <v>6118606</v>
    <v>11011586</v>
    <v>9359604</v>
    <v>7723843</v>
    <v>6736825</v>
    <v>8906658</v>
    <v>7609014</v>
    <v>12913026</v>
    <v>9159643</v>
    <v>6200393</v>
    <v>6266278</v>
    <v>8159988</v>
    <v>7843027</v>
    <v>6912012</v>
    <v>6708458</v>
    <v>5250652</v>
    <v>6387789</v>
    <v>5215848</v>
    <v>5579319</v>
    <v>7347041</v>
    <v>4694781</v>
    <v>6542427</v>
    <v>6004125</v>
    <v>5288879</v>
    <v>6494216</v>
    <v>10412160</v>
    <v>5721951</v>
    <v>6183897</v>
    <v>9412775</v>
    <v>5811160</v>
    <v>4961062</v>
    <v>16517285</v>
    <v>11995894</v>
    <v>8758141</v>
    <v>4514753</v>
    <v>11920537</v>
    <v>5601778</v>
    <v>9109806</v>
    <v>6190045</v>
    <v>11089638</v>
    <v>8728483</v>
    <v>11864401</v>
    <v>10612971</v>
    <v>22155564</v>
    <v>68605745</v>
    <v>27170953</v>
    <v>19849654</v>
    <v>23215012</v>
    <v>11744057</v>
    <v>9536119</v>
    <v>8779955</v>
    <v>12653515</v>
    <v>11152050</v>
    <v>8410012</v>
    <v>13209049</v>
    <v>8916439</v>
    <v>7373621</v>
    <v>7299109</v>
    <v>5963457</v>
    <v>8783327</v>
    <v>8842650</v>
    <v>7651479</v>
    <v>8246950</v>
    <v>6012363</v>
    <v>6910436</v>
    <v>5641686</v>
    <v>6598533</v>
    <v>5882175</v>
    <v>5487985</v>
    <v>5261788</v>
    <v>5123946</v>
    <v>7989244</v>
    <v>21831362</v>
    <v>10722584</v>
    <v>6173992</v>
    <v>7081685</v>
    <v>7565581</v>
    <v>5207854</v>
    <v>5433719</v>
    <v>6258385</v>
    <v>8602440</v>
    <v>5918301</v>
    <v>7280025</v>
    <v>6062799</v>
    <v>7412638</v>
    <v>10994910</v>
    <v>6853941</v>
    <v>5243795</v>
    <v>5740466</v>
    <v>6733655</v>
    <v>7386240</v>
    <v>7476084</v>
    <v>4793121</v>
    <v>5729247</v>
    <v>5995308</v>
    <v>4344743</v>
    <v>2168187</v>
    <v>5165309</v>
    <v>4892619</v>
    <v>6127312</v>
    <v>11075593</v>
    <v>5739833</v>
    <v>5587538</v>
    <v>5913562</v>
    <v>7815722</v>
    <v>6772848</v>
    <v>7765999</v>
    <v>19544239</v>
    <v>57666473</v>
    <v>29392208</v>
    <v>22865164</v>
    <v>30212316</v>
    <v>13473124</v>
    <v>10108507</v>
    <v>9241956</v>
    <v>8168010</v>
    <v>5680031</v>
    <v>5767415</v>
    <v>5627364</v>
    <v>5689057</v>
    <v>6899695</v>
    <v>9597500</v>
    <v>9455569</v>
    <v>6822299</v>
    <v>6133770</v>
    <v>7038658</v>
    <v>6725200</v>
    <v>7270545</v>
    <v>6118998</v>
    <v>9703848</v>
    <v>7547241</v>
    <v>7771460</v>
    <v>10362279</v>
    <v>11163772</v>
    <v>7485307</v>
    <v>9185921</v>
    <v>11702698</v>
    <v>8877205</v>
    <v>5541900</v>
    <v>7014424</v>
    <v>8231882</v>
    <v>7386705</v>
    <v>7882168</v>
    <v>6499594</v>
    <v>8084508</v>
    <v>4639268</v>
    <v>7672882</v>
    <v>4472770</v>
    <v>5787142</v>
    <v>5439629</v>
    <v>8171722</v>
    <v>5946116</v>
    <v>8455623</v>
    <v>8936016</v>
    <v>10975638</v>
    <v>7867610</v>
    <v>8957789</v>
    <v>7504506</v>
    <v>6342943</v>
    <v>6593144</v>
    <v>5278179</v>
    <v>12193860</v>
    <v>7605145</v>
    <v>6588062</v>
    <v>8241978</v>
    <v>6706372</v>
    <v>7670135</v>
    <v>8312943</v>
    <v>20438335</v>
    <v>48536077</v>
    <v>15870346</v>
    <v>10965902</v>
    <v>17844884</v>
    <v>12231423</v>
    <v>10220950</v>
    <v>8373330</v>
    <v>17842357</v>
    <v>6659950</v>
    <v>7446068</v>
    <v>7063930</v>
    <v>8115884</v>
    <v>6587431</v>
    <v>4133571</v>
    <v>4862415</v>
    <v>7429977</v>
    <v>7588298</v>
    <v>4899499</v>
    <v>6119225</v>
    <v>5564905</v>
    <v>4509869</v>
    <v>7315241</v>
    <v>6196877</v>
    <v>5101455</v>
    <v>6999959</v>
    <v>5366587</v>
    <v>6662406</v>
    <v>8251495</v>
    <v>7125490</v>
    <v>5494823</v>
    <v>5791761</v>
    <v>6796627</v>
    <v>8355111</v>
    <v>5190565</v>
    <v>6234710</v>
    <v>5583638</v>
    <v>5001045</v>
    <v>4484976</v>
    <v>6052397</v>
    <v>6437743</v>
    <v>4635960</v>
    <v>3236316</v>
    <v>4122531</v>
    <v>4139953</v>
    <v>17811221</v>
    <v>6604632</v>
    <v>5159256</v>
    <v>6179367</v>
    <v>5989022</v>
    <v>5549456</v>
    <v>5705042</v>
    <v>6108584</v>
    <v>7173435</v>
    <v>6911394</v>
    <v>4735091</v>
    <v>10851552</v>
    <v>12755639</v>
    <v>7256308</v>
    <v>7367975</v>
    <v>5973706</v>
    <v>7347249</v>
    <v>11544957</v>
    <v>10190447</v>
    <v>18373935</v>
    <v>40871317</v>
    <v>13733247</v>
    <v>11330789</v>
    <v>11232754</v>
    <v>11629395</v>
    <v>8940005</v>
    <v>14930875</v>
    <v>7793293</v>
    <v>8469641</v>
    <v>8036309</v>
    <v>7518199</v>
    <v>25814821</v>
    <v>6552353</v>
    <v>5920529</v>
    <v>3560778</v>
    <v>5365527</v>
    <v>8622633</v>
    <v>14340040</v>
    <v>6350258</v>
    <v>5246402</v>
    <v>7361770</v>
    <v>8687837</v>
    <v>7181470</v>
    <v>9157003</v>
    <v>5998726</v>
    <v>6111941</v>
    <v>5387176</v>
    <v>6697410</v>
    <v>8018807</v>
    <v>7654625</v>
    <v>5139377</v>
    <v>4054647</v>
    <v>6505701</v>
    <v>7188043</v>
    <v>5906808</v>
    <v>8251585</v>
    <v>10354987</v>
    <v>8373891</v>
    <v>8617652</v>
    <v>6243219</v>
    <v>5597278</v>
    <v>5600826</v>
    <v>4324038</v>
    <v>4044630</v>
    <v>4698128</v>
    <v>4893787</v>
    <v>3641585</v>
    <v>3738261</v>
    <v>3776768</v>
    <v>5162189</v>
    <v>4544571</v>
    <v>2729605</v>
    <v>3872342</v>
    <v>3022639</v>
    <v>4588361</v>
    <v>7980679</v>
    <v>6831174</v>
    <v>6243325</v>
    <v>8733246</v>
    <v>11154796</v>
    <v>20233428</v>
    <v>37374210</v>
    <v>12630122</v>
    <v>16352048</v>
    <v>25727805</v>
    <v>27384374</v>
    <v>12580114</v>
    <v>12274414</v>
    <v>10075884</v>
    <v>12187736</v>
    <v>7916081</v>
    <v>6155076</v>
    <v>7142437</v>
    <v>7096842</v>
    <v>8974377</v>
    <v>10218973</v>
    <v>7595053</v>
    <v>7073025</v>
    <v>4735708</v>
    <v>6389504</v>
    <v>6790956</v>
    <v>7845377</v>
    <v>8120894</v>
    <v>7115887</v>
    <v>5869413</v>
    <v>4688662</v>
    <v>5848630</v>
    <v>6383034</v>
    <v>5473951</v>
    <v>5001257</v>
    <v>4198362</v>
    <v>5510114</v>
    <v>4830414</v>
    <v>3488036</v>
    <v>3674717</v>
    <v>4329971</v>
    <v>4122913</v>
    <v>5822451</v>
    <v>9477476</v>
    <v>5680595</v>
    <v>4804405</v>
    <v>5456754</v>
    <v>11084987</v>
    <v>7759399</v>
    <v>8520419</v>
    <v>5973638</v>
    <v>6629891</v>
    <v>5695426</v>
    <v>7804318</v>
    <v>8986276</v>
    <v>6291406</v>
    <v>8116958</v>
    <v>4860222</v>
    <v>11394263</v>
    <v>6879447</v>
    <v>15138474</v>
    <v>6427210</v>
    <v>8368797</v>
    <v>4628044</v>
    <v>8859696</v>
    <v>8917062</v>
    <v>8906283</v>
    <v>6398073</v>
    <v>10503383</v>
    <v>20157957</v>
    <v>26502016</v>
    <v>13188714</v>
    <v>8154218</v>
    <v>8351106</v>
    <v>9571955</v>
    <v>8940204</v>
    <v>8817934</v>
    <v>8386394</v>
    <v>13810525</v>
    <v>6518229</v>
    <v>2451547</v>
    <v>4103882</v>
    <v>4344287</v>
    <v>5254833</v>
    <v>4307524</v>
    <v>5365667</v>
    <v>5878052</v>
    <v>6845373</v>
    <v>7712222</v>
    <v>7596214</v>
    <v>13593882</v>
    <v>8828492</v>
    <v>7410242</v>
    <v>10701234</v>
    <v>9210555</v>
    <v>11618283</v>
    <v>30232048</v>
    <v>48028518</v>
    <v>17314645</v>
    <v>12147180</v>
    <v>42201592</v>
    <v>20319300</v>
    <v>9866583</v>
    <v>14981706</v>
    <v>8722470</v>
    <v>8250588</v>
    <v>6776982</v>
    <v>7866650</v>
    <v>7036908</v>
    <v>9991297</v>
    <v>7625900</v>
    <v>6528766</v>
    <v>7454841</v>
    <v>6421673</v>
    <v>7260851</v>
    <v>11430497</v>
    <v>8688500</v>
    <v>8737035</v>
    <v>9713871</v>
    <v>10639053</v>
    <v>8316085</v>
    <v>6915115</v>
    <v>7436810</v>
    <v>12843286</v>
    <v>8081840</v>
    <v>13171897</v>
    <v>7140996</v>
    <v>12321246</v>
    <v>12646488</v>
    <v>21486052</v>
    <v>27200233</v>
    <v>15373853</v>
    <v>14187662</v>
    <v>9329964</v>
    <v>9884994</v>
    <v>9402508</v>
    <v>6909504</v>
    <v>7051615</v>
    <v>17620224</v>
    <v>7848332</v>
    <v>8521249</v>
    <v>13222521</v>
    <v>9148321</v>
    <v>13144486</v>
    <v>15509923</v>
    <v>9518457</v>
    <v>11594432</v>
    <v>14433768</v>
    <v>14986861</v>
    <v>19482652</v>
    <v>11950277</v>
    <v>17761994</v>
    <v>12401562</v>
    <v>10190175</v>
    <v>8217740</v>
    <v>8629959</v>
    <v>8295176</v>
    <v>8925522</v>
    <v>12201231</v>
    <v>11233702</v>
    <v>9528873</v>
    <v>7305887</v>
    <v>5476378</v>
    <v>6985102</v>
    <v>4851458</v>
    <v>9443538</v>
    <v>11525751</v>
    <v>11345977</v>
    <v>5187449</v>
    <v>5108595</v>
    <v>6051937</v>
    <v>6113612</v>
    <v>4707130</v>
    <v>7875461</v>
    <v>11955157</v>
    <v>7499392</v>
    <v>10169217</v>
    <v>8515458</v>
    <v>10268917</v>
    <v>7576418</v>
    <v>6011038</v>
    <v>7603261</v>
    <v>6527516</v>
    <v>6976813</v>
    <v>8090652</v>
    <v>6995831</v>
    <v>17547858</v>
    <v>7165969</v>
    <v>7155281</v>
    <v>6375793</v>
    <v>7710284</v>
    <v>6833674</v>
    <v>9668911</v>
    <v>11056716</v>
    <v>18002910</v>
    <v>54609995</v>
    <v>53707361</v>
    <v>22665299</v>
    <v>17819162</v>
    <v>15055390</v>
    <v>20879095</v>
    <v>13418393</v>
    <v>19030617</v>
    <v>11804604</v>
    <v>10531112</v>
    <v>14127502</v>
    <v>31844231</v>
    <v>16962196</v>
    <v>22326900</v>
    <v>18441376</v>
    <v>16584266</v>
    <v>20401777</v>
    <v>10871629</v>
    <v>11486345</v>
    <v>10208178</v>
    <v>11336967</v>
    <v>10728795</v>
    <v>12597452</v>
    <v>17631328</v>
    <v>9678072</v>
    <v>7348362</v>
    <v>11380866</v>
    <v>7255797</v>
    <v>8237851</v>
    <v>7149571</v>
    <v>6756775</v>
    <v>8415324</v>
    <v>8441378</v>
    <v>15548726</v>
    <v>12718218</v>
    <v>8614784</v>
    <v>11197287</v>
    <v>9930222</v>
    <v>11954223</v>
    <v>8313278</v>
    <v>9012112</v>
    <v>10001712</v>
    <v>14182078</v>
    <v>10285555</v>
    <v>11553988</v>
    <v>6759921</v>
    <v>16819250</v>
    <v>11256417</v>
    <v>7403128</v>
    <v>9343637</v>
    <v>6308625</v>
    <v>11805197</v>
    <v>5637590</v>
    <v>8691548</v>
    <v>16618641</v>
    <v>10461903</v>
    <v>8900813</v>
    <v>10303069</v>
    <v>15386096</v>
    <v>18803046</v>
    <v>41178697</v>
    <v>131618085</v>
    <v>69986027</v>
    <v>51781914</v>
    <v>40004004</v>
    <v>51923268</v>
    <v>27707949</v>
    <v>24673116</v>
    <v>40776201</v>
    <v>44437549</v>
    <v>35280199</v>
    <v>33765279</v>
    <v>39274883</v>
    <v>25990691</v>
    <v>25778508</v>
    <v>23880810</v>
    <v>23378324</v>
    <v>16215460</v>
    <v>13688407</v>
    <v>14076795</v>
    <v>31723384</v>
    <v>18982122</v>
    <v>26479833</v>
    <v>28895338</v>
    <v>21703725</v>
    <v>17346186</v>
    <v>13698938</v>
    <v>32500863</v>
    <v>37653000</v>
    <v>32810748</v>
    <v>18370806</v>
    <v>16474016</v>
    <v>16872158</v>
    <v>13194896</v>
    <v>13855836</v>
    <v>12448523</v>
    <v>18007149</v>
    <v>27954197</v>
    <v>16898693</v>
    <v>15709214</v>
    <v>19772593</v>
    <v>11991459</v>
    <v>18678269</v>
    <v>20969260</v>
    <v>16698716</v>
    <v>20686607</v>
    <v>24194992</v>
    <v>30008998</v>
    <v>36053807</v>
    <v>16143779</v>
    <v>21098291</v>
    <v>21679490</v>
    <v>27459600</v>
    <v>44834071</v>
    <v>31144706</v>
    <v>29594993</v>
    <v>26544148</v>
    <v>13848479</v>
    <v>13461204</v>
    <v>19664471</v>
    <v>19060528</v>
    <v>23316937</v>
    <v>24208687</v>
    <v>24711161</v>
    <v>17643643</v>
    <v>47927993</v>
    <v>100612691</v>
    <v>55201644</v>
    <v>43897509</v>
    <v>32433525</v>
    <v>50222018</v>
    <v>36297285</v>
    <v>77008550</v>
    <v>27148017</v>
    <v>18301588</v>
    <v>9282733</v>
    <v>11262030</v>
    <v>14748125</v>
    <v>14197359</v>
    <v>10341453</v>
    <v>14540657</v>
    <v>22635516</v>
    <v>16474464</v>
    <v>11171198</v>
    <v>19468504</v>
    <v>26152742</v>
    <v>25428545</v>
    <v>15857426</v>
    <v>22473159</v>
    <v>16418626</v>
    <v>19224705</v>
    <v>29129492</v>
    <v>38189995</v>
    <v>21141907</v>
    <v>23011338</v>
    <v>21100378</v>
    <v>27093664</v>
    <v>35882668</v>
    <v>37254511</v>
    <v>27362378</v>
    <v>47421032</v>
    <v>43260101</v>
    <v>42323390</v>
    <v>42788953</v>
    <v>29962414</v>
    <v>49936490</v>
    <v>40092248</v>
    <v>24538854</v>
    <v>23285399</v>
    <v>18596959</v>
    <v>19610800</v>
    <v>14801081</v>
    <v>14976323</v>
    <v>29621889</v>
    <v>31749782</v>
    <v>21336624</v>
    <v>27303928</v>
    <v>20652223</v>
    <v>36425195</v>
    <v>22418782</v>
    <v>20120790</v>
    <v>17585394</v>
    <v>24094779</v>
    <v>38000592</v>
    <v>31173468</v>
    <v>51544623</v>
    <v>83247484</v>
    <v>37133719</v>
    <v>26350375</v>
    <v>21607689</v>
    <v>23929463</v>
    <v>18051075</v>
    <v>22046113</v>
    <v>37551358</v>
    <v>19927945</v>
    <v>26122141</v>
    <v>20683774</v>
    <v>16961884</v>
    <v>17929588</v>
    <v>20125734</v>
    <v>24491953</v>
    <v>20495868</v>
    <v>14381866</v>
    <v>12556727</v>
    <v>17250445</v>
    <v>23527034</v>
    <v>30407824</v>
    <v>26171810</v>
    <v>49997735</v>
    <v>59779843</v>
    <v>43010821</v>
    <v>46997279</v>
    <v>45282649</v>
    <v>22330910</v>
    <v>39638047</v>
    <v>32448788</v>
    <v>37084241</v>
    <v>33214988</v>
    <v>21616573</v>
    <v>33716456</v>
    <v>20587497</v>
    <v>21016368</v>
    <v>26318017</v>
    <v>33504465</v>
    <v>23497237</v>
    <v>27685486</v>
    <v>31803162</v>
    <v>21158338</v>
    <v>16890587</v>
    <v>22123411</v>
    <v>15789272</v>
    <v>22544995</v>
    <v>15747148</v>
    <v>19114329</v>
    <v>16717712</v>
    <v>16517223</v>
    <v>12119718</v>
    <v>10875803</v>
    <v>12856100</v>
    <v>12125998</v>
    <v>25339881</v>
    <v>41082199</v>
    <v>48389992</v>
    <v>30294766</v>
    <v>23644680</v>
    <v>19993753</v>
    <v>29019876</v>
    <v>17227241</v>
    <v>26040722</v>
    <v>46108327</v>
    <v>63678509</v>
    <v>29562284</v>
    <v>20279863</v>
    <v>16985542</v>
    <v>16616626</v>
    <v>31386081</v>
    <v>22935420</v>
    <v>33327886</v>
    <v>38305028</v>
    <v>36914335</v>
    <v>36532141</v>
    <v>34310313</v>
    <v>35926860</v>
    <v>45963999</v>
    <v>44273642</v>
    <v>36682951</v>
    <v>47199976</v>
    <v>34607304</v>
    <v>35221882</v>
    <v>29843309</v>
    <v>56690274</v>
    <v>52670410</v>
    <v>48520434</v>
    <v>54780940</v>
    <v>39917140</v>
    <v>36793230</v>
    <v>27748087</v>
    <v>21096693</v>
    <v>30900642</v>
    <v>46405702</v>
    <v>36916623</v>
    <v>32665418</v>
    <v>28081771</v>
    <v>41338393</v>
    <v>34438662</v>
    <v>49696896</v>
    <v>43723491</v>
    <v>23524074</v>
    <v>23073334</v>
    <v>22874018</v>
    <v>24265023</v>
    <v>28761753</v>
    <v>43559358</v>
    <v>25739974</v>
    <v>21905468</v>
    <v>20667953</v>
    <v>19152301</v>
    <v>26552896</v>
    <v>15184406</v>
    <v>19635031</v>
    <v>14158571</v>
    <v>13329370</v>
    <v>18426066</v>
    <v>30251433</v>
    <v>17799963</v>
    <v>16118904</v>
    <v>25443267</v>
    <v>21906714</v>
    <v>25101731</v>
    <v>26511284</v>
  </a>
  <a r="1" c="1286">
    <v t="i">0</v>
    <v t="i">1</v>
    <v t="i">2</v>
    <v t="i">3</v>
    <v t="i">6</v>
    <v t="i">7</v>
    <v t="i">8</v>
    <v t="i">9</v>
    <v t="i">10</v>
    <v t="i">13</v>
    <v t="i">14</v>
    <v t="i">15</v>
    <v t="i">16</v>
    <v t="i">17</v>
    <v t="i">20</v>
    <v t="i">21</v>
    <v t="i">22</v>
    <v t="i">23</v>
    <v t="i">24</v>
    <v t="i">27</v>
    <v t="i">28</v>
    <v t="i">29</v>
    <v t="i">30</v>
    <v t="i">31</v>
    <v t="i">34</v>
    <v t="i">35</v>
    <v t="i">36</v>
    <v t="i">37</v>
    <v t="i">38</v>
    <v t="i">41</v>
    <v t="i">42</v>
    <v t="i">43</v>
    <v t="i">44</v>
    <v t="i">45</v>
    <v t="i">48</v>
    <v t="i">49</v>
    <v t="i">50</v>
    <v t="i">51</v>
    <v t="i">52</v>
    <v t="i">55</v>
    <v t="i">56</v>
    <v t="i">57</v>
    <v t="i">58</v>
    <v t="i">59</v>
    <v t="i">62</v>
    <v t="i">63</v>
    <v t="i">64</v>
    <v t="i">65</v>
    <v t="i">66</v>
    <v t="i">69</v>
    <v t="i">70</v>
    <v t="i">71</v>
    <v t="i">72</v>
    <v t="i">73</v>
    <v t="i">76</v>
    <v t="i">77</v>
    <v t="i">78</v>
    <v t="i">79</v>
    <v t="i">80</v>
    <v t="i">83</v>
    <v t="i">84</v>
    <v t="i">85</v>
    <v t="i">86</v>
    <v t="i">87</v>
    <v t="i">90</v>
    <v t="i">91</v>
    <v t="i">92</v>
    <v t="i">93</v>
    <v t="i">94</v>
    <v t="i">97</v>
    <v t="i">98</v>
    <v t="i">99</v>
    <v t="i">100</v>
    <v t="i">101</v>
    <v t="i">104</v>
    <v t="i">105</v>
    <v t="i">106</v>
    <v t="i">107</v>
    <v t="i">108</v>
    <v t="i">111</v>
    <v t="i">112</v>
    <v t="i">113</v>
    <v t="i">114</v>
    <v t="i">115</v>
    <v t="i">118</v>
    <v t="i">119</v>
    <v t="i">120</v>
    <v t="i">121</v>
    <v t="i">122</v>
    <v t="i">125</v>
    <v t="i">126</v>
    <v t="i">127</v>
    <v t="i">128</v>
    <v t="i">129</v>
    <v t="i">132</v>
    <v t="i">133</v>
    <v t="i">134</v>
    <v t="i">135</v>
    <v t="i">136</v>
    <v t="i">139</v>
    <v t="i">140</v>
    <v t="i">141</v>
    <v t="i">142</v>
    <v t="i">143</v>
    <v t="i">146</v>
    <v t="i">147</v>
    <v t="i">148</v>
    <v t="i">149</v>
    <v t="i">150</v>
    <v t="i">153</v>
    <v t="i">154</v>
    <v t="i">155</v>
    <v t="i">156</v>
    <v t="i">157</v>
    <v t="i">160</v>
    <v t="i">161</v>
    <v t="i">162</v>
    <v t="i">163</v>
    <v t="i">164</v>
    <v t="i">167</v>
    <v t="i">168</v>
    <v t="i">169</v>
    <v t="i">170</v>
    <v t="i">171</v>
    <v t="i">174</v>
    <v t="i">175</v>
    <v t="i">176</v>
    <v t="i">177</v>
    <v t="i">178</v>
    <v t="i">181</v>
    <v t="i">182</v>
    <v t="i">183</v>
    <v t="i">184</v>
    <v t="i">185</v>
    <v t="i">188</v>
    <v t="i">189</v>
    <v t="i">190</v>
    <v t="i">191</v>
    <v t="i">192</v>
    <v t="i">195</v>
    <v t="i">196</v>
    <v t="i">197</v>
    <v t="i">198</v>
    <v t="i">199</v>
    <v t="i">202</v>
    <v t="i">203</v>
    <v t="i">204</v>
    <v t="i">205</v>
    <v t="i">206</v>
    <v t="i">209</v>
    <v t="i">210</v>
    <v t="i">211</v>
    <v t="i">212</v>
    <v t="i">213</v>
    <v t="i">216</v>
    <v t="i">217</v>
    <v t="i">218</v>
    <v t="i">219</v>
    <v t="i">220</v>
    <v t="i">223</v>
    <v t="i">224</v>
    <v t="i">225</v>
    <v t="i">226</v>
    <v t="i">227</v>
    <v t="i">230</v>
    <v t="i">231</v>
    <v t="i">232</v>
    <v t="i">233</v>
    <v t="i">234</v>
    <v t="i">237</v>
    <v t="i">238</v>
    <v t="i">239</v>
    <v t="i">240</v>
    <v t="i">241</v>
    <v t="i">244</v>
    <v t="i">245</v>
    <v t="i">246</v>
    <v t="i">247</v>
    <v t="i">248</v>
    <v t="i">251</v>
    <v t="i">252</v>
    <v t="i">253</v>
    <v t="i">254</v>
    <v t="i">255</v>
    <v t="i">258</v>
    <v t="i">259</v>
    <v t="i">260</v>
    <v t="i">261</v>
    <v t="i">262</v>
    <v t="i">265</v>
    <v t="i">266</v>
    <v t="i">267</v>
    <v t="i">268</v>
    <v t="i">269</v>
    <v t="i">272</v>
    <v t="i">273</v>
    <v t="i">274</v>
    <v t="i">275</v>
    <v t="i">276</v>
    <v t="i">279</v>
    <v t="i">280</v>
    <v t="i">281</v>
    <v t="i">282</v>
    <v t="i">283</v>
    <v t="i">286</v>
    <v t="i">287</v>
    <v t="i">288</v>
    <v t="i">289</v>
    <v t="i">290</v>
    <v t="i">293</v>
    <v t="i">294</v>
    <v t="i">295</v>
    <v t="i">296</v>
    <v t="i">297</v>
    <v t="i">300</v>
    <v t="i">301</v>
    <v t="i">302</v>
    <v t="i">303</v>
    <v t="i">304</v>
    <v t="i">307</v>
    <v t="i">308</v>
    <v t="i">309</v>
    <v t="i">310</v>
    <v t="i">311</v>
    <v t="i">314</v>
    <v t="i">315</v>
    <v t="i">316</v>
    <v t="i">317</v>
    <v t="i">318</v>
    <v t="i">321</v>
    <v t="i">322</v>
    <v t="i">323</v>
    <v t="i">324</v>
    <v t="i">325</v>
    <v t="i">328</v>
    <v t="i">329</v>
    <v t="i">330</v>
    <v t="i">331</v>
    <v t="i">332</v>
    <v t="i">335</v>
    <v t="i">336</v>
    <v t="i">337</v>
    <v t="i">338</v>
    <v t="i">339</v>
    <v t="i">342</v>
    <v t="i">343</v>
    <v t="i">344</v>
    <v t="i">345</v>
    <v t="i">346</v>
    <v t="i">349</v>
    <v t="i">350</v>
    <v t="i">351</v>
    <v t="i">352</v>
    <v t="i">353</v>
    <v t="i">356</v>
    <v t="i">357</v>
    <v t="i">358</v>
    <v t="i">359</v>
    <v t="i">360</v>
    <v t="i">363</v>
    <v t="i">364</v>
    <v t="i">365</v>
    <v t="i">366</v>
    <v t="i">367</v>
    <v t="i">370</v>
    <v t="i">371</v>
    <v t="i">372</v>
    <v t="i">373</v>
    <v t="i">374</v>
    <v t="i">377</v>
    <v t="i">378</v>
    <v t="i">379</v>
    <v t="i">380</v>
    <v t="i">381</v>
    <v t="i">384</v>
    <v t="i">385</v>
    <v t="i">386</v>
    <v t="i">387</v>
    <v t="i">388</v>
    <v t="i">391</v>
    <v t="i">392</v>
    <v t="i">393</v>
    <v t="i">395</v>
    <v t="i">398</v>
    <v t="i">399</v>
    <v t="i">400</v>
    <v t="i">401</v>
    <v t="i">402</v>
    <v t="i">405</v>
    <v t="i">406</v>
    <v t="i">407</v>
    <v t="i">408</v>
    <v t="i">409</v>
    <v t="i">412</v>
    <v t="i">413</v>
    <v t="i">414</v>
    <v t="i">415</v>
    <v t="i">416</v>
    <v t="i">419</v>
    <v t="i">420</v>
    <v t="i">421</v>
    <v t="i">422</v>
    <v t="i">423</v>
    <v t="i">426</v>
    <v t="i">427</v>
    <v t="i">428</v>
    <v t="i">429</v>
    <v t="i">430</v>
    <v t="i">433</v>
    <v t="i">434</v>
    <v t="i">435</v>
    <v t="i">436</v>
    <v t="i">437</v>
    <v t="i">440</v>
    <v t="i">441</v>
    <v t="i">442</v>
    <v t="i">443</v>
    <v t="i">444</v>
    <v t="i">447</v>
    <v t="i">448</v>
    <v t="i">449</v>
    <v t="i">450</v>
    <v t="i">451</v>
    <v t="i">454</v>
    <v t="i">455</v>
    <v t="i">456</v>
    <v t="i">457</v>
    <v t="i">458</v>
    <v t="i">461</v>
    <v t="i">462</v>
    <v t="i">463</v>
    <v t="i">464</v>
    <v t="i">465</v>
    <v t="i">468</v>
    <v t="i">469</v>
    <v t="i">470</v>
    <v t="i">471</v>
    <v t="i">472</v>
    <v t="i">475</v>
    <v t="i">476</v>
    <v t="i">477</v>
    <v t="i">478</v>
    <v t="i">479</v>
    <v t="i">482</v>
    <v t="i">483</v>
    <v t="i">484</v>
    <v t="i">485</v>
    <v t="i">486</v>
    <v t="i">489</v>
    <v t="i">490</v>
    <v t="i">491</v>
    <v t="i">492</v>
    <v t="i">493</v>
    <v t="i">496</v>
    <v t="i">497</v>
    <v t="i">498</v>
    <v t="i">499</v>
    <v t="i">500</v>
    <v t="i">503</v>
    <v t="i">504</v>
    <v t="i">505</v>
    <v t="i">506</v>
    <v t="i">507</v>
    <v t="i">510</v>
    <v t="i">511</v>
    <v t="i">512</v>
    <v t="i">513</v>
    <v t="i">514</v>
    <v t="i">517</v>
    <v t="i">518</v>
    <v t="i">519</v>
    <v t="i">520</v>
    <v t="i">521</v>
    <v t="i">524</v>
    <v t="i">525</v>
    <v t="i">526</v>
    <v t="i">527</v>
    <v t="i">528</v>
    <v t="i">531</v>
    <v t="i">532</v>
    <v t="i">533</v>
    <v t="i">534</v>
    <v t="i">535</v>
    <v t="i">538</v>
    <v t="i">539</v>
    <v t="i">540</v>
    <v t="i">541</v>
    <v t="i">542</v>
    <v t="i">545</v>
    <v t="i">546</v>
    <v t="i">547</v>
    <v t="i">548</v>
    <v t="i">549</v>
    <v t="i">552</v>
    <v t="i">553</v>
    <v t="i">554</v>
    <v t="i">555</v>
    <v t="i">556</v>
    <v t="i">559</v>
    <v t="i">560</v>
    <v t="i">561</v>
    <v t="i">562</v>
    <v t="i">563</v>
    <v t="i">566</v>
    <v t="i">567</v>
    <v t="i">568</v>
    <v t="i">569</v>
    <v t="i">570</v>
    <v t="i">573</v>
    <v t="i">574</v>
    <v t="i">575</v>
    <v t="i">576</v>
    <v t="i">577</v>
    <v t="i">580</v>
    <v t="i">581</v>
    <v t="i">582</v>
    <v t="i">583</v>
    <v t="i">587</v>
    <v t="i">588</v>
    <v t="i">589</v>
    <v t="i">590</v>
    <v t="i">591</v>
    <v t="i">594</v>
    <v t="i">595</v>
    <v t="i">596</v>
    <v t="i">597</v>
    <v t="i">598</v>
    <v t="i">601</v>
    <v t="i">602</v>
    <v t="i">603</v>
    <v t="i">604</v>
    <v t="i">605</v>
    <v t="i">608</v>
    <v t="i">609</v>
    <v t="i">610</v>
    <v t="i">611</v>
    <v t="i">612</v>
    <v t="i">615</v>
    <v t="i">616</v>
    <v t="i">617</v>
    <v t="i">618</v>
    <v t="i">619</v>
    <v t="i">622</v>
    <v t="i">623</v>
    <v t="i">624</v>
    <v t="i">625</v>
    <v t="i">626</v>
    <v t="i">629</v>
    <v t="i">630</v>
    <v t="i">631</v>
    <v t="i">632</v>
    <v t="i">633</v>
    <v t="i">636</v>
    <v t="i">637</v>
    <v t="i">638</v>
    <v t="i">639</v>
    <v t="i">640</v>
    <v t="i">643</v>
    <v t="i">644</v>
    <v t="i">645</v>
    <v t="i">646</v>
    <v t="i">647</v>
    <v t="i">650</v>
    <v t="i">651</v>
    <v t="i">652</v>
    <v t="i">653</v>
    <v t="i">654</v>
    <v t="i">657</v>
    <v t="i">658</v>
    <v t="i">659</v>
    <v t="i">660</v>
    <v t="i">661</v>
    <v t="i">664</v>
    <v t="i">665</v>
    <v t="i">666</v>
    <v t="i">667</v>
    <v t="i">668</v>
    <v t="i">671</v>
    <v t="i">672</v>
    <v t="i">673</v>
    <v t="i">674</v>
    <v t="i">675</v>
    <v t="i">678</v>
    <v t="i">679</v>
    <v t="i">680</v>
    <v t="i">681</v>
    <v t="i">682</v>
    <v t="i">685</v>
    <v t="i">686</v>
    <v t="i">687</v>
    <v t="i">688</v>
    <v t="i">689</v>
    <v t="i">692</v>
    <v t="i">693</v>
    <v t="i">694</v>
    <v t="i">695</v>
    <v t="i">696</v>
    <v t="i">699</v>
    <v t="i">700</v>
    <v t="i">701</v>
    <v t="i">702</v>
    <v t="i">703</v>
    <v t="i">706</v>
    <v t="i">707</v>
    <v t="i">708</v>
    <v t="i">709</v>
    <v t="i">710</v>
    <v t="i">713</v>
    <v t="i">714</v>
    <v t="i">715</v>
    <v t="i">716</v>
    <v t="i">717</v>
    <v t="i">720</v>
    <v t="i">721</v>
    <v t="i">722</v>
    <v t="i">723</v>
    <v t="i">724</v>
    <v t="i">727</v>
    <v t="i">728</v>
    <v t="i">729</v>
    <v t="i">730</v>
    <v t="i">731</v>
    <v t="i">734</v>
    <v t="i">735</v>
    <v t="i">736</v>
    <v t="i">737</v>
    <v t="i">738</v>
    <v t="i">741</v>
    <v t="i">742</v>
    <v t="i">743</v>
    <v t="i">744</v>
    <v t="i">745</v>
    <v t="i">748</v>
    <v t="i">749</v>
    <v t="i">750</v>
    <v t="i">751</v>
    <v t="i">752</v>
    <v t="i">755</v>
    <v t="i">756</v>
    <v t="i">757</v>
    <v t="i">758</v>
    <v t="i">759</v>
    <v t="i">762</v>
    <v t="i">763</v>
    <v t="i">764</v>
    <v t="i">765</v>
    <v t="i">766</v>
    <v t="i">769</v>
    <v t="i">770</v>
    <v t="i">771</v>
    <v t="i">772</v>
    <v t="i">773</v>
    <v t="i">776</v>
    <v t="i">777</v>
    <v t="i">778</v>
    <v t="i">779</v>
    <v t="i">780</v>
    <v t="i">783</v>
    <v t="i">784</v>
    <v t="i">785</v>
    <v t="i">786</v>
    <v t="i">787</v>
    <v t="i">790</v>
    <v t="i">791</v>
    <v t="i">792</v>
    <v t="i">793</v>
    <v t="i">794</v>
    <v t="i">797</v>
    <v t="i">798</v>
    <v t="i">799</v>
    <v t="i">800</v>
    <v t="i">801</v>
    <v t="i">804</v>
    <v t="i">805</v>
    <v t="i">806</v>
    <v t="i">807</v>
    <v t="i">808</v>
    <v t="i">811</v>
    <v t="i">812</v>
    <v t="i">813</v>
    <v t="i">814</v>
    <v t="i">815</v>
    <v t="i">818</v>
    <v t="i">819</v>
    <v t="i">820</v>
    <v t="i">821</v>
    <v t="i">822</v>
    <v t="i">825</v>
    <v t="i">826</v>
    <v t="i">827</v>
    <v t="i">828</v>
    <v t="i">829</v>
    <v t="i">832</v>
    <v t="i">833</v>
    <v t="i">834</v>
    <v t="i">835</v>
    <v t="i">836</v>
    <v t="i">839</v>
    <v t="i">840</v>
    <v t="i">841</v>
    <v t="i">842</v>
    <v t="i">843</v>
    <v t="i">847</v>
    <v t="i">848</v>
    <v t="i">849</v>
    <v t="i">850</v>
    <v t="i">854</v>
    <v t="i">855</v>
    <v t="i">856</v>
    <v t="i">857</v>
    <v t="i">860</v>
    <v t="i">861</v>
    <v t="i">862</v>
    <v t="i">863</v>
    <v t="i">864</v>
    <v t="i">867</v>
    <v t="i">868</v>
    <v t="i">869</v>
    <v t="i">870</v>
    <v t="i">871</v>
    <v t="i">874</v>
    <v t="i">875</v>
    <v t="i">876</v>
    <v t="i">877</v>
    <v t="i">878</v>
    <v t="i">881</v>
    <v t="i">882</v>
    <v t="i">883</v>
    <v t="i">884</v>
    <v t="i">885</v>
    <v t="i">888</v>
    <v t="i">889</v>
    <v t="i">890</v>
    <v t="i">891</v>
    <v t="i">892</v>
    <v t="i">895</v>
    <v t="i">896</v>
    <v t="i">897</v>
    <v t="i">898</v>
    <v t="i">899</v>
    <v t="i">902</v>
    <v t="i">903</v>
    <v t="i">904</v>
    <v t="i">905</v>
    <v t="i">906</v>
    <v t="i">909</v>
    <v t="i">910</v>
    <v t="i">911</v>
    <v t="i">912</v>
    <v t="i">913</v>
    <v t="i">916</v>
    <v t="i">917</v>
    <v t="i">918</v>
    <v t="i">919</v>
    <v t="i">920</v>
    <v t="i">923</v>
    <v t="i">924</v>
    <v t="i">925</v>
    <v t="i">926</v>
    <v t="i">927</v>
    <v t="i">930</v>
    <v t="i">931</v>
    <v t="i">932</v>
    <v t="i">933</v>
    <v t="i">934</v>
    <v t="i">937</v>
    <v t="i">938</v>
    <v t="i">939</v>
    <v t="i">940</v>
    <v t="i">944</v>
    <v t="i">945</v>
    <v t="i">946</v>
    <v t="i">947</v>
    <v t="i">948</v>
    <v t="i">951</v>
    <v t="i">952</v>
    <v t="i">953</v>
    <v t="i">954</v>
    <v t="i">955</v>
    <v t="i">958</v>
    <v t="i">959</v>
    <v t="i">960</v>
    <v t="i">961</v>
    <v t="i">962</v>
    <v t="i">965</v>
    <v t="i">966</v>
    <v t="i">967</v>
    <v t="i">968</v>
    <v t="i">969</v>
    <v t="i">972</v>
    <v t="i">973</v>
    <v t="i">974</v>
    <v t="i">975</v>
    <v t="i">976</v>
    <v t="i">979</v>
    <v t="i">980</v>
    <v t="i">981</v>
    <v t="i">982</v>
    <v t="i">983</v>
    <v t="i">986</v>
    <v t="i">987</v>
    <v t="i">988</v>
    <v t="i">989</v>
    <v t="i">990</v>
    <v t="i">993</v>
    <v t="i">994</v>
    <v t="i">995</v>
    <v t="i">996</v>
    <v t="i">997</v>
    <v t="i">1000</v>
    <v t="i">1001</v>
    <v t="i">1002</v>
    <v t="i">1003</v>
    <v t="i">1004</v>
    <v t="i">1007</v>
    <v t="i">1008</v>
    <v t="i">1009</v>
    <v t="i">1010</v>
    <v t="i">1011</v>
    <v t="i">1014</v>
    <v t="i">1015</v>
    <v t="i">1016</v>
    <v t="i">1017</v>
    <v t="i">1018</v>
    <v t="i">1021</v>
    <v t="i">1022</v>
    <v t="i">1023</v>
    <v t="i">1024</v>
    <v t="i">1025</v>
    <v t="i">1028</v>
    <v t="i">1029</v>
    <v t="i">1030</v>
    <v t="i">1031</v>
    <v t="i">1032</v>
    <v t="i">1035</v>
    <v t="i">1036</v>
    <v t="i">1037</v>
    <v t="i">1038</v>
    <v t="i">1039</v>
    <v t="i">1042</v>
    <v t="i">1043</v>
    <v t="i">1044</v>
    <v t="i">1045</v>
    <v t="i">1046</v>
    <v t="i">1049</v>
    <v t="i">1050</v>
    <v t="i">1051</v>
    <v t="i">1052</v>
    <v t="i">1053</v>
    <v t="i">1056</v>
    <v t="i">1057</v>
    <v t="i">1058</v>
    <v t="i">1059</v>
    <v t="i">1060</v>
    <v t="i">1063</v>
    <v t="i">1064</v>
    <v t="i">1065</v>
    <v t="i">1066</v>
    <v t="i">1067</v>
    <v t="i">1070</v>
    <v t="i">1071</v>
    <v t="i">1072</v>
    <v t="i">1073</v>
    <v t="i">1074</v>
    <v t="i">1077</v>
    <v t="i">1078</v>
    <v t="i">1079</v>
    <v t="i">1080</v>
    <v t="i">1081</v>
    <v t="i">1084</v>
    <v t="i">1085</v>
    <v t="i">1086</v>
    <v t="i">1087</v>
    <v t="i">1088</v>
    <v t="i">1091</v>
    <v t="i">1092</v>
    <v t="i">1093</v>
    <v t="i">1094</v>
    <v t="i">1095</v>
    <v t="i">1098</v>
    <v t="i">1099</v>
    <v t="i">1100</v>
    <v t="i">1101</v>
    <v t="i">1102</v>
    <v t="i">1105</v>
    <v t="i">1106</v>
    <v t="i">1107</v>
    <v t="i">1108</v>
    <v t="i">1109</v>
    <v t="i">1112</v>
    <v t="i">1113</v>
    <v t="i">1114</v>
    <v t="i">1115</v>
    <v t="i">1116</v>
    <v t="i">1119</v>
    <v t="i">1120</v>
    <v t="i">1121</v>
    <v t="i">1122</v>
    <v t="i">1123</v>
    <v t="i">1126</v>
    <v t="i">1127</v>
    <v t="i">1128</v>
    <v t="i">1129</v>
    <v t="i">1130</v>
    <v t="i">1133</v>
    <v t="i">1134</v>
    <v t="i">1135</v>
    <v t="i">1136</v>
    <v t="i">1137</v>
    <v t="i">1140</v>
    <v t="i">1141</v>
    <v t="i">1142</v>
    <v t="i">1143</v>
    <v t="i">1144</v>
    <v t="i">1147</v>
    <v t="i">1148</v>
    <v t="i">1149</v>
    <v t="i">1150</v>
    <v t="i">1151</v>
    <v t="i">1154</v>
    <v t="i">1155</v>
    <v t="i">1156</v>
    <v t="i">1157</v>
    <v t="i">1158</v>
    <v t="i">1161</v>
    <v t="i">1162</v>
    <v t="i">1163</v>
    <v t="i">1164</v>
    <v t="i">1165</v>
    <v t="i">1168</v>
    <v t="i">1169</v>
    <v t="i">1170</v>
    <v t="i">1171</v>
    <v t="i">1172</v>
    <v t="i">1175</v>
    <v t="i">1176</v>
    <v t="i">1177</v>
    <v t="i">1178</v>
    <v t="i">1179</v>
    <v t="i">1182</v>
    <v t="i">1183</v>
    <v t="i">1184</v>
    <v t="i">1185</v>
    <v t="i">1186</v>
    <v t="i">1189</v>
    <v t="i">1190</v>
    <v t="i">1191</v>
    <v t="i">1192</v>
    <v t="i">1193</v>
    <v t="i">1196</v>
    <v t="i">1197</v>
    <v t="i">1198</v>
    <v t="i">1199</v>
    <v t="i">1200</v>
    <v t="i">1203</v>
    <v t="i">1204</v>
    <v t="i">1205</v>
    <v t="i">1206</v>
    <v t="i">1207</v>
    <v t="i">1210</v>
    <v t="i">1211</v>
    <v t="i">1213</v>
    <v t="i">1214</v>
    <v t="i">1217</v>
    <v t="i">1218</v>
    <v t="i">1220</v>
    <v t="i">1221</v>
    <v t="i">1224</v>
    <v t="i">1225</v>
    <v t="i">1226</v>
    <v t="i">1227</v>
    <v t="i">1228</v>
    <v t="i">1231</v>
    <v t="i">1232</v>
    <v t="i">1233</v>
    <v t="i">1234</v>
    <v t="i">1235</v>
    <v t="i">1238</v>
    <v t="i">1239</v>
    <v t="i">1240</v>
    <v t="i">1241</v>
    <v t="i">1242</v>
    <v t="i">1245</v>
    <v t="i">1246</v>
    <v t="i">1247</v>
    <v t="i">1248</v>
    <v t="i">1249</v>
    <v t="i">1252</v>
    <v t="i">1253</v>
    <v t="i">1254</v>
    <v t="i">1255</v>
    <v t="i">1256</v>
    <v t="i">1259</v>
    <v t="i">1260</v>
    <v t="i">1261</v>
    <v t="i">1262</v>
    <v t="i">1263</v>
    <v t="i">1266</v>
    <v t="i">1267</v>
    <v t="i">1268</v>
    <v t="i">1269</v>
    <v t="i">1270</v>
    <v t="i">1273</v>
    <v t="i">1274</v>
    <v t="i">1275</v>
    <v t="i">1276</v>
    <v t="i">1277</v>
    <v t="i">1280</v>
    <v t="i">1281</v>
    <v t="i">1282</v>
    <v t="i">1283</v>
    <v t="i">1284</v>
    <v t="i">1287</v>
    <v t="i">1288</v>
    <v t="i">1289</v>
    <v t="i">1290</v>
    <v t="i">1291</v>
    <v t="i">1294</v>
    <v t="i">1295</v>
    <v t="i">1296</v>
    <v t="i">1297</v>
    <v t="i">1298</v>
    <v t="i">1301</v>
    <v t="i">1302</v>
    <v t="i">1303</v>
    <v t="i">1304</v>
    <v t="i">1305</v>
    <v t="i">1308</v>
    <v t="i">1309</v>
    <v t="i">1310</v>
    <v t="i">1311</v>
    <v t="i">1312</v>
    <v t="i">1315</v>
    <v t="i">1316</v>
    <v t="i">1317</v>
    <v t="i">1318</v>
    <v t="i">1319</v>
    <v t="i">1322</v>
    <v t="i">1323</v>
    <v t="i">1324</v>
    <v t="i">1325</v>
    <v t="i">1329</v>
    <v t="i">1330</v>
    <v t="i">1331</v>
    <v t="i">1332</v>
    <v t="i">1333</v>
    <v t="i">1336</v>
    <v t="i">1337</v>
    <v t="i">1338</v>
    <v t="i">1339</v>
    <v t="i">1340</v>
    <v t="i">1343</v>
    <v t="i">1344</v>
    <v t="i">1345</v>
    <v t="i">1346</v>
    <v t="i">1347</v>
    <v t="i">1350</v>
    <v t="i">1351</v>
    <v t="i">1352</v>
    <v t="i">1353</v>
    <v t="i">1354</v>
    <v t="i">1357</v>
    <v t="i">1358</v>
    <v t="i">1359</v>
    <v t="i">1360</v>
    <v t="i">1361</v>
    <v t="i">1364</v>
    <v t="i">1365</v>
    <v t="i">1366</v>
    <v t="i">1367</v>
    <v t="i">1368</v>
    <v t="i">1371</v>
    <v t="i">1372</v>
    <v t="i">1373</v>
    <v t="i">1374</v>
    <v t="i">1375</v>
    <v t="i">1378</v>
    <v t="i">1379</v>
    <v t="i">1380</v>
    <v t="i">1381</v>
    <v t="i">1382</v>
    <v t="i">1385</v>
    <v t="i">1386</v>
    <v t="i">1387</v>
    <v t="i">1388</v>
    <v t="i">1389</v>
    <v t="i">1392</v>
    <v t="i">1393</v>
    <v t="i">1394</v>
    <v t="i">1395</v>
    <v t="i">1396</v>
    <v t="i">1399</v>
    <v t="i">1400</v>
    <v t="i">1401</v>
    <v t="i">1402</v>
    <v t="i">1403</v>
    <v t="i">1406</v>
    <v t="i">1407</v>
    <v t="i">1408</v>
    <v t="i">1409</v>
    <v t="i">1410</v>
    <v t="i">1413</v>
    <v t="i">1414</v>
    <v t="i">1415</v>
    <v t="i">1416</v>
    <v t="i">1417</v>
    <v t="i">1420</v>
    <v t="i">1421</v>
    <v t="i">1422</v>
    <v t="i">1423</v>
    <v t="i">1424</v>
    <v t="i">1427</v>
    <v t="i">1428</v>
    <v t="i">1429</v>
    <v t="i">1430</v>
    <v t="i">1431</v>
    <v t="i">1434</v>
    <v t="i">1435</v>
    <v t="i">1436</v>
    <v t="i">1437</v>
    <v t="i">1438</v>
    <v t="i">1441</v>
    <v t="i">1442</v>
    <v t="i">1443</v>
    <v t="i">1444</v>
    <v t="i">1445</v>
    <v t="i">1448</v>
    <v t="i">1449</v>
    <v t="i">1450</v>
    <v t="i">1451</v>
    <v t="i">1452</v>
    <v t="i">1455</v>
    <v t="i">1456</v>
    <v t="i">1457</v>
    <v t="i">1458</v>
    <v t="i">1459</v>
    <v t="i">1462</v>
    <v t="i">1463</v>
    <v t="i">1464</v>
    <v t="i">1465</v>
    <v t="i">1466</v>
    <v t="i">1469</v>
    <v t="i">1470</v>
    <v t="i">1471</v>
    <v t="i">1472</v>
    <v t="i">1473</v>
    <v t="i">1476</v>
    <v t="i">1477</v>
    <v t="i">1478</v>
    <v t="i">1479</v>
    <v t="i">1480</v>
    <v t="i">1483</v>
    <v t="i">1484</v>
    <v t="i">1485</v>
    <v t="i">1486</v>
    <v t="i">1487</v>
    <v t="i">1490</v>
    <v t="i">1491</v>
    <v t="i">1492</v>
    <v t="i">1493</v>
    <v t="i">1494</v>
    <v t="i">1497</v>
    <v t="i">1498</v>
    <v t="i">1499</v>
    <v t="i">1500</v>
    <v t="i">1501</v>
    <v t="i">1504</v>
    <v t="i">1505</v>
    <v t="i">1506</v>
    <v t="i">1507</v>
    <v t="i">1508</v>
    <v t="i">1511</v>
    <v t="i">1512</v>
    <v t="i">1513</v>
    <v t="i">1514</v>
    <v t="i">1515</v>
    <v t="i">1518</v>
    <v t="i">1519</v>
    <v t="i">1520</v>
    <v t="i">1521</v>
    <v t="i">1522</v>
    <v t="i">1525</v>
    <v t="i">1526</v>
    <v t="i">1527</v>
    <v t="i">1528</v>
    <v t="i">1529</v>
    <v t="i">1532</v>
    <v t="i">1533</v>
    <v t="i">1534</v>
    <v t="i">1535</v>
    <v t="i">1536</v>
    <v t="i">1539</v>
    <v t="i">1540</v>
    <v t="i">1541</v>
    <v t="i">1542</v>
    <v t="i">1543</v>
    <v t="i">1546</v>
    <v t="i">1547</v>
    <v t="i">1548</v>
    <v t="i">1549</v>
    <v t="i">1550</v>
    <v t="i">1553</v>
    <v t="i">1554</v>
    <v t="i">1555</v>
    <v t="i">1556</v>
    <v t="i">1557</v>
    <v t="i">1560</v>
    <v t="i">1561</v>
    <v t="i">1562</v>
    <v t="i">1563</v>
    <v t="i">1564</v>
    <v t="i">1567</v>
    <v t="i">1568</v>
    <v t="i">1569</v>
    <v t="i">1570</v>
    <v t="i">1571</v>
    <v t="i">1574</v>
    <v t="i">1575</v>
    <v t="i">1576</v>
    <v t="i">1578</v>
    <v t="i">1581</v>
    <v t="i">1582</v>
    <v t="i">1583</v>
    <v t="i">1585</v>
    <v t="i">1588</v>
    <v t="i">1589</v>
    <v t="i">1590</v>
    <v t="i">1591</v>
    <v t="i">1592</v>
    <v t="i">1595</v>
    <v t="i">1596</v>
    <v t="i">1597</v>
    <v t="i">1598</v>
    <v t="i">1599</v>
    <v t="i">1602</v>
    <v t="i">1603</v>
    <v t="i">1604</v>
    <v t="i">1605</v>
    <v t="i">1606</v>
    <v t="i">1609</v>
    <v t="i">1610</v>
    <v t="i">1611</v>
    <v t="i">1612</v>
    <v t="i">1613</v>
    <v t="i">1616</v>
    <v t="i">1617</v>
    <v t="i">1618</v>
    <v t="i">1619</v>
    <v t="i">1620</v>
    <v t="i">1623</v>
    <v t="i">1624</v>
    <v t="i">1625</v>
    <v t="i">1626</v>
    <v t="i">1627</v>
    <v t="i">1630</v>
    <v t="i">1631</v>
    <v t="i">1632</v>
    <v t="i">1633</v>
    <v t="i">1634</v>
    <v t="i">1637</v>
    <v t="i">1638</v>
    <v t="i">1639</v>
    <v t="i">1640</v>
    <v t="i">1641</v>
    <v t="i">1644</v>
    <v t="i">1645</v>
    <v t="i">1646</v>
    <v t="i">1647</v>
    <v t="i">1648</v>
    <v t="i">1651</v>
    <v t="i">1652</v>
    <v t="i">1653</v>
    <v t="i">1654</v>
    <v t="i">1655</v>
    <v t="i">1658</v>
    <v t="i">1659</v>
    <v t="i">1660</v>
    <v t="i">1661</v>
    <v t="i">1662</v>
    <v t="i">1665</v>
    <v t="i">1666</v>
    <v t="i">1667</v>
    <v t="i">1668</v>
    <v t="i">1669</v>
    <v t="i">1672</v>
    <v t="i">1673</v>
    <v t="i">1674</v>
    <v t="i">1675</v>
    <v t="i">1679</v>
    <v t="i">1680</v>
    <v t="i">1681</v>
    <v t="i">1682</v>
    <v t="i">1683</v>
    <v t="i">1686</v>
    <v t="i">1687</v>
    <v t="i">1688</v>
    <v t="i">1689</v>
    <v t="i">1690</v>
    <v t="i">1693</v>
    <v t="i">1694</v>
    <v t="i">1695</v>
    <v t="i">1696</v>
    <v t="i">1697</v>
    <v t="i">1700</v>
    <v t="i">1701</v>
    <v t="i">1702</v>
    <v t="i">1703</v>
    <v t="i">1704</v>
    <v t="i">1707</v>
    <v t="i">1708</v>
    <v t="i">1709</v>
    <v t="i">1710</v>
    <v t="i">1711</v>
    <v t="i">1714</v>
    <v t="i">1715</v>
    <v t="i">1716</v>
    <v t="i">1717</v>
    <v t="i">1718</v>
    <v t="i">1721</v>
    <v t="i">1722</v>
    <v t="i">1723</v>
    <v t="i">1724</v>
    <v t="i">1725</v>
    <v t="i">1728</v>
    <v t="i">1729</v>
    <v t="i">1730</v>
    <v t="i">1731</v>
    <v t="i">1732</v>
    <v t="i">1735</v>
    <v t="i">1736</v>
    <v t="i">1737</v>
    <v t="i">1738</v>
    <v t="i">1739</v>
    <v t="i">1742</v>
    <v t="i">1743</v>
    <v t="i">1744</v>
    <v t="i">1745</v>
    <v t="i">1746</v>
    <v t="i">1749</v>
    <v t="i">1750</v>
    <v t="i">1751</v>
    <v t="i">1752</v>
    <v t="i">1753</v>
    <v t="i">1756</v>
    <v t="i">1757</v>
    <v t="i">1758</v>
    <v t="i">1759</v>
    <v t="i">1760</v>
    <v t="i">1763</v>
    <v t="i">1764</v>
    <v t="i">1765</v>
    <v t="i">1766</v>
    <v t="i">1767</v>
    <v t="i">1770</v>
    <v t="i">1771</v>
    <v t="i">1772</v>
    <v t="i">1773</v>
    <v t="i">1774</v>
    <v t="i">1777</v>
    <v t="i">1778</v>
    <v t="i">1779</v>
    <v t="i">1780</v>
    <v t="i">1781</v>
    <v t="i">1784</v>
    <v t="i">1785</v>
    <v t="i">1786</v>
    <v t="i">1787</v>
    <v t="i">1788</v>
    <v t="i">1791</v>
    <v t="i">1792</v>
    <v t="i">1793</v>
    <v t="i">1794</v>
    <v t="i">1795</v>
    <v t="i">1798</v>
    <v t="i">1799</v>
    <v t="i">1800</v>
    <v t="i">1801</v>
    <v t="i">1802</v>
    <v t="i">1805</v>
    <v t="i">1806</v>
    <v t="i">1807</v>
    <v t="i">1808</v>
    <v t="i">1809</v>
    <v t="i">1812</v>
    <v t="i">1813</v>
    <v t="i">1814</v>
  </a>
  <a r="1" c="1286">
    <v>16.48</v>
    <v>16.11</v>
    <v>16.41</v>
    <v>16.41</v>
    <v>16.41</v>
    <v>18.14</v>
    <v>17.96</v>
    <v>18.8</v>
    <v>20.95</v>
    <v>19.37</v>
    <v>19.46</v>
    <v>18.18</v>
    <v>18.690000000000001</v>
    <v>20.81</v>
    <v>25.71</v>
    <v>24.36</v>
    <v>20.87</v>
    <v>18.63</v>
    <v>17.75</v>
    <v>18.760000000000002</v>
    <v>23.25</v>
    <v>22.56</v>
    <v>23.14</v>
    <v>21.15</v>
    <v>22.96</v>
    <v>21.3</v>
    <v>21</v>
    <v>19.54</v>
    <v>18.77</v>
    <v>20</v>
    <v>19.850000000000001</v>
    <v>18.64</v>
    <v>16.86</v>
    <v>16.3</v>
    <v>16.309999999999999</v>
    <v>15.7</v>
    <v>15.49</v>
    <v>15.01</v>
    <v>15.43</v>
    <v>15.24</v>
    <v>15.98</v>
    <v>16.98</v>
    <v>16.53</v>
    <v>16.260000000000002</v>
    <v>16.41</v>
    <v>16.03</v>
    <v>15.1</v>
    <v>15.44</v>
    <v>16.48</v>
    <v>17.22</v>
    <v>17.78</v>
    <v>18.73</v>
    <v>17.66</v>
    <v>16.29</v>
    <v>16.489999999999998</v>
    <v>16.37</v>
    <v>17.11</v>
    <v>17.59</v>
    <v>17.91</v>
    <v>19.170000000000002</v>
    <v>19.38</v>
    <v>18.579999999999998</v>
    <v>18.579999999999998</v>
    <v>28.62</v>
    <v>22.96</v>
    <v>27.19</v>
    <v>31.12</v>
    <v>27.95</v>
    <v>30.67</v>
    <v>27.18</v>
    <v>21.89</v>
    <v>19.899999999999999</v>
    <v>21.58</v>
    <v>18.690000000000001</v>
    <v>20.309999999999999</v>
    <v>21.89</v>
    <v>19.29</v>
    <v>20.57</v>
    <v>21.57</v>
    <v>22.87</v>
    <v>21.01</v>
    <v>18.63</v>
    <v>17.96</v>
    <v>17.96</v>
    <v>17.68</v>
    <v>17.54</v>
    <v>16.95</v>
    <v>17.329999999999998</v>
    <v>17.22</v>
    <v>16.600000000000001</v>
    <v>16.91</v>
    <v>19.73</v>
    <v>19.61</v>
    <v>18.760000000000002</v>
    <v>19.399999999999999</v>
    <v>18.41</v>
    <v>17.62</v>
    <v>20.309999999999999</v>
    <v>19.190000000000001</v>
    <v>19.190000000000001</v>
    <v>22.79</v>
    <v>23.85</v>
    <v>25.59</v>
    <v>28.85</v>
    <v>29.9</v>
    <v>31.16</v>
    <v>31.96</v>
    <v>30.49</v>
    <v>27.66</v>
    <v>24.83</v>
    <v>21.96</v>
    <v>22.09</v>
    <v>24.35</v>
    <v>23.22</v>
    <v>22.86</v>
    <v>21.44</v>
    <v>19.96</v>
    <v>23.91</v>
    <v>27.36</v>
    <v>28.33</v>
    <v>25.7</v>
    <v>24.29</v>
    <v>28.11</v>
    <v>27.75</v>
    <v>27.75</v>
    <v>28.81</v>
    <v>31.02</v>
    <v>30.32</v>
    <v>27.59</v>
    <v>30.15</v>
    <v>33.32</v>
    <v>30.74</v>
    <v>30.48</v>
    <v>31.98</v>
    <v>36.450000000000003</v>
    <v>35.130000000000003</v>
    <v>32.450000000000003</v>
    <v>30.23</v>
    <v>30.75</v>
    <v>31.77</v>
    <v>29.83</v>
    <v>26.67</v>
    <v>25.67</v>
    <v>23.87</v>
    <v>23.53</v>
    <v>22.94</v>
    <v>23.57</v>
    <v>21.67</v>
    <v>20.81</v>
    <v>19.63</v>
    <v>18.899999999999999</v>
    <v>19.329999999999998</v>
    <v>20.56</v>
    <v>19.63</v>
    <v>18.57</v>
    <v>21.03</v>
    <v>22.1</v>
    <v>21.55</v>
    <v>21.16</v>
    <v>24.37</v>
    <v>24.26</v>
    <v>21.82</v>
    <v>22.7</v>
    <v>22.7</v>
    <v>22.17</v>
    <v>21.37</v>
    <v>20.32</v>
    <v>22.68</v>
    <v>28.21</v>
    <v>27.02</v>
    <v>33.520000000000003</v>
    <v>31.6</v>
    <v>29.99</v>
    <v>33.4</v>
    <v>32.340000000000003</v>
    <v>29.25</v>
    <v>25.42</v>
    <v>31.2</v>
    <v>30.19</v>
    <v>34.75</v>
    <v>32.99</v>
    <v>32.56</v>
    <v>31.77</v>
    <v>28.87</v>
    <v>27.47</v>
    <v>26.1</v>
    <v>30.96</v>
    <v>29.35</v>
    <v>29.43</v>
    <v>28.48</v>
    <v>29.45</v>
    <v>28.37</v>
    <v>27.5</v>
    <v>25.72</v>
    <v>26.54</v>
    <v>26.19</v>
    <v>25.69</v>
    <v>24.72</v>
    <v>24.79</v>
    <v>25.07</v>
    <v>24.02</v>
    <v>23.96</v>
    <v>26.09</v>
    <v>27.75</v>
    <v>34.020000000000003</v>
    <v>32.69</v>
    <v>29.62</v>
    <v>32.950000000000003</v>
    <v>31.13</v>
    <v>31.03</v>
    <v>30.19</v>
    <v>28.95</v>
    <v>29.05</v>
    <v>27.23</v>
    <v>26.95</v>
    <v>28.36</v>
    <v>28.16</v>
    <v>28.71</v>
    <v>26.7</v>
    <v>27.53</v>
    <v>27.54</v>
    <v>26.73</v>
    <v>26.08</v>
    <v>24.64</v>
    <v>26.17</v>
    <v>27.29</v>
    <v>26.82</v>
    <v>26.4</v>
    <v>24.23</v>
    <v>25.3</v>
    <v>24.5</v>
    <v>23.88</v>
    <v>23.11</v>
    <v>23.03</v>
    <v>23.36</v>
    <v>24.69</v>
    <v>23.24</v>
    <v>22.33</v>
    <v>21.33</v>
    <v>22.84</v>
    <v>23.93</v>
    <v>21.95</v>
    <v>21.44</v>
    <v>21.15</v>
    <v>21.29</v>
    <v>21.77</v>
    <v>19.739999999999998</v>
    <v>20.2</v>
    <v>19.53</v>
    <v>19.95</v>
    <v>19.690000000000001</v>
    <v>19.899999999999999</v>
    <v>19.559999999999999</v>
    <v>20.6</v>
    <v>23.8</v>
    <v>24.11</v>
    <v>22.82</v>
    <v>21.78</v>
    <v>25.56</v>
    <v>26.21</v>
    <v>26.21</v>
    <v>25.87</v>
    <v>25.56</v>
    <v>25.47</v>
    <v>25.99</v>
    <v>26.91</v>
    <v>24.64</v>
    <v>23.61</v>
    <v>22.79</v>
    <v>23.87</v>
    <v>27.27</v>
    <v>26.16</v>
    <v>26.27</v>
    <v>26.3</v>
    <v>25.76</v>
    <v>27.16</v>
    <v>27.99</v>
    <v>27.35</v>
    <v>29.92</v>
    <v>32.26</v>
    <v>32.6</v>
    <v>30.18</v>
    <v>31.62</v>
    <v>30.1</v>
    <v>29.07</v>
    <v>28.55</v>
    <v>30.52</v>
    <v>31.36</v>
    <v>32.450000000000003</v>
    <v>33.630000000000003</v>
    <v>33.57</v>
    <v>31.94</v>
    <v>32.020000000000003</v>
    <v>31.37</v>
    <v>30.5</v>
    <v>30.76</v>
    <v>29.98</v>
    <v>29.69</v>
    <v>29.85</v>
    <v>28.46</v>
    <v>27.28</v>
    <v>27.39</v>
    <v>25.75</v>
    <v>25.88</v>
    <v>25.81</v>
    <v>25.86</v>
    <v>25.3</v>
    <v>24.55</v>
    <v>24.35</v>
    <v>25.54</v>
    <v>26.09</v>
    <v>23.53</v>
    <v>22.52</v>
    <v>23.73</v>
    <v>24.54</v>
    <v>24.11</v>
    <v>23.93</v>
    <v>23.12</v>
    <v>22.36</v>
    <v>21.29</v>
    <v>20.350000000000001</v>
    <v>20.420000000000002</v>
    <v>20.5</v>
    <v>22.21</v>
    <v>21.89</v>
    <v>20.58</v>
    <v>19.84</v>
    <v>19.059999999999999</v>
    <v>20.75</v>
    <v>22.17</v>
    <v>22.68</v>
    <v>22.29</v>
    <v>22.83</v>
    <v>25</v>
    <v>22.55</v>
    <v>21.14</v>
    <v>22.83</v>
    <v>22.62</v>
    <v>22.42</v>
    <v>21.48</v>
    <v>20.07</v>
    <v>21.97</v>
    <v>20.87</v>
    <v>20.87</v>
    <v>21.65</v>
    <v>22.14</v>
    <v>21.44</v>
    <v>21.67</v>
    <v>21.67</v>
    <v>22.9</v>
    <v>22.01</v>
    <v>22.46</v>
    <v>21.13</v>
    <v>21.97</v>
    <v>20.58</v>
    <v>21.09</v>
    <v>18.829999999999998</v>
    <v>18.350000000000001</v>
    <v>19.489999999999998</v>
    <v>19.36</v>
    <v>20.34</v>
    <v>20.52</v>
    <v>19.850000000000001</v>
    <v>19.809999999999999</v>
    <v>19.2</v>
    <v>19.079999999999998</v>
    <v>18.73</v>
    <v>18.510000000000002</v>
    <v>19.940000000000001</v>
    <v>19.399999999999999</v>
    <v>17.87</v>
    <v>18.73</v>
    <v>18.329999999999998</v>
    <v>19.43</v>
    <v>18.66</v>
    <v>19.63</v>
    <v>20.71</v>
    <v>20.53</v>
    <v>20.34</v>
    <v>18.91</v>
    <v>18.23</v>
    <v>20.170000000000002</v>
    <v>20.02</v>
    <v>21.23</v>
    <v>22.87</v>
    <v>22.29</v>
    <v>21.14</v>
    <v>21.67</v>
    <v>20.95</v>
    <v>20.7</v>
    <v>20.58</v>
    <v>19.59</v>
    <v>18.489999999999998</v>
    <v>18.61</v>
    <v>19.59</v>
    <v>19.11</v>
    <v>22.61</v>
    <v>24.8</v>
    <v>26.52</v>
    <v>23.73</v>
    <v>26.14</v>
    <v>22.99</v>
    <v>25.51</v>
    <v>24.15</v>
    <v>21.38</v>
    <v>22.26</v>
    <v>22.61</v>
    <v>21.74</v>
    <v>20.6</v>
    <v>19.97</v>
    <v>19.12</v>
    <v>19.02</v>
    <v>18.7</v>
    <v>18.55</v>
    <v>19</v>
    <v>19.079999999999998</v>
    <v>18.399999999999999</v>
    <v>18.97</v>
    <v>19.100000000000001</v>
    <v>19.09</v>
    <v>17.8</v>
    <v>17.07</v>
    <v>16.95</v>
    <v>16.829999999999998</v>
    <v>16.46</v>
    <v>17.170000000000002</v>
    <v>16.77</v>
    <v>16.89</v>
    <v>18.760000000000002</v>
    <v>18.84</v>
    <v>17.03</v>
    <v>15.78</v>
    <v>16.079999999999998</v>
    <v>17.78</v>
    <v>18.34</v>
    <v>20.09</v>
    <v>17.190000000000001</v>
    <v>16.98</v>
    <v>17.71</v>
    <v>16.940000000000001</v>
    <v>16.93</v>
    <v>17.03</v>
    <v>17.12</v>
    <v>17.989999999999998</v>
    <v>16.87</v>
    <v>16.05</v>
    <v>16.809999999999999</v>
    <v>17.21</v>
    <v>18.53</v>
    <v>20.03</v>
    <v>19.14</v>
    <v>17.95</v>
    <v>17.46</v>
    <v>17.46</v>
    <v>17.940000000000001</v>
    <v>15.65</v>
    <v>14.6</v>
    <v>14.73</v>
    <v>13.96</v>
    <v>13.94</v>
    <v>13.65</v>
    <v>13.83</v>
    <v>15.01</v>
    <v>14.61</v>
    <v>13.88</v>
    <v>14.5</v>
    <v>13.54</v>
    <v>14.19</v>
    <v>13.88</v>
    <v>13.2</v>
    <v>12.91</v>
    <v>13.44</v>
    <v>14.25</v>
    <v>13.74</v>
    <v>13.43</v>
    <v>13.54</v>
    <v>13.59</v>
    <v>13.57</v>
    <v>13.7</v>
    <v>14.18</v>
    <v>15.44</v>
    <v>14.83</v>
    <v>15.07</v>
    <v>14.84</v>
    <v>13.54</v>
    <v>13.61</v>
    <v>13.34</v>
    <v>13.48</v>
    <v>13.3</v>
    <v>13.76</v>
    <v>13.99</v>
    <v>13.6</v>
    <v>13.91</v>
    <v>13.86</v>
    <v>13.19</v>
    <v>14.41</v>
    <v>13.33</v>
    <v>13.63</v>
    <v>13.93</v>
    <v>16.09</v>
    <v>15.92</v>
    <v>17.100000000000001</v>
    <v>15.77</v>
    <v>15.99</v>
    <v>15.96</v>
    <v>15.85</v>
    <v>14.84</v>
    <v>14.82</v>
    <v>16.46</v>
    <v>16.78</v>
    <v>17.89</v>
    <v>17.3</v>
    <v>17.13</v>
    <v>16.97</v>
    <v>15.98</v>
    <v>17.2</v>
    <v>15.68</v>
    <v>15.08</v>
    <v>14.45</v>
    <v>13.88</v>
    <v>13.57</v>
    <v>13.09</v>
    <v>13.82</v>
    <v>14.01</v>
    <v>14.45</v>
    <v>14.4</v>
    <v>13.84</v>
    <v>13.8</v>
    <v>14.23</v>
    <v>13.48</v>
    <v>12.82</v>
    <v>13.79</v>
    <v>14</v>
    <v>14.11</v>
    <v>15.14</v>
    <v>17.54</v>
    <v>17.2</v>
    <v>16.899999999999999</v>
    <v>18.940000000000001</v>
    <v>18.22</v>
    <v>17.34</v>
    <v>17.52</v>
    <v>17.61</v>
    <v>19.78</v>
    <v>18.579999999999998</v>
    <v>18.489999999999998</v>
    <v>17.45</v>
    <v>17.7</v>
    <v>17.03</v>
    <v>16.09</v>
    <v>16.690000000000001</v>
    <v>19.32</v>
    <v>17.21</v>
    <v>17.88</v>
    <v>19.22</v>
    <v>21.4</v>
    <v>21.71</v>
    <v>20.37</v>
    <v>18.97</v>
    <v>20.190000000000001</v>
    <v>20.68</v>
    <v>21.27</v>
    <v>19.75</v>
    <v>18.14</v>
    <v>16.87</v>
    <v>15.66</v>
    <v>14.91</v>
    <v>14.89</v>
    <v>14.81</v>
    <v>14.45</v>
    <v>15.29</v>
    <v>14.17</v>
    <v>14.76</v>
    <v>14.16</v>
    <v>14.18</v>
    <v>14.32</v>
    <v>13.8</v>
    <v>13.41</v>
    <v>13.35</v>
    <v>12.85</v>
    <v>12.8</v>
    <v>12.46</v>
    <v>12.69</v>
    <v>12.69</v>
    <v>12.98</v>
    <v>12.92</v>
    <v>12.63</v>
    <v>13.08</v>
    <v>12.85</v>
    <v>12.97</v>
    <v>13.06</v>
    <v>12.35</v>
    <v>12.63</v>
    <v>12.07</v>
    <v>12.19</v>
    <v>12.48</v>
    <v>12.28</v>
    <v>12.56</v>
    <v>12.53</v>
    <v>13.67</v>
    <v>13.65</v>
    <v>13.03</v>
    <v>12.99</v>
    <v>12.43</v>
    <v>12.47</v>
    <v>12.45</v>
    <v>13.2</v>
    <v>14.04</v>
    <v>14.13</v>
    <v>13.35</v>
    <v>13.08</v>
    <v>12.76</v>
    <v>12.69</v>
    <v>12.44</v>
    <v>12.7</v>
    <v>13.25</v>
    <v>13.84</v>
    <v>14.79</v>
    <v>14.13</v>
    <v>13.3</v>
    <v>13.19</v>
    <v>12.55</v>
    <v>13.14</v>
    <v>13.45</v>
    <v>13.26</v>
    <v>13.6</v>
    <v>13.31</v>
    <v>14.35</v>
    <v>13.88</v>
    <v>13.85</v>
    <v>13.67</v>
    <v>13.06</v>
    <v>12.83</v>
    <v>12.79</v>
    <v>12.93</v>
    <v>13.93</v>
    <v>15.85</v>
    <v>14.38</v>
    <v>14.01</v>
    <v>14.24</v>
    <v>14.71</v>
    <v>15.42</v>
    <v>15.34</v>
    <v>14.54</v>
    <v>13.75</v>
    <v>13.74</v>
    <v>13.43</v>
    <v>13.84</v>
    <v>13.4</v>
    <v>13.11</v>
    <v>13.49</v>
    <v>14.46</v>
    <v>14.5</v>
    <v>14.44</v>
    <v>14.74</v>
    <v>15.22</v>
    <v>13.84</v>
    <v>13.75</v>
    <v>14.4</v>
    <v>14.41</v>
    <v>14.33</v>
    <v>13.82</v>
    <v>13.04</v>
    <v>12.92</v>
    <v>13.06</v>
    <v>13.19</v>
    <v>13.24</v>
    <v>12.78</v>
    <v>13.01</v>
    <v>13.65</v>
    <v>14.61</v>
    <v>14.33</v>
    <v>16.350000000000001</v>
    <v>16.03</v>
    <v>15.19</v>
    <v>14.98</v>
    <v>15.8</v>
    <v>14.91</v>
    <v>17.309999999999999</v>
    <v>19.23</v>
    <v>18.399999999999999</v>
    <v>18.21</v>
    <v>18</v>
    <v>18.71</v>
    <v>16.940000000000001</v>
    <v>15.69</v>
    <v>15.97</v>
    <v>15.37</v>
    <v>15.03</v>
    <v>14.67</v>
    <v>15.65</v>
    <v>15.39</v>
    <v>14.68</v>
    <v>13.49</v>
    <v>13.49</v>
    <v>13.23</v>
    <v>13</v>
    <v>12.69</v>
    <v>12.55</v>
    <v>13.6</v>
    <v>13.42</v>
    <v>12.45</v>
    <v>12.42</v>
    <v>11.99</v>
    <v>12.15</v>
    <v>11.86</v>
    <v>12.29</v>
    <v>12.77</v>
    <v>11.93</v>
    <v>12.36</v>
    <v>12.92</v>
    <v>14.28</v>
    <v>14.47</v>
    <v>12.92</v>
    <v>13.11</v>
    <v>13.16</v>
    <v>12.63</v>
    <v>12.58</v>
    <v>12.22</v>
    <v>12.74</v>
    <v>12.85</v>
    <v>12.04</v>
    <v>11.94</v>
    <v>12.66</v>
    <v>12.75</v>
    <v>12.3</v>
    <v>12.48</v>
    <v>13.28</v>
    <v>13.2</v>
    <v>13.33</v>
    <v>12.84</v>
    <v>12.55</v>
    <v>12.24</v>
    <v>12.44</v>
    <v>12.22</v>
    <v>12.03</v>
    <v>12.09</v>
    <v>12.26</v>
    <v>12.48</v>
    <v>12.37</v>
    <v>12.51</v>
    <v>12.85</v>
    <v>12.92</v>
    <v>12.46</v>
    <v>13.12</v>
    <v>13.19</v>
    <v>14.48</v>
    <v>15.93</v>
    <v>16.52</v>
    <v>14.91</v>
    <v>14.72</v>
    <v>18.04</v>
    <v>18.46</v>
    <v>16.39</v>
    <v>16.600000000000001</v>
    <v>17.690000000000001</v>
    <v>16.36</v>
    <v>18.59</v>
    <v>23.39</v>
    <v>38.57</v>
    <v>27.71</v>
    <v>27.85</v>
    <v>23.79</v>
    <v>20.37</v>
    <v>20.71</v>
    <v>18.12</v>
    <v>16.190000000000001</v>
    <v>15.23</v>
    <v>14.8</v>
    <v>14.65</v>
    <v>15.88</v>
    <v>16.27</v>
    <v>17.55</v>
    <v>15.86</v>
    <v>16.149999999999999</v>
    <v>15.43</v>
    <v>17.11</v>
    <v>15.65</v>
    <v>15</v>
    <v>15.55</v>
    <v>20.72</v>
    <v>21.32</v>
    <v>19.899999999999999</v>
    <v>22.38</v>
    <v>19.45</v>
    <v>19.079999999999998</v>
    <v>17.690000000000001</v>
    <v>17.07</v>
    <v>16.559999999999999</v>
    <v>17.14</v>
    <v>17.61</v>
    <v>18.23</v>
    <v>16.329999999999998</v>
    <v>16.149999999999999</v>
    <v>15.89</v>
    <v>15.39</v>
    <v>15.41</v>
    <v>15.37</v>
    <v>16.96</v>
    <v>16.73</v>
    <v>19.260000000000002</v>
    <v>18.899999999999999</v>
    <v>20.49</v>
    <v>19.21</v>
    <v>22.64</v>
    <v>21.42</v>
    <v>20.86</v>
    <v>20.93</v>
    <v>20.46</v>
    <v>19.7</v>
    <v>20.64</v>
    <v>19.579999999999998</v>
    <v>19.11</v>
    <v>18.03</v>
    <v>18.37</v>
    <v>18.2</v>
    <v>19.239999999999998</v>
    <v>19.079999999999998</v>
    <v>20.329999999999998</v>
    <v>19.8</v>
    <v>19.34</v>
    <v>20.350000000000001</v>
    <v>23.16</v>
    <v>21.88</v>
    <v>21.98</v>
    <v>20.49</v>
    <v>16.27</v>
    <v>15.2</v>
    <v>14.94</v>
    <v>14.97</v>
    <v>14.71</v>
    <v>14.02</v>
    <v>14.31</v>
    <v>16.14</v>
    <v>15.58</v>
    <v>16.350000000000001</v>
    <v>17.16</v>
    <v>16.87</v>
    <v>15.24</v>
    <v>14.6</v>
    <v>14.1</v>
    <v>14.1</v>
    <v>13.9</v>
    <v>13.51</v>
    <v>13.34</v>
    <v>13.3</v>
    <v>13.45</v>
    <v>13.54</v>
    <v>12.77</v>
    <v>14.19</v>
    <v>14.18</v>
    <v>13.58</v>
    <v>13.92</v>
    <v>13.81</v>
    <v>14.69</v>
    <v>15.87</v>
    <v>27.62</v>
    <v>24.09</v>
    <v>18.36</v>
    <v>16.78</v>
    <v>14.27</v>
    <v>14.73</v>
    <v>15.95</v>
    <v>17.399999999999999</v>
    <v>17.350000000000001</v>
    <v>17.93</v>
    <v>16.13</v>
    <v>16.04</v>
    <v>17.82</v>
    <v>17.7</v>
    <v>18.07</v>
    <v>19.54</v>
    <v>19.190000000000001</v>
    <v>18.71</v>
    <v>16.12</v>
    <v>16.600000000000001</v>
    <v>15.97</v>
    <v>15.81</v>
    <v>15.06</v>
    <v>15.1</v>
    <v>15.02</v>
    <v>14.85</v>
    <v>17.899999999999999</v>
    <v>16.41</v>
    <v>16.559999999999999</v>
    <v>15.84</v>
    <v>16.43</v>
    <v>18.62</v>
    <v>17.21</v>
    <v>15.77</v>
    <v>15.5</v>
    <v>16.54</v>
    <v>15.81</v>
    <v>16.02</v>
    <v>15.89</v>
    <v>15.1</v>
    <v>14.77</v>
    <v>15.37</v>
    <v>15.35</v>
    <v>15.27</v>
    <v>15.66</v>
    <v>18.21</v>
    <v>18.98</v>
    <v>19.43</v>
    <v>19.100000000000001</v>
    <v>21.13</v>
    <v>19.63</v>
    <v>22.78</v>
    <v>23.51</v>
    <v>21.93</v>
    <v>24.87</v>
    <v>23.37</v>
    <v>27.86</v>
    <v>26.92</v>
    <v>24.23</v>
    <v>24.66</v>
    <v>21.77</v>
    <v>20.51</v>
    <v>21.7</v>
    <v>19.899999999999999</v>
    <v>19.8</v>
    <v>19.28</v>
    <v>17.48</v>
    <v>17.149999999999999</v>
    <v>18.329999999999998</v>
    <v>18.690000000000001</v>
    <v>21.65</v>
    <v>22.28</v>
    <v>21.77</v>
    <v>21.51</v>
    <v>30.02</v>
    <v>45.31</v>
    <v>46.98</v>
    <v>52.33</v>
    <v>33.619999999999997</v>
    <v>40.72</v>
    <v>37.56</v>
    <v>30.89</v>
    <v>30.12</v>
    <v>32.64</v>
    <v>29.65</v>
    <v>33.82</v>
    <v>30.57</v>
    <v>28.45</v>
    <v>26.47</v>
    <v>24.84</v>
    <v>25.15</v>
    <v>24.17</v>
    <v>24.7</v>
    <v>24.6</v>
    <v>22.68</v>
    <v>23.64</v>
    <v>24.76</v>
    <v>23.55</v>
    <v>22.48</v>
    <v>21.9</v>
    <v>18.39</v>
    <v>18.22</v>
    <v>18.62</v>
    <v>17.829999999999998</v>
    <v>17.239999999999998</v>
    <v>18.14</v>
    <v>18.09</v>
    <v>20.87</v>
    <v>20.28</v>
    <v>22.29</v>
    <v>20.57</v>
    <v>18.96</v>
    <v>19.309999999999999</v>
    <v>19.18</v>
    <v>18.57</v>
    <v>18.36</v>
    <v>17.690000000000001</v>
    <v>17.61</v>
    <v>18.48</v>
    <v>16.77</v>
    <v>17.16</v>
    <v>16.95</v>
    <v>17.260000000000002</v>
    <v>18.02</v>
    <v>20.82</v>
    <v>19.11</v>
    <v>21.6</v>
    <v>20.14</v>
    <v>22.17</v>
    <v>20.62</v>
    <v>19.829999999999998</v>
    <v>17.48</v>
    <v>16.760000000000002</v>
    <v>16.59</v>
    <v>16.32</v>
    <v>16.73</v>
    <v>16.829999999999998</v>
    <v>16.64</v>
    <v>16.38</v>
    <v>17.48</v>
    <v>17.79</v>
    <v>16.809999999999999</v>
    <v>15.94</v>
    <v>15.78</v>
    <v>16.399999999999999</v>
    <v>17.2</v>
    <v>17.38</v>
    <v>17.16</v>
    <v>16.52</v>
    <v>16.41</v>
    <v>16.649999999999999</v>
    <v>16.5</v>
    <v>15.37</v>
    <v>15.39</v>
    <v>14.93</v>
    <v>15.03</v>
    <v>15.98</v>
    <v>15.48</v>
    <v>16.72</v>
    <v>20.38</v>
    <v>17.52</v>
    <v>17.850000000000001</v>
    <v>16.77</v>
    <v>16.57</v>
    <v>15.15</v>
    <v>16.25</v>
    <v>14.73</v>
    <v>14.49</v>
    <v>14.83</v>
    <v>15.09</v>
    <v>14.99</v>
    <v>15.57</v>
    <v>15.69</v>
    <v>16.600000000000001</v>
    <v>14.22</v>
    <v>14.79</v>
    <v>14.62</v>
    <v>14.85</v>
    <v>14.43</v>
    <v>15.36</v>
    <v>16.12</v>
    <v>17.170000000000002</v>
    <v>16.350000000000001</v>
    <v>15.3</v>
    <v>15.18</v>
    <v>15.11</v>
    <v>15.04</v>
    <v>15.35</v>
    <v>14.71</v>
    <v>14.76</v>
    <v>15.69</v>
    <v>16.36</v>
    <v>15.72</v>
    <v>15.7</v>
    <v>15.45</v>
    <v>16.100000000000001</v>
    <v>16.64</v>
    <v>16.18</v>
    <v>16.739999999999998</v>
    <v>15.29</v>
    <v>16.12</v>
    <v>16.28</v>
    <v>16.29</v>
    <v>16.63</v>
    <v>16.649999999999999</v>
    <v>16.37</v>
    <v>17.239999999999998</v>
    <v>16.3</v>
    <v>16.43</v>
    <v>21.66</v>
    <v>19.03</v>
    <v>20.81</v>
    <v>20.64</v>
    <v>25.31</v>
    <v>20.78</v>
    <v>18.23</v>
    <v>17.87</v>
    <v>18.600000000000001</v>
    <v>17.3</v>
    <v>16.37</v>
    <v>15.79</v>
    <v>16.420000000000002</v>
    <v>16.920000000000002</v>
    <v>16.91</v>
    <v>17.440000000000001</v>
    <v>17.170000000000002</v>
    <v>19</v>
    <v>18.010000000000002</v>
    <v>19.5</v>
    <v>19.079999999999998</v>
    <v>17.600000000000001</v>
    <v>17.28</v>
    <v>17.510000000000002</v>
    <v>20</v>
    <v>19.829999999999998</v>
    <v>22.38</v>
    <v>24.69</v>
    <v>23.66</v>
    <v>26.42</v>
    <v>23.43</v>
    <v>20.52</v>
    <v>18.559999999999999</v>
    <v>17.190000000000001</v>
    <v>17.21</v>
    <v>16.350000000000001</v>
    <v>17.239999999999998</v>
    <v>16.59</v>
    <v>16.079999999999998</v>
    <v>15.78</v>
    <v>15.41</v>
    <v>16.66</v>
    <v>16.93</v>
    <v>15.77</v>
    <v>14.85</v>
    <v>15.74</v>
    <v>16.5</v>
    <v>16.48</v>
    <v>17.62</v>
    <v>16.87</v>
    <v>14.91</v>
    <v>14.08</v>
    <v>14</v>
    <v>13.47</v>
    <v>13.6</v>
    <v>14.2</v>
    <v>14.33</v>
    <v>14.95</v>
    <v>14.51</v>
    <v>14.9</v>
    <v>14.75</v>
    <v>15.38</v>
    <v>15.45</v>
    <v>14.49</v>
    <v>15.12</v>
    <v>15.98</v>
    <v>16.75</v>
    <v>15.84</v>
    <v>15.86</v>
    <v>18.84</v>
    <v>20.09</v>
    <v>16.899999999999999</v>
    <v>15.64</v>
    <v>16.09</v>
    <v>16.149999999999999</v>
    <v>16.350000000000001</v>
    <v>16.350000000000001</v>
    <v>16.88</v>
    <v>17.440000000000001</v>
    <v>16.34</v>
    <v>18</v>
    <v>18.64</v>
    <v>21.77</v>
    <v>17.760000000000002</v>
    <v>17.36</v>
    <v>17.79</v>
    <v>17.649999999999999</v>
    <v>20.82</v>
    <v>20.6</v>
    <v>21.2</v>
    <v>20.29</v>
    <v>19.62</v>
    <v>20.23</v>
    <v>19.09</v>
    <v>21.01</v>
    <v>19.55</v>
    <v>17.93</v>
    <v>18.63</v>
    <v>19.86</v>
    <v>21.44</v>
    <v>23.57</v>
    <v>21.15</v>
    <v>23.75</v>
    <v>29.49</v>
    <v>25.5</v>
    <v>24.93</v>
    <v>24.23</v>
    <v>27.29</v>
    <v>27.19</v>
    <v>23.51</v>
    <v>22.37</v>
    <v>25.09</v>
    <v>24.06</v>
    <v>26.78</v>
    <v>26.15</v>
    <v>26.95</v>
    <v>25.33</v>
    <v>27.44</v>
    <v>31.05</v>
    <v>30.61</v>
    <v>25.25</v>
    <v>24.54</v>
    <v>23.87</v>
    <v>24.17</v>
    <v>25.78</v>
    <v>21.04</v>
    <v>19.489999999999998</v>
    <v>19.23</v>
    <v>19.12</v>
    <v>18.36</v>
    <v>18.170000000000002</v>
    <v>17.940000000000001</v>
    <v>17.48</v>
    <v>18.87</v>
    <v>19.5</v>
    <v>18.920000000000002</v>
    <v>19.309999999999999</v>
    <v>18.71</v>
    <v>18.02</v>
    <v>17.829999999999998</v>
    <v>18.809999999999999</v>
    <v>16.89</v>
    <v>16.989999999999998</v>
    <v>18.29</v>
    <v>17.38</v>
    <v>17.39</v>
    <v>17.079999999999998</v>
    <v>17.190000000000001</v>
    <v>18.38</v>
    <v>17.989999999999998</v>
    <v>17.87</v>
    <v>17.260000000000002</v>
    <v>18.43</v>
    <v>17.82</v>
    <v>18.059999999999999</v>
    <v>17.440000000000001</v>
    <v>16.760000000000002</v>
    <v>16.7</v>
    <v>16.59</v>
    <v>17.010000000000002</v>
    <v>16.29</v>
    <v>15.74</v>
    <v>15.32</v>
    <v>16.05</v>
    <v>15.77</v>
    <v>16.059999999999999</v>
    <v>15.4</v>
    <v>21.51</v>
    <v>18.920000000000002</v>
    <v>19.87</v>
    <v>22.22</v>
    <v>19.440000000000001</v>
    <v>17.68</v>
    <v>16.2</v>
    <v>16.41</v>
    <v>18.440000000000001</v>
    <v>16.399999999999999</v>
    <v>16.78</v>
    <v>17.28</v>
    <v>19.489999999999998</v>
    <v>18.63</v>
    <v>18.89</v>
    <v>18.41</v>
    <v>17.649999999999999</v>
    <v>16.45</v>
    <v>16.59</v>
    <v>16.149999999999999</v>
    <v>15.81</v>
    <v>15.57</v>
    <v>16.13</v>
    <v>16.899999999999999</v>
    <v>15.84</v>
    <v>15.03</v>
    <v>17.16</v>
    <v>16.5</v>
    <v>15.67</v>
    <v>16.73</v>
    <v>18.77</v>
    <v>18.649999999999999</v>
    <v>17.05</v>
    <v>16.64</v>
    <v>18.7</v>
    <v>18.579999999999998</v>
    <v>18.670000000000002</v>
    <v>18.21</v>
    <v>20.66</v>
    <v>17.09</v>
    <v>15.99</v>
    <v>15.86</v>
    <v>16.5</v>
    <v>15.81</v>
    <v>15.15</v>
    <v>14.9</v>
    <v>15.46</v>
    <v>15.28</v>
    <v>14.55</v>
    <v>14.63</v>
    <v>14.25</v>
    <v>15.19</v>
    <v>15.84</v>
    <v>14.89</v>
  </a>
  <a r="1" c="1286">
    <v>15.98</v>
    <v>16.059999999999999</v>
    <v>16.27</v>
    <v>16.27</v>
    <v>-99999902</v>
    <v>16.940000000000001</v>
    <v>18.97</v>
    <v>19.440000000000001</v>
    <v>17.940000000000001</v>
    <v>19.64</v>
    <v>19.579999999999998</v>
    <v>19.3</v>
    <v>18.41</v>
    <v>18.37</v>
    <v>24.25</v>
    <v>23.41</v>
    <v>22.72</v>
    <v>19.91</v>
    <v>19.329999999999998</v>
    <v>17.78</v>
    <v>19.739999999999998</v>
    <v>22.07</v>
    <v>21.48</v>
    <v>24.78</v>
    <v>22.9</v>
    <v>22.92</v>
    <v>22.95</v>
    <v>20.54</v>
    <v>19.46</v>
    <v>19.93</v>
    <v>20.62</v>
    <v>20.14</v>
    <v>18.010000000000002</v>
    <v>16.64</v>
    <v>17.29</v>
    <v>16.09</v>
    <v>15.82</v>
    <v>16.059999999999999</v>
    <v>15.35</v>
    <v>16.14</v>
    <v>15.02</v>
    <v>15.79</v>
    <v>17.059999999999999</v>
    <v>17.399999999999999</v>
    <v>16.850000000000001</v>
    <v>16.54</v>
    <v>16.11</v>
    <v>15.06</v>
    <v>15.59</v>
    <v>17.23</v>
    <v>17.43</v>
    <v>17.739999999999998</v>
    <v>18.34</v>
    <v>17.489999999999998</v>
    <v>17.03</v>
    <v>16.86</v>
    <v>16.36</v>
    <v>16.809999999999999</v>
    <v>17.36</v>
    <v>18.2</v>
    <v>20.239999999999998</v>
    <v>19.170000000000002</v>
    <v>-99999902</v>
    <v>26.62</v>
    <v>25.31</v>
    <v>26.23</v>
    <v>24.92</v>
    <v>29.44</v>
    <v>26.95</v>
    <v>28.99</v>
    <v>24.58</v>
    <v>21.74</v>
    <v>20.309999999999999</v>
    <v>21.27</v>
    <v>19.29</v>
    <v>19.670000000000002</v>
    <v>21.6</v>
    <v>18.559999999999999</v>
    <v>20.7</v>
    <v>25.89</v>
    <v>22.28</v>
    <v>21.04</v>
    <v>18.809999999999999</v>
    <v>-99999902</v>
    <v>19.37</v>
    <v>17.78</v>
    <v>17.63</v>
    <v>17.3</v>
    <v>17.63</v>
    <v>17.600000000000001</v>
    <v>16.57</v>
    <v>17.07</v>
    <v>20.29</v>
    <v>19.850000000000001</v>
    <v>19.579999999999998</v>
    <v>19.62</v>
    <v>18.170000000000002</v>
    <v>18.059999999999999</v>
    <v>20.11</v>
    <v>-99999902</v>
    <v>21.18</v>
    <v>23.12</v>
    <v>23.46</v>
    <v>25.38</v>
    <v>28.2</v>
    <v>32.29</v>
    <v>29.35</v>
    <v>32.19</v>
    <v>30.27</v>
    <v>28.36</v>
    <v>24.57</v>
    <v>21.56</v>
    <v>22.63</v>
    <v>23.77</v>
    <v>24.09</v>
    <v>23.09</v>
    <v>21.27</v>
    <v>20.37</v>
    <v>24.39</v>
    <v>29.17</v>
    <v>28.09</v>
    <v>25.19</v>
    <v>24.83</v>
    <v>26.66</v>
    <v>-99999902</v>
    <v>31.8</v>
    <v>28.04</v>
    <v>37.5</v>
    <v>31.68</v>
    <v>32.44</v>
    <v>29.45</v>
    <v>34.200000000000003</v>
    <v>30.52</v>
    <v>31.9</v>
    <v>35.880000000000003</v>
    <v>36.19</v>
    <v>33.74</v>
    <v>33.03</v>
    <v>30.43</v>
    <v>31.03</v>
    <v>33.130000000000003</v>
    <v>29.02</v>
    <v>26.51</v>
    <v>26.36</v>
    <v>25.14</v>
    <v>24.02</v>
    <v>23.04</v>
    <v>23.61</v>
    <v>21.87</v>
    <v>22.14</v>
    <v>19.7</v>
    <v>19.38</v>
    <v>19.68</v>
    <v>20.62</v>
    <v>20.75</v>
    <v>18.79</v>
    <v>21.27</v>
    <v>21.97</v>
    <v>21.25</v>
    <v>23.09</v>
    <v>24.94</v>
    <v>23.52</v>
    <v>21.72</v>
    <v>-99999902</v>
    <v>24.52</v>
    <v>22.55</v>
    <v>21.13</v>
    <v>20.239999999999998</v>
    <v>22.71</v>
    <v>30.04</v>
    <v>27.38</v>
    <v>31.11</v>
    <v>29.91</v>
    <v>28.97</v>
    <v>33.35</v>
    <v>31.76</v>
    <v>29.12</v>
    <v>25.97</v>
    <v>32.229999999999997</v>
    <v>31.9</v>
    <v>33.659999999999997</v>
    <v>32.869999999999997</v>
    <v>33.74</v>
    <v>31.09</v>
    <v>30.01</v>
    <v>27.07</v>
    <v>26.74</v>
    <v>31.24</v>
    <v>28.78</v>
    <v>28.98</v>
    <v>29.43</v>
    <v>29.33</v>
    <v>28.42</v>
    <v>27.5</v>
    <v>26.16</v>
    <v>27.47</v>
    <v>26.05</v>
    <v>25.73</v>
    <v>24.91</v>
    <v>25.37</v>
    <v>25.54</v>
    <v>24.37</v>
    <v>24.29</v>
    <v>26.26</v>
    <v>31.37</v>
    <v>33.01</v>
    <v>32.39</v>
    <v>30.35</v>
    <v>32.840000000000003</v>
    <v>32.06</v>
    <v>30.63</v>
    <v>31.45</v>
    <v>29.29</v>
    <v>29.07</v>
    <v>28.3</v>
    <v>26.9</v>
    <v>28.8</v>
    <v>29.42</v>
    <v>29.53</v>
    <v>27.96</v>
    <v>27.37</v>
    <v>27.84</v>
    <v>26.73</v>
    <v>26.41</v>
    <v>26.42</v>
    <v>27.14</v>
    <v>27.35</v>
    <v>27.47</v>
    <v>26.72</v>
    <v>24.83</v>
    <v>25.12</v>
    <v>24.23</v>
    <v>24.07</v>
    <v>23.3</v>
    <v>24.33</v>
    <v>23.95</v>
    <v>24.27</v>
    <v>23.33</v>
    <v>22.13</v>
    <v>22.41</v>
    <v>24.08</v>
    <v>23.86</v>
    <v>22.06</v>
    <v>21.5</v>
    <v>21.74</v>
    <v>21.41</v>
    <v>22.28</v>
    <v>19.84</v>
    <v>20.34</v>
    <v>20.74</v>
    <v>20.23</v>
    <v>19.739999999999998</v>
    <v>20.51</v>
    <v>20.16</v>
    <v>22.41</v>
    <v>24.13</v>
    <v>24.37</v>
    <v>22.41</v>
    <v>22.07</v>
    <v>26.86</v>
    <v>25.75</v>
    <v>25.86</v>
    <v>26.88</v>
    <v>25.51</v>
    <v>26.51</v>
    <v>25.46</v>
    <v>26.93</v>
    <v>24.7</v>
    <v>23.49</v>
    <v>23.58</v>
    <v>23.67</v>
    <v>26.73</v>
    <v>26.1</v>
    <v>27.47</v>
    <v>27.69</v>
    <v>25.65</v>
    <v>28.03</v>
    <v>28.16</v>
    <v>27.68</v>
    <v>31.74</v>
    <v>31.2</v>
    <v>34.5</v>
    <v>31.61</v>
    <v>33</v>
    <v>29.52</v>
    <v>29.36</v>
    <v>28.6</v>
    <v>30.37</v>
    <v>32.93</v>
    <v>33.56</v>
    <v>33.54</v>
    <v>33.6</v>
    <v>31.89</v>
    <v>32.270000000000003</v>
    <v>31.1</v>
    <v>30.94</v>
    <v>31.3</v>
    <v>30.21</v>
    <v>30.65</v>
    <v>29.8</v>
    <v>28.44</v>
    <v>27.51</v>
    <v>27.43</v>
    <v>26.91</v>
    <v>25.96</v>
    <v>26.04</v>
    <v>25.98</v>
    <v>25.63</v>
    <v>25.67</v>
    <v>24.71</v>
    <v>25.34</v>
    <v>26.51</v>
    <v>23.89</v>
    <v>23.99</v>
    <v>23.77</v>
    <v>24.29</v>
    <v>24.05</v>
    <v>24.03</v>
    <v>24.05</v>
    <v>22.59</v>
    <v>21.49</v>
    <v>20.5</v>
    <v>20.61</v>
    <v>22.09</v>
    <v>22.09</v>
    <v>21.7</v>
    <v>20.83</v>
    <v>20.420000000000002</v>
    <v>20.3</v>
    <v>20.69</v>
    <v>22.32</v>
    <v>22.81</v>
    <v>22.55</v>
    <v>24.4</v>
    <v>25.24</v>
    <v>22.83</v>
    <v>21.52</v>
    <v>23.26</v>
    <v>22.63</v>
    <v>23.17</v>
    <v>21.25</v>
    <v>20.079999999999998</v>
    <v>22.17</v>
    <v>-99999902</v>
    <v>21.67</v>
    <v>21.47</v>
    <v>22.25</v>
    <v>21.83</v>
    <v>-99999902</v>
    <v>23.09</v>
    <v>22.93</v>
    <v>22.2</v>
    <v>22.69</v>
    <v>21.75</v>
    <v>22.22</v>
    <v>20.8</v>
    <v>21.56</v>
    <v>19</v>
    <v>19.440000000000001</v>
    <v>19.89</v>
    <v>19.28</v>
    <v>20.43</v>
    <v>20.28</v>
    <v>20.21</v>
    <v>19.89</v>
    <v>19.559999999999999</v>
    <v>19.05</v>
    <v>18.899999999999999</v>
    <v>19.760000000000002</v>
    <v>20.12</v>
    <v>19.62</v>
    <v>17.739999999999998</v>
    <v>18.57</v>
    <v>19.23</v>
    <v>19.54</v>
    <v>18.88</v>
    <v>19.239999999999998</v>
    <v>20.74</v>
    <v>21.66</v>
    <v>20.72</v>
    <v>19.37</v>
    <v>18.260000000000002</v>
    <v>20.94</v>
    <v>21.06</v>
    <v>21.8</v>
    <v>23.03</v>
    <v>21.96</v>
    <v>21.35</v>
    <v>21.99</v>
    <v>21.3</v>
    <v>20.39</v>
    <v>21.41</v>
    <v>19.760000000000002</v>
    <v>19.05</v>
    <v>18.64</v>
    <v>19.71</v>
    <v>19.329999999999998</v>
    <v>23.34</v>
    <v>24.05</v>
    <v>26.85</v>
    <v>23.21</v>
    <v>26.19</v>
    <v>22.92</v>
    <v>27.77</v>
    <v>24.16</v>
    <v>21.8</v>
    <v>21.54</v>
    <v>22.11</v>
    <v>22.05</v>
    <v>20.53</v>
    <v>19.39</v>
    <v>19.12</v>
    <v>19.21</v>
    <v>19.79</v>
    <v>18.79</v>
    <v>19.420000000000002</v>
    <v>19.3</v>
    <v>19.39</v>
    <v>19.079999999999998</v>
    <v>19.38</v>
    <v>18.829999999999998</v>
    <v>17.940000000000001</v>
    <v>17.579999999999998</v>
    <v>16.940000000000001</v>
    <v>17.3</v>
    <v>16.850000000000001</v>
    <v>17.510000000000002</v>
    <v>18.22</v>
    <v>17.62</v>
    <v>18.66</v>
    <v>18.43</v>
    <v>17.21</v>
    <v>16.41</v>
    <v>16.27</v>
    <v>17.82</v>
    <v>19.170000000000002</v>
    <v>19.5</v>
    <v>17.73</v>
    <v>17.29</v>
    <v>17.579999999999998</v>
    <v>16.8</v>
    <v>16.829999999999998</v>
    <v>17.440000000000001</v>
    <v>17.54</v>
    <v>17.96</v>
    <v>16.920000000000002</v>
    <v>16.13</v>
    <v>17.45</v>
    <v>17.350000000000001</v>
    <v>18.8</v>
    <v>19.54</v>
    <v>19.07</v>
    <v>17.53</v>
    <v>17.559999999999999</v>
    <v>18.04</v>
    <v>17.239999999999998</v>
    <v>15.65</v>
    <v>15.28</v>
    <v>14.91</v>
    <v>14.14</v>
    <v>14.14</v>
    <v>13.78</v>
    <v>14.44</v>
    <v>14.99</v>
    <v>14.48</v>
    <v>14.09</v>
    <v>14.49</v>
    <v>14.09</v>
    <v>14.36</v>
    <v>13.88</v>
    <v>13.88</v>
    <v>13.24</v>
    <v>14.43</v>
    <v>14.11</v>
    <v>13.9</v>
    <v>13.64</v>
    <v>13.51</v>
    <v>13.85</v>
    <v>13.54</v>
    <v>14.19</v>
    <v>14.85</v>
    <v>15.97</v>
    <v>16.079999999999998</v>
    <v>15.02</v>
    <v>14.82</v>
    <v>13.44</v>
    <v>13.72</v>
    <v>13.78</v>
    <v>13.61</v>
    <v>13.32</v>
    <v>13.96</v>
    <v>13.87</v>
    <v>14.29</v>
    <v>14.02</v>
    <v>13.86</v>
    <v>13.14</v>
    <v>14.03</v>
    <v>13.98</v>
    <v>13.75</v>
    <v>15.7</v>
    <v>16.77</v>
    <v>16.010000000000002</v>
    <v>16.899999999999999</v>
    <v>16.28</v>
    <v>15.81</v>
    <v>15.58</v>
    <v>15.53</v>
    <v>15.88</v>
    <v>14.95</v>
    <v>16.54</v>
    <v>16.96</v>
    <v>17.8</v>
    <v>18.03</v>
    <v>16.96</v>
    <v>16.64</v>
    <v>15.57</v>
    <v>17.21</v>
    <v>16.239999999999998</v>
    <v>15.08</v>
    <v>14.53</v>
    <v>13.98</v>
    <v>13.56</v>
    <v>13.62</v>
    <v>14.15</v>
    <v>14.27</v>
    <v>14.81</v>
    <v>14.22</v>
    <v>14.17</v>
    <v>14.02</v>
    <v>14.42</v>
    <v>13.39</v>
    <v>12.7</v>
    <v>14.4</v>
    <v>14.11</v>
    <v>14.18</v>
    <v>15.49</v>
    <v>17.309999999999999</v>
    <v>17.25</v>
    <v>18.03</v>
    <v>18.29</v>
    <v>18.22</v>
    <v>16.87</v>
    <v>17.309999999999999</v>
    <v>17.809999999999999</v>
    <v>20.72</v>
    <v>18.670000000000002</v>
    <v>18.73</v>
    <v>19.54</v>
    <v>17.7</v>
    <v>16.95</v>
    <v>16.079999999999998</v>
    <v>16.53</v>
    <v>19.100000000000001</v>
    <v>17.41</v>
    <v>18.36</v>
    <v>19.73</v>
    <v>21.59</v>
    <v>21.83</v>
    <v>20.03</v>
    <v>19.39</v>
    <v>21.78</v>
    <v>20.39</v>
    <v>21.13</v>
    <v>19.86</v>
    <v>18.02</v>
    <v>16.59</v>
    <v>15.7</v>
    <v>15.39</v>
    <v>15.1</v>
    <v>14.91</v>
    <v>14.61</v>
    <v>15.09</v>
    <v>15.16</v>
    <v>14.83</v>
    <v>14.21</v>
    <v>14.12</v>
    <v>14.18</v>
    <v>14.26</v>
    <v>13.45</v>
    <v>13.08</v>
    <v>12.84</v>
    <v>13.03</v>
    <v>13.14</v>
    <v>12.78</v>
    <v>12.71</v>
    <v>13.07</v>
    <v>12.94</v>
    <v>13.28</v>
    <v>13.26</v>
    <v>12.78</v>
    <v>13.17</v>
    <v>13.14</v>
    <v>13.05</v>
    <v>12.69</v>
    <v>12.2</v>
    <v>11.96</v>
    <v>12.12</v>
    <v>12.62</v>
    <v>12.6</v>
    <v>12.63</v>
    <v>13.4</v>
    <v>13.72</v>
    <v>13.77</v>
    <v>13.02</v>
    <v>12.44</v>
    <v>12.55</v>
    <v>13.22</v>
    <v>13.35</v>
    <v>13.93</v>
    <v>14.24</v>
    <v>14</v>
    <v>13.2</v>
    <v>12.86</v>
    <v>12.64</v>
    <v>12.66</v>
    <v>13.23</v>
    <v>14.12</v>
    <v>14.59</v>
    <v>14.85</v>
    <v>13.8</v>
    <v>13.77</v>
    <v>13.2</v>
    <v>12.66</v>
    <v>13.18</v>
    <v>13.73</v>
    <v>13.98</v>
    <v>13.69</v>
    <v>13.42</v>
    <v>14.21</v>
    <v>13.95</v>
    <v>14.37</v>
    <v>13.57</v>
    <v>13.06</v>
    <v>12.95</v>
    <v>12.79</v>
    <v>13.48</v>
    <v>13.96</v>
    <v>15.38</v>
    <v>14.27</v>
    <v>13.94</v>
    <v>14.72</v>
    <v>15.09</v>
    <v>15.54</v>
    <v>14.28</v>
    <v>14.31</v>
    <v>14.17</v>
    <v>13.63</v>
    <v>13.52</v>
    <v>14.14</v>
    <v>13.34</v>
    <v>13.49</v>
    <v>13.75</v>
    <v>14.27</v>
    <v>14.98</v>
    <v>14.22</v>
    <v>15.51</v>
    <v>14.97</v>
    <v>13.89</v>
    <v>13.62</v>
    <v>14.33</v>
    <v>14.75</v>
    <v>14.5</v>
    <v>13.83</v>
    <v>12.98</v>
    <v>12.92</v>
    <v>13.67</v>
    <v>13.12</v>
    <v>13.13</v>
    <v>12.93</v>
    <v>13.61</v>
    <v>13.74</v>
    <v>15</v>
    <v>14.29</v>
    <v>16.45</v>
    <v>16.239999999999998</v>
    <v>15.34</v>
    <v>15.24</v>
    <v>16.02</v>
    <v>14.91</v>
    <v>16.940000000000001</v>
    <v>19.489999999999998</v>
    <v>18.239999999999998</v>
    <v>17.91</v>
    <v>21.33</v>
    <v>18.59</v>
    <v>16.72</v>
    <v>15.76</v>
    <v>16.25</v>
    <v>15.49</v>
    <v>15.37</v>
    <v>14.82</v>
    <v>15.75</v>
    <v>15.14</v>
    <v>14.51</v>
    <v>13.98</v>
    <v>13.52</v>
    <v>13.24</v>
    <v>13.08</v>
    <v>12.77</v>
    <v>13.26</v>
    <v>13.71</v>
    <v>13.73</v>
    <v>12.52</v>
    <v>12.28</v>
    <v>12.27</v>
    <v>12.3</v>
    <v>12.05</v>
    <v>11.53</v>
    <v>12.86</v>
    <v>12.41</v>
    <v>12.51</v>
    <v>13.75</v>
    <v>14.82</v>
    <v>14.5</v>
    <v>13.08</v>
    <v>13.51</v>
    <v>13.14</v>
    <v>12.75</v>
    <v>12.69</v>
    <v>13.09</v>
    <v>12.85</v>
    <v>13.1</v>
    <v>12.05</v>
    <v>12.22</v>
    <v>13.07</v>
    <v>12.7</v>
    <v>12.32</v>
    <v>12.5</v>
    <v>13.22</v>
    <v>13.85</v>
    <v>13.48</v>
    <v>12.81</v>
    <v>12.69</v>
    <v>12.24</v>
    <v>12.98</v>
    <v>12.67</v>
    <v>12.13</v>
    <v>12.1</v>
    <v>12.37</v>
    <v>12.91</v>
    <v>12.48</v>
    <v>12.51</v>
    <v>12.88</v>
    <v>12.87</v>
    <v>12.78</v>
    <v>13.38</v>
    <v>13.6</v>
    <v>14.27</v>
    <v>16.440000000000001</v>
    <v>16.79</v>
    <v>15.21</v>
    <v>15.35</v>
    <v>18.41</v>
    <v>17.97</v>
    <v>16.59</v>
    <v>16.64</v>
    <v>16.66</v>
    <v>16.2</v>
    <v>20.52</v>
    <v>23.39</v>
    <v>33.71</v>
    <v>24.77</v>
    <v>28.34</v>
    <v>23.78</v>
    <v>20.79</v>
    <v>20.059999999999999</v>
    <v>18.41</v>
    <v>16.27</v>
    <v>15.29</v>
    <v>15.94</v>
    <v>14.89</v>
    <v>16.25</v>
    <v>16.27</v>
    <v>17.12</v>
    <v>16.27</v>
    <v>16.21</v>
    <v>15.51</v>
    <v>16.54</v>
    <v>15.67</v>
    <v>15.87</v>
    <v>15.76</v>
    <v>23.2</v>
    <v>20.75</v>
    <v>21.98</v>
    <v>21.32</v>
    <v>19.86</v>
    <v>19.41</v>
    <v>17.62</v>
    <v>17.03</v>
    <v>17.16</v>
    <v>17.16</v>
    <v>17.579999999999998</v>
    <v>17.21</v>
    <v>16.350000000000001</v>
    <v>16.71</v>
    <v>15.87</v>
    <v>15.82</v>
    <v>15.06</v>
    <v>15.64</v>
    <v>17.010000000000002</v>
    <v>16.96</v>
    <v>19.649999999999999</v>
    <v>19.63</v>
    <v>20.48</v>
    <v>20.76</v>
    <v>22.92</v>
    <v>21.98</v>
    <v>20.91</v>
    <v>20.87</v>
    <v>20.86</v>
    <v>19.61</v>
    <v>20.77</v>
    <v>19.55</v>
    <v>19.3</v>
    <v>18.78</v>
    <v>18.79</v>
    <v>18.21</v>
    <v>18.87</v>
    <v>19.22</v>
    <v>19.11</v>
    <v>19.75</v>
    <v>19.329999999999998</v>
    <v>21.44</v>
    <v>22.96</v>
    <v>22.5</v>
    <v>21.98</v>
    <v>16.059999999999999</v>
    <v>15.86</v>
    <v>15.13</v>
    <v>15.33</v>
    <v>15.09</v>
    <v>15.09</v>
    <v>14.17</v>
    <v>15.02</v>
    <v>16.600000000000001</v>
    <v>15.44</v>
    <v>16.190000000000001</v>
    <v>17.100000000000001</v>
    <v>16.670000000000002</v>
    <v>15.23</v>
    <v>14.95</v>
    <v>14.28</v>
    <v>14.07</v>
    <v>14</v>
    <v>14.08</v>
    <v>13.38</v>
    <v>13.16</v>
    <v>13.46</v>
    <v>13.62</v>
    <v>13.36</v>
    <v>14.3</v>
    <v>14.42</v>
    <v>13.73</v>
    <v>13.57</v>
    <v>14.37</v>
    <v>14.98</v>
    <v>15.57</v>
    <v>21.61</v>
    <v>24.14</v>
    <v>18.09</v>
    <v>16.97</v>
    <v>14.99</v>
    <v>15.38</v>
    <v>17.21</v>
    <v>17.39</v>
    <v>17.21</v>
    <v>17.66</v>
    <v>16.77</v>
    <v>16.48</v>
    <v>17.91</v>
    <v>18.510000000000002</v>
    <v>18.29</v>
    <v>21.18</v>
    <v>18.79</v>
    <v>19.079999999999998</v>
    <v>15.87</v>
    <v>16.190000000000001</v>
    <v>16.46</v>
    <v>16.29</v>
    <v>14.89</v>
    <v>15.28</v>
    <v>15.02</v>
    <v>18.829999999999998</v>
    <v>18.29</v>
    <v>16.420000000000002</v>
    <v>15.93</v>
    <v>15.45</v>
    <v>20.36</v>
    <v>18.78</v>
    <v>17.54</v>
    <v>15.88</v>
    <v>15.38</v>
    <v>16.579999999999998</v>
    <v>16.13</v>
    <v>15.91</v>
    <v>15.97</v>
    <v>15.08</v>
    <v>15.38</v>
    <v>15.57</v>
    <v>15.14</v>
    <v>15.61</v>
    <v>15.63</v>
    <v>18.079999999999998</v>
    <v>19.09</v>
    <v>18.96</v>
    <v>18.25</v>
    <v>21.21</v>
    <v>19.829999999999998</v>
    <v>22.96</v>
    <v>23.03</v>
    <v>22.6</v>
    <v>24.85</v>
    <v>24.7</v>
    <v>27.94</v>
    <v>26.88</v>
    <v>24.92</v>
    <v>24.35</v>
    <v>22.89</v>
    <v>20.83</v>
    <v>21.84</v>
    <v>19.52</v>
    <v>20.02</v>
    <v>19.13</v>
    <v>17.579999999999998</v>
    <v>17.23</v>
    <v>18.36</v>
    <v>19.079999999999998</v>
    <v>24.11</v>
    <v>22.06</v>
    <v>22.3</v>
    <v>26.38</v>
    <v>30.12</v>
    <v>60.13</v>
    <v>44.04</v>
    <v>50.98</v>
    <v>34.44</v>
    <v>40.799999999999997</v>
    <v>34.76</v>
    <v>30.01</v>
    <v>33.24</v>
    <v>30.79</v>
    <v>32.75</v>
    <v>32.61</v>
    <v>28.75</v>
    <v>28.69</v>
    <v>26.22</v>
    <v>25.75</v>
    <v>24.76</v>
    <v>24.35</v>
    <v>23.94</v>
    <v>23.63</v>
    <v>24.25</v>
    <v>23.97</v>
    <v>24.56</v>
    <v>22.84</v>
    <v>22.4</v>
    <v>19.84</v>
    <v>18.690000000000001</v>
    <v>18.100000000000001</v>
    <v>19.190000000000001</v>
    <v>17.96</v>
    <v>19.84</v>
    <v>18.46</v>
    <v>18.77</v>
    <v>20.62</v>
    <v>20.14</v>
    <v>20.75</v>
    <v>20.63</v>
    <v>19.21</v>
    <v>18.25</v>
    <v>19.61</v>
    <v>19.809999999999999</v>
    <v>18.829999999999998</v>
    <v>17.68</v>
    <v>17.68</v>
    <v>18.16</v>
    <v>17.690000000000001</v>
    <v>17.5</v>
    <v>17.04</v>
    <v>17.87</v>
    <v>21.76</v>
    <v>19.78</v>
    <v>20.53</v>
    <v>20.9</v>
    <v>21.51</v>
    <v>20.74</v>
    <v>21.15</v>
    <v>18.190000000000001</v>
    <v>17.28</v>
    <v>16.670000000000002</v>
    <v>16.309999999999999</v>
    <v>17.190000000000001</v>
    <v>16.98</v>
    <v>16.75</v>
    <v>16.649999999999999</v>
    <v>16.93</v>
    <v>17.829999999999998</v>
    <v>17.41</v>
    <v>16.760000000000002</v>
    <v>16.23</v>
    <v>16.41</v>
    <v>17.73</v>
    <v>16.89</v>
    <v>17.66</v>
    <v>17.16</v>
    <v>16.43</v>
    <v>16.87</v>
    <v>16.75</v>
    <v>16.23</v>
    <v>15.39</v>
    <v>15.33</v>
    <v>15.15</v>
    <v>14.95</v>
    <v>15.87</v>
    <v>14.99</v>
    <v>17.399999999999999</v>
    <v>19.559999999999999</v>
    <v>17.21</v>
    <v>17.22</v>
    <v>16.41</v>
    <v>16.48</v>
    <v>15.81</v>
    <v>16.09</v>
    <v>14.62</v>
    <v>14.66</v>
    <v>14.43</v>
    <v>15.73</v>
    <v>15.23</v>
    <v>15.95</v>
    <v>15.72</v>
    <v>16.809999999999999</v>
    <v>15.05</v>
    <v>15.75</v>
    <v>14.66</v>
    <v>14.42</v>
    <v>14.31</v>
    <v>16.170000000000002</v>
    <v>16.649999999999999</v>
    <v>17.399999999999999</v>
    <v>16.22</v>
    <v>15.23</v>
    <v>15.58</v>
    <v>15.02</v>
    <v>14.98</v>
    <v>15.19</v>
    <v>14.62</v>
    <v>15.14</v>
    <v>15.6</v>
    <v>16.420000000000002</v>
    <v>14.93</v>
    <v>15.76</v>
    <v>16.14</v>
    <v>16.100000000000001</v>
    <v>16.57</v>
    <v>16.55</v>
    <v>16.89</v>
    <v>15.84</v>
    <v>16.489999999999998</v>
    <v>17.28</v>
    <v>16.12</v>
    <v>16.350000000000001</v>
    <v>16.739999999999998</v>
    <v>16.579999999999998</v>
    <v>17.170000000000002</v>
    <v>16.309999999999999</v>
    <v>16.36</v>
    <v>19.45</v>
    <v>21.46</v>
    <v>20.02</v>
    <v>20.49</v>
    <v>28.41</v>
    <v>20.53</v>
    <v>18.649999999999999</v>
    <v>17.84</v>
    <v>18.36</v>
    <v>17.02</v>
    <v>15.73</v>
    <v>15.95</v>
    <v>16.34</v>
    <v>16.260000000000002</v>
    <v>16.43</v>
    <v>18.059999999999999</v>
    <v>19.73</v>
    <v>19.37</v>
    <v>18.36</v>
    <v>19.52</v>
    <v>18.579999999999998</v>
    <v>17.899999999999999</v>
    <v>17.21</v>
    <v>17.61</v>
    <v>21.33</v>
    <v>19.579999999999998</v>
    <v>23.54</v>
    <v>24.52</v>
    <v>20.78</v>
    <v>25.97</v>
    <v>22.69</v>
    <v>20.55</v>
    <v>18.25</v>
    <v>17.22</v>
    <v>17.41</v>
    <v>18.05</v>
    <v>17.28</v>
    <v>16.43</v>
    <v>16.23</v>
    <v>15.58</v>
    <v>16.149999999999999</v>
    <v>16.66</v>
    <v>16.940000000000001</v>
    <v>16.84</v>
    <v>14.99</v>
    <v>16.510000000000002</v>
    <v>17.28</v>
    <v>16.45</v>
    <v>17.61</v>
    <v>16.309999999999999</v>
    <v>15.16</v>
    <v>14.09</v>
    <v>14.09</v>
    <v>14.12</v>
    <v>14.69</v>
    <v>14.43</v>
    <v>14.77</v>
    <v>14.85</v>
    <v>15.14</v>
    <v>15</v>
    <v>14.95</v>
    <v>15.69</v>
    <v>15.68</v>
    <v>16.059999999999999</v>
    <v>15.36</v>
    <v>16.329999999999998</v>
    <v>16.52</v>
    <v>15.44</v>
    <v>18.63</v>
    <v>19.940000000000001</v>
    <v>19.309999999999999</v>
    <v>16.649999999999999</v>
    <v>15.68</v>
    <v>16.899999999999999</v>
    <v>16.02</v>
    <v>16.09</v>
    <v>16.04</v>
    <v>18.72</v>
    <v>19.95</v>
    <v>16.16</v>
    <v>17.63</v>
    <v>19.239999999999998</v>
    <v>21.24</v>
    <v>17.95</v>
    <v>17.47</v>
    <v>17.87</v>
    <v>17.440000000000001</v>
    <v>21.48</v>
    <v>20.73</v>
    <v>21.74</v>
    <v>19.78</v>
    <v>19.34</v>
    <v>20.04</v>
    <v>20.49</v>
    <v>21.24</v>
    <v>19.59</v>
    <v>18.07</v>
    <v>19.28</v>
    <v>24.66</v>
    <v>24.57</v>
    <v>24.39</v>
    <v>22.11</v>
    <v>23.2</v>
    <v>35.119999999999997</v>
    <v>24.39</v>
    <v>24.9</v>
    <v>25.48</v>
    <v>27.85</v>
    <v>25.88</v>
    <v>24.56</v>
    <v>21.51</v>
    <v>25.6</v>
    <v>24.46</v>
    <v>30.04</v>
    <v>25.91</v>
    <v>25.79</v>
    <v>26.49</v>
    <v>27.54</v>
    <v>30.79</v>
    <v>29.53</v>
    <v>24.3</v>
    <v>26.78</v>
    <v>24.93</v>
    <v>25.09</v>
    <v>20.97</v>
    <v>21.25</v>
    <v>19.71</v>
    <v>21.17</v>
    <v>18.73</v>
    <v>18.18</v>
    <v>18.04</v>
    <v>18.18</v>
    <v>19.579999999999998</v>
    <v>19.18</v>
    <v>19.03</v>
    <v>19.420000000000002</v>
    <v>18.89</v>
    <v>19.21</v>
    <v>18.3</v>
    <v>17.829999999999998</v>
    <v>18.68</v>
    <v>17.010000000000002</v>
    <v>17.38</v>
    <v>17.95</v>
    <v>17.149999999999999</v>
    <v>17.53</v>
    <v>17.37</v>
    <v>18.21</v>
    <v>18.77</v>
    <v>17.98</v>
    <v>17.86</v>
    <v>18.07</v>
    <v>19.25</v>
    <v>18.010000000000002</v>
    <v>18.170000000000002</v>
    <v>17.579999999999998</v>
    <v>16.829999999999998</v>
    <v>16.809999999999999</v>
    <v>16.920000000000002</v>
    <v>17.010000000000002</v>
    <v>16.760000000000002</v>
    <v>15.81</v>
    <v>15.88</v>
    <v>16.28</v>
    <v>15.97</v>
    <v>16.329999999999998</v>
    <v>15.87</v>
    <v>20.29</v>
    <v>18.190000000000001</v>
    <v>20.100000000000001</v>
    <v>21.25</v>
    <v>19.510000000000002</v>
    <v>16.78</v>
    <v>16.2</v>
    <v>16.079999999999998</v>
    <v>17.23</v>
    <v>17.04</v>
    <v>17.48</v>
    <v>19.670000000000002</v>
    <v>19.13</v>
    <v>18.11</v>
    <v>19.7</v>
    <v>18.600000000000001</v>
    <v>17.54</v>
    <v>17.11</v>
    <v>17.05</v>
    <v>15.78</v>
    <v>16.399999999999999</v>
    <v>15.87</v>
    <v>16.55</v>
    <v>16.579999999999998</v>
    <v>16.059999999999999</v>
    <v>16.32</v>
    <v>17.21</v>
    <v>16.2</v>
    <v>15.82</v>
    <v>18.010000000000002</v>
    <v>18.899999999999999</v>
    <v>17.48</v>
    <v>17.420000000000002</v>
    <v>17.670000000000002</v>
    <v>18.96</v>
    <v>17.62</v>
    <v>19.05</v>
    <v>18.27</v>
    <v>19.559999999999999</v>
    <v>16.82</v>
    <v>16.03</v>
    <v>15.76</v>
    <v>16.149999999999999</v>
    <v>15.83</v>
    <v>15.3</v>
    <v>15.4</v>
    <v>15.42</v>
    <v>15.28</v>
    <v>14.68</v>
    <v>14.64</v>
    <v>14.98</v>
    <v>15.81</v>
    <v>15.92</v>
  </a>
  <a r="1" c="1286">
    <v>17.07</v>
    <v>16.71</v>
    <v>16.98</v>
    <v>17.059999999999999</v>
    <v>-99999902</v>
    <v>18.39</v>
    <v>19.64</v>
    <v>19.54</v>
    <v>21.13</v>
    <v>21.18</v>
    <v>20.47</v>
    <v>20.27</v>
    <v>19.760000000000002</v>
    <v>21.51</v>
    <v>28.79</v>
    <v>25.6</v>
    <v>23.4</v>
    <v>20.21</v>
    <v>20.41</v>
    <v>19.32</v>
    <v>24.82</v>
    <v>23.79</v>
    <v>24.71</v>
    <v>24.89</v>
    <v>24.58</v>
    <v>23.17</v>
    <v>24.4</v>
    <v>20.76</v>
    <v>19.940000000000001</v>
    <v>20.45</v>
    <v>20.81</v>
    <v>20.23</v>
    <v>18.079999999999998</v>
    <v>16.850000000000001</v>
    <v>17.93</v>
    <v>16.309999999999999</v>
    <v>15.89</v>
    <v>16.11</v>
    <v>16.39</v>
    <v>16.329999999999998</v>
    <v>16.71</v>
    <v>17.29</v>
    <v>17.16</v>
    <v>18.059999999999999</v>
    <v>17.7</v>
    <v>16.649999999999999</v>
    <v>16.39</v>
    <v>16.14</v>
    <v>17.02</v>
    <v>17.690000000000001</v>
    <v>18.57</v>
    <v>19.899999999999999</v>
    <v>18.39</v>
    <v>17.690000000000001</v>
    <v>17.46</v>
    <v>17.079999999999998</v>
    <v>17.190000000000001</v>
    <v>18.149999999999999</v>
    <v>19.010000000000002</v>
    <v>19.59</v>
    <v>20.91</v>
    <v>20.96</v>
    <v>-99999902</v>
    <v>28.99</v>
    <v>25.69</v>
    <v>28.56</v>
    <v>32.61</v>
    <v>30.68</v>
    <v>35.32</v>
    <v>30.82</v>
    <v>24.69</v>
    <v>23.11</v>
    <v>22.12</v>
    <v>21.3</v>
    <v>21.18</v>
    <v>23</v>
    <v>23.47</v>
    <v>22.13</v>
    <v>23.26</v>
    <v>27.39</v>
    <v>22.68</v>
    <v>21.36</v>
    <v>18.93</v>
    <v>-99999902</v>
    <v>19.41</v>
    <v>18.47</v>
    <v>18</v>
    <v>17.79</v>
    <v>18.27</v>
    <v>18.54</v>
    <v>17.809999999999999</v>
    <v>20.170000000000002</v>
    <v>21.06</v>
    <v>20.8</v>
    <v>23.33</v>
    <v>21</v>
    <v>18.690000000000001</v>
    <v>20.61</v>
    <v>22.07</v>
    <v>-99999902</v>
    <v>23.2</v>
    <v>23.99</v>
    <v>25.89</v>
    <v>29.79</v>
    <v>38.94</v>
    <v>35.85</v>
    <v>33.04</v>
    <v>33</v>
    <v>32.82</v>
    <v>29.41</v>
    <v>25.33</v>
    <v>22.73</v>
    <v>25.81</v>
    <v>26.26</v>
    <v>24.82</v>
    <v>23.48</v>
    <v>21.3</v>
    <v>24.77</v>
    <v>30.99</v>
    <v>32.04</v>
    <v>28.09</v>
    <v>27.09</v>
    <v>28.37</v>
    <v>29.71</v>
    <v>-99999902</v>
    <v>32.04</v>
    <v>31.07</v>
    <v>37.79</v>
    <v>32</v>
    <v>33.51</v>
    <v>35.19</v>
    <v>34.409999999999997</v>
    <v>32.01</v>
    <v>34.65</v>
    <v>36.549999999999997</v>
    <v>37.520000000000003</v>
    <v>34.119999999999997</v>
    <v>34.03</v>
    <v>31.04</v>
    <v>33.18</v>
    <v>33.83</v>
    <v>29.8</v>
    <v>27.47</v>
    <v>26.82</v>
    <v>25.36</v>
    <v>24.02</v>
    <v>24.03</v>
    <v>23.79</v>
    <v>22.86</v>
    <v>23.33</v>
    <v>19.73</v>
    <v>20.51</v>
    <v>21.48</v>
    <v>20.86</v>
    <v>20.78</v>
    <v>21.57</v>
    <v>24.78</v>
    <v>23.82</v>
    <v>22.34</v>
    <v>24.42</v>
    <v>25.38</v>
    <v>24.45</v>
    <v>22.7</v>
    <v>-99999902</v>
    <v>24.6</v>
    <v>22.92</v>
    <v>21.32</v>
    <v>23.28</v>
    <v>28.27</v>
    <v>31.6</v>
    <v>33.81</v>
    <v>32.770000000000003</v>
    <v>32</v>
    <v>34.340000000000003</v>
    <v>36.64</v>
    <v>32.82</v>
    <v>29.42</v>
    <v>33.200000000000003</v>
    <v>35.340000000000003</v>
    <v>35.479999999999997</v>
    <v>34.840000000000003</v>
    <v>34.39</v>
    <v>34.76</v>
    <v>31.2</v>
    <v>30.23</v>
    <v>27.17</v>
    <v>31.49</v>
    <v>33.11</v>
    <v>32.909999999999997</v>
    <v>30.39</v>
    <v>31.07</v>
    <v>30.23</v>
    <v>28.46</v>
    <v>27.54</v>
    <v>26.81</v>
    <v>28.35</v>
    <v>27.73</v>
    <v>26.5</v>
    <v>25.96</v>
    <v>25.81</v>
    <v>26.24</v>
    <v>24.78</v>
    <v>26.24</v>
    <v>29.63</v>
    <v>35.049999999999997</v>
    <v>34</v>
    <v>32.770000000000003</v>
    <v>34.82</v>
    <v>33.31</v>
    <v>32.159999999999997</v>
    <v>30.65</v>
    <v>31.57</v>
    <v>29.77</v>
    <v>29.72</v>
    <v>28.66</v>
    <v>28.68</v>
    <v>29.36</v>
    <v>30.22</v>
    <v>29.59</v>
    <v>28.1</v>
    <v>29.82</v>
    <v>28.07</v>
    <v>26.79</v>
    <v>26.61</v>
    <v>26.74</v>
    <v>27.75</v>
    <v>29.06</v>
    <v>28.45</v>
    <v>26.72</v>
    <v>25.91</v>
    <v>25.41</v>
    <v>24.73</v>
    <v>24.67</v>
    <v>23.81</v>
    <v>24.57</v>
    <v>25.31</v>
    <v>24.41</v>
    <v>23.54</v>
    <v>22.16</v>
    <v>23.27</v>
    <v>24.68</v>
    <v>23.92</v>
    <v>22.66</v>
    <v>22.58</v>
    <v>22.01</v>
    <v>22.23</v>
    <v>22.34</v>
    <v>20.85</v>
    <v>20.350000000000001</v>
    <v>21.16</v>
    <v>20.39</v>
    <v>20.63</v>
    <v>20.61</v>
    <v>21.27</v>
    <v>24.62</v>
    <v>24.21</v>
    <v>24.86</v>
    <v>23.13</v>
    <v>25.9</v>
    <v>27.67</v>
    <v>27.69</v>
    <v>26.62</v>
    <v>27.45</v>
    <v>26.28</v>
    <v>26.85</v>
    <v>27.8</v>
    <v>27.15</v>
    <v>25.9</v>
    <v>23.57</v>
    <v>24.23</v>
    <v>28.15</v>
    <v>27.56</v>
    <v>26.93</v>
    <v>28.45</v>
    <v>27.95</v>
    <v>27.81</v>
    <v>30.18</v>
    <v>28.38</v>
    <v>32.31</v>
    <v>32.880000000000003</v>
    <v>34.14</v>
    <v>34.880000000000003</v>
    <v>33.25</v>
    <v>33.06</v>
    <v>29.62</v>
    <v>30.11</v>
    <v>30.74</v>
    <v>32.020000000000003</v>
    <v>33.99</v>
    <v>34.43</v>
    <v>34.53</v>
    <v>33.869999999999997</v>
    <v>32.979999999999997</v>
    <v>32.590000000000003</v>
    <v>31.93</v>
    <v>31.9</v>
    <v>31.32</v>
    <v>30.44</v>
    <v>30.95</v>
    <v>30</v>
    <v>28.52</v>
    <v>27.67</v>
    <v>27.59</v>
    <v>27.07</v>
    <v>26.35</v>
    <v>26.62</v>
    <v>26.87</v>
    <v>25.71</v>
    <v>25.67</v>
    <v>26.16</v>
    <v>26.35</v>
    <v>26.59</v>
    <v>23.91</v>
    <v>24.33</v>
    <v>26.22</v>
    <v>24.72</v>
    <v>25.18</v>
    <v>24.12</v>
    <v>24.12</v>
    <v>22.71</v>
    <v>21.78</v>
    <v>20.54</v>
    <v>21.11</v>
    <v>22.5</v>
    <v>22.57</v>
    <v>22.63</v>
    <v>21.06</v>
    <v>20.96</v>
    <v>21.29</v>
    <v>22.6</v>
    <v>23.01</v>
    <v>23.28</v>
    <v>23.21</v>
    <v>25.05</v>
    <v>25.84</v>
    <v>23.47</v>
    <v>23.67</v>
    <v>23.83</v>
    <v>22.86</v>
    <v>23.39</v>
    <v>21.29</v>
    <v>24.3</v>
    <v>22.64</v>
    <v>-99999902</v>
    <v>22.8</v>
    <v>22.26</v>
    <v>22.31</v>
    <v>22.4</v>
    <v>-99999902</v>
    <v>23.76</v>
    <v>23.27</v>
    <v>22.92</v>
    <v>22.9</v>
    <v>21.98</v>
    <v>22.46</v>
    <v>21.25</v>
    <v>21.8</v>
    <v>19.41</v>
    <v>19.63</v>
    <v>20.22</v>
    <v>20.58</v>
    <v>21.71</v>
    <v>20.7</v>
    <v>20.329999999999998</v>
    <v>20.47</v>
    <v>20.9</v>
    <v>19.48</v>
    <v>19</v>
    <v>20.25</v>
    <v>20.7</v>
    <v>20.04</v>
    <v>19.25</v>
    <v>19.3</v>
    <v>19.809999999999999</v>
    <v>19.989999999999998</v>
    <v>20.12</v>
    <v>21.08</v>
    <v>21.94</v>
    <v>21.69</v>
    <v>20.75</v>
    <v>19.41</v>
    <v>20.27</v>
    <v>21.3</v>
    <v>21.28</v>
    <v>23.34</v>
    <v>23.63</v>
    <v>22.43</v>
    <v>22.9</v>
    <v>22.02</v>
    <v>21.37</v>
    <v>21.32</v>
    <v>21.42</v>
    <v>19.760000000000002</v>
    <v>19.190000000000001</v>
    <v>19.739999999999998</v>
    <v>20.010000000000002</v>
    <v>23.14</v>
    <v>28.97</v>
    <v>30.81</v>
    <v>27.24</v>
    <v>29.91</v>
    <v>27.49</v>
    <v>26.14</v>
    <v>28.91</v>
    <v>24.16</v>
    <v>22.38</v>
    <v>24.91</v>
    <v>25.21</v>
    <v>22.93</v>
    <v>21.4</v>
    <v>19.45</v>
    <v>20.079999999999998</v>
    <v>19.43</v>
    <v>19.829999999999998</v>
    <v>20.03</v>
    <v>20.079999999999998</v>
    <v>19.88</v>
    <v>20.05</v>
    <v>19.28</v>
    <v>19.98</v>
    <v>19.059999999999999</v>
    <v>18.12</v>
    <v>17.79</v>
    <v>17.34</v>
    <v>17.72</v>
    <v>17.690000000000001</v>
    <v>17.71</v>
    <v>18.239999999999998</v>
    <v>19.86</v>
    <v>19.61</v>
    <v>18.43</v>
    <v>17.649999999999999</v>
    <v>16.62</v>
    <v>19.809999999999999</v>
    <v>18.829999999999998</v>
    <v>21.33</v>
    <v>19.63</v>
    <v>17.88</v>
    <v>17.86</v>
    <v>18.309999999999999</v>
    <v>18.190000000000001</v>
    <v>17.920000000000002</v>
    <v>18.16</v>
    <v>18.3</v>
    <v>18.260000000000002</v>
    <v>17.149999999999999</v>
    <v>17.36</v>
    <v>18.13</v>
    <v>19.309999999999999</v>
    <v>20.81</v>
    <v>19.95</v>
    <v>19.559999999999999</v>
    <v>17.600000000000001</v>
    <v>18.34</v>
    <v>18.399999999999999</v>
    <v>17.59</v>
    <v>15.65</v>
    <v>15.29</v>
    <v>14.97</v>
    <v>14.29</v>
    <v>14.21</v>
    <v>14.14</v>
    <v>15.02</v>
    <v>15.06</v>
    <v>14.73</v>
    <v>14.52</v>
    <v>14.54</v>
    <v>14.19</v>
    <v>14.67</v>
    <v>13.89</v>
    <v>13.98</v>
    <v>13.8</v>
    <v>14.71</v>
    <v>14.34</v>
    <v>13.96</v>
    <v>13.85</v>
    <v>13.59</v>
    <v>13.85</v>
    <v>13.71</v>
    <v>14.74</v>
    <v>17.079999999999998</v>
    <v>16.059999999999999</v>
    <v>16.21</v>
    <v>15.25</v>
    <v>14.82</v>
    <v>13.61</v>
    <v>13.76</v>
    <v>14</v>
    <v>13.67</v>
    <v>13.84</v>
    <v>14.23</v>
    <v>13.89</v>
    <v>14.3</v>
    <v>14.09</v>
    <v>14.16</v>
    <v>15.02</v>
    <v>14.18</v>
    <v>14.09</v>
    <v>14.3</v>
    <v>16.48</v>
    <v>17.420000000000002</v>
    <v>17.39</v>
    <v>17.36</v>
    <v>18.14</v>
    <v>16.87</v>
    <v>16.86</v>
    <v>16.510000000000002</v>
    <v>16.059999999999999</v>
    <v>16.57</v>
    <v>16.93</v>
    <v>18.13</v>
    <v>18.88</v>
    <v>18.11</v>
    <v>17.579999999999998</v>
    <v>17.100000000000001</v>
    <v>17.32</v>
    <v>17.36</v>
    <v>16.28</v>
    <v>15.3</v>
    <v>14.7</v>
    <v>14</v>
    <v>13.56</v>
    <v>13.82</v>
    <v>14.47</v>
    <v>15.3</v>
    <v>15.69</v>
    <v>14.87</v>
    <v>14.33</v>
    <v>14.42</v>
    <v>14.68</v>
    <v>13.46</v>
    <v>14.17</v>
    <v>14.75</v>
    <v>14.88</v>
    <v>15.15</v>
    <v>17.54</v>
    <v>17.41</v>
    <v>18.41</v>
    <v>19.5</v>
    <v>19.71</v>
    <v>18.77</v>
    <v>17.739999999999998</v>
    <v>18.55</v>
    <v>20.48</v>
    <v>20.88</v>
    <v>19.579999999999998</v>
    <v>19.93</v>
    <v>19.600000000000001</v>
    <v>17.86</v>
    <v>17.78</v>
    <v>18.079999999999998</v>
    <v>20.78</v>
    <v>19.57</v>
    <v>18.54</v>
    <v>20.149999999999999</v>
    <v>21.4</v>
    <v>21.83</v>
    <v>23.08</v>
    <v>20.239999999999998</v>
    <v>21.24</v>
    <v>21.96</v>
    <v>22.07</v>
    <v>21.16</v>
    <v>19.86</v>
    <v>18.420000000000002</v>
    <v>16.62</v>
    <v>15.83</v>
    <v>15.58</v>
    <v>15.17</v>
    <v>15.09</v>
    <v>15.57</v>
    <v>15.45</v>
    <v>15.19</v>
    <v>14.86</v>
    <v>14.35</v>
    <v>14.42</v>
    <v>14.19</v>
    <v>14.31</v>
    <v>14.31</v>
    <v>13.25</v>
    <v>12.87</v>
    <v>13.17</v>
    <v>13.28</v>
    <v>14.3</v>
    <v>13.1</v>
    <v>13.39</v>
    <v>12.96</v>
    <v>13.7</v>
    <v>13.76</v>
    <v>13.03</v>
    <v>13.28</v>
    <v>13.24</v>
    <v>13.14</v>
    <v>12.74</v>
    <v>12.46</v>
    <v>12.74</v>
    <v>12.54</v>
    <v>12.64</v>
    <v>12.6</v>
    <v>13.93</v>
    <v>14.49</v>
    <v>13.96</v>
    <v>13.8</v>
    <v>13.04</v>
    <v>12.65</v>
    <v>13.19</v>
    <v>14.23</v>
    <v>14.22</v>
    <v>14.2</v>
    <v>14.58</v>
    <v>14.18</v>
    <v>13.45</v>
    <v>12.95</v>
    <v>13.31</v>
    <v>13.08</v>
    <v>13.34</v>
    <v>14.35</v>
    <v>15.4</v>
    <v>14.89</v>
    <v>14.58</v>
    <v>13.84</v>
    <v>13.29</v>
    <v>13.18</v>
    <v>13.58</v>
    <v>14.1</v>
    <v>15.35</v>
    <v>13.74</v>
    <v>14.61</v>
    <v>14.63</v>
    <v>14.23</v>
    <v>14.53</v>
    <v>13.78</v>
    <v>13.13</v>
    <v>13.17</v>
    <v>13.01</v>
    <v>13.94</v>
    <v>17.940000000000001</v>
    <v>15.47</v>
    <v>14.64</v>
    <v>14.71</v>
    <v>14.78</v>
    <v>15.91</v>
    <v>16.12</v>
    <v>14.64</v>
    <v>14.31</v>
    <v>14.2</v>
    <v>13.75</v>
    <v>13.9</v>
    <v>14.15</v>
    <v>13.66</v>
    <v>13.58</v>
    <v>15.1</v>
    <v>14.93</v>
    <v>14.98</v>
    <v>15.53</v>
    <v>16.04</v>
    <v>15.2</v>
    <v>14.04</v>
    <v>15.33</v>
    <v>15.53</v>
    <v>14.85</v>
    <v>14.86</v>
    <v>14.17</v>
    <v>13.08</v>
    <v>13.15</v>
    <v>13.67</v>
    <v>13.43</v>
    <v>13.34</v>
    <v>13.1</v>
    <v>14.15</v>
    <v>15.43</v>
    <v>15.18</v>
    <v>16.920000000000002</v>
    <v>16.75</v>
    <v>16.5</v>
    <v>16.63</v>
    <v>16.62</v>
    <v>17.61</v>
    <v>19.2</v>
    <v>19.46</v>
    <v>19.559999999999999</v>
    <v>19.11</v>
    <v>18.37</v>
    <v>21.36</v>
    <v>18.72</v>
    <v>16.760000000000002</v>
    <v>16.38</v>
    <v>17.55</v>
    <v>16.059999999999999</v>
    <v>15.42</v>
    <v>15.9</v>
    <v>16.22</v>
    <v>16.09</v>
    <v>14.58</v>
    <v>14.02</v>
    <v>13.64</v>
    <v>13.51</v>
    <v>13.29</v>
    <v>12.96</v>
    <v>13.66</v>
    <v>14.03</v>
    <v>13.94</v>
    <v>12.67</v>
    <v>12.48</v>
    <v>12.59</v>
    <v>12.56</v>
    <v>12.81</v>
    <v>13.37</v>
    <v>12.89</v>
    <v>12.49</v>
    <v>13.44</v>
    <v>14.32</v>
    <v>14.88</v>
    <v>14.87</v>
    <v>14.31</v>
    <v>14.08</v>
    <v>13.25</v>
    <v>12.98</v>
    <v>13.08</v>
    <v>13.28</v>
    <v>13.47</v>
    <v>13.15</v>
    <v>12.68</v>
    <v>13.45</v>
    <v>13.29</v>
    <v>12.74</v>
    <v>12.55</v>
    <v>13.55</v>
    <v>13.78</v>
    <v>13.88</v>
    <v>13.52</v>
    <v>13.24</v>
    <v>12.77</v>
    <v>12.76</v>
    <v>13.26</v>
    <v>12.88</v>
    <v>12.23</v>
    <v>12.35</v>
    <v>12.61</v>
    <v>12.91</v>
    <v>12.61</v>
    <v>12.92</v>
    <v>13.33</v>
    <v>12.89</v>
    <v>13.26</v>
    <v>13.47</v>
    <v>14.88</v>
    <v>16.43</v>
    <v>17.190000000000001</v>
    <v>16.89</v>
    <v>15.35</v>
    <v>18.46</v>
    <v>19.36</v>
    <v>18.05</v>
    <v>17.21</v>
    <v>18.32</v>
    <v>16.77</v>
    <v>19.48</v>
    <v>29.66</v>
    <v>65.73</v>
    <v>34.770000000000003</v>
    <v>29.76</v>
    <v>29.47</v>
    <v>24.52</v>
    <v>21.19</v>
    <v>20.79</v>
    <v>18.489999999999998</v>
    <v>16.68</v>
    <v>15.76</v>
    <v>16.07</v>
    <v>15.93</v>
    <v>17.170000000000002</v>
    <v>18.059999999999999</v>
    <v>17.21</v>
    <v>16.670000000000002</v>
    <v>16.809999999999999</v>
    <v>17.89</v>
    <v>16.57</v>
    <v>16.04</v>
    <v>15.99</v>
    <v>21.99</v>
    <v>23.31</v>
    <v>21.53</v>
    <v>23.76</v>
    <v>21.41</v>
    <v>20.74</v>
    <v>21.41</v>
    <v>18.59</v>
    <v>17.18</v>
    <v>17.690000000000001</v>
    <v>18.079999999999998</v>
    <v>19.39</v>
    <v>17.27</v>
    <v>16.68</v>
    <v>16.95</v>
    <v>16.670000000000002</v>
    <v>15.82</v>
    <v>15.83</v>
    <v>16.97</v>
    <v>17.79</v>
    <v>20.73</v>
    <v>20.36</v>
    <v>20.75</v>
    <v>20.48</v>
    <v>23.03</v>
    <v>23.14</v>
    <v>22.01</v>
    <v>21.39</v>
    <v>21.16</v>
    <v>20.86</v>
    <v>20.89</v>
    <v>21.01</v>
    <v>19.649999999999999</v>
    <v>19.32</v>
    <v>19.34</v>
    <v>19.440000000000001</v>
    <v>20.47</v>
    <v>20.239999999999998</v>
    <v>20.51</v>
    <v>19.88</v>
    <v>20.53</v>
    <v>20.440000000000001</v>
    <v>23.42</v>
    <v>23.09</v>
    <v>23.07</v>
    <v>22.06</v>
    <v>16.82</v>
    <v>15.86</v>
    <v>15.33</v>
    <v>15.56</v>
    <v>15.37</v>
    <v>15.26</v>
    <v>14.32</v>
    <v>17.55</v>
    <v>17</v>
    <v>17.93</v>
    <v>18.79</v>
    <v>17.989999999999998</v>
    <v>17.559999999999999</v>
    <v>15.72</v>
    <v>15.03</v>
    <v>15.13</v>
    <v>14.07</v>
    <v>14.15</v>
    <v>14.1</v>
    <v>13.77</v>
    <v>13.61</v>
    <v>13.7</v>
    <v>13.74</v>
    <v>14.23</v>
    <v>14.54</v>
    <v>14.43</v>
    <v>13.95</v>
    <v>14.25</v>
    <v>14.69</v>
    <v>15.94</v>
    <v>28.32</v>
    <v>24.12</v>
    <v>26.51</v>
    <v>20.02</v>
    <v>17.04</v>
    <v>15.93</v>
    <v>18.45</v>
    <v>19.22</v>
    <v>17.809999999999999</v>
    <v>19.5</v>
    <v>17.940000000000001</v>
    <v>16.87</v>
    <v>18.899999999999999</v>
    <v>19.5</v>
    <v>18.52</v>
    <v>20.309999999999999</v>
    <v>22.04</v>
    <v>19.66</v>
    <v>19.14</v>
    <v>16.600000000000001</v>
    <v>16.23</v>
    <v>16.59</v>
    <v>16.29</v>
    <v>15.29</v>
    <v>15.39</v>
    <v>15.16</v>
    <v>22.51</v>
    <v>18.39</v>
    <v>18.079999999999998</v>
    <v>16.420000000000002</v>
    <v>17.09</v>
    <v>20.420000000000002</v>
    <v>19.11</v>
    <v>17.75</v>
    <v>16.149999999999999</v>
    <v>16.66</v>
    <v>16.61</v>
    <v>16.420000000000002</v>
    <v>17.18</v>
    <v>16.329999999999998</v>
    <v>15.42</v>
    <v>15.57</v>
    <v>16.03</v>
    <v>15.96</v>
    <v>16.63</v>
    <v>19.03</v>
    <v>20.239999999999998</v>
    <v>21.48</v>
    <v>20.059999999999999</v>
    <v>21.47</v>
    <v>22.4</v>
    <v>24.31</v>
    <v>26.35</v>
    <v>24.84</v>
    <v>25.92</v>
    <v>26.56</v>
    <v>29.56</v>
    <v>29.57</v>
    <v>26.91</v>
    <v>26.13</v>
    <v>24.36</v>
    <v>22.95</v>
    <v>22.57</v>
    <v>22.1</v>
    <v>21.17</v>
    <v>21.14</v>
    <v>19.14</v>
    <v>17.77</v>
    <v>19.07</v>
    <v>19.28</v>
    <v>22.18</v>
    <v>24.8</v>
    <v>23.52</v>
    <v>23.66</v>
    <v>30.02</v>
    <v>45.61</v>
    <v>60.13</v>
    <v>57.52</v>
    <v>57.96</v>
    <v>54.87</v>
    <v>46.12</v>
    <v>35.17</v>
    <v>31.45</v>
    <v>34.96</v>
    <v>32.549999999999997</v>
    <v>35.75</v>
    <v>32.68</v>
    <v>30.29</v>
    <v>29.66</v>
    <v>27.2</v>
    <v>26.93</v>
    <v>25.99</v>
    <v>28.17</v>
    <v>25.18</v>
    <v>24.32</v>
    <v>24.63</v>
    <v>25.11</v>
    <v>25.62</v>
    <v>23.61</v>
    <v>22.82</v>
    <v>20.440000000000001</v>
    <v>18.850000000000001</v>
    <v>18.82</v>
    <v>19.38</v>
    <v>17.96</v>
    <v>19.920000000000002</v>
    <v>18.68</v>
    <v>21.05</v>
    <v>22.07</v>
    <v>25.53</v>
    <v>20.83</v>
    <v>21.01</v>
    <v>19.43</v>
    <v>20.2</v>
    <v>20.55</v>
    <v>20.45</v>
    <v>19.21</v>
    <v>18.07</v>
    <v>18.8</v>
    <v>18.350000000000001</v>
    <v>17.72</v>
    <v>17.989999999999998</v>
    <v>18.09</v>
    <v>18.87</v>
    <v>22</v>
    <v>20.22</v>
    <v>21.79</v>
    <v>21.58</v>
    <v>22.75</v>
    <v>21.07</v>
    <v>22.51</v>
    <v>18.72</v>
    <v>17.510000000000002</v>
    <v>16.78</v>
    <v>17.29</v>
    <v>17.43</v>
    <v>17.48</v>
    <v>17.37</v>
    <v>16.829999999999998</v>
    <v>17.670000000000002</v>
    <v>18.5</v>
    <v>17.440000000000001</v>
    <v>16.760000000000002</v>
    <v>16.239999999999998</v>
    <v>17.239999999999998</v>
    <v>17.850000000000001</v>
    <v>17.39</v>
    <v>19.48</v>
    <v>17.37</v>
    <v>16.809999999999999</v>
    <v>16.989999999999998</v>
    <v>17.48</v>
    <v>16.32</v>
    <v>15.54</v>
    <v>15.39</v>
    <v>15.54</v>
    <v>16.12</v>
    <v>17.27</v>
    <v>17.170000000000002</v>
    <v>21.9</v>
    <v>19.579999999999998</v>
    <v>18.940000000000001</v>
    <v>17.88</v>
    <v>17.64</v>
    <v>16.52</v>
    <v>16.36</v>
    <v>16.559999999999999</v>
    <v>14.81</v>
    <v>15.39</v>
    <v>15.18</v>
    <v>15.95</v>
    <v>15.91</v>
    <v>17.190000000000001</v>
    <v>17.239999999999998</v>
    <v>16.829999999999998</v>
    <v>15.19</v>
    <v>15.75</v>
    <v>15.23</v>
    <v>14.69</v>
    <v>15.97</v>
    <v>16.79</v>
    <v>19.38</v>
    <v>17.57</v>
    <v>16.350000000000001</v>
    <v>16.920000000000002</v>
    <v>15.65</v>
    <v>15.82</v>
    <v>15.63</v>
    <v>15.24</v>
    <v>14.97</v>
    <v>15.84</v>
    <v>16.38</v>
    <v>16.75</v>
    <v>15.8</v>
    <v>16.13</v>
    <v>16.350000000000001</v>
    <v>17.07</v>
    <v>17.21</v>
    <v>17.739999999999998</v>
    <v>17.05</v>
    <v>16.29</v>
    <v>16.7</v>
    <v>17.28</v>
    <v>16.920000000000002</v>
    <v>17.059999999999999</v>
    <v>17.09</v>
    <v>17.55</v>
    <v>17.2</v>
    <v>17.27</v>
    <v>22.44</v>
    <v>20.77</v>
    <v>22.94</v>
    <v>22.44</v>
    <v>25.43</v>
    <v>28.99</v>
    <v>21.02</v>
    <v>18.89</v>
    <v>21.01</v>
    <v>19.350000000000001</v>
    <v>17.22</v>
    <v>16.07</v>
    <v>16.55</v>
    <v>17.579999999999998</v>
    <v>17.41</v>
    <v>18.54</v>
    <v>18.829999999999998</v>
    <v>20.48</v>
    <v>20.02</v>
    <v>20.309999999999999</v>
    <v>22.72</v>
    <v>18.82</v>
    <v>18.010000000000002</v>
    <v>18.059999999999999</v>
    <v>21.31</v>
    <v>23.03</v>
    <v>23.44</v>
    <v>25.84</v>
    <v>24.79</v>
    <v>28.27</v>
    <v>27.84</v>
    <v>23.68</v>
    <v>21.77</v>
    <v>18.7</v>
    <v>17.36</v>
    <v>18.52</v>
    <v>18.329999999999998</v>
    <v>17.309999999999999</v>
    <v>17.28</v>
    <v>16.63</v>
    <v>16.18</v>
    <v>17.09</v>
    <v>17.2</v>
    <v>17.66</v>
    <v>16.88</v>
    <v>17.850000000000001</v>
    <v>17.350000000000001</v>
    <v>17.61</v>
    <v>18</v>
    <v>17.68</v>
    <v>16.53</v>
    <v>15.26</v>
    <v>14.45</v>
    <v>14.16</v>
    <v>14.29</v>
    <v>15.08</v>
    <v>14.62</v>
    <v>15.17</v>
    <v>15.42</v>
    <v>15.27</v>
    <v>15.21</v>
    <v>15.48</v>
    <v>15.85</v>
    <v>15.81</v>
    <v>16.66</v>
    <v>16.5</v>
    <v>18.100000000000001</v>
    <v>16.54</v>
    <v>16.29</v>
    <v>19.59</v>
    <v>20.99</v>
    <v>20.81</v>
    <v>16.670000000000002</v>
    <v>16.21</v>
    <v>17.39</v>
    <v>16.37</v>
    <v>17.18</v>
    <v>19.739999999999998</v>
    <v>19.27</v>
    <v>19.96</v>
    <v>20.37</v>
    <v>21.24</v>
    <v>23.1</v>
    <v>21.49</v>
    <v>19.2</v>
    <v>17.97</v>
    <v>18.96</v>
    <v>21.21</v>
    <v>22.4</v>
    <v>21.62</v>
    <v>22.96</v>
    <v>20.34</v>
    <v>21.11</v>
    <v>21.21</v>
    <v>22.04</v>
    <v>22.08</v>
    <v>19.62</v>
    <v>20.54</v>
    <v>21.74</v>
    <v>25.24</v>
    <v>28.15</v>
    <v>24.87</v>
    <v>25.84</v>
    <v>29.93</v>
    <v>35.299999999999997</v>
    <v>26.01</v>
    <v>26.23</v>
    <v>27.33</v>
    <v>28.47</v>
    <v>26.42</v>
    <v>24.58</v>
    <v>25.13</v>
    <v>27.52</v>
    <v>29.28</v>
    <v>31.04</v>
    <v>27.94</v>
    <v>26.67</v>
    <v>28.49</v>
    <v>31.65</v>
    <v>31.52</v>
    <v>29.64</v>
    <v>25.35</v>
    <v>27.89</v>
    <v>25.3</v>
    <v>28</v>
    <v>22.17</v>
    <v>21.63</v>
    <v>20.28</v>
    <v>21.58</v>
    <v>18.760000000000002</v>
    <v>18.5</v>
    <v>19.09</v>
    <v>18.239999999999998</v>
    <v>19.989999999999998</v>
    <v>20.85</v>
    <v>19.54</v>
    <v>21.56</v>
    <v>19.350000000000001</v>
    <v>19.27</v>
    <v>19.43</v>
    <v>19</v>
    <v>18.73</v>
    <v>17.39</v>
    <v>19.079999999999998</v>
    <v>18.02</v>
    <v>17.46</v>
    <v>17.600000000000001</v>
    <v>17.53</v>
    <v>18.47</v>
    <v>19.100000000000001</v>
    <v>18.399999999999999</v>
    <v>18.079999999999998</v>
    <v>19.27</v>
    <v>19.440000000000001</v>
    <v>18.36</v>
    <v>18.18</v>
    <v>17.87</v>
    <v>17.39</v>
    <v>16.87</v>
    <v>17.23</v>
    <v>17.18</v>
    <v>16.850000000000001</v>
    <v>15.88</v>
    <v>16.34</v>
    <v>16.29</v>
    <v>16.63</v>
    <v>16.8</v>
    <v>21.57</v>
    <v>20.350000000000001</v>
    <v>23.34</v>
    <v>22.66</v>
    <v>22.59</v>
    <v>19.850000000000001</v>
    <v>16.850000000000001</v>
    <v>16.440000000000001</v>
    <v>18.84</v>
    <v>17.600000000000001</v>
    <v>17.27</v>
    <v>17.920000000000002</v>
    <v>20.54</v>
    <v>20.34</v>
    <v>19.95</v>
    <v>20.72</v>
    <v>19.45</v>
    <v>17.75</v>
    <v>17.3</v>
    <v>17.21</v>
    <v>16.010000000000002</v>
    <v>16.5</v>
    <v>16.64</v>
    <v>18.91</v>
    <v>17.27</v>
    <v>16.16</v>
    <v>17.41</v>
    <v>17.559999999999999</v>
    <v>16.57</v>
    <v>17.23</v>
    <v>19.5</v>
    <v>18.940000000000001</v>
    <v>17.989999999999998</v>
    <v>19.489999999999998</v>
    <v>20.309999999999999</v>
    <v>19.05</v>
    <v>19.93</v>
    <v>19.52</v>
    <v>20.88</v>
    <v>20.079999999999998</v>
    <v>18.7</v>
    <v>16.3</v>
    <v>16.649999999999999</v>
    <v>18.43</v>
    <v>16.03</v>
    <v>15.36</v>
    <v>15.72</v>
    <v>15.61</v>
    <v>15.42</v>
    <v>14.8</v>
    <v>14.72</v>
    <v>15.47</v>
    <v>16.09</v>
    <v>15.95</v>
  </a>
  <a r="1" c="1286">
    <v>15.91</v>
    <v>15.68</v>
    <v>15.73</v>
    <v>16.079999999999998</v>
    <v>-99999902</v>
    <v>16.89</v>
    <v>17.78</v>
    <v>17.170000000000002</v>
    <v>16.989999999999998</v>
    <v>18.760000000000002</v>
    <v>18.39</v>
    <v>18.010000000000002</v>
    <v>17.649999999999999</v>
    <v>18.350000000000001</v>
    <v>23.9</v>
    <v>21.71</v>
    <v>20.75</v>
    <v>18.420000000000002</v>
    <v>17.63</v>
    <v>17.739999999999998</v>
    <v>19.71</v>
    <v>21.45</v>
    <v>20.6</v>
    <v>20.64</v>
    <v>21.88</v>
    <v>20.62</v>
    <v>20.99</v>
    <v>19.07</v>
    <v>18.2</v>
    <v>18.11</v>
    <v>18.97</v>
    <v>18.440000000000001</v>
    <v>16.8</v>
    <v>15.72</v>
    <v>16.27</v>
    <v>15.57</v>
    <v>15.29</v>
    <v>14.92</v>
    <v>14.84</v>
    <v>15.1</v>
    <v>14.9</v>
    <v>15.54</v>
    <v>16.23</v>
    <v>16.13</v>
    <v>16.32</v>
    <v>15.89</v>
    <v>14.9</v>
    <v>14.73</v>
    <v>14.95</v>
    <v>16.440000000000001</v>
    <v>17.21</v>
    <v>17.22</v>
    <v>17.27</v>
    <v>16.149999999999999</v>
    <v>16.489999999999998</v>
    <v>16.03</v>
    <v>16.28</v>
    <v>16.38</v>
    <v>17.23</v>
    <v>17.350000000000001</v>
    <v>19.03</v>
    <v>18.52</v>
    <v>-99999902</v>
    <v>23.88</v>
    <v>21.71</v>
    <v>23.71</v>
    <v>22.38</v>
    <v>27.15</v>
    <v>25.89</v>
    <v>26.75</v>
    <v>21.58</v>
    <v>19.850000000000001</v>
    <v>19.940000000000001</v>
    <v>18.690000000000001</v>
    <v>18.96</v>
    <v>19.670000000000002</v>
    <v>19.02</v>
    <v>18.190000000000001</v>
    <v>20.49</v>
    <v>22.85</v>
    <v>20.9</v>
    <v>18.59</v>
    <v>17.62</v>
    <v>-99999902</v>
    <v>17.55</v>
    <v>17.510000000000002</v>
    <v>16.71</v>
    <v>16.62</v>
    <v>16.989999999999998</v>
    <v>16.559999999999999</v>
    <v>16.34</v>
    <v>16.579999999999998</v>
    <v>19.079999999999998</v>
    <v>18.57</v>
    <v>19.29</v>
    <v>18.2</v>
    <v>17.36</v>
    <v>17.45</v>
    <v>19.05</v>
    <v>-99999902</v>
    <v>21.18</v>
    <v>21.85</v>
    <v>21.68</v>
    <v>25.31</v>
    <v>28.02</v>
    <v>29.13</v>
    <v>26.9</v>
    <v>28.42</v>
    <v>27.28</v>
    <v>24.71</v>
    <v>21.96</v>
    <v>20.46</v>
    <v>22.3</v>
    <v>22.07</v>
    <v>22.02</v>
    <v>21.32</v>
    <v>19.93</v>
    <v>20.18</v>
    <v>23.33</v>
    <v>28.33</v>
    <v>25.33</v>
    <v>23.88</v>
    <v>24.76</v>
    <v>26.38</v>
    <v>-99999902</v>
    <v>28.4</v>
    <v>27.2</v>
    <v>29.45</v>
    <v>26.93</v>
    <v>28.43</v>
    <v>29.44</v>
    <v>30.12</v>
    <v>29.31</v>
    <v>31.47</v>
    <v>32.590000000000003</v>
    <v>32.78</v>
    <v>31.39</v>
    <v>30.23</v>
    <v>28.84</v>
    <v>30.06</v>
    <v>29.57</v>
    <v>26.29</v>
    <v>25.25</v>
    <v>23.85</v>
    <v>22.99</v>
    <v>22.7</v>
    <v>22.64</v>
    <v>21.49</v>
    <v>20.8</v>
    <v>19.54</v>
    <v>18.670000000000002</v>
    <v>18.72</v>
    <v>19.54</v>
    <v>19.41</v>
    <v>18.45</v>
    <v>18.55</v>
    <v>21.24</v>
    <v>21.12</v>
    <v>20.28</v>
    <v>22.09</v>
    <v>22.27</v>
    <v>21.37</v>
    <v>20.85</v>
    <v>-99999902</v>
    <v>21.98</v>
    <v>20.36</v>
    <v>19.75</v>
    <v>19.809999999999999</v>
    <v>22.62</v>
    <v>26.8</v>
    <v>27.06</v>
    <v>29.82</v>
    <v>28</v>
    <v>28.54</v>
    <v>31.74</v>
    <v>29.06</v>
    <v>24.94</v>
    <v>25.78</v>
    <v>29.83</v>
    <v>31.9</v>
    <v>32.24</v>
    <v>30.69</v>
    <v>31.7</v>
    <v>28.78</v>
    <v>27.36</v>
    <v>25.51</v>
    <v>26.21</v>
    <v>29.06</v>
    <v>28.06</v>
    <v>28.29</v>
    <v>29.04</v>
    <v>28.16</v>
    <v>27.11</v>
    <v>25.57</v>
    <v>26.08</v>
    <v>25.94</v>
    <v>25.38</v>
    <v>24.33</v>
    <v>24.76</v>
    <v>24.82</v>
    <v>23.88</v>
    <v>23.74</v>
    <v>23.82</v>
    <v>26.05</v>
    <v>31.29</v>
    <v>32.06</v>
    <v>27.76</v>
    <v>30.35</v>
    <v>30.47</v>
    <v>30.98</v>
    <v>29.33</v>
    <v>28.78</v>
    <v>28.74</v>
    <v>26.83</v>
    <v>26.93</v>
    <v>26.47</v>
    <v>27.85</v>
    <v>28.28</v>
    <v>26.69</v>
    <v>27.46</v>
    <v>27.3</v>
    <v>26.43</v>
    <v>25.66</v>
    <v>24.43</v>
    <v>25.79</v>
    <v>25.82</v>
    <v>26.23</v>
    <v>26.2</v>
    <v>24.13</v>
    <v>24.38</v>
    <v>24.23</v>
    <v>23.4</v>
    <v>22.92</v>
    <v>22.41</v>
    <v>23.19</v>
    <v>23.82</v>
    <v>23.02</v>
    <v>22.22</v>
    <v>21.21</v>
    <v>22.26</v>
    <v>22.67</v>
    <v>21.68</v>
    <v>21.44</v>
    <v>20.76</v>
    <v>20.83</v>
    <v>21.41</v>
    <v>19.54</v>
    <v>19.71</v>
    <v>19.12</v>
    <v>19.809999999999999</v>
    <v>19.5</v>
    <v>19.41</v>
    <v>19.43</v>
    <v>20.079999999999998</v>
    <v>22.39</v>
    <v>23.07</v>
    <v>22.73</v>
    <v>21.77</v>
    <v>21.67</v>
    <v>25.47</v>
    <v>25.13</v>
    <v>25.31</v>
    <v>25.25</v>
    <v>23.19</v>
    <v>25.84</v>
    <v>25.33</v>
    <v>24.54</v>
    <v>23.56</v>
    <v>22.64</v>
    <v>23.16</v>
    <v>23.53</v>
    <v>26.16</v>
    <v>25.42</v>
    <v>26.14</v>
    <v>25.56</v>
    <v>25.61</v>
    <v>25.55</v>
    <v>26.71</v>
    <v>27.58</v>
    <v>29.83</v>
    <v>30.3</v>
    <v>30.03</v>
    <v>29.39</v>
    <v>29.63</v>
    <v>28.56</v>
    <v>28.5</v>
    <v>28.56</v>
    <v>29.88</v>
    <v>32.049999999999997</v>
    <v>32.450000000000003</v>
    <v>33.11</v>
    <v>31.63</v>
    <v>31.14</v>
    <v>30.7</v>
    <v>30.42</v>
    <v>30.76</v>
    <v>29.76</v>
    <v>29.24</v>
    <v>29.78</v>
    <v>28.22</v>
    <v>27.27</v>
    <v>26.94</v>
    <v>25.75</v>
    <v>25.84</v>
    <v>25.66</v>
    <v>25.39</v>
    <v>25.1</v>
    <v>24</v>
    <v>24.34</v>
    <v>24.24</v>
    <v>25.02</v>
    <v>22.84</v>
    <v>22.37</v>
    <v>22.86</v>
    <v>23.18</v>
    <v>23.99</v>
    <v>23.81</v>
    <v>22.98</v>
    <v>22.3</v>
    <v>21.28</v>
    <v>20.32</v>
    <v>20.309999999999999</v>
    <v>20.46</v>
    <v>21.65</v>
    <v>21.83</v>
    <v>20.309999999999999</v>
    <v>19.8</v>
    <v>18.95</v>
    <v>19.78</v>
    <v>20.38</v>
    <v>22.18</v>
    <v>22.06</v>
    <v>22.18</v>
    <v>24.18</v>
    <v>21.46</v>
    <v>21.07</v>
    <v>21.25</v>
    <v>22.09</v>
    <v>21.61</v>
    <v>21.35</v>
    <v>19.940000000000001</v>
    <v>20.010000000000002</v>
    <v>20.78</v>
    <v>-99999902</v>
    <v>21.59</v>
    <v>20.96</v>
    <v>21.36</v>
    <v>21.59</v>
    <v>-99999902</v>
    <v>22.73</v>
    <v>21.94</v>
    <v>21.97</v>
    <v>21</v>
    <v>21.27</v>
    <v>20.58</v>
    <v>20.62</v>
    <v>18.829999999999998</v>
    <v>18.010000000000002</v>
    <v>19.41</v>
    <v>19.21</v>
    <v>18.71</v>
    <v>20.170000000000002</v>
    <v>19.41</v>
    <v>19.55</v>
    <v>18.91</v>
    <v>18.989999999999998</v>
    <v>18.670000000000002</v>
    <v>17.97</v>
    <v>19.54</v>
    <v>19.13</v>
    <v>17.7</v>
    <v>17.059999999999999</v>
    <v>17.93</v>
    <v>19.21</v>
    <v>18.43</v>
    <v>18.55</v>
    <v>19.02</v>
    <v>20.440000000000001</v>
    <v>20.329999999999998</v>
    <v>18.48</v>
    <v>18.11</v>
    <v>18.23</v>
    <v>19.82</v>
    <v>20.96</v>
    <v>21.8</v>
    <v>22.02</v>
    <v>20.89</v>
    <v>21.32</v>
    <v>20.68</v>
    <v>20.100000000000001</v>
    <v>20.22</v>
    <v>19.55</v>
    <v>18.16</v>
    <v>18.489999999999998</v>
    <v>18.510000000000002</v>
    <v>19</v>
    <v>18.88</v>
    <v>21.79</v>
    <v>23.85</v>
    <v>22.27</v>
    <v>23.19</v>
    <v>22.97</v>
    <v>22.58</v>
    <v>24</v>
    <v>21.29</v>
    <v>19.940000000000001</v>
    <v>20.16</v>
    <v>21.6</v>
    <v>20.57</v>
    <v>19.91</v>
    <v>19.09</v>
    <v>18.850000000000001</v>
    <v>18.52</v>
    <v>18.54</v>
    <v>18.579999999999998</v>
    <v>19</v>
    <v>18.350000000000001</v>
    <v>18.93</v>
    <v>18.559999999999999</v>
    <v>18.25</v>
    <v>17.77</v>
    <v>17.07</v>
    <v>16.899999999999999</v>
    <v>16.579999999999998</v>
    <v>16.170000000000002</v>
    <v>16.329999999999998</v>
    <v>16.579999999999998</v>
    <v>16.739999999999998</v>
    <v>17.329999999999998</v>
    <v>17.87</v>
    <v>16.72</v>
    <v>15.72</v>
    <v>15.53</v>
    <v>16.260000000000002</v>
    <v>17.190000000000001</v>
    <v>18.670000000000002</v>
    <v>16.690000000000001</v>
    <v>16.829999999999998</v>
    <v>17.22</v>
    <v>16.36</v>
    <v>16.63</v>
    <v>16.38</v>
    <v>17.079999999999998</v>
    <v>17.260000000000002</v>
    <v>16.68</v>
    <v>16.05</v>
    <v>15.85</v>
    <v>16.82</v>
    <v>17.3</v>
    <v>18.8</v>
    <v>18.7</v>
    <v>17.27</v>
    <v>17.34</v>
    <v>16.98</v>
    <v>17.12</v>
    <v>15.58</v>
    <v>14.42</v>
    <v>14.66</v>
    <v>13.95</v>
    <v>13.77</v>
    <v>13.53</v>
    <v>13.5</v>
    <v>14.32</v>
    <v>14.47</v>
    <v>13.83</v>
    <v>13.79</v>
    <v>13.48</v>
    <v>14.01</v>
    <v>13.86</v>
    <v>13.1</v>
    <v>12.73</v>
    <v>12.88</v>
    <v>13.78</v>
    <v>13.59</v>
    <v>13.36</v>
    <v>13.41</v>
    <v>12.96</v>
    <v>13.47</v>
    <v>13.52</v>
    <v>14.05</v>
    <v>14.79</v>
    <v>14.33</v>
    <v>15.04</v>
    <v>14.63</v>
    <v>13.51</v>
    <v>13.12</v>
    <v>13.22</v>
    <v>13.43</v>
    <v>13.29</v>
    <v>13.12</v>
    <v>13.58</v>
    <v>13.37</v>
    <v>13.73</v>
    <v>13.82</v>
    <v>13.15</v>
    <v>12.74</v>
    <v>13.27</v>
    <v>13.57</v>
    <v>13.75</v>
    <v>14.95</v>
    <v>15.72</v>
    <v>14.57</v>
    <v>15.77</v>
    <v>15.96</v>
    <v>15.38</v>
    <v>14.6</v>
    <v>14.84</v>
    <v>14.77</v>
    <v>14.91</v>
    <v>15.8</v>
    <v>16.399999999999999</v>
    <v>17.14</v>
    <v>16.88</v>
    <v>16.61</v>
    <v>15.91</v>
    <v>15.48</v>
    <v>15.45</v>
    <v>15</v>
    <v>14.34</v>
    <v>13.83</v>
    <v>13.44</v>
    <v>13.02</v>
    <v>13.51</v>
    <v>13.7</v>
    <v>14.13</v>
    <v>14.4</v>
    <v>13.58</v>
    <v>13.74</v>
    <v>13.71</v>
    <v>13.41</v>
    <v>12.79</v>
    <v>12.68</v>
    <v>13.86</v>
    <v>13.86</v>
    <v>13.57</v>
    <v>15.1</v>
    <v>15.93</v>
    <v>16.79</v>
    <v>17.170000000000002</v>
    <v>18.03</v>
    <v>17.059999999999999</v>
    <v>15.83</v>
    <v>16.93</v>
    <v>17.52</v>
    <v>18.3</v>
    <v>18.260000000000002</v>
    <v>17.190000000000001</v>
    <v>17.559999999999999</v>
    <v>16.510000000000002</v>
    <v>16.09</v>
    <v>15.44</v>
    <v>16.5</v>
    <v>17.14</v>
    <v>16.97</v>
    <v>17.88</v>
    <v>18.55</v>
    <v>20.420000000000002</v>
    <v>19.48</v>
    <v>18.649999999999999</v>
    <v>18.86</v>
    <v>20.22</v>
    <v>19.72</v>
    <v>19.55</v>
    <v>17.97</v>
    <v>16.63</v>
    <v>15.58</v>
    <v>14.91</v>
    <v>14.84</v>
    <v>14.71</v>
    <v>14.3</v>
    <v>14.13</v>
    <v>14.16</v>
    <v>14.58</v>
    <v>13.91</v>
    <v>13.97</v>
    <v>13.68</v>
    <v>13.67</v>
    <v>13.39</v>
    <v>13.13</v>
    <v>12.82</v>
    <v>12.75</v>
    <v>12.45</v>
    <v>12.64</v>
    <v>12.56</v>
    <v>12.48</v>
    <v>12.82</v>
    <v>12.48</v>
    <v>12.98</v>
    <v>12.81</v>
    <v>12.64</v>
    <v>12.95</v>
    <v>12.35</v>
    <v>12.61</v>
    <v>11.81</v>
    <v>11.82</v>
    <v>11.84</v>
    <v>12.01</v>
    <v>12.4</v>
    <v>12.33</v>
    <v>12.29</v>
    <v>13.34</v>
    <v>13</v>
    <v>12.96</v>
    <v>12.37</v>
    <v>12.38</v>
    <v>12.36</v>
    <v>13.1</v>
    <v>13.33</v>
    <v>13.64</v>
    <v>13.29</v>
    <v>13.02</v>
    <v>12.74</v>
    <v>12.67</v>
    <v>12.35</v>
    <v>12.47</v>
    <v>13.2</v>
    <v>13.52</v>
    <v>14.38</v>
    <v>13.89</v>
    <v>13.28</v>
    <v>13.17</v>
    <v>12.53</v>
    <v>12.41</v>
    <v>13.06</v>
    <v>13.2</v>
    <v>13.59</v>
    <v>13.23</v>
    <v>13.18</v>
    <v>13.87</v>
    <v>13.39</v>
    <v>13.58</v>
    <v>12.98</v>
    <v>12.81</v>
    <v>12.74</v>
    <v>12.69</v>
    <v>13.34</v>
    <v>13.43</v>
    <v>14.22</v>
    <v>13.94</v>
    <v>13.75</v>
    <v>14.65</v>
    <v>15.07</v>
    <v>15.22</v>
    <v>14.12</v>
    <v>13.64</v>
    <v>13.66</v>
    <v>13.41</v>
    <v>13.44</v>
    <v>13.3</v>
    <v>13.08</v>
    <v>13.32</v>
    <v>13.75</v>
    <v>13.89</v>
    <v>14.25</v>
    <v>13.97</v>
    <v>15.13</v>
    <v>13.81</v>
    <v>13.67</v>
    <v>13.42</v>
    <v>14.14</v>
    <v>14.26</v>
    <v>13.8</v>
    <v>13.01</v>
    <v>12.4</v>
    <v>12.58</v>
    <v>13.11</v>
    <v>12.84</v>
    <v>12.66</v>
    <v>12.84</v>
    <v>13.55</v>
    <v>13.68</v>
    <v>14.25</v>
    <v>13.74</v>
    <v>15.53</v>
    <v>15.11</v>
    <v>14.94</v>
    <v>14.59</v>
    <v>14.91</v>
    <v>14.91</v>
    <v>16.260000000000002</v>
    <v>17.64</v>
    <v>17.54</v>
    <v>17.21</v>
    <v>18.170000000000002</v>
    <v>16.690000000000001</v>
    <v>15.69</v>
    <v>15.58</v>
    <v>15.27</v>
    <v>14.92</v>
    <v>14.63</v>
    <v>14.67</v>
    <v>14.35</v>
    <v>14.6</v>
    <v>13.48</v>
    <v>13.44</v>
    <v>13.16</v>
    <v>12.94</v>
    <v>12.68</v>
    <v>12.5</v>
    <v>13.25</v>
    <v>13.27</v>
    <v>12.38</v>
    <v>12.33</v>
    <v>11.91</v>
    <v>12.07</v>
    <v>11.84</v>
    <v>11.78</v>
    <v>11.52</v>
    <v>11.89</v>
    <v>12.35</v>
    <v>12.36</v>
    <v>13.69</v>
    <v>13.67</v>
    <v>12.84</v>
    <v>13</v>
    <v>13.11</v>
    <v>12.6</v>
    <v>12.54</v>
    <v>12.11</v>
    <v>12.62</v>
    <v>12.78</v>
    <v>11.94</v>
    <v>11.88</v>
    <v>12.12</v>
    <v>12.5</v>
    <v>12.24</v>
    <v>12.32</v>
    <v>12.18</v>
    <v>12.99</v>
    <v>13.15</v>
    <v>12.84</v>
    <v>12.37</v>
    <v>12.21</v>
    <v>11.87</v>
    <v>12.1</v>
    <v>11.85</v>
    <v>11.95</v>
    <v>12.09</v>
    <v>11.84</v>
    <v>12.31</v>
    <v>12.35</v>
    <v>12.39</v>
    <v>12.23</v>
    <v>12.11</v>
    <v>12.75</v>
    <v>12.95</v>
    <v>13.54</v>
    <v>14.08</v>
    <v>10.62</v>
    <v>14.75</v>
    <v>13.9</v>
    <v>15.18</v>
    <v>16.420000000000002</v>
    <v>16.37</v>
    <v>16.23</v>
    <v>16.260000000000002</v>
    <v>15.71</v>
    <v>15.95</v>
    <v>20.010000000000002</v>
    <v>23.39</v>
    <v>24.02</v>
    <v>21.97</v>
    <v>23.36</v>
    <v>20.260000000000002</v>
    <v>18.89</v>
    <v>17.95</v>
    <v>16.12</v>
    <v>14.77</v>
    <v>14.65</v>
    <v>14.46</v>
    <v>14.78</v>
    <v>15.92</v>
    <v>15.76</v>
    <v>15.61</v>
    <v>15.81</v>
    <v>15.37</v>
    <v>15.46</v>
    <v>15.19</v>
    <v>14.78</v>
    <v>15.48</v>
    <v>15.71</v>
    <v>19.34</v>
    <v>19.21</v>
    <v>18.829999999999998</v>
    <v>19.29</v>
    <v>18.899999999999999</v>
    <v>17.55</v>
    <v>16.89</v>
    <v>16.23</v>
    <v>16.91</v>
    <v>16.670000000000002</v>
    <v>17.11</v>
    <v>16.21</v>
    <v>15.81</v>
    <v>15.75</v>
    <v>15.27</v>
    <v>15.17</v>
    <v>14.9</v>
    <v>15.2</v>
    <v>16.47</v>
    <v>16.61</v>
    <v>18.579999999999998</v>
    <v>19.16</v>
    <v>18.48</v>
    <v>20.65</v>
    <v>21.14</v>
    <v>20.71</v>
    <v>20.64</v>
    <v>20.14</v>
    <v>19.690000000000001</v>
    <v>19.440000000000001</v>
    <v>19.45</v>
    <v>18.88</v>
    <v>17.989999999999998</v>
    <v>18.36</v>
    <v>18.05</v>
    <v>18.18</v>
    <v>18.63</v>
    <v>18.23</v>
    <v>18.91</v>
    <v>19.059999999999999</v>
    <v>19.3</v>
    <v>21.12</v>
    <v>21.16</v>
    <v>21.73</v>
    <v>20.2</v>
    <v>15.44</v>
    <v>15.13</v>
    <v>14.66</v>
    <v>14.89</v>
    <v>14.69</v>
    <v>13.77</v>
    <v>13.59</v>
    <v>14.56</v>
    <v>15.35</v>
    <v>15.37</v>
    <v>16.04</v>
    <v>15.73</v>
    <v>15.24</v>
    <v>14.54</v>
    <v>13.88</v>
    <v>13.96</v>
    <v>13.87</v>
    <v>13.49</v>
    <v>13.3</v>
    <v>13.19</v>
    <v>12.89</v>
    <v>13.26</v>
    <v>12.7</v>
    <v>13.35</v>
    <v>13.86</v>
    <v>13.52</v>
    <v>13.39</v>
    <v>13.24</v>
    <v>13.99</v>
    <v>14.78</v>
    <v>14.82</v>
    <v>20.16</v>
    <v>17.82</v>
    <v>16.739999999999998</v>
    <v>14.27</v>
    <v>14.55</v>
    <v>15.29</v>
    <v>16.440000000000001</v>
    <v>16.68</v>
    <v>16.96</v>
    <v>16.11</v>
    <v>15.71</v>
    <v>15.79</v>
    <v>17.37</v>
    <v>17.95</v>
    <v>18.05</v>
    <v>19.149999999999999</v>
    <v>18.239999999999998</v>
    <v>15.96</v>
    <v>15.64</v>
    <v>15.53</v>
    <v>15.8</v>
    <v>14.93</v>
    <v>14.59</v>
    <v>14.59</v>
    <v>14.58</v>
    <v>17.57</v>
    <v>16.25</v>
    <v>16.170000000000002</v>
    <v>15.32</v>
    <v>14.9</v>
    <v>17.66</v>
    <v>16.78</v>
    <v>15.77</v>
    <v>14.99</v>
    <v>14.79</v>
    <v>15.7</v>
    <v>15.75</v>
    <v>15.64</v>
    <v>14.98</v>
    <v>14.74</v>
    <v>15.34</v>
    <v>15.35</v>
    <v>15.05</v>
    <v>15.12</v>
    <v>15.28</v>
    <v>17.309999999999999</v>
    <v>18.850000000000001</v>
    <v>17.829999999999998</v>
    <v>17.670000000000002</v>
    <v>19.05</v>
    <v>19.25</v>
    <v>21.71</v>
    <v>21.37</v>
    <v>22.39</v>
    <v>23.09</v>
    <v>24.68</v>
    <v>26.18</v>
    <v>23.89</v>
    <v>23.46</v>
    <v>21.48</v>
    <v>20.32</v>
    <v>20.41</v>
    <v>19.420000000000002</v>
    <v>19.3</v>
    <v>19.149999999999999</v>
    <v>17.46</v>
    <v>17.02</v>
    <v>16.97</v>
    <v>17.95</v>
    <v>18.920000000000002</v>
    <v>21.67</v>
    <v>21.58</v>
    <v>20.68</v>
    <v>24.93</v>
    <v>29.99</v>
    <v>38.58</v>
    <v>36.479999999999997</v>
    <v>31.9</v>
    <v>34.44</v>
    <v>36.85</v>
    <v>29.75</v>
    <v>28.29</v>
    <v>29.48</v>
    <v>29.57</v>
    <v>31.79</v>
    <v>30.08</v>
    <v>27.11</v>
    <v>26.36</v>
    <v>24.84</v>
    <v>24.7</v>
    <v>23.76</v>
    <v>24.23</v>
    <v>23.3</v>
    <v>22.34</v>
    <v>22.81</v>
    <v>23.9</v>
    <v>23.29</v>
    <v>21.88</v>
    <v>21.83</v>
    <v>18.14</v>
    <v>17.649999999999999</v>
    <v>18.059999999999999</v>
    <v>17.77</v>
    <v>17.149999999999999</v>
    <v>17.920000000000002</v>
    <v>17.7</v>
    <v>17.77</v>
    <v>19.64</v>
    <v>19.829999999999998</v>
    <v>20.3</v>
    <v>18.95</v>
    <v>18.68</v>
    <v>18.11</v>
    <v>18.57</v>
    <v>18.36</v>
    <v>17.64</v>
    <v>17.41</v>
    <v>17.079999999999998</v>
    <v>16.649999999999999</v>
    <v>16.82</v>
    <v>16.68</v>
    <v>16.23</v>
    <v>17.43</v>
    <v>18.88</v>
    <v>18.670000000000002</v>
    <v>19.55</v>
    <v>19.59</v>
    <v>21.18</v>
    <v>19.11</v>
    <v>19.82</v>
    <v>17.329999999999998</v>
    <v>16.68</v>
    <v>16.11</v>
    <v>16.12</v>
    <v>16.55</v>
    <v>16.510000000000002</v>
    <v>16.54</v>
    <v>16.14</v>
    <v>16.920000000000002</v>
    <v>17.510000000000002</v>
    <v>16.54</v>
    <v>15.76</v>
    <v>15.7</v>
    <v>15.98</v>
    <v>16.91</v>
    <v>16.559999999999999</v>
    <v>16.690000000000001</v>
    <v>16.48</v>
    <v>16.28</v>
    <v>16.3</v>
    <v>16.43</v>
    <v>15.32</v>
    <v>14.95</v>
    <v>14.92</v>
    <v>15</v>
    <v>14.7</v>
    <v>15.44</v>
    <v>14.74</v>
    <v>17.39</v>
    <v>17.48</v>
    <v>17.11</v>
    <v>16.559999999999999</v>
    <v>15.98</v>
    <v>15.15</v>
    <v>15.52</v>
    <v>14.66</v>
    <v>14.3</v>
    <v>14.57</v>
    <v>14.4</v>
    <v>14.95</v>
    <v>14.76</v>
    <v>15.57</v>
    <v>15.65</v>
    <v>14.21</v>
    <v>14.24</v>
    <v>14.62</v>
    <v>14.66</v>
    <v>14.12</v>
    <v>14.31</v>
    <v>15.08</v>
    <v>16.55</v>
    <v>16.34</v>
    <v>15.28</v>
    <v>14.74</v>
    <v>14.99</v>
    <v>14.97</v>
    <v>14.63</v>
    <v>14.65</v>
    <v>14.41</v>
    <v>14.92</v>
    <v>15.44</v>
    <v>15.26</v>
    <v>14.33</v>
    <v>15.29</v>
    <v>15.78</v>
    <v>15.95</v>
    <v>16.18</v>
    <v>16.32</v>
    <v>15.29</v>
    <v>15.74</v>
    <v>16.02</v>
    <v>15.98</v>
    <v>15.93</v>
    <v>16.2</v>
    <v>16.29</v>
    <v>16.190000000000001</v>
    <v>16.23</v>
    <v>16.260000000000002</v>
    <v>16.23</v>
    <v>18.61</v>
    <v>19.18</v>
    <v>19.11</v>
    <v>19.850000000000001</v>
    <v>20.73</v>
    <v>18.23</v>
    <v>17.399999999999999</v>
    <v>17.73</v>
    <v>17.079999999999998</v>
    <v>16.02</v>
    <v>15.62</v>
    <v>15.66</v>
    <v>16.260000000000002</v>
    <v>15.73</v>
    <v>15.96</v>
    <v>17</v>
    <v>17.899999999999999</v>
    <v>17.309999999999999</v>
    <v>17.64</v>
    <v>19.079999999999998</v>
    <v>17.600000000000001</v>
    <v>17.25</v>
    <v>17.100000000000001</v>
    <v>17.510000000000002</v>
    <v>19.559999999999999</v>
    <v>19.54</v>
    <v>22.91</v>
    <v>21.93</v>
    <v>19.28</v>
    <v>22.54</v>
    <v>20.41</v>
    <v>18.39</v>
    <v>16.93</v>
    <v>17.05</v>
    <v>15.78</v>
    <v>16.579999999999998</v>
    <v>16.39</v>
    <v>15.93</v>
    <v>15.68</v>
    <v>15.28</v>
    <v>16.100000000000001</v>
    <v>16.45</v>
    <v>15.56</v>
    <v>14.85</v>
    <v>14.85</v>
    <v>15.99</v>
    <v>16.190000000000001</v>
    <v>15.82</v>
    <v>15.93</v>
    <v>14.91</v>
    <v>14.03</v>
    <v>13.64</v>
    <v>13.38</v>
    <v>13.52</v>
    <v>13.99</v>
    <v>14.04</v>
    <v>14.38</v>
    <v>14.46</v>
    <v>14.65</v>
    <v>14.63</v>
    <v>14.83</v>
    <v>15.15</v>
    <v>14.43</v>
    <v>15.03</v>
    <v>14.75</v>
    <v>16.22</v>
    <v>15.3</v>
    <v>15.3</v>
    <v>18.28</v>
    <v>18.64</v>
    <v>16.670000000000002</v>
    <v>15.27</v>
    <v>15.3</v>
    <v>15.8</v>
    <v>15.74</v>
    <v>16.05</v>
    <v>16.02</v>
    <v>16.670000000000002</v>
    <v>16.079999999999998</v>
    <v>16.05</v>
    <v>17.47</v>
    <v>19.059999999999999</v>
    <v>17.27</v>
    <v>16.899999999999999</v>
    <v>17.14</v>
    <v>16.75</v>
    <v>17.079999999999998</v>
    <v>18.920000000000002</v>
    <v>20.37</v>
    <v>19.760000000000002</v>
    <v>18.48</v>
    <v>19.23</v>
    <v>18.760000000000002</v>
    <v>19.5</v>
    <v>19.23</v>
    <v>17.86</v>
    <v>17.5</v>
    <v>18.77</v>
    <v>20.37</v>
    <v>22.18</v>
    <v>20.399999999999999</v>
    <v>20.55</v>
    <v>22.92</v>
    <v>24.76</v>
    <v>22.19</v>
    <v>23.75</v>
    <v>24.6</v>
    <v>24.67</v>
    <v>23.23</v>
    <v>21.87</v>
    <v>21.47</v>
    <v>23.54</v>
    <v>23.68</v>
    <v>20.28</v>
    <v>25.64</v>
    <v>24.82</v>
    <v>26.12</v>
    <v>27.54</v>
    <v>29.33</v>
    <v>25.08</v>
    <v>23.5</v>
    <v>23.87</v>
    <v>23.78</v>
    <v>24.34</v>
    <v>19.91</v>
    <v>19.45</v>
    <v>18.829999999999998</v>
    <v>18.96</v>
    <v>17.89</v>
    <v>17.399999999999999</v>
    <v>17.760000000000002</v>
    <v>16.87</v>
    <v>18.77</v>
    <v>18.75</v>
    <v>18.68</v>
    <v>18.7</v>
    <v>18.46</v>
    <v>18.02</v>
    <v>17.78</v>
    <v>17.809999999999999</v>
    <v>16.87</v>
    <v>16.440000000000001</v>
    <v>17.149999999999999</v>
    <v>17.2</v>
    <v>16.18</v>
    <v>16.850000000000001</v>
    <v>16.82</v>
    <v>17.899999999999999</v>
    <v>17.920000000000002</v>
    <v>17.760000000000002</v>
    <v>17.2</v>
    <v>17.8</v>
    <v>17.7</v>
    <v>17.66</v>
    <v>17.13</v>
    <v>16.600000000000001</v>
    <v>16.46</v>
    <v>16.53</v>
    <v>16.559999999999999</v>
    <v>16.29</v>
    <v>15.61</v>
    <v>15.22</v>
    <v>15.71</v>
    <v>15.71</v>
    <v>15.94</v>
    <v>15.18</v>
    <v>15.56</v>
    <v>17.940000000000001</v>
    <v>17.52</v>
    <v>20.059999999999999</v>
    <v>19.36</v>
    <v>17.59</v>
    <v>15.98</v>
    <v>15.77</v>
    <v>16.02</v>
    <v>16.350000000000001</v>
    <v>16.72</v>
    <v>16.489999999999998</v>
    <v>18.61</v>
    <v>18.04</v>
    <v>17.72</v>
    <v>18.2</v>
    <v>17.489999999999998</v>
    <v>16.27</v>
    <v>15.97</v>
    <v>15.79</v>
    <v>15.75</v>
    <v>15.56</v>
    <v>15.53</v>
    <v>16.350000000000001</v>
    <v>15.76</v>
    <v>14.96</v>
    <v>16.03</v>
    <v>16.149999999999999</v>
    <v>15.64</v>
    <v>15.77</v>
    <v>17.68</v>
    <v>17.41</v>
    <v>16.86</v>
    <v>16.64</v>
    <v>17.32</v>
    <v>17.41</v>
    <v>17.53</v>
    <v>17.88</v>
    <v>17.45</v>
    <v>17</v>
    <v>15.82</v>
    <v>15.54</v>
    <v>15.51</v>
    <v>15.48</v>
    <v>15.11</v>
    <v>14.77</v>
    <v>15.1</v>
    <v>15.23</v>
    <v>14.39</v>
    <v>14.39</v>
    <v>14.18</v>
    <v>14.89</v>
    <v>15.6</v>
    <v>14.77</v>
  </a>
</arrayData>
</file>

<file path=xl/richData/rdrichvalue.xml><?xml version="1.0" encoding="utf-8"?>
<rvData xmlns="http://schemas.microsoft.com/office/spreadsheetml/2017/richdata" count="8544">
  <rv s="0">
    <fb>44439</fb>
    <v>0</v>
  </rv>
  <rv s="0">
    <fb>89.45</fb>
    <v>1</v>
  </rv>
  <rv s="0">
    <fb>89.5</fb>
    <v>1</v>
  </rv>
  <rv s="0">
    <fb>88.49</fb>
    <v>1</v>
  </rv>
  <rv s="0">
    <fb>89.13</fb>
    <v>1</v>
  </rv>
  <rv s="0">
    <fb>8113258</fb>
    <v>2</v>
  </rv>
  <rv s="0">
    <fb>44440</fb>
    <v>0</v>
  </rv>
  <rv s="0">
    <fb>89.26</fb>
    <v>1</v>
  </rv>
  <rv s="0">
    <fb>90.17</fb>
    <v>1</v>
  </rv>
  <rv s="0">
    <fb>88.87</fb>
    <v>1</v>
  </rv>
  <rv s="0">
    <fb>89.95</fb>
    <v>1</v>
  </rv>
  <rv s="0">
    <fb>8208004</fb>
    <v>2</v>
  </rv>
  <rv s="0">
    <fb>44441</fb>
    <v>0</v>
  </rv>
  <rv s="0">
    <fb>90.5</fb>
    <v>1</v>
  </rv>
  <rv s="0">
    <fb>89.41</fb>
    <v>1</v>
  </rv>
  <rv s="0">
    <fb>89.8</fb>
    <v>1</v>
  </rv>
  <rv s="0">
    <fb>7717680</fb>
    <v>2</v>
  </rv>
  <rv s="0">
    <fb>44442</fb>
    <v>0</v>
  </rv>
  <rv s="0">
    <fb>89.34</fb>
    <v>1</v>
  </rv>
  <rv s="0">
    <fb>90.475700000000003</fb>
    <v>1</v>
  </rv>
  <rv s="0">
    <fb>89.3</fb>
    <v>1</v>
  </rv>
  <rv s="0">
    <fb>90</fb>
    <v>1</v>
  </rv>
  <rv s="0">
    <fb>8457134</fb>
    <v>2</v>
  </rv>
  <rv s="0">
    <fb>44446</fb>
    <v>0</v>
  </rv>
  <rv s="0">
    <fb>90.04</fb>
    <v>1</v>
  </rv>
  <rv s="0">
    <fb>90.67</fb>
    <v>1</v>
  </rv>
  <rv s="0">
    <fb>88.54</fb>
    <v>1</v>
  </rv>
  <rv s="0">
    <fb>88.72</fb>
    <v>1</v>
  </rv>
  <rv s="0">
    <fb>11046158</fb>
    <v>2</v>
  </rv>
  <rv s="0">
    <fb>44447</fb>
    <v>0</v>
  </rv>
  <rv s="0">
    <fb>88.14</fb>
    <v>1</v>
  </rv>
  <rv s="0">
    <fb>89.6</fb>
    <v>1</v>
  </rv>
  <rv s="0">
    <fb>87.97</fb>
    <v>1</v>
  </rv>
  <rv s="0">
    <fb>89.47</fb>
    <v>1</v>
  </rv>
  <rv s="0">
    <fb>8851215</fb>
    <v>2</v>
  </rv>
  <rv s="0">
    <fb>44448</fb>
    <v>0</v>
  </rv>
  <rv s="0">
    <fb>90.83</fb>
    <v>1</v>
  </rv>
  <rv s="0">
    <fb>89.54</fb>
    <v>1</v>
  </rv>
  <rv s="0">
    <fb>11034731</fb>
    <v>2</v>
  </rv>
  <rv s="0">
    <fb>44449</fb>
    <v>0</v>
  </rv>
  <rv s="0">
    <fb>89.65</fb>
    <v>1</v>
  </rv>
  <rv s="0">
    <fb>90.55</fb>
    <v>1</v>
  </rv>
  <rv s="0">
    <fb>89.51</fb>
    <v>1</v>
  </rv>
  <rv s="0">
    <fb>89.68</fb>
    <v>1</v>
  </rv>
  <rv s="0">
    <fb>10547389</fb>
    <v>2</v>
  </rv>
  <rv s="0">
    <fb>44452</fb>
    <v>0</v>
  </rv>
  <rv s="0">
    <fb>90.12</fb>
    <v>1</v>
  </rv>
  <rv s="0">
    <fb>90.51</fb>
    <v>1</v>
  </rv>
  <rv s="0">
    <fb>88.23</fb>
    <v>1</v>
  </rv>
  <rv s="0">
    <fb>88.89</fb>
    <v>1</v>
  </rv>
  <rv s="0">
    <fb>18883408</fb>
    <v>2</v>
  </rv>
  <rv s="0">
    <fb>44453</fb>
    <v>0</v>
  </rv>
  <rv s="0">
    <fb>86.19</fb>
    <v>1</v>
  </rv>
  <rv s="0">
    <fb>86.95</fb>
    <v>1</v>
  </rv>
  <rv s="0">
    <fb>84.73</fb>
    <v>1</v>
  </rv>
  <rv s="0">
    <fb>86.39</fb>
    <v>1</v>
  </rv>
  <rv s="0">
    <fb>22714211</fb>
    <v>2</v>
  </rv>
  <rv s="0">
    <fb>44454</fb>
    <v>0</v>
  </rv>
  <rv s="0">
    <fb>86.55</fb>
    <v>1</v>
  </rv>
  <rv s="0">
    <fb>88.36</fb>
    <v>1</v>
  </rv>
  <rv s="0">
    <fb>86.17</fb>
    <v>1</v>
  </rv>
  <rv s="0">
    <fb>87.73</fb>
    <v>1</v>
  </rv>
  <rv s="0">
    <fb>14951102</fb>
    <v>2</v>
  </rv>
  <rv s="0">
    <fb>44455</fb>
    <v>0</v>
  </rv>
  <rv s="0">
    <fb>87.67</fb>
    <v>1</v>
  </rv>
  <rv s="0">
    <fb>87.25</fb>
    <v>1</v>
  </rv>
  <rv s="0">
    <fb>12410530</fb>
    <v>2</v>
  </rv>
  <rv s="0">
    <fb>44456</fb>
    <v>0</v>
  </rv>
  <rv s="0">
    <fb>86.204999999999998</fb>
    <v>1</v>
  </rv>
  <rv s="0">
    <fb>87.57</fb>
    <v>1</v>
  </rv>
  <rv s="0">
    <fb>85.95</fb>
    <v>1</v>
  </rv>
  <rv s="0">
    <fb>58069781</fb>
    <v>2</v>
  </rv>
  <rv s="0">
    <fb>44459</fb>
    <v>0</v>
  </rv>
  <rv s="0">
    <fb>85.03</fb>
    <v>1</v>
  </rv>
  <rv s="0">
    <fb>87.41</fb>
    <v>1</v>
  </rv>
  <rv s="0">
    <fb>84.93</fb>
    <v>1</v>
  </rv>
  <rv s="0">
    <fb>13897724</fb>
    <v>2</v>
  </rv>
  <rv s="0">
    <fb>44460</fb>
    <v>0</v>
  </rv>
  <rv s="0">
    <fb>86.74</fb>
    <v>1</v>
  </rv>
  <rv s="0">
    <fb>87.66</fb>
    <v>1</v>
  </rv>
  <rv s="0">
    <fb>86.12</fb>
    <v>1</v>
  </rv>
  <rv s="0">
    <fb>86.92</fb>
    <v>1</v>
  </rv>
  <rv s="0">
    <fb>11124697</fb>
    <v>2</v>
  </rv>
  <rv s="0">
    <fb>44461</fb>
    <v>0</v>
  </rv>
  <rv s="0">
    <fb>87.614999999999995</fb>
    <v>1</v>
  </rv>
  <rv s="0">
    <fb>89</fb>
    <v>1</v>
  </rv>
  <rv s="0">
    <fb>87.24</fb>
    <v>1</v>
  </rv>
  <rv s="0">
    <fb>88.44</fb>
    <v>1</v>
  </rv>
  <rv s="0">
    <fb>9908007</fb>
    <v>2</v>
  </rv>
  <rv s="0">
    <fb>44462</fb>
    <v>0</v>
  </rv>
  <rv s="0">
    <fb>88.94</fb>
    <v>1</v>
  </rv>
  <rv s="0">
    <fb>90.06</fb>
    <v>1</v>
  </rv>
  <rv s="0">
    <fb>88.66</fb>
    <v>1</v>
  </rv>
  <rv s="0">
    <fb>89.42</fb>
    <v>1</v>
  </rv>
  <rv s="0">
    <fb>9720231</fb>
    <v>2</v>
  </rv>
  <rv s="0">
    <fb>44463</fb>
    <v>0</v>
  </rv>
  <rv s="0">
    <fb>89.27</fb>
    <v>1</v>
  </rv>
  <rv s="0">
    <fb>89.94</fb>
    <v>1</v>
  </rv>
  <rv s="0">
    <fb>7617784</fb>
    <v>2</v>
  </rv>
  <rv s="0">
    <fb>44466</fb>
    <v>0</v>
  </rv>
  <rv s="0">
    <fb>89.78</fb>
    <v>1</v>
  </rv>
  <rv s="0">
    <fb>91.305000000000007</fb>
    <v>1</v>
  </rv>
  <rv s="0">
    <fb>89.15</fb>
    <v>1</v>
  </rv>
  <rv s="0">
    <fb>91.04</fb>
    <v>1</v>
  </rv>
  <rv s="0">
    <fb>11532971</fb>
    <v>2</v>
  </rv>
  <rv s="0">
    <fb>44467</fb>
    <v>0</v>
  </rv>
  <rv s="0">
    <fb>90.64</fb>
    <v>1</v>
  </rv>
  <rv s="0">
    <fb>92.27</fb>
    <v>1</v>
  </rv>
  <rv s="0">
    <fb>90.051400000000001</fb>
    <v>1</v>
  </rv>
  <rv s="0">
    <fb>90.49</fb>
    <v>1</v>
  </rv>
  <rv s="0">
    <fb>15041761</fb>
    <v>2</v>
  </rv>
  <rv s="0">
    <fb>44468</fb>
    <v>0</v>
  </rv>
  <rv s="0">
    <fb>91.15</fb>
    <v>1</v>
  </rv>
  <rv s="0">
    <fb>92.08</fb>
    <v>1</v>
  </rv>
  <rv s="0">
    <fb>91</fb>
    <v>1</v>
  </rv>
  <rv s="0">
    <fb>91.25</fb>
    <v>1</v>
  </rv>
  <rv s="0">
    <fb>12007329</fb>
    <v>2</v>
  </rv>
  <rv s="0">
    <fb>44469</fb>
    <v>0</v>
  </rv>
  <rv s="0">
    <fb>91.58</fb>
    <v>1</v>
  </rv>
  <rv s="0">
    <fb>87.12</fb>
    <v>1</v>
  </rv>
  <rv s="0">
    <fb>87.13</fb>
    <v>1</v>
  </rv>
  <rv s="0">
    <fb>15651919</fb>
    <v>2</v>
  </rv>
  <rv s="0">
    <fb>44470</fb>
    <v>0</v>
  </rv>
  <rv s="0">
    <fb>87.76</fb>
    <v>1</v>
  </rv>
  <rv s="0">
    <fb>90.265000000000001</fb>
    <v>1</v>
  </rv>
  <rv s="0">
    <fb>87.594999999999999</fb>
    <v>1</v>
  </rv>
  <rv s="0">
    <fb>89.74</fb>
    <v>1</v>
  </rv>
  <rv s="0">
    <fb>13320918</fb>
    <v>2</v>
  </rv>
  <rv s="0">
    <fb>44473</fb>
    <v>0</v>
  </rv>
  <rv s="0">
    <fb>89.48</fb>
    <v>1</v>
  </rv>
  <rv s="0">
    <fb>90.433599999999998</fb>
    <v>1</v>
  </rv>
  <rv s="0">
    <fb>88.96</fb>
    <v>1</v>
  </rv>
  <rv s="0">
    <fb>10853862</fb>
    <v>2</v>
  </rv>
  <rv s="0">
    <fb>44474</fb>
    <v>0</v>
  </rv>
  <rv s="0">
    <fb>89.35</fb>
    <v>1</v>
  </rv>
  <rv s="0">
    <fb>91.97</fb>
    <v>1</v>
  </rv>
  <rv s="0">
    <fb>89.168199999999999</fb>
    <v>1</v>
  </rv>
  <rv s="0">
    <fb>91.49</fb>
    <v>1</v>
  </rv>
  <rv s="0">
    <fb>9788585</fb>
    <v>2</v>
  </rv>
  <rv s="0">
    <fb>44475</fb>
    <v>0</v>
  </rv>
  <rv s="0">
    <fb>90.42</fb>
    <v>1</v>
  </rv>
  <rv s="0">
    <fb>91.5</fb>
    <v>1</v>
  </rv>
  <rv s="0">
    <fb>91.34</fb>
    <v>1</v>
  </rv>
  <rv s="0">
    <fb>10268251</fb>
    <v>2</v>
  </rv>
  <rv s="0">
    <fb>44476</fb>
    <v>0</v>
  </rv>
  <rv s="0">
    <fb>91.71</fb>
    <v>1</v>
  </rv>
  <rv s="0">
    <fb>92.88</fb>
    <v>1</v>
  </rv>
  <rv s="0">
    <fb>91.65</fb>
    <v>1</v>
  </rv>
  <rv s="0">
    <fb>92.31</fb>
    <v>1</v>
  </rv>
  <rv s="0">
    <fb>9124444</fb>
    <v>2</v>
  </rv>
  <rv s="0">
    <fb>44477</fb>
    <v>0</v>
  </rv>
  <rv s="0">
    <fb>92.38</fb>
    <v>1</v>
  </rv>
  <rv s="0">
    <fb>95.02</fb>
    <v>1</v>
  </rv>
  <rv s="0">
    <fb>92.11</fb>
    <v>1</v>
  </rv>
  <rv s="0">
    <fb>94.39</fb>
    <v>1</v>
  </rv>
  <rv s="0">
    <fb>13202330</fb>
    <v>2</v>
  </rv>
  <rv s="0">
    <fb>44480</fb>
    <v>0</v>
  </rv>
  <rv s="0">
    <fb>94.29</fb>
    <v>1</v>
  </rv>
  <rv s="0">
    <fb>96.8</fb>
    <v>1</v>
  </rv>
  <rv s="0">
    <fb>94.2</fb>
    <v>1</v>
  </rv>
  <rv s="0">
    <fb>95.29</fb>
    <v>1</v>
  </rv>
  <rv s="0">
    <fb>12959279</fb>
    <v>2</v>
  </rv>
  <rv s="0">
    <fb>44481</fb>
    <v>0</v>
  </rv>
  <rv s="0">
    <fb>95.83</fb>
    <v>1</v>
  </rv>
  <rv s="0">
    <fb>96.52</fb>
    <v>1</v>
  </rv>
  <rv s="0">
    <fb>95.26</fb>
    <v>1</v>
  </rv>
  <rv s="0">
    <fb>95.57</fb>
    <v>1</v>
  </rv>
  <rv s="0">
    <fb>9964109</fb>
    <v>2</v>
  </rv>
  <rv s="0">
    <fb>44482</fb>
    <v>0</v>
  </rv>
  <rv s="0">
    <fb>96.1</fb>
    <v>1</v>
  </rv>
  <rv s="0">
    <fb>96.99</fb>
    <v>1</v>
  </rv>
  <rv s="0">
    <fb>95.95</fb>
    <v>1</v>
  </rv>
  <rv s="0">
    <fb>96.4</fb>
    <v>1</v>
  </rv>
  <rv s="0">
    <fb>9461742</fb>
    <v>2</v>
  </rv>
  <rv s="0">
    <fb>44483</fb>
    <v>0</v>
  </rv>
  <rv s="0">
    <fb>97.35</fb>
    <v>1</v>
  </rv>
  <rv s="0">
    <fb>94.37</fb>
    <v>1</v>
  </rv>
  <rv s="0">
    <fb>95.28</fb>
    <v>1</v>
  </rv>
  <rv s="0">
    <fb>7911808</fb>
    <v>2</v>
  </rv>
  <rv s="0">
    <fb>44484</fb>
    <v>0</v>
  </rv>
  <rv s="0">
    <fb>95.09</fb>
    <v>1</v>
  </rv>
  <rv s="0">
    <fb>96.04</fb>
    <v>1</v>
  </rv>
  <rv s="0">
    <fb>94.73</fb>
    <v>1</v>
  </rv>
  <rv s="0">
    <fb>95.33</fb>
    <v>1</v>
  </rv>
  <rv s="0">
    <fb>7423125</fb>
    <v>2</v>
  </rv>
  <rv s="0">
    <fb>44487</fb>
    <v>0</v>
  </rv>
  <rv s="0">
    <fb>95.5</fb>
    <v>1</v>
  </rv>
  <rv s="0">
    <fb>96.65</fb>
    <v>1</v>
  </rv>
  <rv s="0">
    <fb>95.1</fb>
    <v>1</v>
  </rv>
  <rv s="0">
    <fb>96.51</fb>
    <v>1</v>
  </rv>
  <rv s="0">
    <fb>7344106</fb>
    <v>2</v>
  </rv>
  <rv s="0">
    <fb>44488</fb>
    <v>0</v>
  </rv>
  <rv s="0">
    <fb>97</fb>
    <v>1</v>
  </rv>
  <rv s="0">
    <fb>97.279899999999998</fb>
    <v>1</v>
  </rv>
  <rv s="0">
    <fb>96.32</fb>
    <v>1</v>
  </rv>
  <rv s="0">
    <fb>97.06</fb>
    <v>1</v>
  </rv>
  <rv s="0">
    <fb>5616545</fb>
    <v>2</v>
  </rv>
  <rv s="0">
    <fb>44489</fb>
    <v>0</v>
  </rv>
  <rv s="0">
    <fb>97.27</fb>
    <v>1</v>
  </rv>
  <rv s="0">
    <fb>97.969700000000003</fb>
    <v>1</v>
  </rv>
  <rv s="0">
    <fb>96.25</fb>
    <v>1</v>
  </rv>
  <rv s="0">
    <fb>96.64</fb>
    <v>1</v>
  </rv>
  <rv s="0">
    <fb>6574073</fb>
    <v>2</v>
  </rv>
  <rv s="0">
    <fb>44490</fb>
    <v>0</v>
  </rv>
  <rv s="0">
    <fb>96.57</fb>
    <v>1</v>
  </rv>
  <rv s="0">
    <fb>96.83</fb>
    <v>1</v>
  </rv>
  <rv s="0">
    <fb>95.71</fb>
    <v>1</v>
  </rv>
  <rv s="0">
    <fb>96.3</fb>
    <v>1</v>
  </rv>
  <rv s="0">
    <fb>6224679</fb>
    <v>2</v>
  </rv>
  <rv s="0">
    <fb>44491</fb>
    <v>0</v>
  </rv>
  <rv s="0">
    <fb>96.29</fb>
    <v>1</v>
  </rv>
  <rv s="0">
    <fb>98.27</fb>
    <v>1</v>
  </rv>
  <rv s="0">
    <fb>96.22</fb>
    <v>1</v>
  </rv>
  <rv s="0">
    <fb>98.25</fb>
    <v>1</v>
  </rv>
  <rv s="0">
    <fb>6819582</fb>
    <v>2</v>
  </rv>
  <rv s="0">
    <fb>44494</fb>
    <v>0</v>
  </rv>
  <rv s="0">
    <fb>98.44</fb>
    <v>1</v>
  </rv>
  <rv s="0">
    <fb>98.95</fb>
    <v>1</v>
  </rv>
  <rv s="0">
    <fb>97.55</fb>
    <v>1</v>
  </rv>
  <rv s="0">
    <fb>97.89</fb>
    <v>1</v>
  </rv>
  <rv s="0">
    <fb>5083106</fb>
    <v>2</v>
  </rv>
  <rv s="0">
    <fb>44495</fb>
    <v>0</v>
  </rv>
  <rv s="0">
    <fb>98.3</fb>
    <v>1</v>
  </rv>
  <rv s="0">
    <fb>98.56</fb>
    <v>1</v>
  </rv>
  <rv s="0">
    <fb>96.94</fb>
    <v>1</v>
  </rv>
  <rv s="0">
    <fb>96.98</fb>
    <v>1</v>
  </rv>
  <rv s="0">
    <fb>7089655</fb>
    <v>2</v>
  </rv>
  <rv s="0">
    <fb>44496</fb>
    <v>0</v>
  </rv>
  <rv s="0">
    <fb>96.81</fb>
    <v>1</v>
  </rv>
  <rv s="0">
    <fb>97.3</fb>
    <v>1</v>
  </rv>
  <rv s="0">
    <fb>96</fb>
    <v>1</v>
  </rv>
  <rv s="0">
    <fb>96.03</fb>
    <v>1</v>
  </rv>
  <rv s="0">
    <fb>5941450</fb>
    <v>2</v>
  </rv>
  <rv s="0">
    <fb>44497</fb>
    <v>0</v>
  </rv>
  <rv s="0">
    <fb>97.7</fb>
    <v>1</v>
  </rv>
  <rv s="0">
    <fb>95.93</fb>
    <v>1</v>
  </rv>
  <rv s="0">
    <fb>96.23</fb>
    <v>1</v>
  </rv>
  <rv s="0">
    <fb>5177185</fb>
    <v>2</v>
  </rv>
  <rv s="0">
    <fb>44498</fb>
    <v>0</v>
  </rv>
  <rv s="0">
    <fb>95.79</fb>
    <v>1</v>
  </rv>
  <rv s="0">
    <fb>96.97</fb>
    <v>1</v>
  </rv>
  <rv s="0">
    <fb>95.46</fb>
    <v>1</v>
  </rv>
  <rv s="0">
    <fb>95.94</fb>
    <v>1</v>
  </rv>
  <rv s="0">
    <fb>7578628</fb>
    <v>2</v>
  </rv>
  <rv s="0">
    <fb>44501</fb>
    <v>0</v>
  </rv>
  <rv s="0">
    <fb>93.91</fb>
    <v>1</v>
  </rv>
  <rv s="0">
    <fb>94.38</fb>
    <v>1</v>
  </rv>
  <rv s="0">
    <fb>7327599</fb>
    <v>2</v>
  </rv>
  <rv s="0">
    <fb>44502</fb>
    <v>0</v>
  </rv>
  <rv s="0">
    <fb>93.73</fb>
    <v>1</v>
  </rv>
  <rv s="0">
    <fb>95.915000000000006</fb>
    <v>1</v>
  </rv>
  <rv s="0">
    <fb>93.5</fb>
    <v>1</v>
  </rv>
  <rv s="0">
    <fb>95.87</fb>
    <v>1</v>
  </rv>
  <rv s="0">
    <fb>6229796</fb>
    <v>2</v>
  </rv>
  <rv s="0">
    <fb>44503</fb>
    <v>0</v>
  </rv>
  <rv s="0">
    <fb>96.5</fb>
    <v>1</v>
  </rv>
  <rv s="0">
    <fb>96.87</fb>
    <v>1</v>
  </rv>
  <rv s="0">
    <fb>94.747100000000003</fb>
    <v>1</v>
  </rv>
  <rv s="0">
    <fb>96.15</fb>
    <v>1</v>
  </rv>
  <rv s="0">
    <fb>5746432</fb>
    <v>2</v>
  </rv>
  <rv s="0">
    <fb>44504</fb>
    <v>0</v>
  </rv>
  <rv s="0">
    <fb>96.61</fb>
    <v>1</v>
  </rv>
  <rv s="0">
    <fb>95.32</fb>
    <v>1</v>
  </rv>
  <rv s="0">
    <fb>95.63</fb>
    <v>1</v>
  </rv>
  <rv s="0">
    <fb>5857745</fb>
    <v>2</v>
  </rv>
  <rv s="0">
    <fb>44505</fb>
    <v>0</v>
  </rv>
  <rv s="0">
    <fb>96.2</fb>
    <v>1</v>
  </rv>
  <rv s="0">
    <fb>96.55</fb>
    <v>1</v>
  </rv>
  <rv s="0">
    <fb>94.1</fb>
    <v>1</v>
  </rv>
  <rv s="0">
    <fb>94.95</fb>
    <v>1</v>
  </rv>
  <rv s="0">
    <fb>6160237</fb>
    <v>2</v>
  </rv>
  <rv s="0">
    <fb>44508</fb>
    <v>0</v>
  </rv>
  <rv s="0">
    <fb>95.25</fb>
    <v>1</v>
  </rv>
  <rv s="0">
    <fb>94.31</fb>
    <v>1</v>
  </rv>
  <rv s="0">
    <fb>95.14</fb>
    <v>1</v>
  </rv>
  <rv s="0">
    <fb>5056415</fb>
    <v>2</v>
  </rv>
  <rv s="0">
    <fb>44509</fb>
    <v>0</v>
  </rv>
  <rv s="0">
    <fb>95.11</fb>
    <v>1</v>
  </rv>
  <rv s="0">
    <fb>95.61</fb>
    <v>1</v>
  </rv>
  <rv s="0">
    <fb>94.055000000000007</fb>
    <v>1</v>
  </rv>
  <rv s="0">
    <fb>94.59</fb>
    <v>1</v>
  </rv>
  <rv s="0">
    <fb>6102570</fb>
    <v>2</v>
  </rv>
  <rv s="0">
    <fb>44510</fb>
    <v>0</v>
  </rv>
  <rv s="0">
    <fb>94.85</fb>
    <v>1</v>
  </rv>
  <rv s="0">
    <fb>93.355000000000004</fb>
    <v>1</v>
  </rv>
  <rv s="0">
    <fb>93.83</fb>
    <v>1</v>
  </rv>
  <rv s="0">
    <fb>5828755</fb>
    <v>2</v>
  </rv>
  <rv s="0">
    <fb>44511</fb>
    <v>0</v>
  </rv>
  <rv s="0">
    <fb>94.11</fb>
    <v>1</v>
  </rv>
  <rv s="0">
    <fb>94.76</fb>
    <v>1</v>
  </rv>
  <rv s="0">
    <fb>93.8</fb>
    <v>1</v>
  </rv>
  <rv s="0">
    <fb>94.04</fb>
    <v>1</v>
  </rv>
  <rv s="0">
    <fb>3620667</fb>
    <v>2</v>
  </rv>
  <rv s="0">
    <fb>44512</fb>
    <v>0</v>
  </rv>
  <rv s="0">
    <fb>94.47</fb>
    <v>1</v>
  </rv>
  <rv s="0">
    <fb>93.43</fb>
    <v>1</v>
  </rv>
  <rv s="0">
    <fb>93.54</fb>
    <v>1</v>
  </rv>
  <rv s="0">
    <fb>6435453</fb>
    <v>2</v>
  </rv>
  <rv s="0">
    <fb>44515</fb>
    <v>0</v>
  </rv>
  <rv s="0">
    <fb>93.82</fb>
    <v>1</v>
  </rv>
  <rv s="0">
    <fb>94.25</fb>
    <v>1</v>
  </rv>
  <rv s="0">
    <fb>92.92</fb>
    <v>1</v>
  </rv>
  <rv s="0">
    <fb>94.02</fb>
    <v>1</v>
  </rv>
  <rv s="0">
    <fb>5700925</fb>
    <v>2</v>
  </rv>
  <rv s="0">
    <fb>44516</fb>
    <v>0</v>
  </rv>
  <rv s="0">
    <fb>94.14</fb>
    <v>1</v>
  </rv>
  <rv s="0">
    <fb>96.37</fb>
    <v>1</v>
  </rv>
  <rv s="0">
    <fb>7392924</fb>
    <v>2</v>
  </rv>
  <rv s="0">
    <fb>44517</fb>
    <v>0</v>
  </rv>
  <rv s="0">
    <fb>95.76</fb>
    <v>1</v>
  </rv>
  <rv s="0">
    <fb>96.135000000000005</fb>
    <v>1</v>
  </rv>
  <rv s="0">
    <fb>94.82</fb>
    <v>1</v>
  </rv>
  <rv s="0">
    <fb>6257596</fb>
    <v>2</v>
  </rv>
  <rv s="0">
    <fb>44518</fb>
    <v>0</v>
  </rv>
  <rv s="0">
    <fb>95.15</fb>
    <v>1</v>
  </rv>
  <rv s="0">
    <fb>94.66</fb>
    <v>1</v>
  </rv>
  <rv s="0">
    <fb>5727254</fb>
    <v>2</v>
  </rv>
  <rv s="0">
    <fb>44519</fb>
    <v>0</v>
  </rv>
  <rv s="0">
    <fb>94.81</fb>
    <v>1</v>
  </rv>
  <rv s="0">
    <fb>96.96</fb>
    <v>1</v>
  </rv>
  <rv s="0">
    <fb>93.94</fb>
    <v>1</v>
  </rv>
  <rv s="0">
    <fb>93.97</fb>
    <v>1</v>
  </rv>
  <rv s="0">
    <fb>8938025</fb>
    <v>2</v>
  </rv>
  <rv s="0">
    <fb>44522</fb>
    <v>0</v>
  </rv>
  <rv s="0">
    <fb>95.67</fb>
    <v>1</v>
  </rv>
  <rv s="0">
    <fb>93.41</fb>
    <v>1</v>
  </rv>
  <rv s="0">
    <fb>94.61</fb>
    <v>1</v>
  </rv>
  <rv s="0">
    <fb>6489341</fb>
    <v>2</v>
  </rv>
  <rv s="0">
    <fb>44523</fb>
    <v>0</v>
  </rv>
  <rv s="0">
    <fb>94.16</fb>
    <v>1</v>
  </rv>
  <rv s="0">
    <fb>92.26</fb>
    <v>1</v>
  </rv>
  <rv s="0">
    <fb>92.94</fb>
    <v>1</v>
  </rv>
  <rv s="0">
    <fb>8905642</fb>
    <v>2</v>
  </rv>
  <rv s="0">
    <fb>44524</fb>
    <v>0</v>
  </rv>
  <rv s="0">
    <fb>92.23</fb>
    <v>1</v>
  </rv>
  <rv s="0">
    <fb>93.7</fb>
    <v>1</v>
  </rv>
  <rv s="0">
    <fb>92.15</fb>
    <v>1</v>
  </rv>
  <rv s="0">
    <fb>93.58</fb>
    <v>1</v>
  </rv>
  <rv s="0">
    <fb>10908548</fb>
    <v>2</v>
  </rv>
  <rv s="0">
    <fb>44526</fb>
    <v>0</v>
  </rv>
  <rv s="0">
    <fb>92.89</fb>
    <v>1</v>
  </rv>
  <rv s="0">
    <fb>94.08</fb>
    <v>1</v>
  </rv>
  <rv s="0">
    <fb>92.07</fb>
    <v>1</v>
  </rv>
  <rv s="0">
    <fb>92.33</fb>
    <v>1</v>
  </rv>
  <rv s="0">
    <fb>4519322</fb>
    <v>2</v>
  </rv>
  <rv s="0">
    <fb>44529</fb>
    <v>0</v>
  </rv>
  <rv s="0">
    <fb>93.17</fb>
    <v>1</v>
  </rv>
  <rv s="0">
    <fb>94.13</fb>
    <v>1</v>
  </rv>
  <rv s="0">
    <fb>92.864999999999995</fb>
    <v>1</v>
  </rv>
  <rv s="0">
    <fb>9552635</fb>
    <v>2</v>
  </rv>
  <rv s="0">
    <fb>44530</fb>
    <v>0</v>
  </rv>
  <rv s="0">
    <fb>93.02</fb>
    <v>1</v>
  </rv>
  <rv s="0">
    <fb>93.52</fb>
    <v>1</v>
  </rv>
  <rv s="0">
    <fb>90.61</fb>
    <v>1</v>
  </rv>
  <rv s="0">
    <fb>90.74</fb>
    <v>1</v>
  </rv>
  <rv s="0">
    <fb>23271206</fb>
    <v>2</v>
  </rv>
  <rv s="0">
    <fb>44531</fb>
    <v>0</v>
  </rv>
  <rv s="0">
    <fb>91.69</fb>
    <v>1</v>
  </rv>
  <rv s="0">
    <fb>92.39</fb>
    <v>1</v>
  </rv>
  <rv s="0">
    <fb>89.66</fb>
    <v>1</v>
  </rv>
  <rv s="0">
    <fb>89.75</fb>
    <v>1</v>
  </rv>
  <rv s="0">
    <fb>12085340</fb>
    <v>2</v>
  </rv>
  <rv s="0">
    <fb>44532</fb>
    <v>0</v>
  </rv>
  <rv s="0">
    <fb>89.4</fb>
    <v>1</v>
  </rv>
  <rv s="0">
    <fb>89.000100000000003</fb>
    <v>1</v>
  </rv>
  <rv s="0">
    <fb>89.99</fb>
    <v>1</v>
  </rv>
  <rv s="0">
    <fb>7090016</fb>
    <v>2</v>
  </rv>
  <rv s="0">
    <fb>44533</fb>
    <v>0</v>
  </rv>
  <rv s="0">
    <fb>90.35</fb>
    <v>1</v>
  </rv>
  <rv s="0">
    <fb>90.79</fb>
    <v>1</v>
  </rv>
  <rv s="0">
    <fb>87.722999999999999</fb>
    <v>1</v>
  </rv>
  <rv s="0">
    <fb>88.24</fb>
    <v>1</v>
  </rv>
  <rv s="0">
    <fb>10808740</fb>
    <v>2</v>
  </rv>
  <rv s="0">
    <fb>44536</fb>
    <v>0</v>
  </rv>
  <rv s="0">
    <fb>88.34</fb>
    <v>1</v>
  </rv>
  <rv s="0">
    <fb>89.17</fb>
    <v>1</v>
  </rv>
  <rv s="0">
    <fb>87.85</fb>
    <v>1</v>
  </rv>
  <rv s="0">
    <fb>8398492</fb>
    <v>2</v>
  </rv>
  <rv s="0">
    <fb>44537</fb>
    <v>0</v>
  </rv>
  <rv s="0">
    <fb>89.98</fb>
    <v>1</v>
  </rv>
  <rv s="0">
    <fb>90.73</fb>
    <v>1</v>
  </rv>
  <rv s="0">
    <fb>89.21</fb>
    <v>1</v>
  </rv>
  <rv s="0">
    <fb>90.05</fb>
    <v>1</v>
  </rv>
  <rv s="0">
    <fb>6803903</fb>
    <v>2</v>
  </rv>
  <rv s="0">
    <fb>44538</fb>
    <v>0</v>
  </rv>
  <rv s="0">
    <fb>87.91</fb>
    <v>1</v>
  </rv>
  <rv s="0">
    <fb>7695809</fb>
    <v>2</v>
  </rv>
  <rv s="0">
    <fb>44539</fb>
    <v>0</v>
  </rv>
  <rv s="0">
    <fb>89.12</fb>
    <v>1</v>
  </rv>
  <rv s="0">
    <fb>88.77</fb>
    <v>1</v>
  </rv>
  <rv s="0">
    <fb>8615780</fb>
    <v>2</v>
  </rv>
  <rv s="0">
    <fb>44540</fb>
    <v>0</v>
  </rv>
  <rv s="0">
    <fb>104.29</fb>
    <v>1</v>
  </rv>
  <rv s="0">
    <fb>106.34</fb>
    <v>1</v>
  </rv>
  <rv s="0">
    <fb>100.1</fb>
    <v>1</v>
  </rv>
  <rv s="0">
    <fb>102.63</fb>
    <v>1</v>
  </rv>
  <rv s="0">
    <fb>45824639</fb>
    <v>2</v>
  </rv>
  <rv s="0">
    <fb>44543</fb>
    <v>0</v>
  </rv>
  <rv s="0">
    <fb>102.44</fb>
    <v>1</v>
  </rv>
  <rv s="0">
    <fb>104.36</fb>
    <v>1</v>
  </rv>
  <rv s="0">
    <fb>100.52249999999999</fb>
    <v>1</v>
  </rv>
  <rv s="0">
    <fb>100.89</fb>
    <v>1</v>
  </rv>
  <rv s="0">
    <fb>16317620</fb>
    <v>2</v>
  </rv>
  <rv s="0">
    <fb>44544</fb>
    <v>0</v>
  </rv>
  <rv s="0">
    <fb>99.995000000000005</fb>
    <v>1</v>
  </rv>
  <rv s="0">
    <fb>101.46</fb>
    <v>1</v>
  </rv>
  <rv s="0">
    <fb>99.39</fb>
    <v>1</v>
  </rv>
  <rv s="0">
    <fb>99.89</fb>
    <v>1</v>
  </rv>
  <rv s="0">
    <fb>9511569</fb>
    <v>2</v>
  </rv>
  <rv s="0">
    <fb>44545</fb>
    <v>0</v>
  </rv>
  <rv s="0">
    <fb>100.58</fb>
    <v>1</v>
  </rv>
  <rv s="0">
    <fb>103.76</fb>
    <v>1</v>
  </rv>
  <rv s="0">
    <fb>100.24</fb>
    <v>1</v>
  </rv>
  <rv s="0">
    <fb>103.65</fb>
    <v>1</v>
  </rv>
  <rv s="0">
    <fb>14452216</fb>
    <v>2</v>
  </rv>
  <rv s="0">
    <fb>44546</fb>
    <v>0</v>
  </rv>
  <rv s="0">
    <fb>103.95</fb>
    <v>1</v>
  </rv>
  <rv s="0">
    <fb>104</fb>
    <v>1</v>
  </rv>
  <rv s="0">
    <fb>102.28</fb>
    <v>1</v>
  </rv>
  <rv s="0">
    <fb>103.22</fb>
    <v>1</v>
  </rv>
  <rv s="0">
    <fb>9053176</fb>
    <v>2</v>
  </rv>
  <rv s="0">
    <fb>44547</fb>
    <v>0</v>
  </rv>
  <rv s="0">
    <fb>97.69</fb>
    <v>1</v>
  </rv>
  <rv s="0">
    <fb>99.95</fb>
    <v>1</v>
  </rv>
  <rv s="0">
    <fb>95.81</fb>
    <v>1</v>
  </rv>
  <rv s="0">
    <fb>96.62</fb>
    <v>1</v>
  </rv>
  <rv s="0">
    <fb>28961171</fb>
    <v>2</v>
  </rv>
  <rv s="0">
    <fb>44550</fb>
    <v>0</v>
  </rv>
  <rv s="0">
    <fb>96.42</fb>
    <v>1</v>
  </rv>
  <rv s="0">
    <fb>91.52</fb>
    <v>1</v>
  </rv>
  <rv s="0">
    <fb>91.64</fb>
    <v>1</v>
  </rv>
  <rv s="0">
    <fb>17205399</fb>
    <v>2</v>
  </rv>
  <rv s="0">
    <fb>44551</fb>
    <v>0</v>
  </rv>
  <rv s="0">
    <fb>91.805000000000007</fb>
    <v>1</v>
  </rv>
  <rv s="0">
    <fb>91.84</fb>
    <v>1</v>
  </rv>
  <rv s="0">
    <fb>89.71</fb>
    <v>1</v>
  </rv>
  <rv s="0">
    <fb>91.51</fb>
    <v>1</v>
  </rv>
  <rv s="0">
    <fb>15822978</fb>
    <v>2</v>
  </rv>
  <rv s="0">
    <fb>44552</fb>
    <v>0</v>
  </rv>
  <rv s="0">
    <fb>91.27</fb>
    <v>1</v>
  </rv>
  <rv s="0">
    <fb>91.86</fb>
    <v>1</v>
  </rv>
  <rv s="0">
    <fb>89.86</fb>
    <v>1</v>
  </rv>
  <rv s="0">
    <fb>10538961</fb>
    <v>2</v>
  </rv>
  <rv s="0">
    <fb>44553</fb>
    <v>0</v>
  </rv>
  <rv s="0">
    <fb>90.03</fb>
    <v>1</v>
  </rv>
  <rv s="0">
    <fb>90.36</fb>
    <v>1</v>
  </rv>
  <rv s="0">
    <fb>89.06</fb>
    <v>1</v>
  </rv>
  <rv s="0">
    <fb>89.72</fb>
    <v>1</v>
  </rv>
  <rv s="0">
    <fb>9655431</fb>
    <v>2</v>
  </rv>
  <rv s="0">
    <fb>44557</fb>
    <v>0</v>
  </rv>
  <rv s="0">
    <fb>89.7</fb>
    <v>1</v>
  </rv>
  <rv s="0">
    <fb>90.33</fb>
    <v>1</v>
  </rv>
  <rv s="0">
    <fb>89.02</fb>
    <v>1</v>
  </rv>
  <rv s="0">
    <fb>7668988</fb>
    <v>2</v>
  </rv>
  <rv s="0">
    <fb>44558</fb>
    <v>0</v>
  </rv>
  <rv s="0">
    <fb>88.52</fb>
    <v>1</v>
  </rv>
  <rv s="0">
    <fb>88.65</fb>
    <v>1</v>
  </rv>
  <rv s="0">
    <fb>5614472</fb>
    <v>2</v>
  </rv>
  <rv s="0">
    <fb>44559</fb>
    <v>0</v>
  </rv>
  <rv s="0">
    <fb>88.5</fb>
    <v>1</v>
  </rv>
  <rv s="0">
    <fb>89.19</fb>
    <v>1</v>
  </rv>
  <rv s="0">
    <fb>87.716399999999993</fb>
    <v>1</v>
  </rv>
  <rv s="0">
    <fb>88.21</fb>
    <v>1</v>
  </rv>
  <rv s="0">
    <fb>5628531</fb>
    <v>2</v>
  </rv>
  <rv s="0">
    <fb>44560</fb>
    <v>0</v>
  </rv>
  <rv s="0">
    <fb>88.91</fb>
    <v>1</v>
  </rv>
  <rv s="0">
    <fb>87.77</fb>
    <v>1</v>
  </rv>
  <rv s="0">
    <fb>88.01</fb>
    <v>1</v>
  </rv>
  <rv s="0">
    <fb>7382356</fb>
    <v>2</v>
  </rv>
  <rv s="0">
    <fb>44561</fb>
    <v>0</v>
  </rv>
  <rv s="0">
    <fb>88.05</fb>
    <v>1</v>
  </rv>
  <rv s="0">
    <fb>88.1</fb>
    <v>1</v>
  </rv>
  <rv s="0">
    <fb>87.18</fb>
    <v>1</v>
  </rv>
  <rv s="0">
    <fb>87.21</fb>
    <v>1</v>
  </rv>
  <rv s="0">
    <fb>5908158</fb>
    <v>2</v>
  </rv>
  <rv s="0">
    <fb>44564</fb>
    <v>0</v>
  </rv>
  <rv s="0">
    <fb>87.33</fb>
    <v>1</v>
  </rv>
  <rv s="0">
    <fb>87.94</fb>
    <v>1</v>
  </rv>
  <rv s="0">
    <fb>85.76</fb>
    <v>1</v>
  </rv>
  <rv s="0">
    <fb>87.9</fb>
    <v>1</v>
  </rv>
  <rv s="0">
    <fb>10653484</fb>
    <v>2</v>
  </rv>
  <rv s="0">
    <fb>44565</fb>
    <v>0</v>
  </rv>
  <rv s="0">
    <fb>89.584299999999999</fb>
    <v>1</v>
  </rv>
  <rv s="0">
    <fb>88.84</fb>
    <v>1</v>
  </rv>
  <rv s="0">
    <fb>11958975</fb>
    <v>2</v>
  </rv>
  <rv s="0">
    <fb>44566</fb>
    <v>0</v>
  </rv>
  <rv s="0">
    <fb>88.6</fb>
    <v>1</v>
  </rv>
  <rv s="0">
    <fb>86.22</fb>
    <v>1</v>
  </rv>
  <rv s="0">
    <fb>86.46</fb>
    <v>1</v>
  </rv>
  <rv s="0">
    <fb>11236680</fb>
    <v>2</v>
  </rv>
  <rv s="0">
    <fb>44567</fb>
    <v>0</v>
  </rv>
  <rv s="0">
    <fb>86</fb>
    <v>1</v>
  </rv>
  <rv s="0">
    <fb>87.418899999999994</fb>
    <v>1</v>
  </rv>
  <rv s="0">
    <fb>85.55</fb>
    <v>1</v>
  </rv>
  <rv s="0">
    <fb>86.34</fb>
    <v>1</v>
  </rv>
  <rv s="0">
    <fb>7918392</fb>
    <v>2</v>
  </rv>
  <rv s="0">
    <fb>44568</fb>
    <v>0</v>
  </rv>
  <rv s="0">
    <fb>86.45</fb>
    <v>1</v>
  </rv>
  <rv s="0">
    <fb>88</fb>
    <v>1</v>
  </rv>
  <rv s="0">
    <fb>86.280100000000004</fb>
    <v>1</v>
  </rv>
  <rv s="0">
    <fb>87.51</fb>
    <v>1</v>
  </rv>
  <rv s="0">
    <fb>9836795</fb>
    <v>2</v>
  </rv>
  <rv s="0">
    <fb>44571</fb>
    <v>0</v>
  </rv>
  <rv s="0">
    <fb>87.38</fb>
    <v>1</v>
  </rv>
  <rv s="0">
    <fb>89.38</fb>
    <v>1</v>
  </rv>
  <rv s="0">
    <fb>86.951999999999998</fb>
    <v>1</v>
  </rv>
  <rv s="0">
    <fb>89.28</fb>
    <v>1</v>
  </rv>
  <rv s="0">
    <fb>11025508</fb>
    <v>2</v>
  </rv>
  <rv s="0">
    <fb>44572</fb>
    <v>0</v>
  </rv>
  <rv s="0">
    <fb>88.64</fb>
    <v>1</v>
  </rv>
  <rv s="0">
    <fb>87.4101</fb>
    <v>1</v>
  </rv>
  <rv s="0">
    <fb>88.48</fb>
    <v>1</v>
  </rv>
  <rv s="0">
    <fb>7249777</fb>
    <v>2</v>
  </rv>
  <rv s="0">
    <fb>44573</fb>
    <v>0</v>
  </rv>
  <rv s="0">
    <fb>89.52</fb>
    <v>1</v>
  </rv>
  <rv s="0">
    <fb>88.31</fb>
    <v>1</v>
  </rv>
  <rv s="0">
    <fb>5840337</fb>
    <v>2</v>
  </rv>
  <rv s="0">
    <fb>44574</fb>
    <v>0</v>
  </rv>
  <rv s="0">
    <fb>88.73</fb>
    <v>1</v>
  </rv>
  <rv s="0">
    <fb>88.92</fb>
    <v>1</v>
  </rv>
  <rv s="0">
    <fb>87.55</fb>
    <v>1</v>
  </rv>
  <rv s="0">
    <fb>87.79</fb>
    <v>1</v>
  </rv>
  <rv s="0">
    <fb>6044282</fb>
    <v>2</v>
  </rv>
  <rv s="0">
    <fb>44575</fb>
    <v>0</v>
  </rv>
  <rv s="0">
    <fb>87.48</fb>
    <v>1</v>
  </rv>
  <rv s="0">
    <fb>86.66</fb>
    <v>1</v>
  </rv>
  <rv s="0">
    <fb>87.69</fb>
    <v>1</v>
  </rv>
  <rv s="0">
    <fb>6054842</fb>
    <v>2</v>
  </rv>
  <rv s="0">
    <fb>44579</fb>
    <v>0</v>
  </rv>
  <rv s="0">
    <fb>86.87</fb>
    <v>1</v>
  </rv>
  <rv s="0">
    <fb>86.97</fb>
    <v>1</v>
  </rv>
  <rv s="0">
    <fb>85.34</fb>
    <v>1</v>
  </rv>
  <rv s="0">
    <fb>6827937</fb>
    <v>2</v>
  </rv>
  <rv s="0">
    <fb>44580</fb>
    <v>0</v>
  </rv>
  <rv s="0">
    <fb>85.77</fb>
    <v>1</v>
  </rv>
  <rv s="0">
    <fb>86.69</fb>
    <v>1</v>
  </rv>
  <rv s="0">
    <fb>83.23</fb>
    <v>1</v>
  </rv>
  <rv s="0">
    <fb>83.38</fb>
    <v>1</v>
  </rv>
  <rv s="0">
    <fb>10501777</fb>
    <v>2</v>
  </rv>
  <rv s="0">
    <fb>44581</fb>
    <v>0</v>
  </rv>
  <rv s="0">
    <fb>83.92</fb>
    <v>1</v>
  </rv>
  <rv s="0">
    <fb>85</fb>
    <v>1</v>
  </rv>
  <rv s="0">
    <fb>82.52</fb>
    <v>1</v>
  </rv>
  <rv s="0">
    <fb>82.72</fb>
    <v>1</v>
  </rv>
  <rv s="0">
    <fb>10836879</fb>
    <v>2</v>
  </rv>
  <rv s="0">
    <fb>44582</fb>
    <v>0</v>
  </rv>
  <rv s="0">
    <fb>83.36</fb>
    <v>1</v>
  </rv>
  <rv s="0">
    <fb>83.39</fb>
    <v>1</v>
  </rv>
  <rv s="0">
    <fb>82.03</fb>
    <v>1</v>
  </rv>
  <rv s="0">
    <fb>82.22</fb>
    <v>1</v>
  </rv>
  <rv s="0">
    <fb>11608986</fb>
    <v>2</v>
  </rv>
  <rv s="0">
    <fb>44585</fb>
    <v>0</v>
  </rv>
  <rv s="0">
    <fb>81.22</fb>
    <v>1</v>
  </rv>
  <rv s="0">
    <fb>82.42</fb>
    <v>1</v>
  </rv>
  <rv s="0">
    <fb>79.59</fb>
    <v>1</v>
  </rv>
  <rv s="0">
    <fb>16771776</fb>
    <v>2</v>
  </rv>
  <rv s="0">
    <fb>44586</fb>
    <v>0</v>
  </rv>
  <rv s="0">
    <fb>81.33</fb>
    <v>1</v>
  </rv>
  <rv s="0">
    <fb>82.1</fb>
    <v>1</v>
  </rv>
  <rv s="0">
    <fb>80.2</fb>
    <v>1</v>
  </rv>
  <rv s="0">
    <fb>81.069999999999993</fb>
    <v>1</v>
  </rv>
  <rv s="0">
    <fb>13469908</fb>
    <v>2</v>
  </rv>
  <rv s="0">
    <fb>44587</fb>
    <v>0</v>
  </rv>
  <rv s="0">
    <fb>81.91</fb>
    <v>1</v>
  </rv>
  <rv s="0">
    <fb>79.275000000000006</fb>
    <v>1</v>
  </rv>
  <rv s="0">
    <fb>13971284</fb>
    <v>2</v>
  </rv>
  <rv s="0">
    <fb>44588</fb>
    <v>0</v>
  </rv>
  <rv s="0">
    <fb>80.11</fb>
    <v>1</v>
  </rv>
  <rv s="0">
    <fb>81.150000000000006</fb>
    <v>1</v>
  </rv>
  <rv s="0">
    <fb>79.2</fb>
    <v>1</v>
  </rv>
  <rv s="0">
    <fb>79.78</fb>
    <v>1</v>
  </rv>
  <rv s="0">
    <fb>10333982</fb>
    <v>2</v>
  </rv>
  <rv s="0">
    <fb>44589</fb>
    <v>0</v>
  </rv>
  <rv s="0">
    <fb>79.989999999999995</fb>
    <v>1</v>
  </rv>
  <rv s="0">
    <fb>80.5</fb>
    <v>1</v>
  </rv>
  <rv s="0">
    <fb>78.569999999999993</fb>
    <v>1</v>
  </rv>
  <rv s="0">
    <fb>80.48</fb>
    <v>1</v>
  </rv>
  <rv s="0">
    <fb>7854679</fb>
    <v>2</v>
  </rv>
  <rv s="0">
    <fb>44592</fb>
    <v>0</v>
  </rv>
  <rv s="0">
    <fb>80.489999999999995</fb>
    <v>1</v>
  </rv>
  <rv s="0">
    <fb>81.64</fb>
    <v>1</v>
  </rv>
  <rv s="0">
    <fb>80.12</fb>
    <v>1</v>
  </rv>
  <rv s="0">
    <fb>81.16</fb>
    <v>1</v>
  </rv>
  <rv s="0">
    <fb>10594228</fb>
    <v>2</v>
  </rv>
  <rv s="0">
    <fb>44593</fb>
    <v>0</v>
  </rv>
  <rv s="0">
    <fb>81.400000000000006</fb>
    <v>1</v>
  </rv>
  <rv s="0">
    <fb>79.644999999999996</fb>
    <v>1</v>
  </rv>
  <rv s="0">
    <fb>81.040000000000006</fb>
    <v>1</v>
  </rv>
  <rv s="0">
    <fb>8016863</fb>
    <v>2</v>
  </rv>
  <rv s="0">
    <fb>44594</fb>
    <v>0</v>
  </rv>
  <rv s="0">
    <fb>82.88</fb>
    <v>1</v>
  </rv>
  <rv s="0">
    <fb>80.84</fb>
    <v>1</v>
  </rv>
  <rv s="0">
    <fb>82.5</fb>
    <v>1</v>
  </rv>
  <rv s="0">
    <fb>9287553</fb>
    <v>2</v>
  </rv>
  <rv s="0">
    <fb>44595</fb>
    <v>0</v>
  </rv>
  <rv s="0">
    <fb>81.63</fb>
    <v>1</v>
  </rv>
  <rv s="0">
    <fb>82.759</fb>
    <v>1</v>
  </rv>
  <rv s="0">
    <fb>81.94</fb>
    <v>1</v>
  </rv>
  <rv s="0">
    <fb>8207183</fb>
    <v>2</v>
  </rv>
  <rv s="0">
    <fb>44596</fb>
    <v>0</v>
  </rv>
  <rv s="0">
    <fb>82.91</fb>
    <v>1</v>
  </rv>
  <rv s="0">
    <fb>81.474999999999994</fb>
    <v>1</v>
  </rv>
  <rv s="0">
    <fb>82.11</fb>
    <v>1</v>
  </rv>
  <rv s="0">
    <fb>5570209</fb>
    <v>2</v>
  </rv>
  <rv s="0">
    <fb>44599</fb>
    <v>0</v>
  </rv>
  <rv s="0">
    <fb>82.14</fb>
    <v>1</v>
  </rv>
  <rv s="0">
    <fb>82.25</fb>
    <v>1</v>
  </rv>
  <rv s="0">
    <fb>80.66</fb>
    <v>1</v>
  </rv>
  <rv s="0">
    <fb>80.739999999999995</fb>
    <v>1</v>
  </rv>
  <rv s="0">
    <fb>6292225</fb>
    <v>2</v>
  </rv>
  <rv s="0">
    <fb>44600</fb>
    <v>0</v>
  </rv>
  <rv s="0">
    <fb>80.290000000000006</fb>
    <v>1</v>
  </rv>
  <rv s="0">
    <fb>80.86</fb>
    <v>1</v>
  </rv>
  <rv s="0">
    <fb>79.8001</fb>
    <v>1</v>
  </rv>
  <rv s="0">
    <fb>80.790000000000006</fb>
    <v>1</v>
  </rv>
  <rv s="0">
    <fb>6585399</fb>
    <v>2</v>
  </rv>
  <rv s="0">
    <fb>44601</fb>
    <v>0</v>
  </rv>
  <rv s="0">
    <fb>81.745000000000005</fb>
    <v>1</v>
  </rv>
  <rv s="0">
    <fb>83.65</fb>
    <v>1</v>
  </rv>
  <rv s="0">
    <fb>81.650000000000006</fb>
    <v>1</v>
  </rv>
  <rv s="0">
    <fb>83.45</fb>
    <v>1</v>
  </rv>
  <rv s="0">
    <fb>8755857</fb>
    <v>2</v>
  </rv>
  <rv s="0">
    <fb>44602</fb>
    <v>0</v>
  </rv>
  <rv s="0">
    <fb>82.75</fb>
    <v>1</v>
  </rv>
  <rv s="0">
    <fb>83.78</fb>
    <v>1</v>
  </rv>
  <rv s="0">
    <fb>81.62</fb>
    <v>1</v>
  </rv>
  <rv s="0">
    <fb>81.849999999999994</fb>
    <v>1</v>
  </rv>
  <rv s="0">
    <fb>6336287</fb>
    <v>2</v>
  </rv>
  <rv s="0">
    <fb>44603</fb>
    <v>0</v>
  </rv>
  <rv s="0">
    <fb>81.84</fb>
    <v>1</v>
  </rv>
  <rv s="0">
    <fb>82.43</fb>
    <v>1</v>
  </rv>
  <rv s="0">
    <fb>79.533799999999999</fb>
    <v>1</v>
  </rv>
  <rv s="0">
    <fb>79.75</fb>
    <v>1</v>
  </rv>
  <rv s="0">
    <fb>7670453</fb>
    <v>2</v>
  </rv>
  <rv s="0">
    <fb>44606</fb>
    <v>0</v>
  </rv>
  <rv s="0">
    <fb>79.58</fb>
    <v>1</v>
  </rv>
  <rv s="0">
    <fb>79.73</fb>
    <v>1</v>
  </rv>
  <rv s="0">
    <fb>78.44</fb>
    <v>1</v>
  </rv>
  <rv s="0">
    <fb>78.95</fb>
    <v>1</v>
  </rv>
  <rv s="0">
    <fb>5389794</fb>
    <v>2</v>
  </rv>
  <rv s="0">
    <fb>44607</fb>
    <v>0</v>
  </rv>
  <rv s="0">
    <fb>79.39</fb>
    <v>1</v>
  </rv>
  <rv s="0">
    <fb>79.924999999999997</fb>
    <v>1</v>
  </rv>
  <rv s="0">
    <fb>79.209999999999994</fb>
    <v>1</v>
  </rv>
  <rv s="0">
    <fb>79.77</fb>
    <v>1</v>
  </rv>
  <rv s="0">
    <fb>5713602</fb>
    <v>2</v>
  </rv>
  <rv s="0">
    <fb>44608</fb>
    <v>0</v>
  </rv>
  <rv s="0">
    <fb>79.47</fb>
    <v>1</v>
  </rv>
  <rv s="0">
    <fb>79.781700000000001</fb>
    <v>1</v>
  </rv>
  <rv s="0">
    <fb>78.22</fb>
    <v>1</v>
  </rv>
  <rv s="0">
    <fb>79.19</fb>
    <v>1</v>
  </rv>
  <rv s="0">
    <fb>6227096</fb>
    <v>2</v>
  </rv>
  <rv s="0">
    <fb>44609</fb>
    <v>0</v>
  </rv>
  <rv s="0">
    <fb>78.760000000000005</fb>
    <v>1</v>
  </rv>
  <rv s="0">
    <fb>78.98</fb>
    <v>1</v>
  </rv>
  <rv s="0">
    <fb>75.33</fb>
    <v>1</v>
  </rv>
  <rv s="0">
    <fb>75.53</fb>
    <v>1</v>
  </rv>
  <rv s="0">
    <fb>9247133</fb>
    <v>2</v>
  </rv>
  <rv s="0">
    <fb>44610</fb>
    <v>0</v>
  </rv>
  <rv s="0">
    <fb>75.5</fb>
    <v>1</v>
  </rv>
  <rv s="0">
    <fb>75.73</fb>
    <v>1</v>
  </rv>
  <rv s="0">
    <fb>74.28</fb>
    <v>1</v>
  </rv>
  <rv s="0">
    <fb>74.569999999999993</fb>
    <v>1</v>
  </rv>
  <rv s="0">
    <fb>7790102</fb>
    <v>2</v>
  </rv>
  <rv s="0">
    <fb>44614</fb>
    <v>0</v>
  </rv>
  <rv s="0">
    <fb>73.819999999999993</fb>
    <v>1</v>
  </rv>
  <rv s="0">
    <fb>74.91</fb>
    <v>1</v>
  </rv>
  <rv s="0">
    <fb>73.62</fb>
    <v>1</v>
  </rv>
  <rv s="0">
    <fb>74.12</fb>
    <v>1</v>
  </rv>
  <rv s="0">
    <fb>8039023</fb>
    <v>2</v>
  </rv>
  <rv s="0">
    <fb>44615</fb>
    <v>0</v>
  </rv>
  <rv s="0">
    <fb>74.069999999999993</fb>
    <v>1</v>
  </rv>
  <rv s="0">
    <fb>74.38</fb>
    <v>1</v>
  </rv>
  <rv s="0">
    <fb>72.349999999999994</fb>
    <v>1</v>
  </rv>
  <rv s="0">
    <fb>72.47</fb>
    <v>1</v>
  </rv>
  <rv s="0">
    <fb>6807081</fb>
    <v>2</v>
  </rv>
  <rv s="0">
    <fb>44616</fb>
    <v>0</v>
  </rv>
  <rv s="0">
    <fb>70.94</fb>
    <v>1</v>
  </rv>
  <rv s="0">
    <fb>74.944999999999993</fb>
    <v>1</v>
  </rv>
  <rv s="0">
    <fb>70.23</fb>
    <v>1</v>
  </rv>
  <rv s="0">
    <fb>74.81</fb>
    <v>1</v>
  </rv>
  <rv s="0">
    <fb>11240472</fb>
    <v>2</v>
  </rv>
  <rv s="0">
    <fb>44617</fb>
    <v>0</v>
  </rv>
  <rv s="0">
    <fb>74.650000000000006</fb>
    <v>1</v>
  </rv>
  <rv s="0">
    <fb>76.834999999999994</fb>
    <v>1</v>
  </rv>
  <rv s="0">
    <fb>74.319999999999993</fb>
    <v>1</v>
  </rv>
  <rv s="0">
    <fb>76.349999999999994</fb>
    <v>1</v>
  </rv>
  <rv s="0">
    <fb>8291803</fb>
    <v>2</v>
  </rv>
  <rv s="0">
    <fb>44620</fb>
    <v>0</v>
  </rv>
  <rv s="0">
    <fb>75.569999999999993</fb>
    <v>1</v>
  </rv>
  <rv s="0">
    <fb>76.699799999999996</fb>
    <v>1</v>
  </rv>
  <rv s="0">
    <fb>75.02</fb>
    <v>1</v>
  </rv>
  <rv s="0">
    <fb>75.97</fb>
    <v>1</v>
  </rv>
  <rv s="0">
    <fb>9234369</fb>
    <v>2</v>
  </rv>
  <rv s="0">
    <fb>44621</fb>
    <v>0</v>
  </rv>
  <rv s="0">
    <fb>75.98</fb>
    <v>1</v>
  </rv>
  <rv s="0">
    <fb>76.499899999999997</fb>
    <v>1</v>
  </rv>
  <rv s="0">
    <fb>75.62</fb>
    <v>1</v>
  </rv>
  <rv s="0">
    <fb>76.010000000000005</fb>
    <v>1</v>
  </rv>
  <rv s="0">
    <fb>8752131</fb>
    <v>2</v>
  </rv>
  <rv s="0">
    <fb>44622</fb>
    <v>0</v>
  </rv>
  <rv s="0">
    <fb>76.45</fb>
    <v>1</v>
  </rv>
  <rv s="0">
    <fb>78.86</fb>
    <v>1</v>
  </rv>
  <rv s="0">
    <fb>76.25</fb>
    <v>1</v>
  </rv>
  <rv s="0">
    <fb>78.28</fb>
    <v>1</v>
  </rv>
  <rv s="0">
    <fb>8527165</fb>
    <v>2</v>
  </rv>
  <rv s="0">
    <fb>44623</fb>
    <v>0</v>
  </rv>
  <rv s="0">
    <fb>78.959999999999994</fb>
    <v>1</v>
  </rv>
  <rv s="0">
    <fb>79.040000000000006</fb>
    <v>1</v>
  </rv>
  <rv s="0">
    <fb>77.430000000000007</fb>
    <v>1</v>
  </rv>
  <rv s="0">
    <fb>78.25</fb>
    <v>1</v>
  </rv>
  <rv s="0">
    <fb>8203025</fb>
    <v>2</v>
  </rv>
  <rv s="0">
    <fb>44624</fb>
    <v>0</v>
  </rv>
  <rv s="0">
    <fb>77.67</fb>
    <v>1</v>
  </rv>
  <rv s="0">
    <fb>77.91</fb>
    <v>1</v>
  </rv>
  <rv s="0">
    <fb>75.78</fb>
    <v>1</v>
  </rv>
  <rv s="0">
    <fb>76.489999999999995</fb>
    <v>1</v>
  </rv>
  <rv s="0">
    <fb>8841964</fb>
    <v>2</v>
  </rv>
  <rv s="0">
    <fb>44627</fb>
    <v>0</v>
  </rv>
  <rv s="0">
    <fb>76.290000000000006</fb>
    <v>1</v>
  </rv>
  <rv s="0">
    <fb>76.39</fb>
    <v>1</v>
  </rv>
  <rv s="0">
    <fb>73.444999999999993</fb>
    <v>1</v>
  </rv>
  <rv s="0">
    <fb>11110149</fb>
    <v>2</v>
  </rv>
  <rv s="0">
    <fb>44628</fb>
    <v>0</v>
  </rv>
  <rv s="0">
    <fb>73.84</fb>
    <v>1</v>
  </rv>
  <rv s="0">
    <fb>75.23</fb>
    <v>1</v>
  </rv>
  <rv s="0">
    <fb>73.114999999999995</fb>
    <v>1</v>
  </rv>
  <rv s="0">
    <fb>73.33</fb>
    <v>1</v>
  </rv>
  <rv s="0">
    <fb>9134057</fb>
    <v>2</v>
  </rv>
  <rv s="0">
    <fb>44629</fb>
    <v>0</v>
  </rv>
  <rv s="0">
    <fb>74.92</fb>
    <v>1</v>
  </rv>
  <rv s="0">
    <fb>76.95</fb>
    <v>1</v>
  </rv>
  <rv s="0">
    <fb>74.69</fb>
    <v>1</v>
  </rv>
  <rv s="0">
    <fb>76.099999999999994</fb>
    <v>1</v>
  </rv>
  <rv s="0">
    <fb>8959496</fb>
    <v>2</v>
  </rv>
  <rv s="0">
    <fb>44630</fb>
    <v>0</v>
  </rv>
  <rv s="0">
    <fb>75.099999999999994</fb>
    <v>1</v>
  </rv>
  <rv s="0">
    <fb>76.849999999999994</fb>
    <v>1</v>
  </rv>
  <rv s="0">
    <fb>75.03</fb>
    <v>1</v>
  </rv>
  <rv s="0">
    <fb>76.650000000000006</fb>
    <v>1</v>
  </rv>
  <rv s="0">
    <fb>13812596</fb>
    <v>2</v>
  </rv>
  <rv s="0">
    <fb>44631</fb>
    <v>0</v>
  </rv>
  <rv s="0">
    <fb>76.7</fb>
    <v>1</v>
  </rv>
  <rv s="0">
    <fb>79.900000000000006</fb>
    <v>1</v>
  </rv>
  <rv s="0">
    <fb>74</fb>
    <v>1</v>
  </rv>
  <rv s="0">
    <fb>77.819999999999993</fb>
    <v>1</v>
  </rv>
  <rv s="0">
    <fb>22795849</fb>
    <v>2</v>
  </rv>
  <rv s="0">
    <fb>44634</fb>
    <v>0</v>
  </rv>
  <rv s="0">
    <fb>77.92</fb>
    <v>1</v>
  </rv>
  <rv s="0">
    <fb>78.599999999999994</fb>
    <v>1</v>
  </rv>
  <rv s="0">
    <fb>75.44</fb>
    <v>1</v>
  </rv>
  <rv s="0">
    <fb>77.069999999999993</fb>
    <v>1</v>
  </rv>
  <rv s="0">
    <fb>13306302</fb>
    <v>2</v>
  </rv>
  <rv s="0">
    <fb>44635</fb>
    <v>0</v>
  </rv>
  <rv s="0">
    <fb>78.05</fb>
    <v>1</v>
  </rv>
  <rv s="0">
    <fb>81.540000000000006</fb>
    <v>1</v>
  </rv>
  <rv s="0">
    <fb>80.599999999999994</fb>
    <v>1</v>
  </rv>
  <rv s="0">
    <fb>16847194</fb>
    <v>2</v>
  </rv>
  <rv s="0">
    <fb>44636</fb>
    <v>0</v>
  </rv>
  <rv s="0">
    <fb>81</fb>
    <v>1</v>
  </rv>
  <rv s="0">
    <fb>81.23</fb>
    <v>1</v>
  </rv>
  <rv s="0">
    <fb>77.75</fb>
    <v>1</v>
  </rv>
  <rv s="0">
    <fb>79.959999999999994</fb>
    <v>1</v>
  </rv>
  <rv s="0">
    <fb>14071329</fb>
    <v>2</v>
  </rv>
  <rv s="0">
    <fb>44637</fb>
    <v>0</v>
  </rv>
  <rv s="0">
    <fb>81.290000000000006</fb>
    <v>1</v>
  </rv>
  <rv s="0">
    <fb>79.260000000000005</fb>
    <v>1</v>
  </rv>
  <rv s="0">
    <fb>10462536</fb>
    <v>2</v>
  </rv>
  <rv s="0">
    <fb>44638</fb>
    <v>0</v>
  </rv>
  <rv s="0">
    <fb>79.63</fb>
    <v>1</v>
  </rv>
  <rv s="0">
    <fb>81.99</fb>
    <v>1</v>
  </rv>
  <rv s="0">
    <fb>78.84</fb>
    <v>1</v>
  </rv>
  <rv s="0">
    <fb>81.680000000000007</fb>
    <v>1</v>
  </rv>
  <rv s="0">
    <fb>24176035</fb>
    <v>2</v>
  </rv>
  <rv s="0">
    <fb>44641</fb>
    <v>0</v>
  </rv>
  <rv s="0">
    <fb>81.28</fb>
    <v>1</v>
  </rv>
  <rv s="0">
    <fb>81.98</fb>
    <v>1</v>
  </rv>
  <rv s="0">
    <fb>80.27</fb>
    <v>1</v>
  </rv>
  <rv s="0">
    <fb>80.959999999999994</fb>
    <v>1</v>
  </rv>
  <rv s="0">
    <fb>8131283</fb>
    <v>2</v>
  </rv>
  <rv s="0">
    <fb>44642</fb>
    <v>0</v>
  </rv>
  <rv s="0">
    <fb>81.459999999999994</fb>
    <v>1</v>
  </rv>
  <rv s="0">
    <fb>82.23</fb>
    <v>1</v>
  </rv>
  <rv s="0">
    <fb>80.83</fb>
    <v>1</v>
  </rv>
  <rv s="0">
    <fb>81.8</fb>
    <v>1</v>
  </rv>
  <rv s="0">
    <fb>9292304</fb>
    <v>2</v>
  </rv>
  <rv s="0">
    <fb>44643</fb>
    <v>0</v>
  </rv>
  <rv s="0">
    <fb>81.25</fb>
    <v>1</v>
  </rv>
  <rv s="0">
    <fb>81.41</fb>
    <v>1</v>
  </rv>
  <rv s="0">
    <fb>80.22</fb>
    <v>1</v>
  </rv>
  <rv s="0">
    <fb>80.39</fb>
    <v>1</v>
  </rv>
  <rv s="0">
    <fb>7451282</fb>
    <v>2</v>
  </rv>
  <rv s="0">
    <fb>44644</fb>
    <v>0</v>
  </rv>
  <rv s="0">
    <fb>80.650000000000006</fb>
    <v>1</v>
  </rv>
  <rv s="0">
    <fb>82.814999999999998</fb>
    <v>1</v>
  </rv>
  <rv s="0">
    <fb>82.24</fb>
    <v>1</v>
  </rv>
  <rv s="0">
    <fb>7025694</fb>
    <v>2</v>
  </rv>
  <rv s="0">
    <fb>44645</fb>
    <v>0</v>
  </rv>
  <rv s="0">
    <fb>82.04</fb>
    <v>1</v>
  </rv>
  <rv s="0">
    <fb>82.84</fb>
    <v>1</v>
  </rv>
  <rv s="0">
    <fb>81.73</fb>
    <v>1</v>
  </rv>
  <rv s="0">
    <fb>5685003</fb>
    <v>2</v>
  </rv>
  <rv s="0">
    <fb>44648</fb>
    <v>0</v>
  </rv>
  <rv s="0">
    <fb>81.739999999999995</fb>
    <v>1</v>
  </rv>
  <rv s="0">
    <fb>83.706800000000001</fb>
    <v>1</v>
  </rv>
  <rv s="0">
    <fb>83.6</fb>
    <v>1</v>
  </rv>
  <rv s="0">
    <fb>6626753</fb>
    <v>2</v>
  </rv>
  <rv s="0">
    <fb>44649</fb>
    <v>0</v>
  </rv>
  <rv s="0">
    <fb>84.49</fb>
    <v>1</v>
  </rv>
  <rv s="0">
    <fb>84.51</fb>
    <v>1</v>
  </rv>
  <rv s="0">
    <fb>83.113</fb>
    <v>1</v>
  </rv>
  <rv s="0">
    <fb>84.29</fb>
    <v>1</v>
  </rv>
  <rv s="0">
    <fb>5762029</fb>
    <v>2</v>
  </rv>
  <rv s="0">
    <fb>44650</fb>
    <v>0</v>
  </rv>
  <rv s="0">
    <fb>83.96</fb>
    <v>1</v>
  </rv>
  <rv s="0">
    <fb>84.36</fb>
    <v>1</v>
  </rv>
  <rv s="0">
    <fb>83.12</fb>
    <v>1</v>
  </rv>
  <rv s="0">
    <fb>5533157</fb>
    <v>2</v>
  </rv>
  <rv s="0">
    <fb>44651</fb>
    <v>0</v>
  </rv>
  <rv s="0">
    <fb>83.11</fb>
    <v>1</v>
  </rv>
  <rv s="0">
    <fb>83.91</fb>
    <v>1</v>
  </rv>
  <rv s="0">
    <fb>82.59</fb>
    <v>1</v>
  </rv>
  <rv s="0">
    <fb>82.73</fb>
    <v>1</v>
  </rv>
  <rv s="0">
    <fb>9433347</fb>
    <v>2</v>
  </rv>
  <rv s="0">
    <fb>44652</fb>
    <v>0</v>
  </rv>
  <rv s="0">
    <fb>83.04</fb>
    <v>1</v>
  </rv>
  <rv s="0">
    <fb>81.47</fb>
    <v>1</v>
  </rv>
  <rv s="0">
    <fb>82.01</fb>
    <v>1</v>
  </rv>
  <rv s="0">
    <fb>6147478</fb>
    <v>2</v>
  </rv>
  <rv s="0">
    <fb>44655</fb>
    <v>0</v>
  </rv>
  <rv s="0">
    <fb>84.295000000000002</fb>
    <v>1</v>
  </rv>
  <rv s="0">
    <fb>82</fb>
    <v>1</v>
  </rv>
  <rv s="0">
    <fb>84.07</fb>
    <v>1</v>
  </rv>
  <rv s="0">
    <fb>7884320</fb>
    <v>2</v>
  </rv>
  <rv s="0">
    <fb>44656</fb>
    <v>0</v>
  </rv>
  <rv s="0">
    <fb>83.4</fb>
    <v>1</v>
  </rv>
  <rv s="0">
    <fb>84.52</fb>
    <v>1</v>
  </rv>
  <rv s="0">
    <fb>82.67</fb>
    <v>1</v>
  </rv>
  <rv s="0">
    <fb>82.94</fb>
    <v>1</v>
  </rv>
  <rv s="0">
    <fb>5143421</fb>
    <v>2</v>
  </rv>
  <rv s="0">
    <fb>44657</fb>
    <v>0</v>
  </rv>
  <rv s="0">
    <fb>81.92</fb>
    <v>1</v>
  </rv>
  <rv s="0">
    <fb>82.47</fb>
    <v>1</v>
  </rv>
  <rv s="0">
    <fb>81.370099999999994</fb>
    <v>1</v>
  </rv>
  <rv s="0">
    <fb>82.12</fb>
    <v>1</v>
  </rv>
  <rv s="0">
    <fb>5492353</fb>
    <v>2</v>
  </rv>
  <rv s="0">
    <fb>44658</fb>
    <v>0</v>
  </rv>
  <rv s="0">
    <fb>80.78</fb>
    <v>1</v>
  </rv>
  <rv s="0">
    <fb>7112164</fb>
    <v>2</v>
  </rv>
  <rv s="0">
    <fb>44659</fb>
    <v>0</v>
  </rv>
  <rv s="0">
    <fb>81.709999999999994</fb>
    <v>1</v>
  </rv>
  <rv s="0">
    <fb>81.83</fb>
    <v>1</v>
  </rv>
  <rv s="0">
    <fb>80.260000000000005</fb>
    <v>1</v>
  </rv>
  <rv s="0">
    <fb>80.94</fb>
    <v>1</v>
  </rv>
  <rv s="0">
    <fb>6182460</fb>
    <v>2</v>
  </rv>
  <rv s="0">
    <fb>44662</fb>
    <v>0</v>
  </rv>
  <rv s="0">
    <fb>80.63</fb>
    <v>1</v>
  </rv>
  <rv s="0">
    <fb>81.13</fb>
    <v>1</v>
  </rv>
  <rv s="0">
    <fb>79.7</fb>
    <v>1</v>
  </rv>
  <rv s="0">
    <fb>79.760000000000005</fb>
    <v>1</v>
  </rv>
  <rv s="0">
    <fb>5738411</fb>
    <v>2</v>
  </rv>
  <rv s="0">
    <fb>44663</fb>
    <v>0</v>
  </rv>
  <rv s="0">
    <fb>79.95</fb>
    <v>1</v>
  </rv>
  <rv s="0">
    <fb>80.989999999999995</fb>
    <v>1</v>
  </rv>
  <rv s="0">
    <fb>79.02</fb>
    <v>1</v>
  </rv>
  <rv s="0">
    <fb>79.33</fb>
    <v>1</v>
  </rv>
  <rv s="0">
    <fb>6174735</fb>
    <v>2</v>
  </rv>
  <rv s="0">
    <fb>44664</fb>
    <v>0</v>
  </rv>
  <rv s="0">
    <fb>78.63</fb>
    <v>1</v>
  </rv>
  <rv s="0">
    <fb>4728639</fb>
    <v>2</v>
  </rv>
  <rv s="0">
    <fb>44665</fb>
    <v>0</v>
  </rv>
  <rv s="0">
    <fb>79.83</fb>
    <v>1</v>
  </rv>
  <rv s="0">
    <fb>80.36</fb>
    <v>1</v>
  </rv>
  <rv s="0">
    <fb>79.319999999999993</fb>
    <v>1</v>
  </rv>
  <rv s="0">
    <fb>79.45</fb>
    <v>1</v>
  </rv>
  <rv s="0">
    <fb>5590385</fb>
    <v>2</v>
  </rv>
  <rv s="0">
    <fb>44669</fb>
    <v>0</v>
  </rv>
  <rv s="0">
    <fb>79.150000000000006</fb>
    <v>1</v>
  </rv>
  <rv s="0">
    <fb>79.98</fb>
    <v>1</v>
  </rv>
  <rv s="0">
    <fb>4955883</fb>
    <v>2</v>
  </rv>
  <rv s="0">
    <fb>44670</fb>
    <v>0</v>
  </rv>
  <rv s="0">
    <fb>78.235500000000002</fb>
    <v>1</v>
  </rv>
  <rv s="0">
    <fb>79.56</fb>
    <v>1</v>
  </rv>
  <rv s="0">
    <fb>5412371</fb>
    <v>2</v>
  </rv>
  <rv s="0">
    <fb>44671</fb>
    <v>0</v>
  </rv>
  <rv s="0">
    <fb>79.790000000000006</fb>
    <v>1</v>
  </rv>
  <rv s="0">
    <fb>81.86</fb>
    <v>1</v>
  </rv>
  <rv s="0">
    <fb>9472638</fb>
    <v>2</v>
  </rv>
  <rv s="0">
    <fb>44672</fb>
    <v>0</v>
  </rv>
  <rv s="0">
    <fb>81.489999999999995</fb>
    <v>1</v>
  </rv>
  <rv s="0">
    <fb>81.599999999999994</fb>
    <v>1</v>
  </rv>
  <rv s="0">
    <fb>79.48</fb>
    <v>1</v>
  </rv>
  <rv s="0">
    <fb>5616095</fb>
    <v>2</v>
  </rv>
  <rv s="0">
    <fb>44673</fb>
    <v>0</v>
  </rv>
  <rv s="0">
    <fb>79.27</fb>
    <v>1</v>
  </rv>
  <rv s="0">
    <fb>76.16</fb>
    <v>1</v>
  </rv>
  <rv s="0">
    <fb>76.209999999999994</fb>
    <v>1</v>
  </rv>
  <rv s="0">
    <fb>9357054</fb>
    <v>2</v>
  </rv>
  <rv s="0">
    <fb>44676</fb>
    <v>0</v>
  </rv>
  <rv s="0">
    <fb>76.2</fb>
    <v>1</v>
  </rv>
  <rv s="0">
    <fb>77.06</fb>
    <v>1</v>
  </rv>
  <rv s="0">
    <fb>74.7</fb>
    <v>1</v>
  </rv>
  <rv s="0">
    <fb>76.98</fb>
    <v>1</v>
  </rv>
  <rv s="0">
    <fb>7305933</fb>
    <v>2</v>
  </rv>
  <rv s="0">
    <fb>44677</fb>
    <v>0</v>
  </rv>
  <rv s="0">
    <fb>74.48</fb>
    <v>1</v>
  </rv>
  <rv s="0">
    <fb>74.510000000000005</fb>
    <v>1</v>
  </rv>
  <rv s="0">
    <fb>7555238</fb>
    <v>2</v>
  </rv>
  <rv s="0">
    <fb>44678</fb>
    <v>0</v>
  </rv>
  <rv s="0">
    <fb>74.58</fb>
    <v>1</v>
  </rv>
  <rv s="0">
    <fb>76.02</fb>
    <v>1</v>
  </rv>
  <rv s="0">
    <fb>74.42</fb>
    <v>1</v>
  </rv>
  <rv s="0">
    <fb>74.760000000000005</fb>
    <v>1</v>
  </rv>
  <rv s="0">
    <fb>7279244</fb>
    <v>2</v>
  </rv>
  <rv s="0">
    <fb>44679</fb>
    <v>0</v>
  </rv>
  <rv s="0">
    <fb>75.52</fb>
    <v>1</v>
  </rv>
  <rv s="0">
    <fb>76.63</fb>
    <v>1</v>
  </rv>
  <rv s="0">
    <fb>74.599999999999994</fb>
    <v>1</v>
  </rv>
  <rv s="0">
    <fb>76.14</fb>
    <v>1</v>
  </rv>
  <rv s="0">
    <fb>6178748</fb>
    <v>2</v>
  </rv>
  <rv s="0">
    <fb>44680</fb>
    <v>0</v>
  </rv>
  <rv s="0">
    <fb>75.34</fb>
    <v>1</v>
  </rv>
  <rv s="0">
    <fb>75.87</fb>
    <v>1</v>
  </rv>
  <rv s="0">
    <fb>73.150000000000006</fb>
    <v>1</v>
  </rv>
  <rv s="0">
    <fb>73.400000000000006</fb>
    <v>1</v>
  </rv>
  <rv s="0">
    <fb>7946947</fb>
    <v>2</v>
  </rv>
  <rv s="0">
    <fb>44683</fb>
    <v>0</v>
  </rv>
  <rv s="0">
    <fb>73.930000000000007</fb>
    <v>1</v>
  </rv>
  <rv s="0">
    <fb>72.525000000000006</fb>
    <v>1</v>
  </rv>
  <rv s="0">
    <fb>7379947</fb>
    <v>2</v>
  </rv>
  <rv s="0">
    <fb>44684</fb>
    <v>0</v>
  </rv>
  <rv s="0">
    <fb>73.849999999999994</fb>
    <v>1</v>
  </rv>
  <rv s="0">
    <fb>74.209999999999994</fb>
    <v>1</v>
  </rv>
  <rv s="0">
    <fb>72.805000000000007</fb>
    <v>1</v>
  </rv>
  <rv s="0">
    <fb>73.290000000000006</fb>
    <v>1</v>
  </rv>
  <rv s="0">
    <fb>5211626</fb>
    <v>2</v>
  </rv>
  <rv s="0">
    <fb>44685</fb>
    <v>0</v>
  </rv>
  <rv s="0">
    <fb>73.38</fb>
    <v>1</v>
  </rv>
  <rv s="0">
    <fb>75.349999999999994</fb>
    <v>1</v>
  </rv>
  <rv s="0">
    <fb>72.790000000000006</fb>
    <v>1</v>
  </rv>
  <rv s="0">
    <fb>75.209999999999994</fb>
    <v>1</v>
  </rv>
  <rv s="0">
    <fb>6760142</fb>
    <v>2</v>
  </rv>
  <rv s="0">
    <fb>44686</fb>
    <v>0</v>
  </rv>
  <rv s="0">
    <fb>74.72</fb>
    <v>1</v>
  </rv>
  <rv s="0">
    <fb>71.989999999999995</fb>
    <v>1</v>
  </rv>
  <rv s="0">
    <fb>72.8</fb>
    <v>1</v>
  </rv>
  <rv s="0">
    <fb>7197207</fb>
    <v>2</v>
  </rv>
  <rv s="0">
    <fb>44687</fb>
    <v>0</v>
  </rv>
  <rv s="0">
    <fb>72.13</fb>
    <v>1</v>
  </rv>
  <rv s="0">
    <fb>72.94</fb>
    <v>1</v>
  </rv>
  <rv s="0">
    <fb>71.63</fb>
    <v>1</v>
  </rv>
  <rv s="0">
    <fb>72.489999999999995</fb>
    <v>1</v>
  </rv>
  <rv s="0">
    <fb>6222457</fb>
    <v>2</v>
  </rv>
  <rv s="0">
    <fb>44690</fb>
    <v>0</v>
  </rv>
  <rv s="0">
    <fb>71.64</fb>
    <v>1</v>
  </rv>
  <rv s="0">
    <fb>72.59</fb>
    <v>1</v>
  </rv>
  <rv s="0">
    <fb>71.17</fb>
    <v>1</v>
  </rv>
  <rv s="0">
    <fb>71.540000000000006</fb>
    <v>1</v>
  </rv>
  <rv s="0">
    <fb>7019736</fb>
    <v>2</v>
  </rv>
  <rv s="0">
    <fb>44691</fb>
    <v>0</v>
  </rv>
  <rv s="0">
    <fb>72.5</fb>
    <v>1</v>
  </rv>
  <rv s="0">
    <fb>71.27</fb>
    <v>1</v>
  </rv>
  <rv s="0">
    <fb>72.53</fb>
    <v>1</v>
  </rv>
  <rv s="0">
    <fb>8129032</fb>
    <v>2</v>
  </rv>
  <rv s="0">
    <fb>44692</fb>
    <v>0</v>
  </rv>
  <rv s="0">
    <fb>72.31</fb>
    <v>1</v>
  </rv>
  <rv s="0">
    <fb>73.459999999999994</fb>
    <v>1</v>
  </rv>
  <rv s="0">
    <fb>70.87</fb>
    <v>1</v>
  </rv>
  <rv s="0">
    <fb>71.03</fb>
    <v>1</v>
  </rv>
  <rv s="0">
    <fb>6932051</fb>
    <v>2</v>
  </rv>
  <rv s="0">
    <fb>44693</fb>
    <v>0</v>
  </rv>
  <rv s="0">
    <fb>70.88</fb>
    <v>1</v>
  </rv>
  <rv s="0">
    <fb>70.930000000000007</fb>
    <v>1</v>
  </rv>
  <rv s="0">
    <fb>68.97</fb>
    <v>1</v>
  </rv>
  <rv s="0">
    <fb>70.73</fb>
    <v>1</v>
  </rv>
  <rv s="0">
    <fb>11698892</fb>
    <v>2</v>
  </rv>
  <rv s="0">
    <fb>44694</fb>
    <v>0</v>
  </rv>
  <rv s="0">
    <fb>70.959999999999994</fb>
    <v>1</v>
  </rv>
  <rv s="0">
    <fb>71.98</fb>
    <v>1</v>
  </rv>
  <rv s="0">
    <fb>70.53</fb>
    <v>1</v>
  </rv>
  <rv s="0">
    <fb>6700124</fb>
    <v>2</v>
  </rv>
  <rv s="0">
    <fb>44697</fb>
    <v>0</v>
  </rv>
  <rv s="0">
    <fb>70.69</fb>
    <v>1</v>
  </rv>
  <rv s="0">
    <fb>70.91</fb>
    <v>1</v>
  </rv>
  <rv s="0">
    <fb>69.39</fb>
    <v>1</v>
  </rv>
  <rv s="0">
    <fb>69.709999999999994</fb>
    <v>1</v>
  </rv>
  <rv s="0">
    <fb>6942287</fb>
    <v>2</v>
  </rv>
  <rv s="0">
    <fb>44698</fb>
    <v>0</v>
  </rv>
  <rv s="0">
    <fb>71.045000000000002</fb>
    <v>1</v>
  </rv>
  <rv s="0">
    <fb>71.900000000000006</fb>
    <v>1</v>
  </rv>
  <rv s="0">
    <fb>70.7</fb>
    <v>1</v>
  </rv>
  <rv s="0">
    <fb>71.88</fb>
    <v>1</v>
  </rv>
  <rv s="0">
    <fb>5952505</fb>
    <v>2</v>
  </rv>
  <rv s="0">
    <fb>44699</fb>
    <v>0</v>
  </rv>
  <rv s="0">
    <fb>70.8</fb>
    <v>1</v>
  </rv>
  <rv s="0">
    <fb>67.81</fb>
    <v>1</v>
  </rv>
  <rv s="0">
    <fb>68.3</fb>
    <v>1</v>
  </rv>
  <rv s="0">
    <fb>7977287</fb>
    <v>2</v>
  </rv>
  <rv s="0">
    <fb>44700</fb>
    <v>0</v>
  </rv>
  <rv s="0">
    <fb>67.48</fb>
    <v>1</v>
  </rv>
  <rv s="0">
    <fb>67.900000000000006</fb>
    <v>1</v>
  </rv>
  <rv s="0">
    <fb>66.72</fb>
    <v>1</v>
  </rv>
  <rv s="0">
    <fb>67.040000000000006</fb>
    <v>1</v>
  </rv>
  <rv s="0">
    <fb>9451784</fb>
    <v>2</v>
  </rv>
  <rv s="0">
    <fb>44701</fb>
    <v>0</v>
  </rv>
  <rv s="0">
    <fb>67.88</fb>
    <v>1</v>
  </rv>
  <rv s="0">
    <fb>68.69</fb>
    <v>1</v>
  </rv>
  <rv s="0">
    <fb>66.849999999999994</fb>
    <v>1</v>
  </rv>
  <rv s="0">
    <fb>68.63</fb>
    <v>1</v>
  </rv>
  <rv s="0">
    <fb>7531062</fb>
    <v>2</v>
  </rv>
  <rv s="0">
    <fb>44704</fb>
    <v>0</v>
  </rv>
  <rv s="0">
    <fb>69.31</fb>
    <v>1</v>
  </rv>
  <rv s="0">
    <fb>70.47</fb>
    <v>1</v>
  </rv>
  <rv s="0">
    <fb>68.67</fb>
    <v>1</v>
  </rv>
  <rv s="0">
    <fb>70.040000000000006</fb>
    <v>1</v>
  </rv>
  <rv s="0">
    <fb>7370173</fb>
    <v>2</v>
  </rv>
  <rv s="0">
    <fb>44705</fb>
    <v>0</v>
  </rv>
  <rv s="0">
    <fb>69.67</fb>
    <v>1</v>
  </rv>
  <rv s="0">
    <fb>68.31</fb>
    <v>1</v>
  </rv>
  <rv s="0">
    <fb>69.03</fb>
    <v>1</v>
  </rv>
  <rv s="0">
    <fb>6644122</fb>
    <v>2</v>
  </rv>
  <rv s="0">
    <fb>44706</fb>
    <v>0</v>
  </rv>
  <rv s="0">
    <fb>68.88</fb>
    <v>1</v>
  </rv>
  <rv s="0">
    <fb>70.22</fb>
    <v>1</v>
  </rv>
  <rv s="0">
    <fb>68.77</fb>
    <v>1</v>
  </rv>
  <rv s="0">
    <fb>69.83</fb>
    <v>1</v>
  </rv>
  <rv s="0">
    <fb>7103302</fb>
    <v>2</v>
  </rv>
  <rv s="0">
    <fb>44707</fb>
    <v>0</v>
  </rv>
  <rv s="0">
    <fb>70.13</fb>
    <v>1</v>
  </rv>
  <rv s="0">
    <fb>72.12</fb>
    <v>1</v>
  </rv>
  <rv s="0">
    <fb>69.91</fb>
    <v>1</v>
  </rv>
  <rv s="0">
    <fb>71.66</fb>
    <v>1</v>
  </rv>
  <rv s="0">
    <fb>6759102</fb>
    <v>2</v>
  </rv>
  <rv s="0">
    <fb>44708</fb>
    <v>0</v>
  </rv>
  <rv s="0">
    <fb>72.36</fb>
    <v>1</v>
  </rv>
  <rv s="0">
    <fb>72.844999999999999</fb>
    <v>1</v>
  </rv>
  <rv s="0">
    <fb>71.55</fb>
    <v>1</v>
  </rv>
  <rv s="0">
    <fb>72.78</fb>
    <v>1</v>
  </rv>
  <rv s="0">
    <fb>6566671</fb>
    <v>2</v>
  </rv>
  <rv s="0">
    <fb>44712</fb>
    <v>0</v>
  </rv>
  <rv s="0">
    <fb>72.23</fb>
    <v>1</v>
  </rv>
  <rv s="0">
    <fb>72.98</fb>
    <v>1</v>
  </rv>
  <rv s="0">
    <fb>71.52</fb>
    <v>1</v>
  </rv>
  <rv s="0">
    <fb>71.92</fb>
    <v>1</v>
  </rv>
  <rv s="0">
    <fb>16890347</fb>
    <v>2</v>
  </rv>
  <rv s="0">
    <fb>44713</fb>
    <v>0</v>
  </rv>
  <rv s="0">
    <fb>73.02</fb>
    <v>1</v>
  </rv>
  <rv s="0">
    <fb>73.27</fb>
    <v>1</v>
  </rv>
  <rv s="0">
    <fb>71.150000000000006</fb>
    <v>1</v>
  </rv>
  <rv s="0">
    <fb>71.599999999999994</fb>
    <v>1</v>
  </rv>
  <rv s="0">
    <fb>5804707</fb>
    <v>2</v>
  </rv>
  <rv s="0">
    <fb>44714</fb>
    <v>0</v>
  </rv>
  <rv s="0">
    <fb>71.48</fb>
    <v>1</v>
  </rv>
  <rv s="0">
    <fb>73.185000000000002</fb>
    <v>1</v>
  </rv>
  <rv s="0">
    <fb>71.010000000000005</fb>
    <v>1</v>
  </rv>
  <rv s="0">
    <fb>73.14</fb>
    <v>1</v>
  </rv>
  <rv s="0">
    <fb>6200443</fb>
    <v>2</v>
  </rv>
  <rv s="0">
    <fb>44715</fb>
    <v>0</v>
  </rv>
  <rv s="0">
    <fb>72.56</fb>
    <v>1</v>
  </rv>
  <rv s="0">
    <fb>72.954999999999998</fb>
    <v>1</v>
  </rv>
  <rv s="0">
    <fb>71.2273</fb>
    <v>1</v>
  </rv>
  <rv s="0">
    <fb>71.790000000000006</fb>
    <v>1</v>
  </rv>
  <rv s="0">
    <fb>8169519</fb>
    <v>2</v>
  </rv>
  <rv s="0">
    <fb>44718</fb>
    <v>0</v>
  </rv>
  <rv s="0">
    <fb>72.63</fb>
    <v>1</v>
  </rv>
  <rv s="0">
    <fb>74.84</fb>
    <v>1</v>
  </rv>
  <rv s="0">
    <fb>72.97</fb>
    <v>1</v>
  </rv>
  <rv s="0">
    <fb>5274706</fb>
    <v>2</v>
  </rv>
  <rv s="0">
    <fb>44719</fb>
    <v>0</v>
  </rv>
  <rv s="0">
    <fb>71.59</fb>
    <v>1</v>
  </rv>
  <rv s="0">
    <fb>73.13</fb>
    <v>1</v>
  </rv>
  <rv s="0">
    <fb>72.69</fb>
    <v>1</v>
  </rv>
  <rv s="0">
    <fb>5675655</fb>
    <v>2</v>
  </rv>
  <rv s="0">
    <fb>44720</fb>
    <v>0</v>
  </rv>
  <rv s="0">
    <fb>72.010000000000005</fb>
    <v>1</v>
  </rv>
  <rv s="0">
    <fb>72.150000000000006</fb>
    <v>1</v>
  </rv>
  <rv s="0">
    <fb>71.38</fb>
    <v>1</v>
  </rv>
  <rv s="0">
    <fb>5253466</fb>
    <v>2</v>
  </rv>
  <rv s="0">
    <fb>44721</fb>
    <v>0</v>
  </rv>
  <rv s="0">
    <fb>70.77</fb>
    <v>1</v>
  </rv>
  <rv s="0">
    <fb>71.16</fb>
    <v>1</v>
  </rv>
  <rv s="0">
    <fb>69.2</fb>
    <v>1</v>
  </rv>
  <rv s="0">
    <fb>69.22</fb>
    <v>1</v>
  </rv>
  <rv s="0">
    <fb>6828482</fb>
    <v>2</v>
  </rv>
  <rv s="0">
    <fb>44722</fb>
    <v>0</v>
  </rv>
  <rv s="0">
    <fb>67.98</fb>
    <v>1</v>
  </rv>
  <rv s="0">
    <fb>68.215000000000003</fb>
    <v>1</v>
  </rv>
  <rv s="0">
    <fb>66.959999999999994</fb>
    <v>1</v>
  </rv>
  <rv s="0">
    <fb>67.14</fb>
    <v>1</v>
  </rv>
  <rv s="0">
    <fb>10261566</fb>
    <v>2</v>
  </rv>
  <rv s="0">
    <fb>44725</fb>
    <v>0</v>
  </rv>
  <rv s="0">
    <fb>65.78</fb>
    <v>1</v>
  </rv>
  <rv s="0">
    <fb>66.099999999999994</fb>
    <v>1</v>
  </rv>
  <rv s="0">
    <fb>63.76</fb>
    <v>1</v>
  </rv>
  <rv s="0">
    <fb>64.05</fb>
    <v>1</v>
  </rv>
  <rv s="0">
    <fb>16547246</fb>
    <v>2</v>
  </rv>
  <rv s="0">
    <fb>44726</fb>
    <v>0</v>
  </rv>
  <rv s="0">
    <fb>72</fb>
    <v>1</v>
  </rv>
  <rv s="0">
    <fb>72.430000000000007</fb>
    <v>1</v>
  </rv>
  <rv s="0">
    <fb>69.02</fb>
    <v>1</v>
  </rv>
  <rv s="0">
    <fb>70.72</fb>
    <v>1</v>
  </rv>
  <rv s="0">
    <fb>29661295</fb>
    <v>2</v>
  </rv>
  <rv s="0">
    <fb>44727</fb>
    <v>0</v>
  </rv>
  <rv s="0">
    <fb>70.45</fb>
    <v>1</v>
  </rv>
  <rv s="0">
    <fb>71.415000000000006</fb>
    <v>1</v>
  </rv>
  <rv s="0">
    <fb>69.7</fb>
    <v>1</v>
  </rv>
  <rv s="0">
    <fb>11765545</fb>
    <v>2</v>
  </rv>
  <rv s="0">
    <fb>44728</fb>
    <v>0</v>
  </rv>
  <rv s="0">
    <fb>68.5</fb>
    <v>1</v>
  </rv>
  <rv s="0">
    <fb>68.959999999999994</fb>
    <v>1</v>
  </rv>
  <rv s="0">
    <fb>67.58</fb>
    <v>1</v>
  </rv>
  <rv s="0">
    <fb>68.709999999999994</fb>
    <v>1</v>
  </rv>
  <rv s="0">
    <fb>10685987</fb>
    <v>2</v>
  </rv>
  <rv s="0">
    <fb>44729</fb>
    <v>0</v>
  </rv>
  <rv s="0">
    <fb>68.75</fb>
    <v>1</v>
  </rv>
  <rv s="0">
    <fb>69.37</fb>
    <v>1</v>
  </rv>
  <rv s="0">
    <fb>67.389899999999997</fb>
    <v>1</v>
  </rv>
  <rv s="0">
    <fb>67.72</fb>
    <v>1</v>
  </rv>
  <rv s="0">
    <fb>16445643</fb>
    <v>2</v>
  </rv>
  <rv s="0">
    <fb>44733</fb>
    <v>0</v>
  </rv>
  <rv s="0">
    <fb>68.61</fb>
    <v>1</v>
  </rv>
  <rv s="0">
    <fb>69.53</fb>
    <v>1</v>
  </rv>
  <rv s="0">
    <fb>67.39</fb>
    <v>1</v>
  </rv>
  <rv s="0">
    <fb>67.680000000000007</fb>
    <v>1</v>
  </rv>
  <rv s="0">
    <fb>10047748</fb>
    <v>2</v>
  </rv>
  <rv s="0">
    <fb>44734</fb>
    <v>0</v>
  </rv>
  <rv s="0">
    <fb>66.930000000000007</fb>
    <v>1</v>
  </rv>
  <rv s="0">
    <fb>67.569999999999993</fb>
    <v>1</v>
  </rv>
  <rv s="0">
    <fb>66.38</fb>
    <v>1</v>
  </rv>
  <rv s="0">
    <fb>66.53</fb>
    <v>1</v>
  </rv>
  <rv s="0">
    <fb>8222382</fb>
    <v>2</v>
  </rv>
  <rv s="0">
    <fb>44735</fb>
    <v>0</v>
  </rv>
  <rv s="0">
    <fb>66.45</fb>
    <v>1</v>
  </rv>
  <rv s="0">
    <fb>67.87</fb>
    <v>1</v>
  </rv>
  <rv s="0">
    <fb>66.31</fb>
    <v>1</v>
  </rv>
  <rv s="0">
    <fb>67.63</fb>
    <v>1</v>
  </rv>
  <rv s="0">
    <fb>8775794</fb>
    <v>2</v>
  </rv>
  <rv s="0">
    <fb>44736</fb>
    <v>0</v>
  </rv>
  <rv s="0">
    <fb>68.33</fb>
    <v>1</v>
  </rv>
  <rv s="0">
    <fb>70.78</fb>
    <v>1</v>
  </rv>
  <rv s="0">
    <fb>67.97</fb>
    <v>1</v>
  </rv>
  <rv s="0">
    <fb>20132584</fb>
    <v>2</v>
  </rv>
  <rv s="0">
    <fb>44739</fb>
    <v>0</v>
  </rv>
  <rv s="0">
    <fb>70.849999999999994</fb>
    <v>1</v>
  </rv>
  <rv s="0">
    <fb>68.94</fb>
    <v>1</v>
  </rv>
  <rv s="0">
    <fb>70.41</fb>
    <v>1</v>
  </rv>
  <rv s="0">
    <fb>8840843</fb>
    <v>2</v>
  </rv>
  <rv s="0">
    <fb>44740</fb>
    <v>0</v>
  </rv>
  <rv s="0">
    <fb>70.569999999999993</fb>
    <v>1</v>
  </rv>
  <rv s="0">
    <fb>71.069999999999993</fb>
    <v>1</v>
  </rv>
  <rv s="0">
    <fb>68.53</fb>
    <v>1</v>
  </rv>
  <rv s="0">
    <fb>68.58</fb>
    <v>1</v>
  </rv>
  <rv s="0">
    <fb>7253564</fb>
    <v>2</v>
  </rv>
  <rv s="0">
    <fb>44741</fb>
    <v>0</v>
  </rv>
  <rv s="0">
    <fb>70.09</fb>
    <v>1</v>
  </rv>
  <rv s="0">
    <fb>68.78</fb>
    <v>1</v>
  </rv>
  <rv s="0">
    <fb>69.209999999999994</fb>
    <v>1</v>
  </rv>
  <rv s="0">
    <fb>8077928</fb>
    <v>2</v>
  </rv>
  <rv s="0">
    <fb>44742</fb>
    <v>0</v>
  </rv>
  <rv s="0">
    <fb>68.209999999999994</fb>
    <v>1</v>
  </rv>
  <rv s="0">
    <fb>70.25</fb>
    <v>1</v>
  </rv>
  <rv s="0">
    <fb>69.87</fb>
    <v>1</v>
  </rv>
  <rv s="0">
    <fb>9888767</fb>
    <v>2</v>
  </rv>
  <rv s="0">
    <fb>44743</fb>
    <v>0</v>
  </rv>
  <rv s="0">
    <fb>69.849999999999994</fb>
    <v>1</v>
  </rv>
  <rv s="0">
    <fb>70.98</fb>
    <v>1</v>
  </rv>
  <rv s="0">
    <fb>69.81</fb>
    <v>1</v>
  </rv>
  <rv s="0">
    <fb>7805555</fb>
    <v>2</v>
  </rv>
  <rv s="0">
    <fb>44747</fb>
    <v>0</v>
  </rv>
  <rv s="0">
    <fb>70.38</fb>
    <v>1</v>
  </rv>
  <rv s="0">
    <fb>70.180000000000007</fb>
    <v>1</v>
  </rv>
  <rv s="0">
    <fb>9043000</fb>
    <v>2</v>
  </rv>
  <rv s="0">
    <fb>44748</fb>
    <v>0</v>
  </rv>
  <rv s="0">
    <fb>72.319999999999993</fb>
    <v>1</v>
  </rv>
  <rv s="0">
    <fb>72.739999999999995</fb>
    <v>1</v>
  </rv>
  <rv s="0">
    <fb>71.31</fb>
    <v>1</v>
  </rv>
  <rv s="0">
    <fb>6043679</fb>
    <v>2</v>
  </rv>
  <rv s="0">
    <fb>44749</fb>
    <v>0</v>
  </rv>
  <rv s="0">
    <fb>71.83</fb>
    <v>1</v>
  </rv>
  <rv s="0">
    <fb>71.174999999999997</fb>
    <v>1</v>
  </rv>
  <rv s="0">
    <fb>7814621</fb>
    <v>2</v>
  </rv>
  <rv s="0">
    <fb>44750</fb>
    <v>0</v>
  </rv>
  <rv s="0">
    <fb>71.69</fb>
    <v>1</v>
  </rv>
  <rv s="0">
    <fb>72.239999999999995</fb>
    <v>1</v>
  </rv>
  <rv s="0">
    <fb>71.33</fb>
    <v>1</v>
  </rv>
  <rv s="0">
    <fb>71.87</fb>
    <v>1</v>
  </rv>
  <rv s="0">
    <fb>4927307</fb>
    <v>2</v>
  </rv>
  <rv s="0">
    <fb>44753</fb>
    <v>0</v>
  </rv>
  <rv s="0">
    <fb>71</fb>
    <v>1</v>
  </rv>
  <rv s="0">
    <fb>71.97</fb>
    <v>1</v>
  </rv>
  <rv s="0">
    <fb>70.900000000000006</fb>
    <v>1</v>
  </rv>
  <rv s="0">
    <fb>71.569999999999993</fb>
    <v>1</v>
  </rv>
  <rv s="0">
    <fb>4554846</fb>
    <v>2</v>
  </rv>
  <rv s="0">
    <fb>44754</fb>
    <v>0</v>
  </rv>
  <rv s="0">
    <fb>71.94</fb>
    <v>1</v>
  </rv>
  <rv s="0">
    <fb>70.069999999999993</fb>
    <v>1</v>
  </rv>
  <rv s="0">
    <fb>7140901</fb>
    <v>2</v>
  </rv>
  <rv s="0">
    <fb>44755</fb>
    <v>0</v>
  </rv>
  <rv s="0">
    <fb>69.05</fb>
    <v>1</v>
  </rv>
  <rv s="0">
    <fb>68.680000000000007</fb>
    <v>1</v>
  </rv>
  <rv s="0">
    <fb>70.03</fb>
    <v>1</v>
  </rv>
  <rv s="0">
    <fb>6454765</fb>
    <v>2</v>
  </rv>
  <rv s="0">
    <fb>44756</fb>
    <v>0</v>
  </rv>
  <rv s="0">
    <fb>69.16</fb>
    <v>1</v>
  </rv>
  <rv s="0">
    <fb>69.584999999999994</fb>
    <v>1</v>
  </rv>
  <rv s="0">
    <fb>68.23</fb>
    <v>1</v>
  </rv>
  <rv s="0">
    <fb>69.45</fb>
    <v>1</v>
  </rv>
  <rv s="0">
    <fb>4915580</fb>
    <v>2</v>
  </rv>
  <rv s="0">
    <fb>44757</fb>
    <v>0</v>
  </rv>
  <rv s="0">
    <fb>70.260000000000005</fb>
    <v>1</v>
  </rv>
  <rv s="0">
    <fb>70</fb>
    <v>1</v>
  </rv>
  <rv s="0">
    <fb>70.739999999999995</fb>
    <v>1</v>
  </rv>
  <rv s="0">
    <fb>5134170</fb>
    <v>2</v>
  </rv>
  <rv s="0">
    <fb>44760</fb>
    <v>0</v>
  </rv>
  <rv s="0">
    <fb>71.25</fb>
    <v>1</v>
  </rv>
  <rv s="0">
    <fb>71.709999999999994</fb>
    <v>1</v>
  </rv>
  <rv s="0">
    <fb>70.144999999999996</fb>
    <v>1</v>
  </rv>
  <rv s="0">
    <fb>70.209999999999994</fb>
    <v>1</v>
  </rv>
  <rv s="0">
    <fb>4642410</fb>
    <v>2</v>
  </rv>
  <rv s="0">
    <fb>44761</fb>
    <v>0</v>
  </rv>
  <rv s="0">
    <fb>70.643000000000001</fb>
    <v>1</v>
  </rv>
  <rv s="0">
    <fb>72.3</fb>
    <v>1</v>
  </rv>
  <rv s="0">
    <fb>7160284</fb>
    <v>2</v>
  </rv>
  <rv s="0">
    <fb>44762</fb>
    <v>0</v>
  </rv>
  <rv s="0">
    <fb>72.55</fb>
    <v>1</v>
  </rv>
  <rv s="0">
    <fb>73.099999999999994</fb>
    <v>1</v>
  </rv>
  <rv s="0">
    <fb>72.16</fb>
    <v>1</v>
  </rv>
  <rv s="0">
    <fb>5655726</fb>
    <v>2</v>
  </rv>
  <rv s="0">
    <fb>44763</fb>
    <v>0</v>
  </rv>
  <rv s="0">
    <fb>74.63</fb>
    <v>1</v>
  </rv>
  <rv s="0">
    <fb>72.127200000000002</fb>
    <v>1</v>
  </rv>
  <rv s="0">
    <fb>74.540000000000006</fb>
    <v>1</v>
  </rv>
  <rv s="0">
    <fb>7005112</fb>
    <v>2</v>
  </rv>
  <rv s="0">
    <fb>44764</fb>
    <v>0</v>
  </rv>
  <rv s="0">
    <fb>74.819999999999993</fb>
    <v>1</v>
  </rv>
  <rv s="0">
    <fb>75.290000000000006</fb>
    <v>1</v>
  </rv>
  <rv s="0">
    <fb>74.260000000000005</fb>
    <v>1</v>
  </rv>
  <rv s="0">
    <fb>74.900000000000006</fb>
    <v>1</v>
  </rv>
  <rv s="0">
    <fb>6659961</fb>
    <v>2</v>
  </rv>
  <rv s="0">
    <fb>44767</fb>
    <v>0</v>
  </rv>
  <rv s="0">
    <fb>75.430000000000007</fb>
    <v>1</v>
  </rv>
  <rv s="0">
    <fb>74.34</fb>
    <v>1</v>
  </rv>
  <rv s="0">
    <fb>74.86</fb>
    <v>1</v>
  </rv>
  <rv s="0">
    <fb>5721609</fb>
    <v>2</v>
  </rv>
  <rv s="0">
    <fb>44768</fb>
    <v>0</v>
  </rv>
  <rv s="0">
    <fb>74.8</fb>
    <v>1</v>
  </rv>
  <rv s="0">
    <fb>75.3</fb>
    <v>1</v>
  </rv>
  <rv s="0">
    <fb>73.704999999999998</fb>
    <v>1</v>
  </rv>
  <rv s="0">
    <fb>74.03</fb>
    <v>1</v>
  </rv>
  <rv s="0">
    <fb>7284442</fb>
    <v>2</v>
  </rv>
  <rv s="0">
    <fb>44769</fb>
    <v>0</v>
  </rv>
  <rv s="0">
    <fb>76.12</fb>
    <v>1</v>
  </rv>
  <rv s="0">
    <fb>6677226</fb>
    <v>2</v>
  </rv>
  <rv s="0">
    <fb>44770</fb>
    <v>0</v>
  </rv>
  <rv s="0">
    <fb>75.64</fb>
    <v>1</v>
  </rv>
  <rv s="0">
    <fb>77.275000000000006</fb>
    <v>1</v>
  </rv>
  <rv s="0">
    <fb>75.31</fb>
    <v>1</v>
  </rv>
  <rv s="0">
    <fb>77.040000000000006</fb>
    <v>1</v>
  </rv>
  <rv s="0">
    <fb>5688062</fb>
    <v>2</v>
  </rv>
  <rv s="0">
    <fb>44771</fb>
    <v>0</v>
  </rv>
  <rv s="0">
    <fb>77.010000000000005</fb>
    <v>1</v>
  </rv>
  <rv s="0">
    <fb>78.16</fb>
    <v>1</v>
  </rv>
  <rv s="0">
    <fb>77</fb>
    <v>1</v>
  </rv>
  <rv s="0">
    <fb>77.84</fb>
    <v>1</v>
  </rv>
  <rv s="0">
    <fb>5926562</fb>
    <v>2</v>
  </rv>
  <rv s="0">
    <fb>44774</fb>
    <v>0</v>
  </rv>
  <rv s="0">
    <fb>77.180000000000007</fb>
    <v>1</v>
  </rv>
  <rv s="0">
    <fb>77.808099999999996</fb>
    <v>1</v>
  </rv>
  <rv s="0">
    <fb>77.44</fb>
    <v>1</v>
  </rv>
  <rv s="0">
    <fb>5227535</fb>
    <v>2</v>
  </rv>
  <rv s="0">
    <fb>44775</fb>
    <v>0</v>
  </rv>
  <rv s="0">
    <fb>76.989999999999995</fb>
    <v>1</v>
  </rv>
  <rv s="0">
    <fb>77.260000000000005</fb>
    <v>1</v>
  </rv>
  <rv s="0">
    <fb>76.06</fb>
    <v>1</v>
  </rv>
  <rv s="0">
    <fb>6403482</fb>
    <v>2</v>
  </rv>
  <rv s="0">
    <fb>44776</fb>
    <v>0</v>
  </rv>
  <rv s="0">
    <fb>76.72</fb>
    <v>1</v>
  </rv>
  <rv s="0">
    <fb>77.760000000000005</fb>
    <v>1</v>
  </rv>
  <rv s="0">
    <fb>76.3</fb>
    <v>1</v>
  </rv>
  <rv s="0">
    <fb>77.37</fb>
    <v>1</v>
  </rv>
  <rv s="0">
    <fb>6127778</fb>
    <v>2</v>
  </rv>
  <rv s="0">
    <fb>44777</fb>
    <v>0</v>
  </rv>
  <rv s="0">
    <fb>77.45</fb>
    <v>1</v>
  </rv>
  <rv s="0">
    <fb>77.849999999999994</fb>
    <v>1</v>
  </rv>
  <rv s="0">
    <fb>77.11</fb>
    <v>1</v>
  </rv>
  <rv s="0">
    <fb>77.400000000000006</fb>
    <v>1</v>
  </rv>
  <rv s="0">
    <fb>3656151</fb>
    <v>2</v>
  </rv>
  <rv s="0">
    <fb>44778</fb>
    <v>0</v>
  </rv>
  <rv s="0">
    <fb>76.27</fb>
    <v>1</v>
  </rv>
  <rv s="0">
    <fb>76</fb>
    <v>1</v>
  </rv>
  <rv s="0">
    <fb>77.349999999999994</fb>
    <v>1</v>
  </rv>
  <rv s="0">
    <fb>4858132</fb>
    <v>2</v>
  </rv>
  <rv s="0">
    <fb>44781</fb>
    <v>0</v>
  </rv>
  <rv s="0">
    <fb>76.92</fb>
    <v>1</v>
  </rv>
  <rv s="0">
    <fb>76.270799999999994</fb>
    <v>1</v>
  </rv>
  <rv s="0">
    <fb>76.47</fb>
    <v>1</v>
  </rv>
  <rv s="0">
    <fb>4733592</fb>
    <v>2</v>
  </rv>
  <rv s="0">
    <fb>44782</fb>
    <v>0</v>
  </rv>
  <rv s="0">
    <fb>76.91</fb>
    <v>1</v>
  </rv>
  <rv s="0">
    <fb>75.84</fb>
    <v>1</v>
  </rv>
  <rv s="0">
    <fb>76.77</fb>
    <v>1</v>
  </rv>
  <rv s="0">
    <fb>4243763</fb>
    <v>2</v>
  </rv>
  <rv s="0">
    <fb>44783</fb>
    <v>0</v>
  </rv>
  <rv s="0">
    <fb>77.59</fb>
    <v>1</v>
  </rv>
  <rv s="0">
    <fb>77.98</fb>
    <v>1</v>
  </rv>
  <rv s="0">
    <fb>77.2</fb>
    <v>1</v>
  </rv>
  <rv s="0">
    <fb>77.540000000000006</fb>
    <v>1</v>
  </rv>
  <rv s="0">
    <fb>5258490</fb>
    <v>2</v>
  </rv>
  <rv s="0">
    <fb>44784</fb>
    <v>0</v>
  </rv>
  <rv s="0">
    <fb>77.95</fb>
    <v>1</v>
  </rv>
  <rv s="0">
    <fb>78</fb>
    <v>1</v>
  </rv>
  <rv s="0">
    <fb>77.08</fb>
    <v>1</v>
  </rv>
  <rv s="0">
    <fb>77.16</fb>
    <v>1</v>
  </rv>
  <rv s="0">
    <fb>5555003</fb>
    <v>2</v>
  </rv>
  <rv s="0">
    <fb>44785</fb>
    <v>0</v>
  </rv>
  <rv s="0">
    <fb>79.42</fb>
    <v>1</v>
  </rv>
  <rv s="0">
    <fb>77.66</fb>
    <v>1</v>
  </rv>
  <rv s="0">
    <fb>6692347</fb>
    <v>2</v>
  </rv>
  <rv s="0">
    <fb>44788</fb>
    <v>0</v>
  </rv>
  <rv s="0">
    <fb>79.415000000000006</fb>
    <v>1</v>
  </rv>
  <rv s="0">
    <fb>78.5</fb>
    <v>1</v>
  </rv>
  <rv s="0">
    <fb>79.11</fb>
    <v>1</v>
  </rv>
  <rv s="0">
    <fb>3733644</fb>
    <v>2</v>
  </rv>
  <rv s="0">
    <fb>44789</fb>
    <v>0</v>
  </rv>
  <rv s="0">
    <fb>78.900000000000006</fb>
    <v>1</v>
  </rv>
  <rv s="0">
    <fb>79.655000000000001</fb>
    <v>1</v>
  </rv>
  <rv s="0">
    <fb>78.849999999999994</fb>
    <v>1</v>
  </rv>
  <rv s="0">
    <fb>79.52</fb>
    <v>1</v>
  </rv>
  <rv s="0">
    <fb>6185088</fb>
    <v>2</v>
  </rv>
  <rv s="0">
    <fb>44790</fb>
    <v>0</v>
  </rv>
  <rv s="0">
    <fb>79</fb>
    <v>1</v>
  </rv>
  <rv s="0">
    <fb>79.25</fb>
    <v>1</v>
  </rv>
  <rv s="0">
    <fb>5185253</fb>
    <v>2</v>
  </rv>
  <rv s="0">
    <fb>44791</fb>
    <v>0</v>
  </rv>
  <rv s="0">
    <fb>79.28</fb>
    <v>1</v>
  </rv>
  <rv s="0">
    <fb>79.883499999999998</fb>
    <v>1</v>
  </rv>
  <rv s="0">
    <fb>79.010000000000005</fb>
    <v>1</v>
  </rv>
  <rv s="0">
    <fb>4120543</fb>
    <v>2</v>
  </rv>
  <rv s="0">
    <fb>44792</fb>
    <v>0</v>
  </rv>
  <rv s="0">
    <fb>79.03</fb>
    <v>1</v>
  </rv>
  <rv s="0">
    <fb>79.13</fb>
    <v>1</v>
  </rv>
  <rv s="0">
    <fb>78.4392</fb>
    <v>1</v>
  </rv>
  <rv s="0">
    <fb>78.66</fb>
    <v>1</v>
  </rv>
  <rv s="0">
    <fb>4679022</fb>
    <v>2</v>
  </rv>
  <rv s="0">
    <fb>44795</fb>
    <v>0</v>
  </rv>
  <rv s="0">
    <fb>77.930000000000007</fb>
    <v>1</v>
  </rv>
  <rv s="0">
    <fb>76.17</fb>
    <v>1</v>
  </rv>
  <rv s="0">
    <fb>76.459999999999994</fb>
    <v>1</v>
  </rv>
  <rv s="0">
    <fb>5757837</fb>
    <v>2</v>
  </rv>
  <rv s="0">
    <fb>44796</fb>
    <v>0</v>
  </rv>
  <rv s="0">
    <fb>76.41</fb>
    <v>1</v>
  </rv>
  <rv s="0">
    <fb>4432266</fb>
    <v>2</v>
  </rv>
  <rv s="0">
    <fb>44797</fb>
    <v>0</v>
  </rv>
  <rv s="0">
    <fb>76.56</fb>
    <v>1</v>
  </rv>
  <rv s="0">
    <fb>76.05</fb>
    <v>1</v>
  </rv>
  <rv s="0">
    <fb>3876359</fb>
    <v>2</v>
  </rv>
  <rv s="0">
    <fb>44798</fb>
    <v>0</v>
  </rv>
  <rv s="0">
    <fb>76.34</fb>
    <v>1</v>
  </rv>
  <rv s="0">
    <fb>76.89</fb>
    <v>1</v>
  </rv>
  <rv s="0">
    <fb>3523549</fb>
    <v>2</v>
  </rv>
  <rv s="0">
    <fb>44799</fb>
    <v>0</v>
  </rv>
  <rv s="0">
    <fb>4904315</fb>
    <v>2</v>
  </rv>
  <rv s="0">
    <fb>44802</fb>
    <v>0</v>
  </rv>
  <rv s="0">
    <fb>74.11</fb>
    <v>1</v>
  </rv>
  <rv s="0">
    <fb>74.19</fb>
    <v>1</v>
  </rv>
  <rv s="0">
    <fb>4295701</fb>
    <v>2</v>
  </rv>
  <rv s="0">
    <fb>44803</fb>
    <v>0</v>
  </rv>
  <rv s="0">
    <fb>74.67</fb>
    <v>1</v>
  </rv>
  <rv s="0">
    <fb>74.14</fb>
    <v>1</v>
  </rv>
  <rv s="0">
    <fb>5099130</fb>
    <v>2</v>
  </rv>
  <rv s="0">
    <fb>44804</fb>
    <v>0</v>
  </rv>
  <rv s="0">
    <fb>74.459999999999994</fb>
    <v>1</v>
  </rv>
  <rv s="0">
    <fb>75.150000000000006</fb>
    <v>1</v>
  </rv>
  <rv s="0">
    <fb>74.040000000000006</fb>
    <v>1</v>
  </rv>
  <rv s="0">
    <fb>74.150000000000006</fb>
    <v>1</v>
  </rv>
  <rv s="0">
    <fb>8612925</fb>
    <v>2</v>
  </rv>
  <rv s="0">
    <fb>44805</fb>
    <v>0</v>
  </rv>
  <rv s="0">
    <fb>75.37</fb>
    <v>1</v>
  </rv>
  <rv s="0">
    <fb>73.53</fb>
    <v>1</v>
  </rv>
  <rv s="0">
    <fb>8139759</fb>
    <v>2</v>
  </rv>
  <rv s="0">
    <fb>44806</fb>
    <v>0</v>
  </rv>
  <rv s="0">
    <fb>75.739999999999995</fb>
    <v>1</v>
  </rv>
  <rv s="0">
    <fb>74.680000000000007</fb>
    <v>1</v>
  </rv>
  <rv s="0">
    <fb>11027695</fb>
    <v>2</v>
  </rv>
  <rv s="0">
    <fb>44810</fb>
    <v>0</v>
  </rv>
  <rv s="0">
    <fb>75.194999999999993</fb>
    <v>1</v>
  </rv>
  <rv s="0">
    <fb>73.55</fb>
    <v>1</v>
  </rv>
  <rv s="0">
    <fb>73.83</fb>
    <v>1</v>
  </rv>
  <rv s="0">
    <fb>7090148</fb>
    <v>2</v>
  </rv>
  <rv s="0">
    <fb>44811</fb>
    <v>0</v>
  </rv>
  <rv s="0">
    <fb>73.680000000000007</fb>
    <v>1</v>
  </rv>
  <rv s="0">
    <fb>73.42</fb>
    <v>1</v>
  </rv>
  <rv s="0">
    <fb>74.489999999999995</fb>
    <v>1</v>
  </rv>
  <rv s="0">
    <fb>5792572</fb>
    <v>2</v>
  </rv>
  <rv s="0">
    <fb>44812</fb>
    <v>0</v>
  </rv>
  <rv s="0">
    <fb>73.61</fb>
    <v>1</v>
  </rv>
  <rv s="0">
    <fb>6897091</fb>
    <v>2</v>
  </rv>
  <rv s="0">
    <fb>44813</fb>
    <v>0</v>
  </rv>
  <rv s="0">
    <fb>74.44</fb>
    <v>1</v>
  </rv>
  <rv s="0">
    <fb>75.91</fb>
    <v>1</v>
  </rv>
  <rv s="0">
    <fb>7764742</fb>
    <v>2</v>
  </rv>
  <rv s="0">
    <fb>44816</fb>
    <v>0</v>
  </rv>
  <rv s="0">
    <fb>77.377099999999999</fb>
    <v>1</v>
  </rv>
  <rv s="0">
    <fb>15628850</fb>
    <v>2</v>
  </rv>
  <rv s="0">
    <fb>44817</fb>
    <v>0</v>
  </rv>
  <rv s="0">
    <fb>79.4101</fb>
    <v>1</v>
  </rv>
  <rv s="0">
    <fb>75.780100000000004</fb>
    <v>1</v>
  </rv>
  <rv s="0">
    <fb>76.040000000000006</fb>
    <v>1</v>
  </rv>
  <rv s="0">
    <fb>29476532</fb>
    <v>2</v>
  </rv>
  <rv s="0">
    <fb>44818</fb>
    <v>0</v>
  </rv>
  <rv s="0">
    <fb>75.790000000000006</fb>
    <v>1</v>
  </rv>
  <rv s="0">
    <fb>71.77</fb>
    <v>1</v>
  </rv>
  <rv s="0">
    <fb>21601363</fb>
    <v>2</v>
  </rv>
  <rv s="0">
    <fb>44819</fb>
    <v>0</v>
  </rv>
  <rv s="0">
    <fb>71.5</fb>
    <v>1</v>
  </rv>
  <rv s="0">
    <fb>72.09</fb>
    <v>1</v>
  </rv>
  <rv s="0">
    <fb>69.745000000000005</fb>
    <v>1</v>
  </rv>
  <rv s="0">
    <fb>70.239999999999995</fb>
    <v>1</v>
  </rv>
  <rv s="0">
    <fb>12478141</fb>
    <v>2</v>
  </rv>
  <rv s="0">
    <fb>44820</fb>
    <v>0</v>
  </rv>
  <rv s="0">
    <fb>69.58</fb>
    <v>1</v>
  </rv>
  <rv s="0">
    <fb>69.8</fb>
    <v>1</v>
  </rv>
  <rv s="0">
    <fb>68.245000000000005</fb>
    <v>1</v>
  </rv>
  <rv s="0">
    <fb>68.83</fb>
    <v>1</v>
  </rv>
  <rv s="0">
    <fb>23411963</fb>
    <v>2</v>
  </rv>
  <rv s="0">
    <fb>44823</fb>
    <v>0</v>
  </rv>
  <rv s="0">
    <fb>68.2</fb>
    <v>1</v>
  </rv>
  <rv s="0">
    <fb>69.13</fb>
    <v>1</v>
  </rv>
  <rv s="0">
    <fb>67.905000000000001</fb>
    <v>1</v>
  </rv>
  <rv s="0">
    <fb>69.069999999999993</fb>
    <v>1</v>
  </rv>
  <rv s="0">
    <fb>8363973</fb>
    <v>2</v>
  </rv>
  <rv s="0">
    <fb>44824</fb>
    <v>0</v>
  </rv>
  <rv s="0">
    <fb>68.27</fb>
    <v>1</v>
  </rv>
  <rv s="0">
    <fb>68.454999999999998</fb>
    <v>1</v>
  </rv>
  <rv s="0">
    <fb>67.448999999999998</fb>
    <v>1</v>
  </rv>
  <rv s="0">
    <fb>68.11</fb>
    <v>1</v>
  </rv>
  <rv s="0">
    <fb>8624496</fb>
    <v>2</v>
  </rv>
  <rv s="0">
    <fb>44825</fb>
    <v>0</v>
  </rv>
  <rv s="0">
    <fb>66.739999999999995</fb>
    <v>1</v>
  </rv>
  <rv s="0">
    <fb>66.75</fb>
    <v>1</v>
  </rv>
  <rv s="0">
    <fb>6768203</fb>
    <v>2</v>
  </rv>
  <rv s="0">
    <fb>44826</fb>
    <v>0</v>
  </rv>
  <rv s="0">
    <fb>66.94</fb>
    <v>1</v>
  </rv>
  <rv s="0">
    <fb>65.84</fb>
    <v>1</v>
  </rv>
  <rv s="0">
    <fb>66.03</fb>
    <v>1</v>
  </rv>
  <rv s="0">
    <fb>7190884</fb>
    <v>2</v>
  </rv>
  <rv s="0">
    <fb>44827</fb>
    <v>0</v>
  </rv>
  <rv s="0">
    <fb>65.349999999999994</fb>
    <v>1</v>
  </rv>
  <rv s="0">
    <fb>65.44</fb>
    <v>1</v>
  </rv>
  <rv s="0">
    <fb>63.87</fb>
    <v>1</v>
  </rv>
  <rv s="0">
    <fb>64.55</fb>
    <v>1</v>
  </rv>
  <rv s="0">
    <fb>9282634</fb>
    <v>2</v>
  </rv>
  <rv s="0">
    <fb>44830</fb>
    <v>0</v>
  </rv>
  <rv s="0">
    <fb>64.33</fb>
    <v>1</v>
  </rv>
  <rv s="0">
    <fb>64.92</fb>
    <v>1</v>
  </rv>
  <rv s="0">
    <fb>63.39</fb>
    <v>1</v>
  </rv>
  <rv s="0">
    <fb>63.45</fb>
    <v>1</v>
  </rv>
  <rv s="0">
    <fb>6897757</fb>
    <v>2</v>
  </rv>
  <rv s="0">
    <fb>44831</fb>
    <v>0</v>
  </rv>
  <rv s="0">
    <fb>64.16</fb>
    <v>1</v>
  </rv>
  <rv s="0">
    <fb>64.400000000000006</fb>
    <v>1</v>
  </rv>
  <rv s="0">
    <fb>62.034999999999997</fb>
    <v>1</v>
  </rv>
  <rv s="0">
    <fb>62.42</fb>
    <v>1</v>
  </rv>
  <rv s="0">
    <fb>9284984</fb>
    <v>2</v>
  </rv>
  <rv s="0">
    <fb>44832</fb>
    <v>0</v>
  </rv>
  <rv s="0">
    <fb>62.62</fb>
    <v>1</v>
  </rv>
  <rv s="0">
    <fb>63.344999999999999</fb>
    <v>1</v>
  </rv>
  <rv s="0">
    <fb>62.25</fb>
    <v>1</v>
  </rv>
  <rv s="0">
    <fb>63.07</fb>
    <v>1</v>
  </rv>
  <rv s="0">
    <fb>8549898</fb>
    <v>2</v>
  </rv>
  <rv s="0">
    <fb>44833</fb>
    <v>0</v>
  </rv>
  <rv s="0">
    <fb>62.29</fb>
    <v>1</v>
  </rv>
  <rv s="0">
    <fb>62.6</fb>
    <v>1</v>
  </rv>
  <rv s="0">
    <fb>60.78</fb>
    <v>1</v>
  </rv>
  <rv s="0">
    <fb>61.4</fb>
    <v>1</v>
  </rv>
  <rv s="0">
    <fb>8882075</fb>
    <v>2</v>
  </rv>
  <rv s="0">
    <fb>44834</fb>
    <v>0</v>
  </rv>
  <rv s="0">
    <fb>61.26</fb>
    <v>1</v>
  </rv>
  <rv s="0">
    <fb>62.14</fb>
    <v>1</v>
  </rv>
  <rv s="0">
    <fb>61.06</fb>
    <v>1</v>
  </rv>
  <rv s="0">
    <fb>61.07</fb>
    <v>1</v>
  </rv>
  <rv s="0">
    <fb>9794421</fb>
    <v>2</v>
  </rv>
  <rv s="0">
    <fb>44837</fb>
    <v>0</v>
  </rv>
  <rv s="0">
    <fb>60.99</fb>
    <v>1</v>
  </rv>
  <rv s="0">
    <fb>63.234999999999999</fb>
    <v>1</v>
  </rv>
  <rv s="0">
    <fb>60.805</fb>
    <v>1</v>
  </rv>
  <rv s="0">
    <fb>63.08</fb>
    <v>1</v>
  </rv>
  <rv s="0">
    <fb>9661405</fb>
    <v>2</v>
  </rv>
  <rv s="0">
    <fb>44838</fb>
    <v>0</v>
  </rv>
  <rv s="0">
    <fb>63.8</fb>
    <v>1</v>
  </rv>
  <rv s="0">
    <fb>65.83</fb>
    <v>1</v>
  </rv>
  <rv s="0">
    <fb>65.69</fb>
    <v>1</v>
  </rv>
  <rv s="0">
    <fb>9892607</fb>
    <v>2</v>
  </rv>
  <rv s="0">
    <fb>44839</fb>
    <v>0</v>
  </rv>
  <rv s="0">
    <fb>65.34</fb>
    <v>1</v>
  </rv>
  <rv s="0">
    <fb>67.19</fb>
    <v>1</v>
  </rv>
  <rv s="0">
    <fb>64.98</fb>
    <v>1</v>
  </rv>
  <rv s="0">
    <fb>66.64</fb>
    <v>1</v>
  </rv>
  <rv s="0">
    <fb>9201607</fb>
    <v>2</v>
  </rv>
  <rv s="0">
    <fb>44840</fb>
    <v>0</v>
  </rv>
  <rv s="0">
    <fb>66.33</fb>
    <v>1</v>
  </rv>
  <rv s="0">
    <fb>66.81</fb>
    <v>1</v>
  </rv>
  <rv s="0">
    <fb>65.224999999999994</fb>
    <v>1</v>
  </rv>
  <rv s="0">
    <fb>65.3</fb>
    <v>1</v>
  </rv>
  <rv s="0">
    <fb>6991998</fb>
    <v>2</v>
  </rv>
  <rv s="0">
    <fb>44841</fb>
    <v>0</v>
  </rv>
  <rv s="0">
    <fb>64.489999999999995</fb>
    <v>1</v>
  </rv>
  <rv s="0">
    <fb>64.62</fb>
    <v>1</v>
  </rv>
  <rv s="0">
    <fb>62.74</fb>
    <v>1</v>
  </rv>
  <rv s="0">
    <fb>63.29</fb>
    <v>1</v>
  </rv>
  <rv s="0">
    <fb>7138048</fb>
    <v>2</v>
  </rv>
  <rv s="0">
    <fb>44844</fb>
    <v>0</v>
  </rv>
  <rv s="0">
    <fb>63.61</fb>
    <v>1</v>
  </rv>
  <rv s="0">
    <fb>63.9</fb>
    <v>1</v>
  </rv>
  <rv s="0">
    <fb>62.02</fb>
    <v>1</v>
  </rv>
  <rv s="0">
    <fb>62.57</fb>
    <v>1</v>
  </rv>
  <rv s="0">
    <fb>6407213</fb>
    <v>2</v>
  </rv>
  <rv s="0">
    <fb>44845</fb>
    <v>0</v>
  </rv>
  <rv s="0">
    <fb>61.85</fb>
    <v>1</v>
  </rv>
  <rv s="0">
    <fb>63.1</fb>
    <v>1</v>
  </rv>
  <rv s="0">
    <fb>61.65</fb>
    <v>1</v>
  </rv>
  <rv s="0">
    <fb>62.41</fb>
    <v>1</v>
  </rv>
  <rv s="0">
    <fb>7377104</fb>
    <v>2</v>
  </rv>
  <rv s="0">
    <fb>44846</fb>
    <v>0</v>
  </rv>
  <rv s="0">
    <fb>64.275000000000006</fb>
    <v>1</v>
  </rv>
  <rv s="0">
    <fb>62.17</fb>
    <v>1</v>
  </rv>
  <rv s="0">
    <fb>63.78</fb>
    <v>1</v>
  </rv>
  <rv s="0">
    <fb>9008662</fb>
    <v>2</v>
  </rv>
  <rv s="0">
    <fb>44847</fb>
    <v>0</v>
  </rv>
  <rv s="0">
    <fb>62.48</fb>
    <v>1</v>
  </rv>
  <rv s="0">
    <fb>65.704999999999998</fb>
    <v>1</v>
  </rv>
  <rv s="0">
    <fb>62.27</fb>
    <v>1</v>
  </rv>
  <rv s="0">
    <fb>65.2</fb>
    <v>1</v>
  </rv>
  <rv s="0">
    <fb>10147221</fb>
    <v>2</v>
  </rv>
  <rv s="0">
    <fb>44848</fb>
    <v>0</v>
  </rv>
  <rv s="0">
    <fb>65.72</fb>
    <v>1</v>
  </rv>
  <rv s="0">
    <fb>66.614999999999995</fb>
    <v>1</v>
  </rv>
  <rv s="0">
    <fb>64.209999999999994</fb>
    <v>1</v>
  </rv>
  <rv s="0">
    <fb>64.31</fb>
    <v>1</v>
  </rv>
  <rv s="0">
    <fb>8045062</fb>
    <v>2</v>
  </rv>
  <rv s="0">
    <fb>44851</fb>
    <v>0</v>
  </rv>
  <rv s="0">
    <fb>65.88</fb>
    <v>1</v>
  </rv>
  <rv s="0">
    <fb>67.564999999999998</fb>
    <v>1</v>
  </rv>
  <rv s="0">
    <fb>65.87</fb>
    <v>1</v>
  </rv>
  <rv s="0">
    <fb>67.02</fb>
    <v>1</v>
  </rv>
  <rv s="0">
    <fb>11368318</fb>
    <v>2</v>
  </rv>
  <rv s="0">
    <fb>44852</fb>
    <v>0</v>
  </rv>
  <rv s="0">
    <fb>68</fb>
    <v>1</v>
  </rv>
  <rv s="0">
    <fb>67.03</fb>
    <v>1</v>
  </rv>
  <rv s="0">
    <fb>6688607</fb>
    <v>2</v>
  </rv>
  <rv s="0">
    <fb>44853</fb>
    <v>0</v>
  </rv>
  <rv s="0">
    <fb>66.489999999999995</fb>
    <v>1</v>
  </rv>
  <rv s="0">
    <fb>65.775000000000006</fb>
    <v>1</v>
  </rv>
  <rv s="0">
    <fb>66.3</fb>
    <v>1</v>
  </rv>
  <rv s="0">
    <fb>5506033</fb>
    <v>2</v>
  </rv>
  <rv s="0">
    <fb>44854</fb>
    <v>0</v>
  </rv>
  <rv s="0">
    <fb>67.53</fb>
    <v>1</v>
  </rv>
  <rv s="0">
    <fb>69.92</fb>
    <v>1</v>
  </rv>
  <rv s="0">
    <fb>69.25</fb>
    <v>1</v>
  </rv>
  <rv s="0">
    <fb>17600525</fb>
    <v>2</v>
  </rv>
  <rv s="0">
    <fb>44855</fb>
    <v>0</v>
  </rv>
  <rv s="0">
    <fb>70.31</fb>
    <v>1</v>
  </rv>
  <rv s="0">
    <fb>72.7</fb>
    <v>1</v>
  </rv>
  <rv s="0">
    <fb>15652602</fb>
    <v>2</v>
  </rv>
  <rv s="0">
    <fb>44858</fb>
    <v>0</v>
  </rv>
  <rv s="0">
    <fb>72.930000000000007</fb>
    <v>1</v>
  </rv>
  <rv s="0">
    <fb>73.69</fb>
    <v>1</v>
  </rv>
  <rv s="0">
    <fb>71.78</fb>
    <v>1</v>
  </rv>
  <rv s="0">
    <fb>72.92</fb>
    <v>1</v>
  </rv>
  <rv s="0">
    <fb>11489360</fb>
    <v>2</v>
  </rv>
  <rv s="0">
    <fb>44859</fb>
    <v>0</v>
  </rv>
  <rv s="0">
    <fb>73.45</fb>
    <v>1</v>
  </rv>
  <rv s="0">
    <fb>72.61</fb>
    <v>1</v>
  </rv>
  <rv s="0">
    <fb>9137741</fb>
    <v>2</v>
  </rv>
  <rv s="0">
    <fb>44860</fb>
    <v>0</v>
  </rv>
  <rv s="0">
    <fb>75.72</fb>
    <v>1</v>
  </rv>
  <rv s="0">
    <fb>10693739</fb>
    <v>2</v>
  </rv>
  <rv s="0">
    <fb>44861</fb>
    <v>0</v>
  </rv>
  <rv s="0">
    <fb>74.75</fb>
    <v>1</v>
  </rv>
  <rv s="0">
    <fb>75.879900000000006</fb>
    <v>1</v>
  </rv>
  <rv s="0">
    <fb>74.545000000000002</fb>
    <v>1</v>
  </rv>
  <rv s="0">
    <fb>7053018</fb>
    <v>2</v>
  </rv>
  <rv s="0">
    <fb>44862</fb>
    <v>0</v>
  </rv>
  <rv s="0">
    <fb>77.674999999999997</fb>
    <v>1</v>
  </rv>
  <rv s="0">
    <fb>77.36</fb>
    <v>1</v>
  </rv>
  <rv s="0">
    <fb>8758344</fb>
    <v>2</v>
  </rv>
  <rv s="0">
    <fb>44865</fb>
    <v>0</v>
  </rv>
  <rv s="0">
    <fb>76.5</fb>
    <v>1</v>
  </rv>
  <rv s="0">
    <fb>78.33</fb>
    <v>1</v>
  </rv>
  <rv s="0">
    <fb>76.400000000000006</fb>
    <v>1</v>
  </rv>
  <rv s="0">
    <fb>78.069999999999993</fb>
    <v>1</v>
  </rv>
  <rv s="0">
    <fb>12348964</fb>
    <v>2</v>
  </rv>
  <rv s="0">
    <fb>44866</fb>
    <v>0</v>
  </rv>
  <rv s="0">
    <fb>79.23</fb>
    <v>1</v>
  </rv>
  <rv s="0">
    <fb>7752961</fb>
    <v>2</v>
  </rv>
  <rv s="0">
    <fb>44867</fb>
    <v>0</v>
  </rv>
  <rv s="0">
    <fb>75.004999999999995</fb>
    <v>1</v>
  </rv>
  <rv s="0">
    <fb>75.12</fb>
    <v>1</v>
  </rv>
  <rv s="0">
    <fb>7524547</fb>
    <v>2</v>
  </rv>
  <rv s="0">
    <fb>44868</fb>
    <v>0</v>
  </rv>
  <rv s="0">
    <fb>75.69</fb>
    <v>1</v>
  </rv>
  <rv s="0">
    <fb>74.05</fb>
    <v>1</v>
  </rv>
  <rv s="0">
    <fb>6761242</fb>
    <v>2</v>
  </rv>
  <rv s="0">
    <fb>44869</fb>
    <v>0</v>
  </rv>
  <rv s="0">
    <fb>75.94</fb>
    <v>1</v>
  </rv>
  <rv s="0">
    <fb>76.67</fb>
    <v>1</v>
  </rv>
  <rv s="0">
    <fb>74.239999999999995</fb>
    <v>1</v>
  </rv>
  <rv s="0">
    <fb>7218982</fb>
    <v>2</v>
  </rv>
  <rv s="0">
    <fb>44872</fb>
    <v>0</v>
  </rv>
  <rv s="0">
    <fb>76.11</fb>
    <v>1</v>
  </rv>
  <rv s="0">
    <fb>77.09</fb>
    <v>1</v>
  </rv>
  <rv s="0">
    <fb>75.489999999999995</fb>
    <v>1</v>
  </rv>
  <rv s="0">
    <fb>76.739999999999995</fb>
    <v>1</v>
  </rv>
  <rv s="0">
    <fb>5394281</fb>
    <v>2</v>
  </rv>
  <rv s="0">
    <fb>44873</fb>
    <v>0</v>
  </rv>
  <rv s="0">
    <fb>77.14</fb>
    <v>1</v>
  </rv>
  <rv s="0">
    <fb>9104244</fb>
    <v>2</v>
  </rv>
  <rv s="0">
    <fb>44874</fb>
    <v>0</v>
  </rv>
  <rv s="0">
    <fb>75.38</fb>
    <v>1</v>
  </rv>
  <rv s="0">
    <fb>76.540000000000006</fb>
    <v>1</v>
  </rv>
  <rv s="0">
    <fb>75</fb>
    <v>1</v>
  </rv>
  <rv s="0">
    <fb>75.66</fb>
    <v>1</v>
  </rv>
  <rv s="0">
    <fb>6013703</fb>
    <v>2</v>
  </rv>
  <rv s="0">
    <fb>44875</fb>
    <v>0</v>
  </rv>
  <rv s="0">
    <fb>77.7</fb>
    <v>1</v>
  </rv>
  <rv s="0">
    <fb>78.472499999999997</fb>
    <v>1</v>
  </rv>
  <rv s="0">
    <fb>76.709999999999994</fb>
    <v>1</v>
  </rv>
  <rv s="0">
    <fb>77.17</fb>
    <v>1</v>
  </rv>
  <rv s="0">
    <fb>10437314</fb>
    <v>2</v>
  </rv>
  <rv s="0">
    <fb>44876</fb>
    <v>0</v>
  </rv>
  <rv s="0">
    <fb>77.13</fb>
    <v>1</v>
  </rv>
  <rv s="0">
    <fb>77.891099999999994</fb>
    <v>1</v>
  </rv>
  <rv s="0">
    <fb>76.569999999999993</fb>
    <v>1</v>
  </rv>
  <rv s="0">
    <fb>77.739999999999995</fb>
    <v>1</v>
  </rv>
  <rv s="0">
    <fb>7712925</fb>
    <v>2</v>
  </rv>
  <rv s="0">
    <fb>44879</fb>
    <v>0</v>
  </rv>
  <rv s="0">
    <fb>77.48</fb>
    <v>1</v>
  </rv>
  <rv s="0">
    <fb>79.534999999999997</fb>
    <v>1</v>
  </rv>
  <rv s="0">
    <fb>77.334999999999994</fb>
    <v>1</v>
  </rv>
  <rv s="0">
    <fb>78.53</fb>
    <v>1</v>
  </rv>
  <rv s="0">
    <fb>7152952</fb>
    <v>2</v>
  </rv>
  <rv s="0">
    <fb>44880</fb>
    <v>0</v>
  </rv>
  <rv s="0">
    <fb>78.930000000000007</fb>
    <v>1</v>
  </rv>
  <rv s="0">
    <fb>80.674999999999997</fb>
    <v>1</v>
  </rv>
  <rv s="0">
    <fb>78.010000000000005</fb>
    <v>1</v>
  </rv>
  <rv s="0">
    <fb>79.180000000000007</fb>
    <v>1</v>
  </rv>
  <rv s="0">
    <fb>7618478</fb>
    <v>2</v>
  </rv>
  <rv s="0">
    <fb>44881</fb>
    <v>0</v>
  </rv>
  <rv s="0">
    <fb>79.12</fb>
    <v>1</v>
  </rv>
  <rv s="0">
    <fb>80.23</fb>
    <v>1</v>
  </rv>
  <rv s="0">
    <fb>78.864999999999995</fb>
    <v>1</v>
  </rv>
  <rv s="0">
    <fb>79.89</fb>
    <v>1</v>
  </rv>
  <rv s="0">
    <fb>6011890</fb>
    <v>2</v>
  </rv>
  <rv s="0">
    <fb>44882</fb>
    <v>0</v>
  </rv>
  <rv s="0">
    <fb>79.17</fb>
    <v>1</v>
  </rv>
  <rv s="0">
    <fb>79.575000000000003</fb>
    <v>1</v>
  </rv>
  <rv s="0">
    <fb>78.19</fb>
    <v>1</v>
  </rv>
  <rv s="0">
    <fb>5717402</fb>
    <v>2</v>
  </rv>
  <rv s="0">
    <fb>44883</fb>
    <v>0</v>
  </rv>
  <rv s="0">
    <fb>80</fb>
    <v>1</v>
  </rv>
  <rv s="0">
    <fb>80.459999999999994</fb>
    <v>1</v>
  </rv>
  <rv s="0">
    <fb>6106989</fb>
    <v>2</v>
  </rv>
  <rv s="0">
    <fb>44886</fb>
    <v>0</v>
  </rv>
  <rv s="0">
    <fb>79.569999999999993</fb>
    <v>1</v>
  </rv>
  <rv s="0">
    <fb>80.099999999999994</fb>
    <v>1</v>
  </rv>
  <rv s="0">
    <fb>79.819999999999993</fb>
    <v>1</v>
  </rv>
  <rv s="0">
    <fb>5235554</fb>
    <v>2</v>
  </rv>
  <rv s="0">
    <fb>44887</fb>
    <v>0</v>
  </rv>
  <rv s="0">
    <fb>82.21</fb>
    <v>1</v>
  </rv>
  <rv s="0">
    <fb>8796154</fb>
    <v>2</v>
  </rv>
  <rv s="0">
    <fb>44888</fb>
    <v>0</v>
  </rv>
  <rv s="0">
    <fb>82.92</fb>
    <v>1</v>
  </rv>
  <rv s="0">
    <fb>81.78</fb>
    <v>1</v>
  </rv>
  <rv s="0">
    <fb>82.56</fb>
    <v>1</v>
  </rv>
  <rv s="0">
    <fb>6347899</fb>
    <v>2</v>
  </rv>
  <rv s="0">
    <fb>44890</fb>
    <v>0</v>
  </rv>
  <rv s="0">
    <fb>82.85</fb>
    <v>1</v>
  </rv>
  <rv s="0">
    <fb>83.484999999999999</fb>
    <v>1</v>
  </rv>
  <rv s="0">
    <fb>82.534999999999997</fb>
    <v>1</v>
  </rv>
  <rv s="0">
    <fb>2754876</fb>
    <v>2</v>
  </rv>
  <rv s="0">
    <fb>44893</fb>
    <v>0</v>
  </rv>
  <rv s="0">
    <fb>81.39</fb>
    <v>1</v>
  </rv>
  <rv s="0">
    <fb>5113103</fb>
    <v>2</v>
  </rv>
  <rv s="0">
    <fb>44894</fb>
    <v>0</v>
  </rv>
  <rv s="0">
    <fb>81.5</fb>
    <v>1</v>
  </rv>
  <rv s="0">
    <fb>80.52</fb>
    <v>1</v>
  </rv>
  <rv s="0">
    <fb>80.849999999999994</fb>
    <v>1</v>
  </rv>
  <rv s="0">
    <fb>4928270</fb>
    <v>2</v>
  </rv>
  <rv s="0">
    <fb>44895</fb>
    <v>0</v>
  </rv>
  <rv s="0">
    <fb>80.47</fb>
    <v>1</v>
  </rv>
  <rv s="0">
    <fb>83.174999999999997</fb>
    <v>1</v>
  </rv>
  <rv s="0">
    <fb>83.03</fb>
    <v>1</v>
  </rv>
  <rv s="0">
    <fb>9610329</fb>
    <v>2</v>
  </rv>
  <rv s="0">
    <fb>44896</fb>
    <v>0</v>
  </rv>
  <rv s="0">
    <fb>83.05</fb>
    <v>1</v>
  </rv>
  <rv s="0">
    <fb>84.53</fb>
    <v>1</v>
  </rv>
  <rv s="0">
    <fb>82.35</fb>
    <v>1</v>
  </rv>
  <rv s="0">
    <fb>84.11</fb>
    <v>1</v>
  </rv>
  <rv s="0">
    <fb>6127308</fb>
    <v>2</v>
  </rv>
  <rv s="0">
    <fb>44897</fb>
    <v>0</v>
  </rv>
  <rv s="0">
    <fb>83.2</fb>
    <v>1</v>
  </rv>
  <rv s="0">
    <fb>83.62</fb>
    <v>1</v>
  </rv>
  <rv s="0">
    <fb>82.58</fb>
    <v>1</v>
  </rv>
  <rv s="0">
    <fb>83.35</fb>
    <v>1</v>
  </rv>
  <rv s="0">
    <fb>4798927</fb>
    <v>2</v>
  </rv>
  <rv s="0">
    <fb>44900</fb>
    <v>0</v>
  </rv>
  <rv s="0">
    <fb>82.41</fb>
    <v>1</v>
  </rv>
  <rv s="0">
    <fb>79.41</fb>
    <v>1</v>
  </rv>
  <rv s="0">
    <fb>79.430000000000007</fb>
    <v>1</v>
  </rv>
  <rv s="0">
    <fb>9102943</fb>
    <v>2</v>
  </rv>
  <rv s="0">
    <fb>44901</fb>
    <v>0</v>
  </rv>
  <rv s="0">
    <fb>79.349999999999994</fb>
    <v>1</v>
  </rv>
  <rv s="0">
    <fb>78.06</fb>
    <v>1</v>
  </rv>
  <rv s="0">
    <fb>78.91</fb>
    <v>1</v>
  </rv>
  <rv s="0">
    <fb>7656126</fb>
    <v>2</v>
  </rv>
  <rv s="0">
    <fb>44902</fb>
    <v>0</v>
  </rv>
  <rv s="0">
    <fb>78.67</fb>
    <v>1</v>
  </rv>
  <rv s="0">
    <fb>79.444999999999993</fb>
    <v>1</v>
  </rv>
  <rv s="0">
    <fb>78.58</fb>
    <v>1</v>
  </rv>
  <rv s="0">
    <fb>78.78</fb>
    <v>1</v>
  </rv>
  <rv s="0">
    <fb>5105512</fb>
    <v>2</v>
  </rv>
  <rv s="0">
    <fb>44903</fb>
    <v>0</v>
  </rv>
  <rv s="0">
    <fb>80.209999999999994</fb>
    <v>1</v>
  </rv>
  <rv s="0">
    <fb>80.069999999999993</fb>
    <v>1</v>
  </rv>
  <rv s="0">
    <fb>5918748</fb>
    <v>2</v>
  </rv>
  <rv s="0">
    <fb>44904</fb>
    <v>0</v>
  </rv>
  <rv s="0">
    <fb>79.650000000000006</fb>
    <v>1</v>
  </rv>
  <rv s="0">
    <fb>79.540000000000006</fb>
    <v>1</v>
  </rv>
  <rv s="0">
    <fb>79.86</fb>
    <v>1</v>
  </rv>
  <rv s="0">
    <fb>6850806</fb>
    <v>2</v>
  </rv>
  <rv s="0">
    <fb>44907</fb>
    <v>0</v>
  </rv>
  <rv s="0">
    <fb>80.31</fb>
    <v>1</v>
  </rv>
  <rv s="0">
    <fb>79.935000000000002</fb>
    <v>1</v>
  </rv>
  <rv s="0">
    <fb>15807550</fb>
    <v>2</v>
  </rv>
  <rv s="0">
    <fb>44908</fb>
    <v>0</v>
  </rv>
  <rv s="0">
    <fb>84.94</fb>
    <v>1</v>
  </rv>
  <rv s="0">
    <fb>85.58</fb>
    <v>1</v>
  </rv>
  <rv s="0">
    <fb>80.56</fb>
    <v>1</v>
  </rv>
  <rv s="0">
    <fb>22812160</fb>
    <v>2</v>
  </rv>
  <rv s="0">
    <fb>44909</fb>
    <v>0</v>
  </rv>
  <rv s="0">
    <fb>80.81</fb>
    <v>1</v>
  </rv>
  <rv s="0">
    <fb>82.89</fb>
    <v>1</v>
  </rv>
  <rv s="0">
    <fb>80.569999999999993</fb>
    <v>1</v>
  </rv>
  <rv s="0">
    <fb>81.819999999999993</fb>
    <v>1</v>
  </rv>
  <rv s="0">
    <fb>11183148</fb>
    <v>2</v>
  </rv>
  <rv s="0">
    <fb>44910</fb>
    <v>0</v>
  </rv>
  <rv s="0">
    <fb>81.03</fb>
    <v>1</v>
  </rv>
  <rv s="0">
    <fb>79.459999999999994</fb>
    <v>1</v>
  </rv>
  <rv s="0">
    <fb>8198939</fb>
    <v>2</v>
  </rv>
  <rv s="0">
    <fb>44911</fb>
    <v>0</v>
  </rv>
  <rv s="0">
    <fb>19200747</fb>
    <v>2</v>
  </rv>
  <rv s="0">
    <fb>44914</fb>
    <v>0</v>
  </rv>
  <rv s="0">
    <fb>79.92</fb>
    <v>1</v>
  </rv>
  <rv s="0">
    <fb>81.099999999999994</fb>
    <v>1</v>
  </rv>
  <rv s="0">
    <fb>79.680000000000007</fb>
    <v>1</v>
  </rv>
  <rv s="0">
    <fb>7738813</fb>
    <v>2</v>
  </rv>
  <rv s="0">
    <fb>44915</fb>
    <v>0</v>
  </rv>
  <rv s="0">
    <fb>80.349999999999994</fb>
    <v>1</v>
  </rv>
  <rv s="0">
    <fb>6390180</fb>
    <v>2</v>
  </rv>
  <rv s="0">
    <fb>44916</fb>
    <v>0</v>
  </rv>
  <rv s="0">
    <fb>81.349999999999994</fb>
    <v>1</v>
  </rv>
  <rv s="0">
    <fb>5932395</fb>
    <v>2</v>
  </rv>
  <rv s="0">
    <fb>44917</fb>
    <v>0</v>
  </rv>
  <rv s="0">
    <fb>81.17</fb>
    <v>1</v>
  </rv>
  <rv s="0">
    <fb>8182431</fb>
    <v>2</v>
  </rv>
  <rv s="0">
    <fb>44918</fb>
    <v>0</v>
  </rv>
  <rv s="0">
    <fb>80.510000000000005</fb>
    <v>1</v>
  </rv>
  <rv s="0">
    <fb>80.900000000000006</fb>
    <v>1</v>
  </rv>
  <rv s="0">
    <fb>4129226</fb>
    <v>2</v>
  </rv>
  <rv s="0">
    <fb>44922</fb>
    <v>0</v>
  </rv>
  <rv s="0">
    <fb>80.88</fb>
    <v>1</v>
  </rv>
  <rv s="0">
    <fb>80.605000000000004</fb>
    <v>1</v>
  </rv>
  <rv s="0">
    <fb>80.98</fb>
    <v>1</v>
  </rv>
  <rv s="0">
    <fb>4290843</fb>
    <v>2</v>
  </rv>
  <rv s="0">
    <fb>44923</fb>
    <v>0</v>
  </rv>
  <rv s="0">
    <fb>81.09</fb>
    <v>1</v>
  </rv>
  <rv s="0">
    <fb>81.639899999999997</fb>
    <v>1</v>
  </rv>
  <rv s="0">
    <fb>80.194999999999993</fb>
    <v>1</v>
  </rv>
  <rv s="0">
    <fb>80.33</fb>
    <v>1</v>
  </rv>
  <rv s="0">
    <fb>3794094</fb>
    <v>2</v>
  </rv>
  <rv s="0">
    <fb>44924</fb>
    <v>0</v>
  </rv>
  <rv s="0">
    <fb>80.97</fb>
    <v>1</v>
  </rv>
  <rv s="0">
    <fb>80.7</fb>
    <v>1</v>
  </rv>
  <rv s="0">
    <fb>3867801</fb>
    <v>2</v>
  </rv>
  <rv s="0">
    <fb>44925</fb>
    <v>0</v>
  </rv>
  <rv s="0">
    <fb>81.93</fb>
    <v>1</v>
  </rv>
  <rv s="0">
    <fb>80.760000000000005</fb>
    <v>1</v>
  </rv>
  <rv s="0">
    <fb>5375702</fb>
    <v>2</v>
  </rv>
  <rv s="0">
    <fb>44929</fb>
    <v>0</v>
  </rv>
  <rv s="0">
    <fb>83.84</fb>
    <v>1</v>
  </rv>
  <rv s="0">
    <fb>82.26</fb>
    <v>1</v>
  </rv>
  <rv s="0">
    <fb>83.72</fb>
    <v>1</v>
  </rv>
  <rv s="0">
    <fb>8997534</fb>
    <v>2</v>
  </rv>
  <rv s="0">
    <fb>44930</fb>
    <v>0</v>
  </rv>
  <rv s="0">
    <fb>84.2</fb>
    <v>1</v>
  </rv>
  <rv s="0">
    <fb>85.17</fb>
    <v>1</v>
  </rv>
  <rv s="0">
    <fb>83.64</fb>
    <v>1</v>
  </rv>
  <rv s="0">
    <fb>84.48</fb>
    <v>1</v>
  </rv>
  <rv s="0">
    <fb>7836238</fb>
    <v>2</v>
  </rv>
  <rv s="0">
    <fb>44931</fb>
    <v>0</v>
  </rv>
  <rv s="0">
    <fb>85.4</fb>
    <v>1</v>
  </rv>
  <rv s="0">
    <fb>83.22</fb>
    <v>1</v>
  </rv>
  <rv s="0">
    <fb>84.31</fb>
    <v>1</v>
  </rv>
  <rv s="0">
    <fb>7643784</fb>
    <v>2</v>
  </rv>
  <rv s="0">
    <fb>44932</fb>
    <v>0</v>
  </rv>
  <rv s="0">
    <fb>84.74</fb>
    <v>1</v>
  </rv>
  <rv s="0">
    <fb>83.82</fb>
    <v>1</v>
  </rv>
  <rv s="0">
    <fb>85.66</fb>
    <v>1</v>
  </rv>
  <rv s="0">
    <fb>8641597</fb>
    <v>2</v>
  </rv>
  <rv s="0">
    <fb>44935</fb>
    <v>0</v>
  </rv>
  <rv s="0">
    <fb>86.84</fb>
    <v>1</v>
  </rv>
  <rv s="0">
    <fb>87.59</fb>
    <v>1</v>
  </rv>
  <rv s="0">
    <fb>86.16</fb>
    <v>1</v>
  </rv>
  <rv s="0">
    <fb>86.42</fb>
    <v>1</v>
  </rv>
  <rv s="0">
    <fb>7519836</fb>
    <v>2</v>
  </rv>
  <rv s="0">
    <fb>44936</fb>
    <v>0</v>
  </rv>
  <rv s="0">
    <fb>85.64</fb>
    <v>1</v>
  </rv>
  <rv s="0">
    <fb>86.61</fb>
    <v>1</v>
  </rv>
  <rv s="0">
    <fb>85.57</fb>
    <v>1</v>
  </rv>
  <rv s="0">
    <fb>86.5</fb>
    <v>1</v>
  </rv>
  <rv s="0">
    <fb>5703270</fb>
    <v>2</v>
  </rv>
  <rv s="0">
    <fb>44937</fb>
    <v>0</v>
  </rv>
  <rv s="0">
    <fb>87.37</fb>
    <v>1</v>
  </rv>
  <rv s="0">
    <fb>87.09</fb>
    <v>1</v>
  </rv>
  <rv s="0">
    <fb>8359667</fb>
    <v>2</v>
  </rv>
  <rv s="0">
    <fb>44938</fb>
    <v>0</v>
  </rv>
  <rv s="0">
    <fb>88.7</fb>
    <v>1</v>
  </rv>
  <rv s="0">
    <fb>89.194999999999993</fb>
    <v>1</v>
  </rv>
  <rv s="0">
    <fb>88.17</fb>
    <v>1</v>
  </rv>
  <rv s="0">
    <fb>88.78</fb>
    <v>1</v>
  </rv>
  <rv s="0">
    <fb>6071099</fb>
    <v>2</v>
  </rv>
  <rv s="0">
    <fb>44939</fb>
    <v>0</v>
  </rv>
  <rv s="0">
    <fb>87.95</fb>
    <v>1</v>
  </rv>
  <rv s="0">
    <fb>89.466200000000001</fb>
    <v>1</v>
  </rv>
  <rv s="0">
    <fb>89.2</fb>
    <v>1</v>
  </rv>
  <rv s="0">
    <fb>5090938</fb>
    <v>2</v>
  </rv>
  <rv s="0">
    <fb>44943</fb>
    <v>0</v>
  </rv>
  <rv s="0">
    <fb>89.44</fb>
    <v>1</v>
  </rv>
  <rv s="0">
    <fb>88.424999999999997</fb>
    <v>1</v>
  </rv>
  <rv s="0">
    <fb>6550412</fb>
    <v>2</v>
  </rv>
  <rv s="0">
    <fb>44944</fb>
    <v>0</v>
  </rv>
  <rv s="0">
    <fb>88.63</fb>
    <v>1</v>
  </rv>
  <rv s="0">
    <fb>86.6</fb>
    <v>1</v>
  </rv>
  <rv s="0">
    <fb>86.71</fb>
    <v>1</v>
  </rv>
  <rv s="0">
    <fb>6397707</fb>
    <v>2</v>
  </rv>
  <rv s="0">
    <fb>44945</fb>
    <v>0</v>
  </rv>
  <rv s="0">
    <fb>86.4</fb>
    <v>1</v>
  </rv>
  <rv s="0">
    <fb>86.99</fb>
    <v>1</v>
  </rv>
  <rv s="0">
    <fb>85.254999999999995</fb>
    <v>1</v>
  </rv>
  <rv s="0">
    <fb>85.94</fb>
    <v>1</v>
  </rv>
  <rv s="0">
    <fb>5597039</fb>
    <v>2</v>
  </rv>
  <rv s="0">
    <fb>44946</fb>
    <v>0</v>
  </rv>
  <rv s="0">
    <fb>86.03</fb>
    <v>1</v>
  </rv>
  <rv s="0">
    <fb>85.495000000000005</fb>
    <v>1</v>
  </rv>
  <rv s="0">
    <fb>5567493</fb>
    <v>2</v>
  </rv>
  <rv s="0">
    <fb>44949</fb>
    <v>0</v>
  </rv>
  <rv s="0">
    <fb>87.19</fb>
    <v>1</v>
  </rv>
  <rv s="0">
    <fb>88.97</fb>
    <v>1</v>
  </rv>
  <rv s="0">
    <fb>7390256</fb>
    <v>2</v>
  </rv>
  <rv s="0">
    <fb>44950</fb>
    <v>0</v>
  </rv>
  <rv s="0">
    <fb>89.05</fb>
    <v>1</v>
  </rv>
  <rv s="0">
    <fb>90.094999999999999</fb>
    <v>1</v>
  </rv>
  <rv s="0">
    <fb>7004581</fb>
    <v>2</v>
  </rv>
  <rv s="0">
    <fb>44951</fb>
    <v>0</v>
  </rv>
  <rv s="0">
    <fb>87.74</fb>
    <v>1</v>
  </rv>
  <rv s="0">
    <fb>89.64</fb>
    <v>1</v>
  </rv>
  <rv s="0">
    <fb>5896812</fb>
    <v>2</v>
  </rv>
  <rv s="0">
    <fb>44952</fb>
    <v>0</v>
  </rv>
  <rv s="0">
    <fb>89.89</fb>
    <v>1</v>
  </rv>
  <rv s="0">
    <fb>89.09</fb>
    <v>1</v>
  </rv>
  <rv s="0">
    <fb>89.83</fb>
    <v>1</v>
  </rv>
  <rv s="0">
    <fb>7302869</fb>
    <v>2</v>
  </rv>
  <rv s="0">
    <fb>44953</fb>
    <v>0</v>
  </rv>
  <rv s="0">
    <fb>88.99</fb>
    <v>1</v>
  </rv>
  <rv s="0">
    <fb>5676836</fb>
    <v>2</v>
  </rv>
  <rv s="0">
    <fb>44956</fb>
    <v>0</v>
  </rv>
  <rv s="0">
    <fb>88.47</fb>
    <v>1</v>
  </rv>
  <rv s="0">
    <fb>88.62</fb>
    <v>1</v>
  </rv>
  <rv s="0">
    <fb>87.35</fb>
    <v>1</v>
  </rv>
  <rv s="0">
    <fb>6255306</fb>
    <v>2</v>
  </rv>
  <rv s="0">
    <fb>44957</fb>
    <v>0</v>
  </rv>
  <rv s="0">
    <fb>88.46</fb>
    <v>1</v>
  </rv>
  <rv s="0">
    <fb>6200413</fb>
    <v>2</v>
  </rv>
  <rv s="0">
    <fb>44958</fb>
    <v>0</v>
  </rv>
  <rv s="0">
    <fb>88.37</fb>
    <v>1</v>
  </rv>
  <rv s="0">
    <fb>90.644999999999996</fb>
    <v>1</v>
  </rv>
  <rv s="0">
    <fb>6141252</fb>
    <v>2</v>
  </rv>
  <rv s="0">
    <fb>44959</fb>
    <v>0</v>
  </rv>
  <rv s="0">
    <fb>90.66</fb>
    <v>1</v>
  </rv>
  <rv s="0">
    <fb>91.22</fb>
    <v>1</v>
  </rv>
  <rv s="0">
    <fb>88.944999999999993</fb>
    <v>1</v>
  </rv>
  <rv s="0">
    <fb>8269151</fb>
    <v>2</v>
  </rv>
  <rv s="0">
    <fb>44960</fb>
    <v>0</v>
  </rv>
  <rv s="0">
    <fb>90.254999999999995</fb>
    <v>1</v>
  </rv>
  <rv s="0">
    <fb>88.27</fb>
    <v>1</v>
  </rv>
  <rv s="0">
    <fb>89.62</fb>
    <v>1</v>
  </rv>
  <rv s="0">
    <fb>5671823</fb>
    <v>2</v>
  </rv>
  <rv s="0">
    <fb>44963</fb>
    <v>0</v>
  </rv>
  <rv s="0">
    <fb>89.61</fb>
    <v>1</v>
  </rv>
  <rv s="0">
    <fb>88.4</fb>
    <v>1</v>
  </rv>
  <rv s="0">
    <fb>88.53</fb>
    <v>1</v>
  </rv>
  <rv s="0">
    <fb>4097311</fb>
    <v>2</v>
  </rv>
  <rv s="0">
    <fb>44964</fb>
    <v>0</v>
  </rv>
  <rv s="0">
    <fb>87.87</fb>
    <v>1</v>
  </rv>
  <rv s="0">
    <fb>88.02</fb>
    <v>1</v>
  </rv>
  <rv s="0">
    <fb>86.3</fb>
    <v>1</v>
  </rv>
  <rv s="0">
    <fb>9226071</fb>
    <v>2</v>
  </rv>
  <rv s="0">
    <fb>44965</fb>
    <v>0</v>
  </rv>
  <rv s="0">
    <fb>86.93</fb>
    <v>1</v>
  </rv>
  <rv s="0">
    <fb>87.915000000000006</fb>
    <v>1</v>
  </rv>
  <rv s="0">
    <fb>86.51</fb>
    <v>1</v>
  </rv>
  <rv s="0">
    <fb>7624398</fb>
    <v>2</v>
  </rv>
  <rv s="0">
    <fb>44966</fb>
    <v>0</v>
  </rv>
  <rv s="0">
    <fb>87.14</fb>
    <v>1</v>
  </rv>
  <rv s="0">
    <fb>86.325000000000003</fb>
    <v>1</v>
  </rv>
  <rv s="0">
    <fb>86.65</fb>
    <v>1</v>
  </rv>
  <rv s="0">
    <fb>4960391</fb>
    <v>2</v>
  </rv>
  <rv s="0">
    <fb>44967</fb>
    <v>0</v>
  </rv>
  <rv s="0">
    <fb>86.53</fb>
    <v>1</v>
  </rv>
  <rv s="0">
    <fb>86.334999999999994</fb>
    <v>1</v>
  </rv>
  <rv s="0">
    <fb>5318403</fb>
    <v>2</v>
  </rv>
  <rv s="0">
    <fb>44970</fb>
    <v>0</v>
  </rv>
  <rv s="0">
    <fb>87.28</fb>
    <v>1</v>
  </rv>
  <rv s="0">
    <fb>87.2</fb>
    <v>1</v>
  </rv>
  <rv s="0">
    <fb>5560902</fb>
    <v>2</v>
  </rv>
  <rv s="0">
    <fb>44971</fb>
    <v>0</v>
  </rv>
  <rv s="0">
    <fb>87.71</fb>
    <v>1</v>
  </rv>
  <rv s="0">
    <fb>7484776</fb>
    <v>2</v>
  </rv>
  <rv s="0">
    <fb>44972</fb>
    <v>0</v>
  </rv>
  <rv s="0">
    <fb>88.85</fb>
    <v>1</v>
  </rv>
  <rv s="0">
    <fb>88.03</fb>
    <v>1</v>
  </rv>
  <rv s="0">
    <fb>4330547</fb>
    <v>2</v>
  </rv>
  <rv s="0">
    <fb>44973</fb>
    <v>0</v>
  </rv>
  <rv s="0">
    <fb>87.46</fb>
    <v>1</v>
  </rv>
  <rv s="0">
    <fb>87.012600000000006</fb>
    <v>1</v>
  </rv>
  <rv s="0">
    <fb>87.72</fb>
    <v>1</v>
  </rv>
  <rv s="0">
    <fb>5942533</fb>
    <v>2</v>
  </rv>
  <rv s="0">
    <fb>44974</fb>
    <v>0</v>
  </rv>
  <rv s="0">
    <fb>87.43</fb>
    <v>1</v>
  </rv>
  <rv s="0">
    <fb>6398487</fb>
    <v>2</v>
  </rv>
  <rv s="0">
    <fb>44978</fb>
    <v>0</v>
  </rv>
  <rv s="0">
    <fb>86.76</fb>
    <v>1</v>
  </rv>
  <rv s="0">
    <fb>86.94</fb>
    <v>1</v>
  </rv>
  <rv s="0">
    <fb>86.15</fb>
    <v>1</v>
  </rv>
  <rv s="0">
    <fb>86.2</fb>
    <v>1</v>
  </rv>
  <rv s="0">
    <fb>5260328</fb>
    <v>2</v>
  </rv>
  <rv s="0">
    <fb>44979</fb>
    <v>0</v>
  </rv>
  <rv s="0">
    <fb>86.68</fb>
    <v>1</v>
  </rv>
  <rv s="0">
    <fb>85.98</fb>
    <v>1</v>
  </rv>
  <rv s="0">
    <fb>86.32</fb>
    <v>1</v>
  </rv>
  <rv s="0">
    <fb>5840102</fb>
    <v>2</v>
  </rv>
  <rv s="0">
    <fb>44980</fb>
    <v>0</v>
  </rv>
  <rv s="0">
    <fb>87.15</fb>
    <v>1</v>
  </rv>
  <rv s="0">
    <fb>87.06</fb>
    <v>1</v>
  </rv>
  <rv s="0">
    <fb>88.58</fb>
    <v>1</v>
  </rv>
  <rv s="0">
    <fb>8637135</fb>
    <v>2</v>
  </rv>
  <rv s="0">
    <fb>44981</fb>
    <v>0</v>
  </rv>
  <rv s="0">
    <fb>87.31</fb>
    <v>1</v>
  </rv>
  <rv s="0">
    <fb>7659188</fb>
    <v>2</v>
  </rv>
  <rv s="0">
    <fb>44984</fb>
    <v>0</v>
  </rv>
  <rv s="0">
    <fb>88.86</fb>
    <v>1</v>
  </rv>
  <rv s="0">
    <fb>87.36</fb>
    <v>1</v>
  </rv>
  <rv s="0">
    <fb>87.96</fb>
    <v>1</v>
  </rv>
  <rv s="0">
    <fb>6748861</fb>
    <v>2</v>
  </rv>
  <rv s="0">
    <fb>44985</fb>
    <v>0</v>
  </rv>
  <rv s="0">
    <fb>87.7</fb>
    <v>1</v>
  </rv>
  <rv s="0">
    <fb>87.4</fb>
    <v>1</v>
  </rv>
  <rv s="0">
    <fb>7468234</fb>
    <v>2</v>
  </rv>
  <rv s="0">
    <fb>44986</fb>
    <v>0</v>
  </rv>
  <rv s="0">
    <fb>86.9</fb>
    <v>1</v>
  </rv>
  <rv s="0">
    <fb>85.99</fb>
    <v>1</v>
  </rv>
  <rv s="0">
    <fb>5119757</fb>
    <v>2</v>
  </rv>
  <rv s="0">
    <fb>44987</fb>
    <v>0</v>
  </rv>
  <rv s="0">
    <fb>86.06</fb>
    <v>1</v>
  </rv>
  <rv s="0">
    <fb>85.87</fb>
    <v>1</v>
  </rv>
  <rv s="0">
    <fb>5293599</fb>
    <v>2</v>
  </rv>
  <rv s="0">
    <fb>44988</fb>
    <v>0</v>
  </rv>
  <rv s="0">
    <fb>87.32</fb>
    <v>1</v>
  </rv>
  <rv s="0">
    <fb>89.29</fb>
    <v>1</v>
  </rv>
  <rv s="0">
    <fb>87.08</fb>
    <v>1</v>
  </rv>
  <rv s="0">
    <fb>89.25</fb>
    <v>1</v>
  </rv>
  <rv s="0">
    <fb>5498531</fb>
    <v>2</v>
  </rv>
  <rv s="0">
    <fb>44991</fb>
    <v>0</v>
  </rv>
  <rv s="0">
    <fb>90.665000000000006</fb>
    <v>1</v>
  </rv>
  <rv s="0">
    <fb>7424800</fb>
    <v>2</v>
  </rv>
  <rv s="0">
    <fb>44992</fb>
    <v>0</v>
  </rv>
  <rv s="0">
    <fb>89.58</fb>
    <v>1</v>
  </rv>
  <rv s="0">
    <fb>90.08</fb>
    <v>1</v>
  </rv>
  <rv s="0">
    <fb>5382366</fb>
    <v>2</v>
  </rv>
  <rv s="0">
    <fb>44993</fb>
    <v>0</v>
  </rv>
  <rv s="0">
    <fb>89.084999999999994</fb>
    <v>1</v>
  </rv>
  <rv s="0">
    <fb>88.15</fb>
    <v>1</v>
  </rv>
  <rv s="0">
    <fb>5159208</fb>
    <v>2</v>
  </rv>
  <rv s="0">
    <fb>44994</fb>
    <v>0</v>
  </rv>
  <rv s="0">
    <fb>88.33</fb>
    <v>1</v>
  </rv>
  <rv s="0">
    <fb>10572293</fb>
    <v>2</v>
  </rv>
  <rv s="0">
    <fb>44995</fb>
    <v>0</v>
  </rv>
  <rv s="0">
    <fb>84.41</fb>
    <v>1</v>
  </rv>
  <rv s="0">
    <fb>85.25</fb>
    <v>1</v>
  </rv>
  <rv s="0">
    <fb>16029345</fb>
    <v>2</v>
  </rv>
  <rv s="0">
    <fb>44998</fb>
    <v>0</v>
  </rv>
  <rv s="0">
    <fb>83.32</fb>
    <v>1</v>
  </rv>
  <rv s="0">
    <fb>85.53</fb>
    <v>1</v>
  </rv>
  <rv s="0">
    <fb>10299942</fb>
    <v>2</v>
  </rv>
  <rv s="0">
    <fb>44999</fb>
    <v>0</v>
  </rv>
  <rv s="0">
    <fb>85.93</fb>
    <v>1</v>
  </rv>
  <rv s="0">
    <fb>83.43</fb>
    <v>1</v>
  </rv>
  <rv s="0">
    <fb>84.56</fb>
    <v>1</v>
  </rv>
  <rv s="0">
    <fb>8732248</fb>
    <v>2</v>
  </rv>
  <rv s="0">
    <fb>45000</fb>
    <v>0</v>
  </rv>
  <rv s="0">
    <fb>83.08</fb>
    <v>1</v>
  </rv>
  <rv s="0">
    <fb>83.37</fb>
    <v>1</v>
  </rv>
  <rv s="0">
    <fb>82.98</fb>
    <v>1</v>
  </rv>
  <rv s="0">
    <fb>11463010</fb>
    <v>2</v>
  </rv>
  <rv s="0">
    <fb>45001</fb>
    <v>0</v>
  </rv>
  <rv s="0">
    <fb>85.11</fb>
    <v>1</v>
  </rv>
  <rv s="0">
    <fb>82.08</fb>
    <v>1</v>
  </rv>
  <rv s="0">
    <fb>84.82</fb>
    <v>1</v>
  </rv>
  <rv s="0">
    <fb>10149163</fb>
    <v>2</v>
  </rv>
  <rv s="0">
    <fb>45002</fb>
    <v>0</v>
  </rv>
  <rv s="0">
    <fb>84.61</fb>
    <v>1</v>
  </rv>
  <rv s="0">
    <fb>85.26</fb>
    <v>1</v>
  </rv>
  <rv s="0">
    <fb>13066028</fb>
    <v>2</v>
  </rv>
  <rv s="0">
    <fb>45005</fb>
    <v>0</v>
  </rv>
  <rv s="0">
    <fb>85.28</fb>
    <v>1</v>
  </rv>
  <rv s="0">
    <fb>86.96</fb>
    <v>1</v>
  </rv>
  <rv s="0">
    <fb>9177289</fb>
    <v>2</v>
  </rv>
  <rv s="0">
    <fb>45006</fb>
    <v>0</v>
  </rv>
  <rv s="0">
    <fb>87.49</fb>
    <v>1</v>
  </rv>
  <rv s="0">
    <fb>87.848200000000006</fb>
    <v>1</v>
  </rv>
  <rv s="0">
    <fb>87.58</fb>
    <v>1</v>
  </rv>
  <rv s="0">
    <fb>6683731</fb>
    <v>2</v>
  </rv>
  <rv s="0">
    <fb>45007</fb>
    <v>0</v>
  </rv>
  <rv s="0">
    <fb>87.54</fb>
    <v>1</v>
  </rv>
  <rv s="0">
    <fb>89.16</fb>
    <v>1</v>
  </rv>
  <rv s="0">
    <fb>87.44</fb>
    <v>1</v>
  </rv>
  <rv s="0">
    <fb>7233663</fb>
    <v>2</v>
  </rv>
  <rv s="0">
    <fb>45008</fb>
    <v>0</v>
  </rv>
  <rv s="0">
    <fb>87.64</fb>
    <v>1</v>
  </rv>
  <rv s="0">
    <fb>87.78</fb>
    <v>1</v>
  </rv>
  <rv s="0">
    <fb>10747139</fb>
    <v>2</v>
  </rv>
  <rv s="0">
    <fb>45009</fb>
    <v>0</v>
  </rv>
  <rv s="0">
    <fb>87.98</fb>
    <v>1</v>
  </rv>
  <rv s="0">
    <fb>5852248</fb>
    <v>2</v>
  </rv>
  <rv s="0">
    <fb>45012</fb>
    <v>0</v>
  </rv>
  <rv s="0">
    <fb>88.545000000000002</fb>
    <v>1</v>
  </rv>
  <rv s="0">
    <fb>90.14</fb>
    <v>1</v>
  </rv>
  <rv s="0">
    <fb>8170050</fb>
    <v>2</v>
  </rv>
  <rv s="0">
    <fb>45013</fb>
    <v>0</v>
  </rv>
  <rv s="0">
    <fb>90.22</fb>
    <v>1</v>
  </rv>
  <rv s="0">
    <fb>90.88</fb>
    <v>1</v>
  </rv>
  <rv s="0">
    <fb>89.85</fb>
    <v>1</v>
  </rv>
  <rv s="0">
    <fb>6378927</fb>
    <v>2</v>
  </rv>
  <rv s="0">
    <fb>45014</fb>
    <v>0</v>
  </rv>
  <rv s="0">
    <fb>90.13</fb>
    <v>1</v>
  </rv>
  <rv s="0">
    <fb>89.81</fb>
    <v>1</v>
  </rv>
  <rv s="0">
    <fb>90.62</fb>
    <v>1</v>
  </rv>
  <rv s="0">
    <fb>5233647</fb>
    <v>2</v>
  </rv>
  <rv s="0">
    <fb>45015</fb>
    <v>0</v>
  </rv>
  <rv s="0">
    <fb>90.85</fb>
    <v>1</v>
  </rv>
  <rv s="0">
    <fb>91.18</fb>
    <v>1</v>
  </rv>
  <rv s="0">
    <fb>5640690</fb>
    <v>2</v>
  </rv>
  <rv s="0">
    <fb>45016</fb>
    <v>0</v>
  </rv>
  <rv s="0">
    <fb>90.56</fb>
    <v>1</v>
  </rv>
  <rv s="0">
    <fb>93</fb>
    <v>1</v>
  </rv>
  <rv s="0">
    <fb>90.41</fb>
    <v>1</v>
  </rv>
  <rv s="0">
    <fb>10476333</fb>
    <v>2</v>
  </rv>
  <rv s="0">
    <fb>45019</fb>
    <v>0</v>
  </rv>
  <rv s="0">
    <fb>94</fb>
    <v>1</v>
  </rv>
  <rv s="0">
    <fb>92.09</fb>
    <v>1</v>
  </rv>
  <rv s="0">
    <fb>93.92</fb>
    <v>1</v>
  </rv>
  <rv s="0">
    <fb>8410872</fb>
    <v>2</v>
  </rv>
  <rv s="0">
    <fb>45020</fb>
    <v>0</v>
  </rv>
  <rv s="0">
    <fb>93.85</fb>
    <v>1</v>
  </rv>
  <rv s="0">
    <fb>92.93</fb>
    <v>1</v>
  </rv>
  <rv s="0">
    <fb>6651475</fb>
    <v>2</v>
  </rv>
  <rv s="0">
    <fb>45021</fb>
    <v>0</v>
  </rv>
  <rv s="0">
    <fb>93.62</fb>
    <v>1</v>
  </rv>
  <rv s="0">
    <fb>95.108000000000004</fb>
    <v>1</v>
  </rv>
  <rv s="0">
    <fb>93.48</fb>
    <v>1</v>
  </rv>
  <rv s="0">
    <fb>94.89</fb>
    <v>1</v>
  </rv>
  <rv s="0">
    <fb>7478750</fb>
    <v>2</v>
  </rv>
  <rv s="0">
    <fb>45022</fb>
    <v>0</v>
  </rv>
  <rv s="0">
    <fb>94.33</fb>
    <v>1</v>
  </rv>
  <rv s="0">
    <fb>96.08</fb>
    <v>1</v>
  </rv>
  <rv s="0">
    <fb>93.99</fb>
    <v>1</v>
  </rv>
  <rv s="0">
    <fb>95.92</fb>
    <v>1</v>
  </rv>
  <rv s="0">
    <fb>9146244</fb>
    <v>2</v>
  </rv>
  <rv s="0">
    <fb>45026</fb>
    <v>0</v>
  </rv>
  <rv s="0">
    <fb>94.68</fb>
    <v>1</v>
  </rv>
  <rv s="0">
    <fb>93.55</fb>
    <v>1</v>
  </rv>
  <rv s="0">
    <fb>93.76</fb>
    <v>1</v>
  </rv>
  <rv s="0">
    <fb>8681735</fb>
    <v>2</v>
  </rv>
  <rv s="0">
    <fb>45027</fb>
    <v>0</v>
  </rv>
  <rv s="0">
    <fb>93.46</fb>
    <v>1</v>
  </rv>
  <rv s="0">
    <fb>93.2</fb>
    <v>1</v>
  </rv>
  <rv s="0">
    <fb>8196049</fb>
    <v>2</v>
  </rv>
  <rv s="0">
    <fb>45028</fb>
    <v>0</v>
  </rv>
  <rv s="0">
    <fb>93.594999999999999</fb>
    <v>1</v>
  </rv>
  <rv s="0">
    <fb>93.9</fb>
    <v>1</v>
  </rv>
  <rv s="0">
    <fb>8040306</fb>
    <v>2</v>
  </rv>
  <rv s="0">
    <fb>45029</fb>
    <v>0</v>
  </rv>
  <rv s="0">
    <fb>94.18</fb>
    <v>1</v>
  </rv>
  <rv s="0">
    <fb>95.745000000000005</fb>
    <v>1</v>
  </rv>
  <rv s="0">
    <fb>95.55</fb>
    <v>1</v>
  </rv>
  <rv s="0">
    <fb>6240215</fb>
    <v>2</v>
  </rv>
  <rv s="0">
    <fb>45030</fb>
    <v>0</v>
  </rv>
  <rv s="0">
    <fb>95.99</fb>
    <v>1</v>
  </rv>
  <rv s="0">
    <fb>6485060</fb>
    <v>2</v>
  </rv>
  <rv s="0">
    <fb>45033</fb>
    <v>0</v>
  </rv>
  <rv s="0">
    <fb>95.64</fb>
    <v>1</v>
  </rv>
  <rv s="0">
    <fb>95.31</fb>
    <v>1</v>
  </rv>
  <rv s="0">
    <fb>95.59</fb>
    <v>1</v>
  </rv>
  <rv s="0">
    <fb>4772486</fb>
    <v>2</v>
  </rv>
  <rv s="0">
    <fb>45034</fb>
    <v>0</v>
  </rv>
  <rv s="0">
    <fb>96.741299999999995</fb>
    <v>1</v>
  </rv>
  <rv s="0">
    <fb>95.774900000000002</fb>
    <v>1</v>
  </rv>
  <rv s="0">
    <fb>96.47</fb>
    <v>1</v>
  </rv>
  <rv s="0">
    <fb>7219366</fb>
    <v>2</v>
  </rv>
  <rv s="0">
    <fb>45035</fb>
    <v>0</v>
  </rv>
  <rv s="0">
    <fb>4766371</fb>
    <v>2</v>
  </rv>
  <rv s="0">
    <fb>45036</fb>
    <v>0</v>
  </rv>
  <rv s="0">
    <fb>94.6</fb>
    <v>1</v>
  </rv>
  <rv s="0">
    <fb>94.83</fb>
    <v>1</v>
  </rv>
  <rv s="0">
    <fb>5815527</fb>
    <v>2</v>
  </rv>
  <rv s="0">
    <fb>45037</fb>
    <v>0</v>
  </rv>
  <rv s="0">
    <fb>95.01</fb>
    <v>1</v>
  </rv>
  <rv s="0">
    <fb>94.26</fb>
    <v>1</v>
  </rv>
  <rv s="0">
    <fb>7335787</fb>
    <v>2</v>
  </rv>
  <rv s="0">
    <fb>45040</fb>
    <v>0</v>
  </rv>
  <rv s="0">
    <fb>95.34</fb>
    <v>1</v>
  </rv>
  <rv s="0">
    <fb>96.075000000000003</fb>
    <v>1</v>
  </rv>
  <rv s="0">
    <fb>94.97</fb>
    <v>1</v>
  </rv>
  <rv s="0">
    <fb>95.44</fb>
    <v>1</v>
  </rv>
  <rv s="0">
    <fb>4901783</fb>
    <v>2</v>
  </rv>
  <rv s="0">
    <fb>45041</fb>
    <v>0</v>
  </rv>
  <rv s="0">
    <fb>95.7</fb>
    <v>1</v>
  </rv>
  <rv s="0">
    <fb>94.06</fb>
    <v>1</v>
  </rv>
  <rv s="0">
    <fb>5768842</fb>
    <v>2</v>
  </rv>
  <rv s="0">
    <fb>45042</fb>
    <v>0</v>
  </rv>
  <rv s="0">
    <fb>93.75</fb>
    <v>1</v>
  </rv>
  <rv s="0">
    <fb>93.34</fb>
    <v>1</v>
  </rv>
  <rv s="0">
    <fb>93.71</fb>
    <v>1</v>
  </rv>
  <rv s="0">
    <fb>6395726</fb>
    <v>2</v>
  </rv>
  <rv s="0">
    <fb>45043</fb>
    <v>0</v>
  </rv>
  <rv s="0">
    <fb>93.290599999999998</fb>
    <v>1</v>
  </rv>
  <rv s="0">
    <fb>95.04</fb>
    <v>1</v>
  </rv>
  <rv s="0">
    <fb>5615746</fb>
    <v>2</v>
  </rv>
  <rv s="0">
    <fb>45044</fb>
    <v>0</v>
  </rv>
  <rv s="0">
    <fb>94.27</fb>
    <v>1</v>
  </rv>
  <rv s="0">
    <fb>95.4</fb>
    <v>1</v>
  </rv>
  <rv s="0">
    <fb>94.24</fb>
    <v>1</v>
  </rv>
  <rv s="0">
    <fb>94.72</fb>
    <v>1</v>
  </rv>
  <rv s="0">
    <fb>8498551</fb>
    <v>2</v>
  </rv>
  <rv s="0">
    <fb>45047</fb>
    <v>0</v>
  </rv>
  <rv s="0">
    <fb>94.8</fb>
    <v>1</v>
  </rv>
  <rv s="0">
    <fb>95.73</fb>
    <v>1</v>
  </rv>
  <rv s="0">
    <fb>94.7</fb>
    <v>1</v>
  </rv>
  <rv s="0">
    <fb>94.87</fb>
    <v>1</v>
  </rv>
  <rv s="0">
    <fb>5459865</fb>
    <v>2</v>
  </rv>
  <rv s="0">
    <fb>45048</fb>
    <v>0</v>
  </rv>
  <rv s="0">
    <fb>94.93</fb>
    <v>1</v>
  </rv>
  <rv s="0">
    <fb>95.24</fb>
    <v>1</v>
  </rv>
  <rv s="0">
    <fb>5995080</fb>
    <v>2</v>
  </rv>
  <rv s="0">
    <fb>45049</fb>
    <v>0</v>
  </rv>
  <rv s="0">
    <fb>95.07</fb>
    <v>1</v>
  </rv>
  <rv s="0">
    <fb>95.42</fb>
    <v>1</v>
  </rv>
  <rv s="0">
    <fb>94.54</fb>
    <v>1</v>
  </rv>
  <rv s="0">
    <fb>94.78</fb>
    <v>1</v>
  </rv>
  <rv s="0">
    <fb>6744810</fb>
    <v>2</v>
  </rv>
  <rv s="0">
    <fb>45050</fb>
    <v>0</v>
  </rv>
  <rv s="0">
    <fb>94.98</fb>
    <v>1</v>
  </rv>
  <rv s="0">
    <fb>95.12</fb>
    <v>1</v>
  </rv>
  <rv s="0">
    <fb>94.41</fb>
    <v>1</v>
  </rv>
  <rv s="0">
    <fb>5038200</fb>
    <v>2</v>
  </rv>
  <rv s="0">
    <fb>45051</fb>
    <v>0</v>
  </rv>
  <rv s="0">
    <fb>95</fb>
    <v>1</v>
  </rv>
  <rv s="0">
    <fb>97.31</fb>
    <v>1</v>
  </rv>
  <rv s="0">
    <fb>8068571</fb>
    <v>2</v>
  </rv>
  <rv s="0">
    <fb>45054</fb>
    <v>0</v>
  </rv>
  <rv s="0">
    <fb>97.08</fb>
    <v>1</v>
  </rv>
  <rv s="0">
    <fb>97.28</fb>
    <v>1</v>
  </rv>
  <rv s="0">
    <fb>96.44</fb>
    <v>1</v>
  </rv>
  <rv s="0">
    <fb>96.79</fb>
    <v>1</v>
  </rv>
  <rv s="0">
    <fb>5314753</fb>
    <v>2</v>
  </rv>
  <rv s="0">
    <fb>45055</fb>
    <v>0</v>
  </rv>
  <rv s="0">
    <fb>96.89</fb>
    <v>1</v>
  </rv>
  <rv s="0">
    <fb>96.14</fb>
    <v>1</v>
  </rv>
  <rv s="0">
    <fb>6333498</fb>
    <v>2</v>
  </rv>
  <rv s="0">
    <fb>45056</fb>
    <v>0</v>
  </rv>
  <rv s="0">
    <fb>97.674999999999997</fb>
    <v>1</v>
  </rv>
  <rv s="0">
    <fb>96.256</fb>
    <v>1</v>
  </rv>
  <rv s="0">
    <fb>97.52</fb>
    <v>1</v>
  </rv>
  <rv s="0">
    <fb>5935280</fb>
    <v>2</v>
  </rv>
  <rv s="0">
    <fb>45057</fb>
    <v>0</v>
  </rv>
  <rv s="0">
    <fb>97.54</fb>
    <v>1</v>
  </rv>
  <rv s="0">
    <fb>97.63</fb>
    <v>1</v>
  </rv>
  <rv s="0">
    <fb>96.334999999999994</fb>
    <v>1</v>
  </rv>
  <rv s="0">
    <fb>97.44</fb>
    <v>1</v>
  </rv>
  <rv s="0">
    <fb>5144541</fb>
    <v>2</v>
  </rv>
  <rv s="0">
    <fb>45058</fb>
    <v>0</v>
  </rv>
  <rv s="0">
    <fb>97.61</fb>
    <v>1</v>
  </rv>
  <rv s="0">
    <fb>97.92</fb>
    <v>1</v>
  </rv>
  <rv s="0">
    <fb>96.93</fb>
    <v>1</v>
  </rv>
  <rv s="0">
    <fb>97.85</fb>
    <v>1</v>
  </rv>
  <rv s="0">
    <fb>4994703</fb>
    <v>2</v>
  </rv>
  <rv s="0">
    <fb>45061</fb>
    <v>0</v>
  </rv>
  <rv s="0">
    <fb>97.87</fb>
    <v>1</v>
  </rv>
  <rv s="0">
    <fb>97.96</fb>
    <v>1</v>
  </rv>
  <rv s="0">
    <fb>97.045000000000002</fb>
    <v>1</v>
  </rv>
  <rv s="0">
    <fb>97.26</fb>
    <v>1</v>
  </rv>
  <rv s="0">
    <fb>4443811</fb>
    <v>2</v>
  </rv>
  <rv s="0">
    <fb>45062</fb>
    <v>0</v>
  </rv>
  <rv s="0">
    <fb>97.17</fb>
    <v>1</v>
  </rv>
  <rv s="0">
    <fb>98.844999999999999</fb>
    <v>1</v>
  </rv>
  <rv s="0">
    <fb>96.92</fb>
    <v>1</v>
  </rv>
  <rv s="0">
    <fb>6898204</fb>
    <v>2</v>
  </rv>
  <rv s="0">
    <fb>45063</fb>
    <v>0</v>
  </rv>
  <rv s="0">
    <fb>98.78</fb>
    <v>1</v>
  </rv>
  <rv s="0">
    <fb>100.4</fb>
    <v>1</v>
  </rv>
  <rv s="0">
    <fb>98.43</fb>
    <v>1</v>
  </rv>
  <rv s="0">
    <fb>99.77</fb>
    <v>1</v>
  </rv>
  <rv s="0">
    <fb>9436009</fb>
    <v>2</v>
  </rv>
  <rv s="0">
    <fb>45064</fb>
    <v>0</v>
  </rv>
  <rv s="0">
    <fb>102.46</fb>
    <v>1</v>
  </rv>
  <rv s="0">
    <fb>99.73</fb>
    <v>1</v>
  </rv>
  <rv s="0">
    <fb>102.34</fb>
    <v>1</v>
  </rv>
  <rv s="0">
    <fb>10005725</fb>
    <v>2</v>
  </rv>
  <rv s="0">
    <fb>45065</fb>
    <v>0</v>
  </rv>
  <rv s="0">
    <fb>102.39</fb>
    <v>1</v>
  </rv>
  <rv s="0">
    <fb>103.07</fb>
    <v>1</v>
  </rv>
  <rv s="0">
    <fb>101.92</fb>
    <v>1</v>
  </rv>
  <rv s="0">
    <fb>102.84</fb>
    <v>1</v>
  </rv>
  <rv s="0">
    <fb>8560257</fb>
    <v>2</v>
  </rv>
  <rv s="0">
    <fb>45068</fb>
    <v>0</v>
  </rv>
  <rv s="0">
    <fb>102.48</fb>
    <v>1</v>
  </rv>
  <rv s="0">
    <fb>103.1</fb>
    <v>1</v>
  </rv>
  <rv s="0">
    <fb>101.73</fb>
    <v>1</v>
  </rv>
  <rv s="0">
    <fb>101.77</fb>
    <v>1</v>
  </rv>
  <rv s="0">
    <fb>5890481</fb>
    <v>2</v>
  </rv>
  <rv s="0">
    <fb>45069</fb>
    <v>0</v>
  </rv>
  <rv s="0">
    <fb>101.07</fb>
    <v>1</v>
  </rv>
  <rv s="0">
    <fb>101.43</fb>
    <v>1</v>
  </rv>
  <rv s="0">
    <fb>98.465000000000003</fb>
    <v>1</v>
  </rv>
  <rv s="0">
    <fb>98.54</fb>
    <v>1</v>
  </rv>
  <rv s="0">
    <fb>10047261</fb>
    <v>2</v>
  </rv>
  <rv s="0">
    <fb>45070</fb>
    <v>0</v>
  </rv>
  <rv s="0">
    <fb>97.95</fb>
    <v>1</v>
  </rv>
  <rv s="0">
    <fb>98.88</fb>
    <v>1</v>
  </rv>
  <rv s="0">
    <fb>97.29</fb>
    <v>1</v>
  </rv>
  <rv s="0">
    <fb>98.32</fb>
    <v>1</v>
  </rv>
  <rv s="0">
    <fb>6815861</fb>
    <v>2</v>
  </rv>
  <rv s="0">
    <fb>45071</fb>
    <v>0</v>
  </rv>
  <rv s="0">
    <fb>99.2</fb>
    <v>1</v>
  </rv>
  <rv s="0">
    <fb>104.66</fb>
    <v>1</v>
  </rv>
  <rv s="0">
    <fb>98.77</fb>
    <v>1</v>
  </rv>
  <rv s="0">
    <fb>16729608</fb>
    <v>2</v>
  </rv>
  <rv s="0">
    <fb>45072</fb>
    <v>0</v>
  </rv>
  <rv s="0">
    <fb>104.35</fb>
    <v>1</v>
  </rv>
  <rv s="0">
    <fb>106.23</fb>
    <v>1</v>
  </rv>
  <rv s="0">
    <fb>104.03</fb>
    <v>1</v>
  </rv>
  <rv s="0">
    <fb>104.08</fb>
    <v>1</v>
  </rv>
  <rv s="0">
    <fb>13994064</fb>
    <v>2</v>
  </rv>
  <rv s="0">
    <fb>45076</fb>
    <v>0</v>
  </rv>
  <rv s="0">
    <fb>104.9</fb>
    <v>1</v>
  </rv>
  <rv s="0">
    <fb>105.98</fb>
    <v>1</v>
  </rv>
  <rv s="0">
    <fb>104.19</fb>
    <v>1</v>
  </rv>
  <rv s="0">
    <fb>105.15</fb>
    <v>1</v>
  </rv>
  <rv s="0">
    <fb>10296707</fb>
    <v>2</v>
  </rv>
  <rv s="0">
    <fb>45077</fb>
    <v>0</v>
  </rv>
  <rv s="0">
    <fb>104.47</fb>
    <v>1</v>
  </rv>
  <rv s="0">
    <fb>106.49</fb>
    <v>1</v>
  </rv>
  <rv s="0">
    <fb>104.15</fb>
    <v>1</v>
  </rv>
  <rv s="0">
    <fb>105.94</fb>
    <v>1</v>
  </rv>
  <rv s="0">
    <fb>13713520</fb>
    <v>2</v>
  </rv>
  <rv s="0">
    <fb>45078</fb>
    <v>0</v>
  </rv>
  <rv s="0">
    <fb>104.88</fb>
    <v>1</v>
  </rv>
  <rv s="0">
    <fb>106.61</fb>
    <v>1</v>
  </rv>
  <rv s="0">
    <fb>104.78</fb>
    <v>1</v>
  </rv>
  <rv s="0">
    <fb>105.99</fb>
    <v>1</v>
  </rv>
  <rv s="0">
    <fb>7835885</fb>
    <v>2</v>
  </rv>
  <rv s="0">
    <fb>45079</fb>
    <v>0</v>
  </rv>
  <rv s="0">
    <fb>106.52</fb>
    <v>1</v>
  </rv>
  <rv s="0">
    <fb>106.77</fb>
    <v>1</v>
  </rv>
  <rv s="0">
    <fb>105.75</fb>
    <v>1</v>
  </rv>
  <rv s="0">
    <fb>105.89</fb>
    <v>1</v>
  </rv>
  <rv s="0">
    <fb>8652377</fb>
    <v>2</v>
  </rv>
  <rv s="0">
    <fb>45082</fb>
    <v>0</v>
  </rv>
  <rv s="0">
    <fb>107.6</fb>
    <v>1</v>
  </rv>
  <rv s="0">
    <fb>105.51</fb>
    <v>1</v>
  </rv>
  <rv s="0">
    <fb>106.93</fb>
    <v>1</v>
  </rv>
  <rv s="0">
    <fb>7997782</fb>
    <v>2</v>
  </rv>
  <rv s="0">
    <fb>45083</fb>
    <v>0</v>
  </rv>
  <rv s="0">
    <fb>106.81</fb>
    <v>1</v>
  </rv>
  <rv s="0">
    <fb>107.49</fb>
    <v>1</v>
  </rv>
  <rv s="0">
    <fb>106.15</fb>
    <v>1</v>
  </rv>
  <rv s="0">
    <fb>107.1</fb>
    <v>1</v>
  </rv>
  <rv s="0">
    <fb>7022994</fb>
    <v>2</v>
  </rv>
  <rv s="0">
    <fb>45084</fb>
    <v>0</v>
  </rv>
  <rv s="0">
    <fb>107.14</fb>
    <v>1</v>
  </rv>
  <rv s="0">
    <fb>108.37</fb>
    <v>1</v>
  </rv>
  <rv s="0">
    <fb>104.83499999999999</fb>
    <v>1</v>
  </rv>
  <rv s="0">
    <fb>105.25</fb>
    <v>1</v>
  </rv>
  <rv s="0">
    <fb>9842484</fb>
    <v>2</v>
  </rv>
  <rv s="0">
    <fb>45085</fb>
    <v>0</v>
  </rv>
  <rv s="0">
    <fb>105.67</fb>
    <v>1</v>
  </rv>
  <rv s="0">
    <fb>107.785</fb>
    <v>1</v>
  </rv>
  <rv s="0">
    <fb>105.35</fb>
    <v>1</v>
  </rv>
  <rv s="0">
    <fb>107.48</fb>
    <v>1</v>
  </rv>
  <rv s="0">
    <fb>9529126</fb>
    <v>2</v>
  </rv>
  <rv s="0">
    <fb>45086</fb>
    <v>0</v>
  </rv>
  <rv s="0">
    <fb>107.7</fb>
    <v>1</v>
  </rv>
  <rv s="0">
    <fb>110.15</fb>
    <v>1</v>
  </rv>
  <rv s="0">
    <fb>107.41</fb>
    <v>1</v>
  </rv>
  <rv s="0">
    <fb>109.85</fb>
    <v>1</v>
  </rv>
  <rv s="0">
    <fb>12597073</fb>
    <v>2</v>
  </rv>
  <rv s="0">
    <fb>45089</fb>
    <v>0</v>
  </rv>
  <rv s="0">
    <fb>114.34</fb>
    <v>1</v>
  </rv>
  <rv s="0">
    <fb>117.51</fb>
    <v>1</v>
  </rv>
  <rv s="0">
    <fb>116.43</fb>
    <v>1</v>
  </rv>
  <rv s="0">
    <fb>39532005</fb>
    <v>2</v>
  </rv>
  <rv s="0">
    <fb>45090</fb>
    <v>0</v>
  </rv>
  <rv s="0">
    <fb>123.32</fb>
    <v>1</v>
  </rv>
  <rv s="0">
    <fb>123.99</fb>
    <v>1</v>
  </rv>
  <rv s="0">
    <fb>116.02</fb>
    <v>1</v>
  </rv>
  <rv s="0">
    <fb>116.68</fb>
    <v>1</v>
  </rv>
  <rv s="0">
    <fb>39190916</fb>
    <v>2</v>
  </rv>
  <rv s="0">
    <fb>45091</fb>
    <v>0</v>
  </rv>
  <rv s="0">
    <fb>116.5</fb>
    <v>1</v>
  </rv>
  <rv s="0">
    <fb>122.51</fb>
    <v>1</v>
  </rv>
  <rv s="0">
    <fb>115.74</fb>
    <v>1</v>
  </rv>
  <rv s="0">
    <fb>122.27</fb>
    <v>1</v>
  </rv>
  <rv s="0">
    <fb>26264249</fb>
    <v>2</v>
  </rv>
  <rv s="0">
    <fb>45092</fb>
    <v>0</v>
  </rv>
  <rv s="0">
    <fb>121.95</fb>
    <v>1</v>
  </rv>
  <rv s="0">
    <fb>127.54</fb>
    <v>1</v>
  </rv>
  <rv s="0">
    <fb>121.66</fb>
    <v>1</v>
  </rv>
  <rv s="0">
    <fb>126.55</fb>
    <v>1</v>
  </rv>
  <rv s="0">
    <fb>27476726</fb>
    <v>2</v>
  </rv>
  <rv s="0">
    <fb>45093</fb>
    <v>0</v>
  </rv>
  <rv s="0">
    <fb>127.14</fb>
    <v>1</v>
  </rv>
  <rv s="0">
    <fb>127.4</fb>
    <v>1</v>
  </rv>
  <rv s="0">
    <fb>125.15</fb>
    <v>1</v>
  </rv>
  <rv s="0">
    <fb>125.46</fb>
    <v>1</v>
  </rv>
  <rv s="0">
    <fb>19514667</fb>
    <v>2</v>
  </rv>
  <rv s="0">
    <fb>45097</fb>
    <v>0</v>
  </rv>
  <rv s="0">
    <fb>124.45</fb>
    <v>1</v>
  </rv>
  <rv s="0">
    <fb>125.25</fb>
    <v>1</v>
  </rv>
  <rv s="0">
    <fb>121.96</fb>
    <v>1</v>
  </rv>
  <rv s="0">
    <fb>122.04</fb>
    <v>1</v>
  </rv>
  <rv s="0">
    <fb>16280340</fb>
    <v>2</v>
  </rv>
  <rv s="0">
    <fb>45098</fb>
    <v>0</v>
  </rv>
  <rv s="0">
    <fb>123.36</fb>
    <v>1</v>
  </rv>
  <rv s="0">
    <fb>120.36</fb>
    <v>1</v>
  </rv>
  <rv s="0">
    <fb>122.1</fb>
    <v>1</v>
  </rv>
  <rv s="0">
    <fb>17582950</fb>
    <v>2</v>
  </rv>
  <rv s="0">
    <fb>45099</fb>
    <v>0</v>
  </rv>
  <rv s="0">
    <fb>121.61</fb>
    <v>1</v>
  </rv>
  <rv s="0">
    <fb>122.59</fb>
    <v>1</v>
  </rv>
  <rv s="0">
    <fb>120.07</fb>
    <v>1</v>
  </rv>
  <rv s="0">
    <fb>120.58</fb>
    <v>1</v>
  </rv>
  <rv s="0">
    <fb>12204559</fb>
    <v>2</v>
  </rv>
  <rv s="0">
    <fb>45100</fb>
    <v>0</v>
  </rv>
  <rv s="0">
    <fb>119.59</fb>
    <v>1</v>
  </rv>
  <rv s="0">
    <fb>119.9</fb>
    <v>1</v>
  </rv>
  <rv s="0">
    <fb>118.14</fb>
    <v>1</v>
  </rv>
  <rv s="0">
    <fb>118.64</fb>
    <v>1</v>
  </rv>
  <rv s="0">
    <fb>19734336</fb>
    <v>2</v>
  </rv>
  <rv s="0">
    <fb>45103</fb>
    <v>0</v>
  </rv>
  <rv s="0">
    <fb>117.99</fb>
    <v>1</v>
  </rv>
  <rv s="0">
    <fb>119.425</fb>
    <v>1</v>
  </rv>
  <rv s="0">
    <fb>116.7</fb>
    <v>1</v>
  </rv>
  <rv s="0">
    <fb>116.78</fb>
    <v>1</v>
  </rv>
  <rv s="0">
    <fb>8987034</fb>
    <v>2</v>
  </rv>
  <rv s="0">
    <fb>45104</fb>
    <v>0</v>
  </rv>
  <rv s="0">
    <fb>116.57</fb>
    <v>1</v>
  </rv>
  <rv s="0">
    <fb>118.46</fb>
    <v>1</v>
  </rv>
  <rv s="0">
    <fb>116.26</fb>
    <v>1</v>
  </rv>
  <rv s="0">
    <fb>117.84</fb>
    <v>1</v>
  </rv>
  <rv s="0">
    <fb>6970419</fb>
    <v>2</v>
  </rv>
  <rv s="0">
    <fb>45105</fb>
    <v>0</v>
  </rv>
  <rv s="0">
    <fb>118.62</fb>
    <v>1</v>
  </rv>
  <rv s="0">
    <fb>116.39</fb>
    <v>1</v>
  </rv>
  <rv s="0">
    <fb>116.53</fb>
    <v>1</v>
  </rv>
  <rv s="0">
    <fb>9240450</fb>
    <v>2</v>
  </rv>
  <rv s="0">
    <fb>45106</fb>
    <v>0</v>
  </rv>
  <rv s="0">
    <fb>115.65</fb>
    <v>1</v>
  </rv>
  <rv s="0">
    <fb>117.8</fb>
    <v>1</v>
  </rv>
  <rv s="0">
    <fb>114.63</fb>
    <v>1</v>
  </rv>
  <rv s="0">
    <fb>117.78</fb>
    <v>1</v>
  </rv>
  <rv s="0">
    <fb>9234347</fb>
    <v>2</v>
  </rv>
  <rv s="0">
    <fb>45107</fb>
    <v>0</v>
  </rv>
  <rv s="0">
    <fb>119.84</fb>
    <v>1</v>
  </rv>
  <rv s="0">
    <fb>121.72499999999999</fb>
    <v>1</v>
  </rv>
  <rv s="0">
    <fb>119.0301</fb>
    <v>1</v>
  </rv>
  <rv s="0">
    <fb>119.09</fb>
    <v>1</v>
  </rv>
  <rv s="0">
    <fb>13703101</fb>
    <v>2</v>
  </rv>
  <rv s="0">
    <fb>45110</fb>
    <v>0</v>
  </rv>
  <rv s="0">
    <fb>118.01</fb>
    <v>1</v>
  </rv>
  <rv s="0">
    <fb>118.25</fb>
    <v>1</v>
  </rv>
  <rv s="0">
    <fb>116.825</fb>
    <v>1</v>
  </rv>
  <rv s="0">
    <fb>117.15</fb>
    <v>1</v>
  </rv>
  <rv s="0">
    <fb>4284699</fb>
    <v>2</v>
  </rv>
  <rv s="0">
    <fb>45112</fb>
    <v>0</v>
  </rv>
  <rv s="0">
    <fb>116.52</fb>
    <v>1</v>
  </rv>
  <rv s="0">
    <fb>117.01</fb>
    <v>1</v>
  </rv>
  <rv s="0">
    <fb>115.41</fb>
    <v>1</v>
  </rv>
  <rv s="0">
    <fb>115.96</fb>
    <v>1</v>
  </rv>
  <rv s="0">
    <fb>8471859</fb>
    <v>2</v>
  </rv>
  <rv s="0">
    <fb>45113</fb>
    <v>0</v>
  </rv>
  <rv s="0">
    <fb>114.66500000000001</fb>
    <v>1</v>
  </rv>
  <rv s="0">
    <fb>115.81</fb>
    <v>1</v>
  </rv>
  <rv s="0">
    <fb>114.64</fb>
    <v>1</v>
  </rv>
  <rv s="0">
    <fb>115.45</fb>
    <v>1</v>
  </rv>
  <rv s="0">
    <fb>7987217</fb>
    <v>2</v>
  </rv>
  <rv s="0">
    <fb>45114</fb>
    <v>0</v>
  </rv>
  <rv s="0">
    <fb>114.84</fb>
    <v>1</v>
  </rv>
  <rv s="0">
    <fb>115.98</fb>
    <v>1</v>
  </rv>
  <rv s="0">
    <fb>114.49</fb>
    <v>1</v>
  </rv>
  <rv s="0">
    <fb>114.61</fb>
    <v>1</v>
  </rv>
  <rv s="0">
    <fb>7001618</fb>
    <v>2</v>
  </rv>
  <rv s="0">
    <fb>45117</fb>
    <v>0</v>
  </rv>
  <rv s="0">
    <fb>114.28</fb>
    <v>1</v>
  </rv>
  <rv s="0">
    <fb>115.03</fb>
    <v>1</v>
  </rv>
  <rv s="0">
    <fb>113.66</fb>
    <v>1</v>
  </rv>
  <rv s="0">
    <fb>114.38</fb>
    <v>1</v>
  </rv>
  <rv s="0">
    <fb>6931013</fb>
    <v>2</v>
  </rv>
  <rv s="0">
    <fb>45118</fb>
    <v>0</v>
  </rv>
  <rv s="0">
    <fb>114.19499999999999</fb>
    <v>1</v>
  </rv>
  <rv s="0">
    <fb>115</fb>
    <v>1</v>
  </rv>
  <rv s="0">
    <fb>113.43</fb>
    <v>1</v>
  </rv>
  <rv s="0">
    <fb>114.88</fb>
    <v>1</v>
  </rv>
  <rv s="0">
    <fb>6118606</fb>
    <v>2</v>
  </rv>
  <rv s="0">
    <fb>45119</fb>
    <v>0</v>
  </rv>
  <rv s="0">
    <fb>115.67</fb>
    <v>1</v>
  </rv>
  <rv s="0">
    <fb>118.09</fb>
    <v>1</v>
  </rv>
  <rv s="0">
    <fb>115.64</fb>
    <v>1</v>
  </rv>
  <rv s="0">
    <fb>11011586</fb>
    <v>2</v>
  </rv>
  <rv s="0">
    <fb>45120</fb>
    <v>0</v>
  </rv>
  <rv s="0">
    <fb>117.09</fb>
    <v>1</v>
  </rv>
  <rv s="0">
    <fb>118.58</fb>
    <v>1</v>
  </rv>
  <rv s="0">
    <fb>116.76</fb>
    <v>1</v>
  </rv>
  <rv s="0">
    <fb>117.45</fb>
    <v>1</v>
  </rv>
  <rv s="0">
    <fb>9359604</fb>
    <v>2</v>
  </rv>
  <rv s="0">
    <fb>45121</fb>
    <v>0</v>
  </rv>
  <rv s="0">
    <fb>118.18</fb>
    <v>1</v>
  </rv>
  <rv s="0">
    <fb>119.97</fb>
    <v>1</v>
  </rv>
  <rv s="0">
    <fb>117.68</fb>
    <v>1</v>
  </rv>
  <rv s="0">
    <fb>119.27</fb>
    <v>1</v>
  </rv>
  <rv s="0">
    <fb>7723843</fb>
    <v>2</v>
  </rv>
  <rv s="0">
    <fb>45124</fb>
    <v>0</v>
  </rv>
  <rv s="0">
    <fb>118.85</fb>
    <v>1</v>
  </rv>
  <rv s="0">
    <fb>118.2533</fb>
    <v>1</v>
  </rv>
  <rv s="0">
    <fb>118.89</fb>
    <v>1</v>
  </rv>
  <rv s="0">
    <fb>6736825</fb>
    <v>2</v>
  </rv>
  <rv s="0">
    <fb>45125</fb>
    <v>0</v>
  </rv>
  <rv s="0">
    <fb>118.78</fb>
    <v>1</v>
  </rv>
  <rv s="0">
    <fb>121.29</fb>
    <v>1</v>
  </rv>
  <rv s="0">
    <fb>117.81</fb>
    <v>1</v>
  </rv>
  <rv s="0">
    <fb>120.77</fb>
    <v>1</v>
  </rv>
  <rv s="0">
    <fb>8906658</fb>
    <v>2</v>
  </rv>
  <rv s="0">
    <fb>45126</fb>
    <v>0</v>
  </rv>
  <rv s="0">
    <fb>120.82</fb>
    <v>1</v>
  </rv>
  <rv s="0">
    <fb>121.355</fb>
    <v>1</v>
  </rv>
  <rv s="0">
    <fb>118.42</fb>
    <v>1</v>
  </rv>
  <rv s="0">
    <fb>118.69</fb>
    <v>1</v>
  </rv>
  <rv s="0">
    <fb>7609014</fb>
    <v>2</v>
  </rv>
  <rv s="0">
    <fb>45127</fb>
    <v>0</v>
  </rv>
  <rv s="0">
    <fb>117.49</fb>
    <v>1</v>
  </rv>
  <rv s="0">
    <fb>119.05</fb>
    <v>1</v>
  </rv>
  <rv s="0">
    <fb>115.23</fb>
    <v>1</v>
  </rv>
  <rv s="0">
    <fb>115.88</fb>
    <v>1</v>
  </rv>
  <rv s="0">
    <fb>12913026</fb>
    <v>2</v>
  </rv>
  <rv s="0">
    <fb>45128</fb>
    <v>0</v>
  </rv>
  <rv s="0">
    <fb>116.49</fb>
    <v>1</v>
  </rv>
  <rv s="0">
    <fb>116.21</fb>
    <v>1</v>
  </rv>
  <rv s="0">
    <fb>117.65</fb>
    <v>1</v>
  </rv>
  <rv s="0">
    <fb>9159643</fb>
    <v>2</v>
  </rv>
  <rv s="0">
    <fb>45131</fb>
    <v>0</v>
  </rv>
  <rv s="0">
    <fb>117.94</fb>
    <v>1</v>
  </rv>
  <rv s="0">
    <fb>118.54</fb>
    <v>1</v>
  </rv>
  <rv s="0">
    <fb>116.73</fb>
    <v>1</v>
  </rv>
  <rv s="0">
    <fb>118.07</fb>
    <v>1</v>
  </rv>
  <rv s="0">
    <fb>6200393</fb>
    <v>2</v>
  </rv>
  <rv s="0">
    <fb>45132</fb>
    <v>0</v>
  </rv>
  <rv s="0">
    <fb>117.98</fb>
    <v>1</v>
  </rv>
  <rv s="0">
    <fb>118.514</fb>
    <v>1</v>
  </rv>
  <rv s="0">
    <fb>116.81</fb>
    <v>1</v>
  </rv>
  <rv s="0">
    <fb>117.95</fb>
    <v>1</v>
  </rv>
  <rv s="0">
    <fb>6266278</fb>
    <v>2</v>
  </rv>
  <rv s="0">
    <fb>45133</fb>
    <v>0</v>
  </rv>
  <rv s="0">
    <fb>117.42</fb>
    <v>1</v>
  </rv>
  <rv s="0">
    <fb>117.62</fb>
    <v>1</v>
  </rv>
  <rv s="0">
    <fb>115.5</fb>
    <v>1</v>
  </rv>
  <rv s="0">
    <fb>8159988</fb>
    <v>2</v>
  </rv>
  <rv s="0">
    <fb>45134</fb>
    <v>0</v>
  </rv>
  <rv s="0">
    <fb>117.55</fb>
    <v>1</v>
  </rv>
  <rv s="0">
    <fb>117.6</fb>
    <v>1</v>
  </rv>
  <rv s="0">
    <fb>116.4</fb>
    <v>1</v>
  </rv>
  <rv s="0">
    <fb>7843027</fb>
    <v>2</v>
  </rv>
  <rv s="0">
    <fb>45135</fb>
    <v>0</v>
  </rv>
  <rv s="0">
    <fb>117.3</fb>
    <v>1</v>
  </rv>
  <rv s="0">
    <fb>115.99</fb>
    <v>1</v>
  </rv>
  <rv s="0">
    <fb>6912012</fb>
    <v>2</v>
  </rv>
  <rv s="0">
    <fb>45138</fb>
    <v>0</v>
  </rv>
  <rv s="0">
    <fb>117.24</fb>
    <v>1</v>
  </rv>
  <rv s="0">
    <fb>115.83</fb>
    <v>1</v>
  </rv>
  <rv s="0">
    <fb>117.23</fb>
    <v>1</v>
  </rv>
  <rv s="0">
    <fb>6708458</fb>
    <v>2</v>
  </rv>
  <rv s="0">
    <fb>45139</fb>
    <v>0</v>
  </rv>
  <rv s="0">
    <fb>116.92</fb>
    <v>1</v>
  </rv>
  <rv s="0">
    <fb>118.04</fb>
    <v>1</v>
  </rv>
  <rv s="0">
    <fb>116.47499999999999</fb>
    <v>1</v>
  </rv>
  <rv s="0">
    <fb>117.91</fb>
    <v>1</v>
  </rv>
  <rv s="0">
    <fb>5250652</fb>
    <v>2</v>
  </rv>
  <rv s="0">
    <fb>45140</fb>
    <v>0</v>
  </rv>
  <rv s="0">
    <fb>116.98</fb>
    <v>1</v>
  </rv>
  <rv s="0">
    <fb>114.32</fb>
    <v>1</v>
  </rv>
  <rv s="0">
    <fb>115.71</fb>
    <v>1</v>
  </rv>
  <rv s="0">
    <fb>6387789</fb>
    <v>2</v>
  </rv>
  <rv s="0">
    <fb>45141</fb>
    <v>0</v>
  </rv>
  <rv s="0">
    <fb>115.24</fb>
    <v>1</v>
  </rv>
  <rv s="0">
    <fb>116.17</fb>
    <v>1</v>
  </rv>
  <rv s="0">
    <fb>114.26</fb>
    <v>1</v>
  </rv>
  <rv s="0">
    <fb>114.55</fb>
    <v>1</v>
  </rv>
  <rv s="0">
    <fb>5215848</fb>
    <v>2</v>
  </rv>
  <rv s="0">
    <fb>45142</fb>
    <v>0</v>
  </rv>
  <rv s="0">
    <fb>115.34</fb>
    <v>1</v>
  </rv>
  <rv s="0">
    <fb>114.255</fb>
    <v>1</v>
  </rv>
  <rv s="0">
    <fb>114.44</fb>
    <v>1</v>
  </rv>
  <rv s="0">
    <fb>5579319</fb>
    <v>2</v>
  </rv>
  <rv s="0">
    <fb>45145</fb>
    <v>0</v>
  </rv>
  <rv s="0">
    <fb>115.47</fb>
    <v>1</v>
  </rv>
  <rv s="0">
    <fb>116.38</fb>
    <v>1</v>
  </rv>
  <rv s="0">
    <fb>115.07</fb>
    <v>1</v>
  </rv>
  <rv s="0">
    <fb>116.1</fb>
    <v>1</v>
  </rv>
  <rv s="0">
    <fb>7347041</fb>
    <v>2</v>
  </rv>
  <rv s="0">
    <fb>45146</fb>
    <v>0</v>
  </rv>
  <rv s="0">
    <fb>115.04</fb>
    <v>1</v>
  </rv>
  <rv s="0">
    <fb>115.61</fb>
    <v>1</v>
  </rv>
  <rv s="0">
    <fb>114.22</fb>
    <v>1</v>
  </rv>
  <rv s="0">
    <fb>4694781</fb>
    <v>2</v>
  </rv>
  <rv s="0">
    <fb>45147</fb>
    <v>0</v>
  </rv>
  <rv s="0">
    <fb>112.33</fb>
    <v>1</v>
  </rv>
  <rv s="0">
    <fb>113.1</fb>
    <v>1</v>
  </rv>
  <rv s="0">
    <fb>6542427</fb>
    <v>2</v>
  </rv>
  <rv s="0">
    <fb>45148</fb>
    <v>0</v>
  </rv>
  <rv s="0">
    <fb>113.78</fb>
    <v>1</v>
  </rv>
  <rv s="0">
    <fb>115.09480000000001</fb>
    <v>1</v>
  </rv>
  <rv s="0">
    <fb>112.48</fb>
    <v>1</v>
  </rv>
  <rv s="0">
    <fb>112.99</fb>
    <v>1</v>
  </rv>
  <rv s="0">
    <fb>6004125</fb>
    <v>2</v>
  </rv>
  <rv s="0">
    <fb>45149</fb>
    <v>0</v>
  </rv>
  <rv s="0">
    <fb>112.39</fb>
    <v>1</v>
  </rv>
  <rv s="0">
    <fb>113.48</fb>
    <v>1</v>
  </rv>
  <rv s="0">
    <fb>111.13</fb>
    <v>1</v>
  </rv>
  <rv s="0">
    <fb>113.06</fb>
    <v>1</v>
  </rv>
  <rv s="0">
    <fb>5288879</fb>
    <v>2</v>
  </rv>
  <rv s="0">
    <fb>45152</fb>
    <v>0</v>
  </rv>
  <rv s="0">
    <fb>113.18</fb>
    <v>1</v>
  </rv>
  <rv s="0">
    <fb>115.8062</fb>
    <v>1</v>
  </rv>
  <rv s="0">
    <fb>113.15</fb>
    <v>1</v>
  </rv>
  <rv s="0">
    <fb>115.57</fb>
    <v>1</v>
  </rv>
  <rv s="0">
    <fb>6494216</fb>
    <v>2</v>
  </rv>
  <rv s="0">
    <fb>45153</fb>
    <v>0</v>
  </rv>
  <rv s="0">
    <fb>118.059</fb>
    <v>1</v>
  </rv>
  <rv s="0">
    <fb>117.29</fb>
    <v>1</v>
  </rv>
  <rv s="0">
    <fb>10412160</fb>
    <v>2</v>
  </rv>
  <rv s="0">
    <fb>45154</fb>
    <v>0</v>
  </rv>
  <rv s="0">
    <fb>117.16</fb>
    <v>1</v>
  </rv>
  <rv s="0">
    <fb>115.27</fb>
    <v>1</v>
  </rv>
  <rv s="0">
    <fb>5721951</fb>
    <v>2</v>
  </rv>
  <rv s="0">
    <fb>45155</fb>
    <v>0</v>
  </rv>
  <rv s="0">
    <fb>114.36</fb>
    <v>1</v>
  </rv>
  <rv s="0">
    <fb>6183897</fb>
    <v>2</v>
  </rv>
  <rv s="0">
    <fb>45156</fb>
    <v>0</v>
  </rv>
  <rv s="0">
    <fb>114.5</fb>
    <v>1</v>
  </rv>
  <rv s="0">
    <fb>116.99</fb>
    <v>1</v>
  </rv>
  <rv s="0">
    <fb>113.95</fb>
    <v>1</v>
  </rv>
  <rv s="0">
    <fb>116.46</fb>
    <v>1</v>
  </rv>
  <rv s="0">
    <fb>9412775</fb>
    <v>2</v>
  </rv>
  <rv s="0">
    <fb>45159</fb>
    <v>0</v>
  </rv>
  <rv s="0">
    <fb>116.9</fb>
    <v>1</v>
  </rv>
  <rv s="0">
    <fb>117.35</fb>
    <v>1</v>
  </rv>
  <rv s="0">
    <fb>115.19</fb>
    <v>1</v>
  </rv>
  <rv s="0">
    <fb>116.59</fb>
    <v>1</v>
  </rv>
  <rv s="0">
    <fb>5811160</fb>
    <v>2</v>
  </rv>
  <rv s="0">
    <fb>45160</fb>
    <v>0</v>
  </rv>
  <rv s="0">
    <fb>115.73</fb>
    <v>1</v>
  </rv>
  <rv s="0">
    <fb>116.54</fb>
    <v>1</v>
  </rv>
  <rv s="0">
    <fb>4961062</fb>
    <v>2</v>
  </rv>
  <rv s="0">
    <fb>45161</fb>
    <v>0</v>
  </rv>
  <rv s="0">
    <fb>117.1</fb>
    <v>1</v>
  </rv>
  <rv s="0">
    <fb>120.45</fb>
    <v>1</v>
  </rv>
  <rv s="0">
    <fb>112.10980000000001</fb>
    <v>1</v>
  </rv>
  <rv s="0">
    <fb>16517285</fb>
    <v>2</v>
  </rv>
  <rv s="0">
    <fb>45162</fb>
    <v>0</v>
  </rv>
  <rv s="0">
    <fb>119.68</fb>
    <v>1</v>
  </rv>
  <rv s="0">
    <fb>119.73</fb>
    <v>1</v>
  </rv>
  <rv s="0">
    <fb>112.41</fb>
    <v>1</v>
  </rv>
  <rv s="0">
    <fb>112.91</fb>
    <v>1</v>
  </rv>
  <rv s="0">
    <fb>11995894</fb>
    <v>2</v>
  </rv>
  <rv s="0">
    <fb>45163</fb>
    <v>0</v>
  </rv>
  <rv s="0">
    <fb>116.148</fb>
    <v>1</v>
  </rv>
  <rv s="0">
    <fb>112.74</fb>
    <v>1</v>
  </rv>
  <rv s="0">
    <fb>116.06</fb>
    <v>1</v>
  </rv>
  <rv s="0">
    <fb>8758141</fb>
    <v>2</v>
  </rv>
  <rv s="0">
    <fb>45166</fb>
    <v>0</v>
  </rv>
  <rv s="0">
    <fb>116.37</fb>
    <v>1</v>
  </rv>
  <rv s="0">
    <fb>117.71</fb>
    <v>1</v>
  </rv>
  <rv s="0">
    <fb>115.7</fb>
    <v>1</v>
  </rv>
  <rv s="0">
    <fb>116.84</fb>
    <v>1</v>
  </rv>
  <rv s="0">
    <fb>4514753</fb>
    <v>2</v>
  </rv>
  <rv s="0">
    <fb>45167</fb>
    <v>0</v>
  </rv>
  <rv s="0">
    <fb>120.95</fb>
    <v>1</v>
  </rv>
  <rv s="0">
    <fb>121.2099</fb>
    <v>1</v>
  </rv>
  <rv s="0">
    <fb>118.53</fb>
    <v>1</v>
  </rv>
  <rv s="0">
    <fb>120.65</fb>
    <v>1</v>
  </rv>
  <rv s="0">
    <fb>11920537</fb>
    <v>2</v>
  </rv>
  <rv s="0">
    <fb>45168</fb>
    <v>0</v>
  </rv>
  <rv s="0">
    <fb>120.72</fb>
    <v>1</v>
  </rv>
  <rv s="0">
    <fb>121.7363</fb>
    <v>1</v>
  </rv>
  <rv s="0">
    <fb>120.15</fb>
    <v>1</v>
  </rv>
  <rv s="0">
    <fb>121.12</fb>
    <v>1</v>
  </rv>
  <rv s="0">
    <fb>5601778</fb>
    <v>2</v>
  </rv>
  <rv s="0">
    <fb>45169</fb>
    <v>0</v>
  </rv>
  <rv s="0">
    <fb>121</fb>
    <v>1</v>
  </rv>
  <rv s="0">
    <fb>121.98</fb>
    <v>1</v>
  </rv>
  <rv s="0">
    <fb>120.12</fb>
    <v>1</v>
  </rv>
  <rv s="0">
    <fb>120.39</fb>
    <v>1</v>
  </rv>
  <rv s="0">
    <fb>9109806</fb>
    <v>2</v>
  </rv>
  <rv s="0">
    <fb>45170</fb>
    <v>0</v>
  </rv>
  <rv s="0">
    <fb>121.01</fb>
    <v>1</v>
  </rv>
  <rv s="0">
    <fb>121.69</fb>
    <v>1</v>
  </rv>
  <rv s="0">
    <fb>120.09</fb>
    <v>1</v>
  </rv>
  <rv s="0">
    <fb>120.93</fb>
    <v>1</v>
  </rv>
  <rv s="0">
    <fb>6190045</fb>
    <v>2</v>
  </rv>
  <rv s="0">
    <fb>45174</fb>
    <v>0</v>
  </rv>
  <rv s="0">
    <fb>122.44</fb>
    <v>1</v>
  </rv>
  <rv s="0">
    <fb>124.28</fb>
    <v>1</v>
  </rv>
  <rv s="0">
    <fb>121.18</fb>
    <v>1</v>
  </rv>
  <rv s="0">
    <fb>123.98</fb>
    <v>1</v>
  </rv>
  <rv s="0">
    <fb>11089638</fb>
    <v>2</v>
  </rv>
  <rv s="0">
    <fb>45175</fb>
    <v>0</v>
  </rv>
  <rv s="0">
    <fb>123.06</fb>
    <v>1</v>
  </rv>
  <rv s="0">
    <fb>124.58</fb>
    <v>1</v>
  </rv>
  <rv s="0">
    <fb>122.73</fb>
    <v>1</v>
  </rv>
  <rv s="0">
    <fb>124.33</fb>
    <v>1</v>
  </rv>
  <rv s="0">
    <fb>8728483</fb>
    <v>2</v>
  </rv>
  <rv s="0">
    <fb>45176</fb>
    <v>0</v>
  </rv>
  <rv s="0">
    <fb>123.83</fb>
    <v>1</v>
  </rv>
  <rv s="0">
    <fb>125.96</fb>
    <v>1</v>
  </rv>
  <rv s="0">
    <fb>122.59439999999999</fb>
    <v>1</v>
  </rv>
  <rv s="0">
    <fb>125.09</fb>
    <v>1</v>
  </rv>
  <rv s="0">
    <fb>11864401</fb>
    <v>2</v>
  </rv>
  <rv s="0">
    <fb>45177</fb>
    <v>0</v>
  </rv>
  <rv s="0">
    <fb>124.8</fb>
    <v>1</v>
  </rv>
  <rv s="0">
    <fb>126.69</fb>
    <v>1</v>
  </rv>
  <rv s="0">
    <fb>124.3475</fb>
    <v>1</v>
  </rv>
  <rv s="0">
    <fb>126.32</fb>
    <v>1</v>
  </rv>
  <rv s="0">
    <fb>10612971</fb>
    <v>2</v>
  </rv>
  <rv s="0">
    <fb>45180</fb>
    <v>0</v>
  </rv>
  <rv s="0">
    <fb>127.02</fb>
    <v>1</v>
  </rv>
  <rv s="0">
    <fb>127.41500000000001</fb>
    <v>1</v>
  </rv>
  <rv s="0">
    <fb>124.72</fb>
    <v>1</v>
  </rv>
  <rv s="0">
    <fb>126.71</fb>
    <v>1</v>
  </rv>
  <rv s="0">
    <fb>22155564</fb>
    <v>2</v>
  </rv>
  <rv s="0">
    <fb>45181</fb>
    <v>0</v>
  </rv>
  <rv s="0">
    <fb>112.08</fb>
    <v>1</v>
  </rv>
  <rv s="0">
    <fb>113.3</fb>
    <v>1</v>
  </rv>
  <rv s="0">
    <fb>107.3</fb>
    <v>1</v>
  </rv>
  <rv s="0">
    <fb>109.61</fb>
    <v>1</v>
  </rv>
  <rv s="0">
    <fb>68605745</fb>
    <v>2</v>
  </rv>
  <rv s="0">
    <fb>45182</fb>
    <v>0</v>
  </rv>
  <rv s="0">
    <fb>108.32</fb>
    <v>1</v>
  </rv>
  <rv s="0">
    <fb>112.94</fb>
    <v>1</v>
  </rv>
  <rv s="0">
    <fb>108.2</fb>
    <v>1</v>
  </rv>
  <rv s="0">
    <fb>111.84</fb>
    <v>1</v>
  </rv>
  <rv s="0">
    <fb>27170953</fb>
    <v>2</v>
  </rv>
  <rv s="0">
    <fb>45183</fb>
    <v>0</v>
  </rv>
  <rv s="0">
    <fb>113.5</fb>
    <v>1</v>
  </rv>
  <rv s="0">
    <fb>115.14</fb>
    <v>1</v>
  </rv>
  <rv s="0">
    <fb>111.95</fb>
    <v>1</v>
  </rv>
  <rv s="0">
    <fb>19849654</fb>
    <v>2</v>
  </rv>
  <rv s="0">
    <fb>45184</fb>
    <v>0</v>
  </rv>
  <rv s="0">
    <fb>114.19</fb>
    <v>1</v>
  </rv>
  <rv s="0">
    <fb>115.2</fb>
    <v>1</v>
  </rv>
  <rv s="0">
    <fb>112.5</fb>
    <v>1</v>
  </rv>
  <rv s="0">
    <fb>113.91</fb>
    <v>1</v>
  </rv>
  <rv s="0">
    <fb>23215012</fb>
    <v>2</v>
  </rv>
  <rv s="0">
    <fb>45187</fb>
    <v>0</v>
  </rv>
  <rv s="0">
    <fb>113.42</fb>
    <v>1</v>
  </rv>
  <rv s="0">
    <fb>114.465</fb>
    <v>1</v>
  </rv>
  <rv s="0">
    <fb>111.58</fb>
    <v>1</v>
  </rv>
  <rv s="0">
    <fb>112.21</fb>
    <v>1</v>
  </rv>
  <rv s="0">
    <fb>11744057</fb>
    <v>2</v>
  </rv>
  <rv s="0">
    <fb>45188</fb>
    <v>0</v>
  </rv>
  <rv s="0">
    <fb>112.47499999999999</fb>
    <v>1</v>
  </rv>
  <rv s="0">
    <fb>113.74</fb>
    <v>1</v>
  </rv>
  <rv s="0">
    <fb>111.71</fb>
    <v>1</v>
  </rv>
  <rv s="0">
    <fb>112.77</fb>
    <v>1</v>
  </rv>
  <rv s="0">
    <fb>9536119</fb>
    <v>2</v>
  </rv>
  <rv s="0">
    <fb>45189</fb>
    <v>0</v>
  </rv>
  <rv s="0">
    <fb>112.81</fb>
    <v>1</v>
  </rv>
  <rv s="0">
    <fb>114.6953</fb>
    <v>1</v>
  </rv>
  <rv s="0">
    <fb>112.46</fb>
    <v>1</v>
  </rv>
  <rv s="0">
    <fb>112.87</fb>
    <v>1</v>
  </rv>
  <rv s="0">
    <fb>8779955</fb>
    <v>2</v>
  </rv>
  <rv s="0">
    <fb>45190</fb>
    <v>0</v>
  </rv>
  <rv s="0">
    <fb>111.51</fb>
    <v>1</v>
  </rv>
  <rv s="0">
    <fb>109.331</fb>
    <v>1</v>
  </rv>
  <rv s="0">
    <fb>109.43</fb>
    <v>1</v>
  </rv>
  <rv s="0">
    <fb>12653515</fb>
    <v>2</v>
  </rv>
  <rv s="0">
    <fb>45191</fb>
    <v>0</v>
  </rv>
  <rv s="0">
    <fb>109.99</fb>
    <v>1</v>
  </rv>
  <rv s="0">
    <fb>110.6</fb>
    <v>1</v>
  </rv>
  <rv s="0">
    <fb>108.51</fb>
    <v>1</v>
  </rv>
  <rv s="0">
    <fb>109.03</fb>
    <v>1</v>
  </rv>
  <rv s="0">
    <fb>11152050</fb>
    <v>2</v>
  </rv>
  <rv s="0">
    <fb>45194</fb>
    <v>0</v>
  </rv>
  <rv s="0">
    <fb>108.45</fb>
    <v>1</v>
  </rv>
  <rv s="0">
    <fb>108.65</fb>
    <v>1</v>
  </rv>
  <rv s="0">
    <fb>107.5</fb>
    <v>1</v>
  </rv>
  <rv s="0">
    <fb>108.3</fb>
    <v>1</v>
  </rv>
  <rv s="0">
    <fb>8410012</fb>
    <v>2</v>
  </rv>
  <rv s="0">
    <fb>45195</fb>
    <v>0</v>
  </rv>
  <rv s="0">
    <fb>107.4</fb>
    <v>1</v>
  </rv>
  <rv s="0">
    <fb>104.31</fb>
    <v>1</v>
  </rv>
  <rv s="0">
    <fb>13209049</fb>
    <v>2</v>
  </rv>
  <rv s="0">
    <fb>45196</fb>
    <v>0</v>
  </rv>
  <rv s="0">
    <fb>105</fb>
    <v>1</v>
  </rv>
  <rv s="0">
    <fb>105.27679999999999</fb>
    <v>1</v>
  </rv>
  <rv s="0">
    <fb>103.35</fb>
    <v>1</v>
  </rv>
  <rv s="0">
    <fb>104.62</fb>
    <v>1</v>
  </rv>
  <rv s="0">
    <fb>8916439</fb>
    <v>2</v>
  </rv>
  <rv s="0">
    <fb>45197</fb>
    <v>0</v>
  </rv>
  <rv s="0">
    <fb>106.6</fb>
    <v>1</v>
  </rv>
  <rv s="0">
    <fb>103.27</fb>
    <v>1</v>
  </rv>
  <rv s="0">
    <fb>7373621</fb>
    <v>2</v>
  </rv>
  <rv s="0">
    <fb>45198</fb>
    <v>0</v>
  </rv>
  <rv s="0">
    <fb>107.11</fb>
    <v>1</v>
  </rv>
  <rv s="0">
    <fb>107.36499999999999</fb>
    <v>1</v>
  </rv>
  <rv s="0">
    <fb>105.38</fb>
    <v>1</v>
  </rv>
  <rv s="0">
    <fb>105.92</fb>
    <v>1</v>
  </rv>
  <rv s="0">
    <fb>7299109</fb>
    <v>2</v>
  </rv>
  <rv s="0">
    <fb>45201</fb>
    <v>0</v>
  </rv>
  <rv s="0">
    <fb>105.81</fb>
    <v>1</v>
  </rv>
  <rv s="0">
    <fb>106.7347</fb>
    <v>1</v>
  </rv>
  <rv s="0">
    <fb>105.29</fb>
    <v>1</v>
  </rv>
  <rv s="0">
    <fb>106.71</fb>
    <v>1</v>
  </rv>
  <rv s="0">
    <fb>5963457</fb>
    <v>2</v>
  </rv>
  <rv s="0">
    <fb>45202</fb>
    <v>0</v>
  </rv>
  <rv s="0">
    <fb>106.42</fb>
    <v>1</v>
  </rv>
  <rv s="0">
    <fb>106.5</fb>
    <v>1</v>
  </rv>
  <rv s="0">
    <fb>103.54</fb>
    <v>1</v>
  </rv>
  <rv s="0">
    <fb>104.52</fb>
    <v>1</v>
  </rv>
  <rv s="0">
    <fb>8783327</fb>
    <v>2</v>
  </rv>
  <rv s="0">
    <fb>45203</fb>
    <v>0</v>
  </rv>
  <rv s="0">
    <fb>104.96</fb>
    <v>1</v>
  </rv>
  <rv s="0">
    <fb>104.5</fb>
    <v>1</v>
  </rv>
  <rv s="0">
    <fb>107.08</fb>
    <v>1</v>
  </rv>
  <rv s="0">
    <fb>8842650</fb>
    <v>2</v>
  </rv>
  <rv s="0">
    <fb>45204</fb>
    <v>0</v>
  </rv>
  <rv s="0">
    <fb>106.97</fb>
    <v>1</v>
  </rv>
  <rv s="0">
    <fb>108.44</fb>
    <v>1</v>
  </rv>
  <rv s="0">
    <fb>106.185</fb>
    <v>1</v>
  </rv>
  <rv s="0">
    <fb>108.35</fb>
    <v>1</v>
  </rv>
  <rv s="0">
    <fb>7651479</fb>
    <v>2</v>
  </rv>
  <rv s="0">
    <fb>45205</fb>
    <v>0</v>
  </rv>
  <rv s="0">
    <fb>107.93</fb>
    <v>1</v>
  </rv>
  <rv s="0">
    <fb>110.53</fb>
    <v>1</v>
  </rv>
  <rv s="0">
    <fb>107.58</fb>
    <v>1</v>
  </rv>
  <rv s="0">
    <fb>109.96</fb>
    <v>1</v>
  </rv>
  <rv s="0">
    <fb>8246950</fb>
    <v>2</v>
  </rv>
  <rv s="0">
    <fb>45208</fb>
    <v>0</v>
  </rv>
  <rv s="0">
    <fb>110.75</fb>
    <v>1</v>
  </rv>
  <rv s="0">
    <fb>110.97</fb>
    <v>1</v>
  </rv>
  <rv s="0">
    <fb>109.47</fb>
    <v>1</v>
  </rv>
  <rv s="0">
    <fb>110.32</fb>
    <v>1</v>
  </rv>
  <rv s="0">
    <fb>6012363</fb>
    <v>2</v>
  </rv>
  <rv s="0">
    <fb>45209</fb>
    <v>0</v>
  </rv>
  <rv s="0">
    <fb>110.21</fb>
    <v>1</v>
  </rv>
  <rv s="0">
    <fb>111.06</fb>
    <v>1</v>
  </rv>
  <rv s="0">
    <fb>109.62</fb>
    <v>1</v>
  </rv>
  <rv s="0">
    <fb>109.71</fb>
    <v>1</v>
  </rv>
  <rv s="0">
    <fb>6910436</fb>
    <v>2</v>
  </rv>
  <rv s="0">
    <fb>45210</fb>
    <v>0</v>
  </rv>
  <rv s="0">
    <fb>109.51</fb>
    <v>1</v>
  </rv>
  <rv s="0">
    <fb>110.059</fb>
    <v>1</v>
  </rv>
  <rv s="0">
    <fb>108.83</fb>
    <v>1</v>
  </rv>
  <rv s="0">
    <fb>109.64</fb>
    <v>1</v>
  </rv>
  <rv s="0">
    <fb>5641686</fb>
    <v>2</v>
  </rv>
  <rv s="0">
    <fb>45211</fb>
    <v>0</v>
  </rv>
  <rv s="0">
    <fb>109.95</fb>
    <v>1</v>
  </rv>
  <rv s="0">
    <fb>110.92</fb>
    <v>1</v>
  </rv>
  <rv s="0">
    <fb>108.88</fb>
    <v>1</v>
  </rv>
  <rv s="0">
    <fb>109.11</fb>
    <v>1</v>
  </rv>
  <rv s="0">
    <fb>6598533</fb>
    <v>2</v>
  </rv>
  <rv s="0">
    <fb>45212</fb>
    <v>0</v>
  </rv>
  <rv s="0">
    <fb>109.19</fb>
    <v>1</v>
  </rv>
  <rv s="0">
    <fb>107.79</fb>
    <v>1</v>
  </rv>
  <rv s="0">
    <fb>108.25</fb>
    <v>1</v>
  </rv>
  <rv s="0">
    <fb>5882175</fb>
    <v>2</v>
  </rv>
  <rv s="0">
    <fb>45215</fb>
    <v>0</v>
  </rv>
  <rv s="0">
    <fb>108.95</fb>
    <v>1</v>
  </rv>
  <rv s="0">
    <fb>109.59</fb>
    <v>1</v>
  </rv>
  <rv s="0">
    <fb>108.3116</fb>
    <v>1</v>
  </rv>
  <rv s="0">
    <fb>108.71</fb>
    <v>1</v>
  </rv>
  <rv s="0">
    <fb>5487985</fb>
    <v>2</v>
  </rv>
  <rv s="0">
    <fb>45216</fb>
    <v>0</v>
  </rv>
  <rv s="0">
    <fb>109.79</fb>
    <v>1</v>
  </rv>
  <rv s="0">
    <fb>106.902</fb>
    <v>1</v>
  </rv>
  <rv s="0">
    <fb>109.04</fb>
    <v>1</v>
  </rv>
  <rv s="0">
    <fb>5261788</fb>
    <v>2</v>
  </rv>
  <rv s="0">
    <fb>45217</fb>
    <v>0</v>
  </rv>
  <rv s="0">
    <fb>108.4</fb>
    <v>1</v>
  </rv>
  <rv s="0">
    <fb>109.73</fb>
    <v>1</v>
  </rv>
  <rv s="0">
    <fb>107.86</fb>
    <v>1</v>
  </rv>
  <rv s="0">
    <fb>5123946</fb>
    <v>2</v>
  </rv>
  <rv s="0">
    <fb>45218</fb>
    <v>0</v>
  </rv>
  <rv s="0">
    <fb>108.63</fb>
    <v>1</v>
  </rv>
  <rv s="0">
    <fb>110.22</fb>
    <v>1</v>
  </rv>
  <rv s="0">
    <fb>108.19</fb>
    <v>1</v>
  </rv>
  <rv s="0">
    <fb>108.34</fb>
    <v>1</v>
  </rv>
  <rv s="0">
    <fb>7989244</fb>
    <v>2</v>
  </rv>
  <rv s="0">
    <fb>45219</fb>
    <v>0</v>
  </rv>
  <rv s="0">
    <fb>106.99</fb>
    <v>1</v>
  </rv>
  <rv s="0">
    <fb>107.035</fb>
    <v>1</v>
  </rv>
  <rv s="0">
    <fb>100.66</fb>
    <v>1</v>
  </rv>
  <rv s="0">
    <fb>101.85</fb>
    <v>1</v>
  </rv>
  <rv s="0">
    <fb>21831362</fb>
    <v>2</v>
  </rv>
  <rv s="0">
    <fb>45222</fb>
    <v>0</v>
  </rv>
  <rv s="0">
    <fb>102.04</fb>
    <v>1</v>
  </rv>
  <rv s="0">
    <fb>104.69</fb>
    <v>1</v>
  </rv>
  <rv s="0">
    <fb>102.01</fb>
    <v>1</v>
  </rv>
  <rv s="0">
    <fb>103.66</fb>
    <v>1</v>
  </rv>
  <rv s="0">
    <fb>10722584</fb>
    <v>2</v>
  </rv>
  <rv s="0">
    <fb>45223</fb>
    <v>0</v>
  </rv>
  <rv s="0">
    <fb>104.46</fb>
    <v>1</v>
  </rv>
  <rv s="0">
    <fb>102.5</fb>
    <v>1</v>
  </rv>
  <rv s="0">
    <fb>103.2</fb>
    <v>1</v>
  </rv>
  <rv s="0">
    <fb>6173992</fb>
    <v>2</v>
  </rv>
  <rv s="0">
    <fb>45224</fb>
    <v>0</v>
  </rv>
  <rv s="0">
    <fb>102.7</fb>
    <v>1</v>
  </rv>
  <rv s="0">
    <fb>103.67</fb>
    <v>1</v>
  </rv>
  <rv s="0">
    <fb>101.01</fb>
    <v>1</v>
  </rv>
  <rv s="0">
    <fb>7081685</fb>
    <v>2</v>
  </rv>
  <rv s="0">
    <fb>45225</fb>
    <v>0</v>
  </rv>
  <rv s="0">
    <fb>101.69</fb>
    <v>1</v>
  </rv>
  <rv s="0">
    <fb>99.87</fb>
    <v>1</v>
  </rv>
  <rv s="0">
    <fb>7565581</fb>
    <v>2</v>
  </rv>
  <rv s="0">
    <fb>45226</fb>
    <v>0</v>
  </rv>
  <rv s="0">
    <fb>101</fb>
    <v>1</v>
  </rv>
  <rv s="0">
    <fb>102.09</fb>
    <v>1</v>
  </rv>
  <rv s="0">
    <fb>100.59</fb>
    <v>1</v>
  </rv>
  <rv s="0">
    <fb>100.99</fb>
    <v>1</v>
  </rv>
  <rv s="0">
    <fb>5207854</fb>
    <v>2</v>
  </rv>
  <rv s="0">
    <fb>45229</fb>
    <v>0</v>
  </rv>
  <rv s="0">
    <fb>101.14</fb>
    <v>1</v>
  </rv>
  <rv s="0">
    <fb>102.4067</fb>
    <v>1</v>
  </rv>
  <rv s="0">
    <fb>100.82</fb>
    <v>1</v>
  </rv>
  <rv s="0">
    <fb>101.65</fb>
    <v>1</v>
  </rv>
  <rv s="0">
    <fb>5433719</fb>
    <v>2</v>
  </rv>
  <rv s="0">
    <fb>45230</fb>
    <v>0</v>
  </rv>
  <rv s="0">
    <fb>102.005</fb>
    <v>1</v>
  </rv>
  <rv s="0">
    <fb>103.52</fb>
    <v>1</v>
  </rv>
  <rv s="0">
    <fb>101.1</fb>
    <v>1</v>
  </rv>
  <rv s="0">
    <fb>103.4</fb>
    <v>1</v>
  </rv>
  <rv s="0">
    <fb>6258385</fb>
    <v>2</v>
  </rv>
  <rv s="0">
    <fb>45231</fb>
    <v>0</v>
  </rv>
  <rv s="0">
    <fb>103.8</fb>
    <v>1</v>
  </rv>
  <rv s="0">
    <fb>106.2</fb>
    <v>1</v>
  </rv>
  <rv s="0">
    <fb>8602440</fb>
    <v>2</v>
  </rv>
  <rv s="0">
    <fb>45232</fb>
    <v>0</v>
  </rv>
  <rv s="0">
    <fb>106.45</fb>
    <v>1</v>
  </rv>
  <rv s="0">
    <fb>107.22</fb>
    <v>1</v>
  </rv>
  <rv s="0">
    <fb>105.57</fb>
    <v>1</v>
  </rv>
  <rv s="0">
    <fb>106.87</fb>
    <v>1</v>
  </rv>
  <rv s="0">
    <fb>5918301</fb>
    <v>2</v>
  </rv>
  <rv s="0">
    <fb>45233</fb>
    <v>0</v>
  </rv>
  <rv s="0">
    <fb>107.17</fb>
    <v>1</v>
  </rv>
  <rv s="0">
    <fb>109.07</fb>
    <v>1</v>
  </rv>
  <rv s="0">
    <fb>106.62</fb>
    <v>1</v>
  </rv>
  <rv s="0">
    <fb>108.05</fb>
    <v>1</v>
  </rv>
  <rv s="0">
    <fb>7280025</fb>
    <v>2</v>
  </rv>
  <rv s="0">
    <fb>45236</fb>
    <v>0</v>
  </rv>
  <rv s="0">
    <fb>108.06</fb>
    <v>1</v>
  </rv>
  <rv s="0">
    <fb>109.21</fb>
    <v>1</v>
  </rv>
  <rv s="0">
    <fb>107.44</fb>
    <v>1</v>
  </rv>
  <rv s="0">
    <fb>6062799</fb>
    <v>2</v>
  </rv>
  <rv s="0">
    <fb>45237</fb>
    <v>0</v>
  </rv>
  <rv s="0">
    <fb>110.37990000000001</fb>
    <v>1</v>
  </rv>
  <rv s="0">
    <fb>108.58</fb>
    <v>1</v>
  </rv>
  <rv s="0">
    <fb>108.99</fb>
    <v>1</v>
  </rv>
  <rv s="0">
    <fb>7412638</fb>
    <v>2</v>
  </rv>
  <rv s="0">
    <fb>45238</fb>
    <v>0</v>
  </rv>
  <rv s="0">
    <fb>109.23</fb>
    <v>1</v>
  </rv>
  <rv s="0">
    <fb>112.56</fb>
    <v>1</v>
  </rv>
  <rv s="0">
    <fb>10994910</fb>
    <v>2</v>
  </rv>
  <rv s="0">
    <fb>45239</fb>
    <v>0</v>
  </rv>
  <rv s="0">
    <fb>112.4</fb>
    <v>1</v>
  </rv>
  <rv s="0">
    <fb>113.3091</fb>
    <v>1</v>
  </rv>
  <rv s="0">
    <fb>111.61</fb>
    <v>1</v>
  </rv>
  <rv s="0">
    <fb>112.18</fb>
    <v>1</v>
  </rv>
  <rv s="0">
    <fb>6853941</fb>
    <v>2</v>
  </rv>
  <rv s="0">
    <fb>45240</fb>
    <v>0</v>
  </rv>
  <rv s="0">
    <fb>112.09</fb>
    <v>1</v>
  </rv>
  <rv s="0">
    <fb>111.14</fb>
    <v>1</v>
  </rv>
  <rv s="0">
    <fb>113.07</fb>
    <v>1</v>
  </rv>
  <rv s="0">
    <fb>5243795</fb>
    <v>2</v>
  </rv>
  <rv s="0">
    <fb>45243</fb>
    <v>0</v>
  </rv>
  <rv s="0">
    <fb>112.78</fb>
    <v>1</v>
  </rv>
  <rv s="0">
    <fb>114.15</fb>
    <v>1</v>
  </rv>
  <rv s="0">
    <fb>5740466</fb>
    <v>2</v>
  </rv>
  <rv s="0">
    <fb>45244</fb>
    <v>0</v>
  </rv>
  <rv s="0">
    <fb>114.86</fb>
    <v>1</v>
  </rv>
  <rv s="0">
    <fb>114.45</fb>
    <v>1</v>
  </rv>
  <rv s="0">
    <fb>6733655</fb>
    <v>2</v>
  </rv>
  <rv s="0">
    <fb>45245</fb>
    <v>0</v>
  </rv>
  <rv s="0">
    <fb>116.15</fb>
    <v>1</v>
  </rv>
  <rv s="0">
    <fb>116.31</fb>
    <v>1</v>
  </rv>
  <rv s="0">
    <fb>113.925</fb>
    <v>1</v>
  </rv>
  <rv s="0">
    <fb>114.06</fb>
    <v>1</v>
  </rv>
  <rv s="0">
    <fb>7386240</fb>
    <v>2</v>
  </rv>
  <rv s="0">
    <fb>45246</fb>
    <v>0</v>
  </rv>
  <rv s="0">
    <fb>113.76</fb>
    <v>1</v>
  </rv>
  <rv s="0">
    <fb>115.87</fb>
    <v>1</v>
  </rv>
  <rv s="0">
    <fb>113.47</fb>
    <v>1</v>
  </rv>
  <rv s="0">
    <fb>114.67</fb>
    <v>1</v>
  </rv>
  <rv s="0">
    <fb>7476084</fb>
    <v>2</v>
  </rv>
  <rv s="0">
    <fb>45247</fb>
    <v>0</v>
  </rv>
  <rv s="0">
    <fb>114.16</fb>
    <v>1</v>
  </rv>
  <rv s="0">
    <fb>115.36</fb>
    <v>1</v>
  </rv>
  <rv s="0">
    <fb>4793121</fb>
    <v>2</v>
  </rv>
  <rv s="0">
    <fb>45250</fb>
    <v>0</v>
  </rv>
  <rv s="0">
    <fb>117.149</fb>
    <v>1</v>
  </rv>
  <rv s="0">
    <fb>115.51</fb>
    <v>1</v>
  </rv>
  <rv s="0">
    <fb>5729247</fb>
    <v>2</v>
  </rv>
  <rv s="0">
    <fb>45251</fb>
    <v>0</v>
  </rv>
  <rv s="0">
    <fb>117.21</fb>
    <v>1</v>
  </rv>
  <rv s="0">
    <fb>117.67</fb>
    <v>1</v>
  </rv>
  <rv s="0">
    <fb>115.68</fb>
    <v>1</v>
  </rv>
  <rv s="0">
    <fb>116.08</fb>
    <v>1</v>
  </rv>
  <rv s="0">
    <fb>5995308</fb>
    <v>2</v>
  </rv>
  <rv s="0">
    <fb>45252</fb>
    <v>0</v>
  </rv>
  <rv s="0">
    <fb>116.24</fb>
    <v>1</v>
  </rv>
  <rv s="0">
    <fb>4344743</fb>
    <v>2</v>
  </rv>
  <rv s="0">
    <fb>45254</fb>
    <v>0</v>
  </rv>
  <rv s="0">
    <fb>116.25</fb>
    <v>1</v>
  </rv>
  <rv s="0">
    <fb>2168187</fb>
    <v>2</v>
  </rv>
  <rv s="0">
    <fb>45257</fb>
    <v>0</v>
  </rv>
  <rv s="0">
    <fb>116.005</fb>
    <v>1</v>
  </rv>
  <rv s="0">
    <fb>116.77</fb>
    <v>1</v>
  </rv>
  <rv s="0">
    <fb>116.47</fb>
    <v>1</v>
  </rv>
  <rv s="0">
    <fb>5165309</fb>
    <v>2</v>
  </rv>
  <rv s="0">
    <fb>45258</fb>
    <v>0</v>
  </rv>
  <rv s="0">
    <fb>116</fb>
    <v>1</v>
  </rv>
  <rv s="0">
    <fb>116.8</fb>
    <v>1</v>
  </rv>
  <rv s="0">
    <fb>4892619</fb>
    <v>2</v>
  </rv>
  <rv s="0">
    <fb>45259</fb>
    <v>0</v>
  </rv>
  <rv s="0">
    <fb>117.34</fb>
    <v>1</v>
  </rv>
  <rv s="0">
    <fb>117.58</fb>
    <v>1</v>
  </rv>
  <rv s="0">
    <fb>6127312</fb>
    <v>2</v>
  </rv>
  <rv s="0">
    <fb>45260</fb>
    <v>0</v>
  </rv>
  <rv s="0">
    <fb>116.86</fb>
    <v>1</v>
  </rv>
  <rv s="0">
    <fb>115.18</fb>
    <v>1</v>
  </rv>
  <rv s="0">
    <fb>11075593</fb>
    <v>2</v>
  </rv>
  <rv s="0">
    <fb>45261</fb>
    <v>0</v>
  </rv>
  <rv s="0">
    <fb>116.07</fb>
    <v>1</v>
  </rv>
  <rv s="0">
    <fb>115.26</fb>
    <v>1</v>
  </rv>
  <rv s="0">
    <fb>5739833</fb>
    <v>2</v>
  </rv>
  <rv s="0">
    <fb>45264</fb>
    <v>0</v>
  </rv>
  <rv s="0">
    <fb>116.27</fb>
    <v>1</v>
  </rv>
  <rv s="0">
    <fb>115.78</fb>
    <v>1</v>
  </rv>
  <rv s="0">
    <fb>5587538</fb>
    <v>2</v>
  </rv>
  <rv s="0">
    <fb>45265</fb>
    <v>0</v>
  </rv>
  <rv s="0">
    <fb>114.57</fb>
    <v>1</v>
  </rv>
  <rv s="0">
    <fb>113.81</fb>
    <v>1</v>
  </rv>
  <rv s="0">
    <fb>114.53</fb>
    <v>1</v>
  </rv>
  <rv s="0">
    <fb>5913562</fb>
    <v>2</v>
  </rv>
  <rv s="0">
    <fb>45266</fb>
    <v>0</v>
  </rv>
  <rv s="0">
    <fb>114.94</fb>
    <v>1</v>
  </rv>
  <rv s="0">
    <fb>114.99</fb>
    <v>1</v>
  </rv>
  <rv s="0">
    <fb>111.93</fb>
    <v>1</v>
  </rv>
  <rv s="0">
    <fb>112.03</fb>
    <v>1</v>
  </rv>
  <rv s="0">
    <fb>7815722</fb>
    <v>2</v>
  </rv>
  <rv s="0">
    <fb>45267</fb>
    <v>0</v>
  </rv>
  <rv s="0">
    <fb>113.03</fb>
    <v>1</v>
  </rv>
  <rv s="0">
    <fb>111.81</fb>
    <v>1</v>
  </rv>
  <rv s="0">
    <fb>6772848</fb>
    <v>2</v>
  </rv>
  <rv s="0">
    <fb>45268</fb>
    <v>0</v>
  </rv>
  <rv s="0">
    <fb>112.01</fb>
    <v>1</v>
  </rv>
  <rv s="0">
    <fb>113.64</fb>
    <v>1</v>
  </rv>
  <rv s="0">
    <fb>111.59</fb>
    <v>1</v>
  </rv>
  <rv s="0">
    <fb>113.61</fb>
    <v>1</v>
  </rv>
  <rv s="0">
    <fb>7765999</fb>
    <v>2</v>
  </rv>
  <rv s="0">
    <fb>45271</fb>
    <v>0</v>
  </rv>
  <rv s="0">
    <fb>113.77</fb>
    <v>1</v>
  </rv>
  <rv s="0">
    <fb>115.35</fb>
    <v>1</v>
  </rv>
  <rv s="0">
    <fb>115.13</fb>
    <v>1</v>
  </rv>
  <rv s="0">
    <fb>19544239</fb>
    <v>2</v>
  </rv>
  <rv s="0">
    <fb>45272</fb>
    <v>0</v>
  </rv>
  <rv s="0">
    <fb>104.95</fb>
    <v>1</v>
  </rv>
  <rv s="0">
    <fb>100.69</fb>
    <v>1</v>
  </rv>
  <rv s="0">
    <fb>100.81</fb>
    <v>1</v>
  </rv>
  <rv s="0">
    <fb>57666473</fb>
    <v>2</v>
  </rv>
  <rv s="0">
    <fb>45273</fb>
    <v>0</v>
  </rv>
  <rv s="0">
    <fb>101.08</fb>
    <v>1</v>
  </rv>
  <rv s="0">
    <fb>99.26</fb>
    <v>1</v>
  </rv>
  <rv s="0">
    <fb>102.99</fb>
    <v>1</v>
  </rv>
  <rv s="0">
    <fb>29392208</fb>
    <v>2</v>
  </rv>
  <rv s="0">
    <fb>45274</fb>
    <v>0</v>
  </rv>
  <rv s="0">
    <fb>101.87</fb>
    <v>1</v>
  </rv>
  <rv s="0">
    <fb>102.24939999999999</fb>
    <v>1</v>
  </rv>
  <rv s="0">
    <fb>100.31</fb>
    <v>1</v>
  </rv>
  <rv s="0">
    <fb>22865164</fb>
    <v>2</v>
  </rv>
  <rv s="0">
    <fb>45275</fb>
    <v>0</v>
  </rv>
  <rv s="0">
    <fb>99.69</fb>
    <v>1</v>
  </rv>
  <rv s="0">
    <fb>103.99</fb>
    <v>1</v>
  </rv>
  <rv s="0">
    <fb>99.36</fb>
    <v>1</v>
  </rv>
  <rv s="0">
    <fb>103.32</fb>
    <v>1</v>
  </rv>
  <rv s="0">
    <fb>30212316</fb>
    <v>2</v>
  </rv>
  <rv s="0">
    <fb>45278</fb>
    <v>0</v>
  </rv>
  <rv s="0">
    <fb>103.41</fb>
    <v>1</v>
  </rv>
  <rv s="0">
    <fb>106.15600000000001</fb>
    <v>1</v>
  </rv>
  <rv s="0">
    <fb>102.91</fb>
    <v>1</v>
  </rv>
  <rv s="0">
    <fb>13473124</fb>
    <v>2</v>
  </rv>
  <rv s="0">
    <fb>45279</fb>
    <v>0</v>
  </rv>
  <rv s="0">
    <fb>104.98</fb>
    <v>1</v>
  </rv>
  <rv s="0">
    <fb>104.8</fb>
    <v>1</v>
  </rv>
  <rv s="0">
    <fb>106.25</fb>
    <v>1</v>
  </rv>
  <rv s="0">
    <fb>10108507</fb>
    <v>2</v>
  </rv>
  <rv s="0">
    <fb>45280</fb>
    <v>0</v>
  </rv>
  <rv s="0">
    <fb>105.95</fb>
    <v>1</v>
  </rv>
  <rv s="0">
    <fb>106.09</fb>
    <v>1</v>
  </rv>
  <rv s="0">
    <fb>104.05</fb>
    <v>1</v>
  </rv>
  <rv s="0">
    <fb>9241956</fb>
    <v>2</v>
  </rv>
  <rv s="0">
    <fb>45281</fb>
    <v>0</v>
  </rv>
  <rv s="0">
    <fb>104.7</fb>
    <v>1</v>
  </rv>
  <rv s="0">
    <fb>105.925</fb>
    <v>1</v>
  </rv>
  <rv s="0">
    <fb>105.86</fb>
    <v>1</v>
  </rv>
  <rv s="0">
    <fb>8168010</fb>
    <v>2</v>
  </rv>
  <rv s="0">
    <fb>45282</fb>
    <v>0</v>
  </rv>
  <rv s="0">
    <fb>105.7</fb>
    <v>1</v>
  </rv>
  <rv s="0">
    <fb>105.46</fb>
    <v>1</v>
  </rv>
  <rv s="0">
    <fb>5680031</fb>
    <v>2</v>
  </rv>
  <rv s="0">
    <fb>45286</fb>
    <v>0</v>
  </rv>
  <rv s="0">
    <fb>106.65</fb>
    <v>1</v>
  </rv>
  <rv s="0">
    <fb>105.34</fb>
    <v>1</v>
  </rv>
  <rv s="0">
    <fb>106.19</fb>
    <v>1</v>
  </rv>
  <rv s="0">
    <fb>5767415</fb>
    <v>2</v>
  </rv>
  <rv s="0">
    <fb>45287</fb>
    <v>0</v>
  </rv>
  <rv s="0">
    <fb>106.32</fb>
    <v>1</v>
  </rv>
  <rv s="0">
    <fb>106.33</fb>
    <v>1</v>
  </rv>
  <rv s="0">
    <fb>105.56</fb>
    <v>1</v>
  </rv>
  <rv s="0">
    <fb>5627364</fb>
    <v>2</v>
  </rv>
  <rv s="0">
    <fb>45288</fb>
    <v>0</v>
  </rv>
  <rv s="0">
    <fb>106.01</fb>
    <v>1</v>
  </rv>
  <rv s="0">
    <fb>106.605</fb>
    <v>1</v>
  </rv>
  <rv s="0">
    <fb>105.58</fb>
    <v>1</v>
  </rv>
  <rv s="0">
    <fb>5689057</fb>
    <v>2</v>
  </rv>
  <rv s="0">
    <fb>45289</fb>
    <v>0</v>
  </rv>
  <rv s="0">
    <fb>106.91800000000001</fb>
    <v>1</v>
  </rv>
  <rv s="0">
    <fb>105.43</fb>
    <v>1</v>
  </rv>
  <rv s="0">
    <fb>6899695</fb>
    <v>2</v>
  </rv>
  <rv s="0">
    <fb>45293</fb>
    <v>0</v>
  </rv>
  <rv s="0">
    <fb>104.68</fb>
    <v>1</v>
  </rv>
  <rv s="0">
    <fb>104.06</fb>
    <v>1</v>
  </rv>
  <rv s="0">
    <fb>9597500</fb>
    <v>2</v>
  </rv>
  <rv s="0">
    <fb>45294</fb>
    <v>0</v>
  </rv>
  <rv s="0">
    <fb>103.3</fb>
    <v>1</v>
  </rv>
  <rv s="0">
    <fb>103.38</fb>
    <v>1</v>
  </rv>
  <rv s="0">
    <fb>101.74</fb>
    <v>1</v>
  </rv>
  <rv s="0">
    <fb>9455569</fb>
    <v>2</v>
  </rv>
  <rv s="0">
    <fb>45295</fb>
    <v>0</v>
  </rv>
  <rv s="0">
    <fb>102.77</fb>
    <v>1</v>
  </rv>
  <rv s="0">
    <fb>103.36</fb>
    <v>1</v>
  </rv>
  <rv s="0">
    <fb>102.4</fb>
    <v>1</v>
  </rv>
  <rv s="0">
    <fb>102.59</fb>
    <v>1</v>
  </rv>
  <rv s="0">
    <fb>6822299</fb>
    <v>2</v>
  </rv>
  <rv s="0">
    <fb>45296</fb>
    <v>0</v>
  </rv>
  <rv s="0">
    <fb>102.53</fb>
    <v>1</v>
  </rv>
  <rv s="0">
    <fb>103.72</fb>
    <v>1</v>
  </rv>
  <rv s="0">
    <fb>102.29</fb>
    <v>1</v>
  </rv>
  <rv s="0">
    <fb>102.73</fb>
    <v>1</v>
  </rv>
  <rv s="0">
    <fb>6133770</fb>
    <v>2</v>
  </rv>
  <rv s="0">
    <fb>45299</fb>
    <v>0</v>
  </rv>
  <rv s="0">
    <fb>102.94</fb>
    <v>1</v>
  </rv>
  <rv s="0">
    <fb>104.77</fb>
    <v>1</v>
  </rv>
  <rv s="0">
    <fb>102.13</fb>
    <v>1</v>
  </rv>
  <rv s="0">
    <fb>7038658</fb>
    <v>2</v>
  </rv>
  <rv s="0">
    <fb>45300</fb>
    <v>0</v>
  </rv>
  <rv s="0">
    <fb>103.85</fb>
    <v>1</v>
  </rv>
  <rv s="0">
    <fb>104.48</fb>
    <v>1</v>
  </rv>
  <rv s="0">
    <fb>103.29</fb>
    <v>1</v>
  </rv>
  <rv s="0">
    <fb>103.63</fb>
    <v>1</v>
  </rv>
  <rv s="0">
    <fb>6725200</fb>
    <v>2</v>
  </rv>
  <rv s="0">
    <fb>45301</fb>
    <v>0</v>
  </rv>
  <rv s="0">
    <fb>103.09</fb>
    <v>1</v>
  </rv>
  <rv s="0">
    <fb>104.07</fb>
    <v>1</v>
  </rv>
  <rv s="0">
    <fb>102.72</fb>
    <v>1</v>
  </rv>
  <rv s="0">
    <fb>103.92</fb>
    <v>1</v>
  </rv>
  <rv s="0">
    <fb>7270545</fb>
    <v>2</v>
  </rv>
  <rv s="0">
    <fb>45302</fb>
    <v>0</v>
  </rv>
  <rv s="0">
    <fb>104.84</fb>
    <v>1</v>
  </rv>
  <rv s="0">
    <fb>6118998</fb>
    <v>2</v>
  </rv>
  <rv s="0">
    <fb>45303</fb>
    <v>0</v>
  </rv>
  <rv s="0">
    <fb>105.1</fb>
    <v>1</v>
  </rv>
  <rv s="0">
    <fb>106.7</fb>
    <v>1</v>
  </rv>
  <rv s="0">
    <fb>104.965</fb>
    <v>1</v>
  </rv>
  <rv s="0">
    <fb>9703848</fb>
    <v>2</v>
  </rv>
  <rv s="0">
    <fb>45307</fb>
    <v>0</v>
  </rv>
  <rv s="0">
    <fb>106.41</fb>
    <v>1</v>
  </rv>
  <rv s="0">
    <fb>106.66</fb>
    <v>1</v>
  </rv>
  <rv s="0">
    <fb>105.42</fb>
    <v>1</v>
  </rv>
  <rv s="0">
    <fb>106.57</fb>
    <v>1</v>
  </rv>
  <rv s="0">
    <fb>7547241</fb>
    <v>2</v>
  </rv>
  <rv s="0">
    <fb>45308</fb>
    <v>0</v>
  </rv>
  <rv s="0">
    <fb>106.46</fb>
    <v>1</v>
  </rv>
  <rv s="0">
    <fb>105.68</fb>
    <v>1</v>
  </rv>
  <rv s="0">
    <fb>106.43</fb>
    <v>1</v>
  </rv>
  <rv s="0">
    <fb>7771460</fb>
    <v>2</v>
  </rv>
  <rv s="0">
    <fb>45309</fb>
    <v>0</v>
  </rv>
  <rv s="0">
    <fb>108.7</fb>
    <v>1</v>
  </rv>
  <rv s="0">
    <fb>10362279</fb>
    <v>2</v>
  </rv>
  <rv s="0">
    <fb>45310</fb>
    <v>0</v>
  </rv>
  <rv s="0">
    <fb>109.32</fb>
    <v>1</v>
  </rv>
  <rv s="0">
    <fb>109.02</fb>
    <v>1</v>
  </rv>
  <rv s="0">
    <fb>109.67</fb>
    <v>1</v>
  </rv>
  <rv s="0">
    <fb>11163772</fb>
    <v>2</v>
  </rv>
  <rv s="0">
    <fb>45313</fb>
    <v>0</v>
  </rv>
  <rv s="0">
    <fb>110.06</fb>
    <v>1</v>
  </rv>
  <rv s="0">
    <fb>110.69</fb>
    <v>1</v>
  </rv>
  <rv s="0">
    <fb>109.27</fb>
    <v>1</v>
  </rv>
  <rv s="0">
    <fb>110.1</fb>
    <v>1</v>
  </rv>
  <rv s="0">
    <fb>7485307</fb>
    <v>2</v>
  </rv>
  <rv s="0">
    <fb>45314</fb>
    <v>0</v>
  </rv>
  <rv s="0">
    <fb>110.29</fb>
    <v>1</v>
  </rv>
  <rv s="0">
    <fb>112.68</fb>
    <v>1</v>
  </rv>
  <rv s="0">
    <fb>109.56</fb>
    <v>1</v>
  </rv>
  <rv s="0">
    <fb>111.83</fb>
    <v>1</v>
  </rv>
  <rv s="0">
    <fb>9185921</fb>
    <v>2</v>
  </rv>
  <rv s="0">
    <fb>45315</fb>
    <v>0</v>
  </rv>
  <rv s="0">
    <fb>115.42</fb>
    <v>1</v>
  </rv>
  <rv s="0">
    <fb>113.33</fb>
    <v>1</v>
  </rv>
  <rv s="0">
    <fb>114.31</fb>
    <v>1</v>
  </rv>
  <rv s="0">
    <fb>11702698</fb>
    <v>2</v>
  </rv>
  <rv s="0">
    <fb>45316</fb>
    <v>0</v>
  </rv>
  <rv s="0">
    <fb>114.89</fb>
    <v>1</v>
  </rv>
  <rv s="0">
    <fb>116.18</fb>
    <v>1</v>
  </rv>
  <rv s="0">
    <fb>114.35</fb>
    <v>1</v>
  </rv>
  <rv s="0">
    <fb>8877205</fb>
    <v>2</v>
  </rv>
  <rv s="0">
    <fb>45317</fb>
    <v>0</v>
  </rv>
  <rv s="0">
    <fb>115.48</fb>
    <v>1</v>
  </rv>
  <rv s="0">
    <fb>114.27460000000001</fb>
    <v>1</v>
  </rv>
  <rv s="0">
    <fb>5541900</fb>
    <v>2</v>
  </rv>
  <rv s="0">
    <fb>45320</fb>
    <v>0</v>
  </rv>
  <rv s="0">
    <fb>114.59</fb>
    <v>1</v>
  </rv>
  <rv s="0">
    <fb>113.01</fb>
    <v>1</v>
  </rv>
  <rv s="0">
    <fb>113.75</fb>
    <v>1</v>
  </rv>
  <rv s="0">
    <fb>7014424</fb>
    <v>2</v>
  </rv>
  <rv s="0">
    <fb>45321</fb>
    <v>0</v>
  </rv>
  <rv s="0">
    <fb>113.36</fb>
    <v>1</v>
  </rv>
  <rv s="0">
    <fb>114.4</fb>
    <v>1</v>
  </rv>
  <rv s="0">
    <fb>112.63</fb>
    <v>1</v>
  </rv>
  <rv s="0">
    <fb>8231882</fb>
    <v>2</v>
  </rv>
  <rv s="0">
    <fb>45322</fb>
    <v>0</v>
  </rv>
  <rv s="0">
    <fb>114.27</fb>
    <v>1</v>
  </rv>
  <rv s="0">
    <fb>111.67</fb>
    <v>1</v>
  </rv>
  <rv s="0">
    <fb>111.7</fb>
    <v>1</v>
  </rv>
  <rv s="0">
    <fb>7386705</fb>
    <v>2</v>
  </rv>
  <rv s="0">
    <fb>45323</fb>
    <v>0</v>
  </rv>
  <rv s="0">
    <fb>112.55</fb>
    <v>1</v>
  </rv>
  <rv s="0">
    <fb>115.53</fb>
    <v>1</v>
  </rv>
  <rv s="0">
    <fb>7882168</fb>
    <v>2</v>
  </rv>
  <rv s="0">
    <fb>45324</fb>
    <v>0</v>
  </rv>
  <rv s="0">
    <fb>115.82</fb>
    <v>1</v>
  </rv>
  <rv s="0">
    <fb>115.1575</fb>
    <v>1</v>
  </rv>
  <rv s="0">
    <fb>115.79</fb>
    <v>1</v>
  </rv>
  <rv s="0">
    <fb>6499594</fb>
    <v>2</v>
  </rv>
  <rv s="0">
    <fb>45327</fb>
    <v>0</v>
  </rv>
  <rv s="0">
    <fb>116.715</fb>
    <v>1</v>
  </rv>
  <rv s="0">
    <fb>114.77</fb>
    <v>1</v>
  </rv>
  <rv s="0">
    <fb>8084508</fb>
    <v>2</v>
  </rv>
  <rv s="0">
    <fb>45328</fb>
    <v>0</v>
  </rv>
  <rv s="0">
    <fb>116.74</fb>
    <v>1</v>
  </rv>
  <rv s="0">
    <fb>116.95</fb>
    <v>1</v>
  </rv>
  <rv s="0">
    <fb>114.98</fb>
    <v>1</v>
  </rv>
  <rv s="0">
    <fb>115.3</fb>
    <v>1</v>
  </rv>
  <rv s="0">
    <fb>4639268</fb>
    <v>2</v>
  </rv>
  <rv s="0">
    <fb>45329</fb>
    <v>0</v>
  </rv>
  <rv s="0">
    <fb>115.8</fb>
    <v>1</v>
  </rv>
  <rv s="0">
    <fb>117.59</fb>
    <v>1</v>
  </rv>
  <rv s="0">
    <fb>117.27</fb>
    <v>1</v>
  </rv>
  <rv s="0">
    <fb>7672882</fb>
    <v>2</v>
  </rv>
  <rv s="0">
    <fb>45330</fb>
    <v>0</v>
  </rv>
  <rv s="0">
    <fb>117.7872</fb>
    <v>1</v>
  </rv>
  <rv s="0">
    <fb>115.97</fb>
    <v>1</v>
  </rv>
  <rv s="0">
    <fb>4472770</fb>
    <v>2</v>
  </rv>
  <rv s="0">
    <fb>45331</fb>
    <v>0</v>
  </rv>
  <rv s="0">
    <fb>117.06</fb>
    <v>1</v>
  </rv>
  <rv s="0">
    <fb>116.64</fb>
    <v>1</v>
  </rv>
  <rv s="0">
    <fb>5787142</fb>
    <v>2</v>
  </rv>
  <rv s="0">
    <fb>45334</fb>
    <v>0</v>
  </rv>
  <rv s="0">
    <fb>115.38</fb>
    <v>1</v>
  </rv>
  <rv s="0">
    <fb>115.84</fb>
    <v>1</v>
  </rv>
  <rv s="0">
    <fb>5439629</fb>
    <v>2</v>
  </rv>
  <rv s="0">
    <fb>45335</fb>
    <v>0</v>
  </rv>
  <rv s="0">
    <fb>113.79</fb>
    <v>1</v>
  </rv>
  <rv s="0">
    <fb>114.21</fb>
    <v>1</v>
  </rv>
  <rv s="0">
    <fb>113</fb>
    <v>1</v>
  </rv>
  <rv s="0">
    <fb>113.68</fb>
    <v>1</v>
  </rv>
  <rv s="0">
    <fb>8171722</fb>
    <v>2</v>
  </rv>
  <rv s="0">
    <fb>45336</fb>
    <v>0</v>
  </rv>
  <rv s="0">
    <fb>114.72</fb>
    <v>1</v>
  </rv>
  <rv s="0">
    <fb>113.53</fb>
    <v>1</v>
  </rv>
  <rv s="0">
    <fb>5946116</fb>
    <v>2</v>
  </rv>
  <rv s="0">
    <fb>45337</fb>
    <v>0</v>
  </rv>
  <rv s="0">
    <fb>114.25</fb>
    <v>1</v>
  </rv>
  <rv s="0">
    <fb>112.57</fb>
    <v>1</v>
  </rv>
  <rv s="0">
    <fb>8455623</fb>
    <v>2</v>
  </rv>
  <rv s="0">
    <fb>45338</fb>
    <v>0</v>
  </rv>
  <rv s="0">
    <fb>113.02</fb>
    <v>1</v>
  </rv>
  <rv s="0">
    <fb>113.11</fb>
    <v>1</v>
  </rv>
  <rv s="0">
    <fb>111.245</fb>
    <v>1</v>
  </rv>
  <rv s="0">
    <fb>111.31</fb>
    <v>1</v>
  </rv>
  <rv s="0">
    <fb>8936016</fb>
    <v>2</v>
  </rv>
  <rv s="0">
    <fb>45342</fb>
    <v>0</v>
  </rv>
  <rv s="0">
    <fb>110.54</fb>
    <v>1</v>
  </rv>
  <rv s="0">
    <fb>110.765</fb>
    <v>1</v>
  </rv>
  <rv s="0">
    <fb>107.68</fb>
    <v>1</v>
  </rv>
  <rv s="0">
    <fb>10975638</fb>
    <v>2</v>
  </rv>
  <rv s="0">
    <fb>45343</fb>
    <v>0</v>
  </rv>
  <rv s="0">
    <fb>106.76</fb>
    <v>1</v>
  </rv>
  <rv s="0">
    <fb>108.375</fb>
    <v>1</v>
  </rv>
  <rv s="0">
    <fb>106.51</fb>
    <v>1</v>
  </rv>
  <rv s="0">
    <fb>108.16</fb>
    <v>1</v>
  </rv>
  <rv s="0">
    <fb>7867610</fb>
    <v>2</v>
  </rv>
  <rv s="0">
    <fb>45344</fb>
    <v>0</v>
  </rv>
  <rv s="0">
    <fb>111.49</fb>
    <v>1</v>
  </rv>
  <rv s="0">
    <fb>111.88500000000001</fb>
    <v>1</v>
  </rv>
  <rv s="0">
    <fb>109.66</fb>
    <v>1</v>
  </rv>
  <rv s="0">
    <fb>111.01</fb>
    <v>1</v>
  </rv>
  <rv s="0">
    <fb>8957789</fb>
    <v>2</v>
  </rv>
  <rv s="0">
    <fb>45345</fb>
    <v>0</v>
  </rv>
  <rv s="0">
    <fb>112</fb>
    <v>1</v>
  </rv>
  <rv s="0">
    <fb>113.37</fb>
    <v>1</v>
  </rv>
  <rv s="0">
    <fb>7504506</fb>
    <v>2</v>
  </rv>
  <rv s="0">
    <fb>45348</fb>
    <v>0</v>
  </rv>
  <rv s="0">
    <fb>112.54</fb>
    <v>1</v>
  </rv>
  <rv s="0">
    <fb>110.93</fb>
    <v>1</v>
  </rv>
  <rv s="0">
    <fb>6342943</fb>
    <v>2</v>
  </rv>
  <rv s="0">
    <fb>45349</fb>
    <v>0</v>
  </rv>
  <rv s="0">
    <fb>110.62</fb>
    <v>1</v>
  </rv>
  <rv s="0">
    <fb>111.38</fb>
    <v>1</v>
  </rv>
  <rv s="0">
    <fb>6593144</fb>
    <v>2</v>
  </rv>
  <rv s="0">
    <fb>45350</fb>
    <v>0</v>
  </rv>
  <rv s="0">
    <fb>111.26</fb>
    <v>1</v>
  </rv>
  <rv s="0">
    <fb>112.02</fb>
    <v>1</v>
  </rv>
  <rv s="0">
    <fb>111.1</fb>
    <v>1</v>
  </rv>
  <rv s="0">
    <fb>111.68</fb>
    <v>1</v>
  </rv>
  <rv s="0">
    <fb>5278179</fb>
    <v>2</v>
  </rv>
  <rv s="0">
    <fb>45351</fb>
    <v>0</v>
  </rv>
  <rv s="0">
    <fb>112.4423</fb>
    <v>1</v>
  </rv>
  <rv s="0">
    <fb>110.63500000000001</fb>
    <v>1</v>
  </rv>
  <rv s="0">
    <fb>12193860</fb>
    <v>2</v>
  </rv>
  <rv s="0">
    <fb>45352</fb>
    <v>0</v>
  </rv>
  <rv s="0">
    <fb>113.94</fb>
    <v>1</v>
  </rv>
  <rv s="0">
    <fb>111.52</fb>
    <v>1</v>
  </rv>
  <rv s="0">
    <fb>7605145</fb>
    <v>2</v>
  </rv>
  <rv s="0">
    <fb>45355</fb>
    <v>0</v>
  </rv>
  <rv s="0">
    <fb>113.58</fb>
    <v>1</v>
  </rv>
  <rv s="0">
    <fb>114.6</fb>
    <v>1</v>
  </rv>
  <rv s="0">
    <fb>113.39</fb>
    <v>1</v>
  </rv>
  <rv s="0">
    <fb>6588062</fb>
    <v>2</v>
  </rv>
  <rv s="0">
    <fb>45356</fb>
    <v>0</v>
  </rv>
  <rv s="0">
    <fb>112.82</fb>
    <v>1</v>
  </rv>
  <rv s="0">
    <fb>113.2</fb>
    <v>1</v>
  </rv>
  <rv s="0">
    <fb>110.36499999999999</fb>
    <v>1</v>
  </rv>
  <rv s="0">
    <fb>110.94</fb>
    <v>1</v>
  </rv>
  <rv s="0">
    <fb>8241978</fb>
    <v>2</v>
  </rv>
  <rv s="0">
    <fb>45357</fb>
    <v>0</v>
  </rv>
  <rv s="0">
    <fb>111.5</fb>
    <v>1</v>
  </rv>
  <rv s="0">
    <fb>113.05</fb>
    <v>1</v>
  </rv>
  <rv s="0">
    <fb>110.67</fb>
    <v>1</v>
  </rv>
  <rv s="0">
    <fb>112.27</fb>
    <v>1</v>
  </rv>
  <rv s="0">
    <fb>6706372</fb>
    <v>2</v>
  </rv>
  <rv s="0">
    <fb>45358</fb>
    <v>0</v>
  </rv>
  <rv s="0">
    <fb>114.8</fb>
    <v>1</v>
  </rv>
  <rv s="0">
    <fb>112.29</fb>
    <v>1</v>
  </rv>
  <rv s="0">
    <fb>114.54</fb>
    <v>1</v>
  </rv>
  <rv s="0">
    <fb>7670135</fb>
    <v>2</v>
  </rv>
  <rv s="0">
    <fb>45359</fb>
    <v>0</v>
  </rv>
  <rv s="0">
    <fb>114.07</fb>
    <v>1</v>
  </rv>
  <rv s="0">
    <fb>114.33</fb>
    <v>1</v>
  </rv>
  <rv s="0">
    <fb>111.54</fb>
    <v>1</v>
  </rv>
  <rv s="0">
    <fb>112.42</fb>
    <v>1</v>
  </rv>
  <rv s="0">
    <fb>8312943</fb>
    <v>2</v>
  </rv>
  <rv s="0">
    <fb>45362</fb>
    <v>0</v>
  </rv>
  <rv s="0">
    <fb>114.75</fb>
    <v>1</v>
  </rv>
  <rv s="0">
    <fb>111.18</fb>
    <v>1</v>
  </rv>
  <rv s="0">
    <fb>114.13</fb>
    <v>1</v>
  </rv>
  <rv s="0">
    <fb>20438335</fb>
    <v>2</v>
  </rv>
  <rv s="0">
    <fb>45363</fb>
    <v>0</v>
  </rv>
  <rv s="0">
    <fb>126.26</fb>
    <v>1</v>
  </rv>
  <rv s="0">
    <fb>129.37</fb>
    <v>1</v>
  </rv>
  <rv s="0">
    <fb>124.6</fb>
    <v>1</v>
  </rv>
  <rv s="0">
    <fb>48536077</fb>
    <v>2</v>
  </rv>
  <rv s="0">
    <fb>45364</fb>
    <v>0</v>
  </rv>
  <rv s="0">
    <fb>128</fb>
    <v>1</v>
  </rv>
  <rv s="0">
    <fb>128.80000000000001</fb>
    <v>1</v>
  </rv>
  <rv s="0">
    <fb>124.83</fb>
    <v>1</v>
  </rv>
  <rv s="0">
    <fb>125.52</fb>
    <v>1</v>
  </rv>
  <rv s="0">
    <fb>15870346</fb>
    <v>2</v>
  </rv>
  <rv s="0">
    <fb>45365</fb>
    <v>0</v>
  </rv>
  <rv s="0">
    <fb>127.23</fb>
    <v>1</v>
  </rv>
  <rv s="0">
    <fb>127.8</fb>
    <v>1</v>
  </rv>
  <rv s="0">
    <fb>124.94</fb>
    <v>1</v>
  </rv>
  <rv s="0">
    <fb>125.53</fb>
    <v>1</v>
  </rv>
  <rv s="0">
    <fb>10965902</fb>
    <v>2</v>
  </rv>
  <rv s="0">
    <fb>45366</fb>
    <v>0</v>
  </rv>
  <rv s="0">
    <fb>124.04</fb>
    <v>1</v>
  </rv>
  <rv s="0">
    <fb>126.01</fb>
    <v>1</v>
  </rv>
  <rv s="0">
    <fb>123.5586</fb>
    <v>1</v>
  </rv>
  <rv s="0">
    <fb>125.54</fb>
    <v>1</v>
  </rv>
  <rv s="0">
    <fb>17844884</fb>
    <v>2</v>
  </rv>
  <rv s="0">
    <fb>45369</fb>
    <v>0</v>
  </rv>
  <rv s="0">
    <fb>127.2</fb>
    <v>1</v>
  </rv>
  <rv s="0">
    <fb>128.94999999999999</fb>
    <v>1</v>
  </rv>
  <rv s="0">
    <fb>126.88</fb>
    <v>1</v>
  </rv>
  <rv s="0">
    <fb>12231423</fb>
    <v>2</v>
  </rv>
  <rv s="0">
    <fb>45370</fb>
    <v>0</v>
  </rv>
  <rv s="0">
    <fb>127.745</fb>
    <v>1</v>
  </rv>
  <rv s="0">
    <fb>129.21</fb>
    <v>1</v>
  </rv>
  <rv s="0">
    <fb>126.49</fb>
    <v>1</v>
  </rv>
  <rv s="0">
    <fb>129.19</fb>
    <v>1</v>
  </rv>
  <rv s="0">
    <fb>10220950</fb>
    <v>2</v>
  </rv>
  <rv s="0">
    <fb>45371</fb>
    <v>0</v>
  </rv>
  <rv s="0">
    <fb>129.97999999999999</fb>
    <v>1</v>
  </rv>
  <rv s="0">
    <fb>130.69</fb>
    <v>1</v>
  </rv>
  <rv s="0">
    <fb>128.27000000000001</fb>
    <v>1</v>
  </rv>
  <rv s="0">
    <fb>129.24</fb>
    <v>1</v>
  </rv>
  <rv s="0">
    <fb>8373330</fb>
    <v>2</v>
  </rv>
  <rv s="0">
    <fb>45372</fb>
    <v>0</v>
  </rv>
  <rv s="0">
    <fb>130.52000000000001</fb>
    <v>1</v>
  </rv>
  <rv s="0">
    <fb>132.77369999999999</fb>
    <v>1</v>
  </rv>
  <rv s="0">
    <fb>129.01</fb>
    <v>1</v>
  </rv>
  <rv s="0">
    <fb>17842357</fb>
    <v>2</v>
  </rv>
  <rv s="0">
    <fb>45373</fb>
    <v>0</v>
  </rv>
  <rv s="0">
    <fb>129.20500000000001</fb>
    <v>1</v>
  </rv>
  <rv s="0">
    <fb>127.55</fb>
    <v>1</v>
  </rv>
  <rv s="0">
    <fb>127.79</fb>
    <v>1</v>
  </rv>
  <rv s="0">
    <fb>6659950</fb>
    <v>2</v>
  </rv>
  <rv s="0">
    <fb>45376</fb>
    <v>0</v>
  </rv>
  <rv s="0">
    <fb>127.67</fb>
    <v>1</v>
  </rv>
  <rv s="0">
    <fb>126.05</fb>
    <v>1</v>
  </rv>
  <rv s="0">
    <fb>126.08</fb>
    <v>1</v>
  </rv>
  <rv s="0">
    <fb>7446068</fb>
    <v>2</v>
  </rv>
  <rv s="0">
    <fb>45377</fb>
    <v>0</v>
  </rv>
  <rv s="0">
    <fb>126.75</fb>
    <v>1</v>
  </rv>
  <rv s="0">
    <fb>126.935</fb>
    <v>1</v>
  </rv>
  <rv s="0">
    <fb>125.84</fb>
    <v>1</v>
  </rv>
  <rv s="0">
    <fb>126.47</fb>
    <v>1</v>
  </rv>
  <rv s="0">
    <fb>7063930</fb>
    <v>2</v>
  </rv>
  <rv s="0">
    <fb>45378</fb>
    <v>0</v>
  </rv>
  <rv s="0">
    <fb>127.33</fb>
    <v>1</v>
  </rv>
  <rv s="0">
    <fb>127.82</fb>
    <v>1</v>
  </rv>
  <rv s="0">
    <fb>124.47</fb>
    <v>1</v>
  </rv>
  <rv s="0">
    <fb>125.27</fb>
    <v>1</v>
  </rv>
  <rv s="0">
    <fb>8115884</fb>
    <v>2</v>
  </rv>
  <rv s="0">
    <fb>45379</fb>
    <v>0</v>
  </rv>
  <rv s="0">
    <fb>125.39</fb>
    <v>1</v>
  </rv>
  <rv s="0">
    <fb>126.17</fb>
    <v>1</v>
  </rv>
  <rv s="0">
    <fb>125.2</fb>
    <v>1</v>
  </rv>
  <rv s="0">
    <fb>125.61</fb>
    <v>1</v>
  </rv>
  <rv s="0">
    <fb>6587431</fb>
    <v>2</v>
  </rv>
  <rv s="0">
    <fb>45383</fb>
    <v>0</v>
  </rv>
  <rv s="0">
    <fb>126.27200000000001</fb>
    <v>1</v>
  </rv>
  <rv s="0">
    <fb>124.56</fb>
    <v>1</v>
  </rv>
  <rv s="0">
    <fb>125.48</fb>
    <v>1</v>
  </rv>
  <rv s="0">
    <fb>4133571</fb>
    <v>2</v>
  </rv>
  <rv s="0">
    <fb>45384</fb>
    <v>0</v>
  </rv>
  <rv s="0">
    <fb>124.51</fb>
    <v>1</v>
  </rv>
  <rv s="0">
    <fb>124.93</fb>
    <v>1</v>
  </rv>
  <rv s="0">
    <fb>123.43</fb>
    <v>1</v>
  </rv>
  <rv s="0">
    <fb>124.34</fb>
    <v>1</v>
  </rv>
  <rv s="0">
    <fb>4862415</fb>
    <v>2</v>
  </rv>
  <rv s="0">
    <fb>45385</fb>
    <v>0</v>
  </rv>
  <rv s="0">
    <fb>124.26</fb>
    <v>1</v>
  </rv>
  <rv s="0">
    <fb>126.405</fb>
    <v>1</v>
  </rv>
  <rv s="0">
    <fb>124.06</fb>
    <v>1</v>
  </rv>
  <rv s="0">
    <fb>126.24</fb>
    <v>1</v>
  </rv>
  <rv s="0">
    <fb>7429977</fb>
    <v>2</v>
  </rv>
  <rv s="0">
    <fb>45386</fb>
    <v>0</v>
  </rv>
  <rv s="0">
    <fb>127.6</fb>
    <v>1</v>
  </rv>
  <rv s="0">
    <fb>127.99</fb>
    <v>1</v>
  </rv>
  <rv s="0">
    <fb>124.03</fb>
    <v>1</v>
  </rv>
  <rv s="0">
    <fb>124.19</fb>
    <v>1</v>
  </rv>
  <rv s="0">
    <fb>7588298</fb>
    <v>2</v>
  </rv>
  <rv s="0">
    <fb>45387</fb>
    <v>0</v>
  </rv>
  <rv s="0">
    <fb>124.42</fb>
    <v>1</v>
  </rv>
  <rv s="0">
    <fb>125.995</fb>
    <v>1</v>
  </rv>
  <rv s="0">
    <fb>124.14</fb>
    <v>1</v>
  </rv>
  <rv s="0">
    <fb>124.9</fb>
    <v>1</v>
  </rv>
  <rv s="0">
    <fb>4899499</fb>
    <v>2</v>
  </rv>
  <rv s="0">
    <fb>45390</fb>
    <v>0</v>
  </rv>
  <rv s="0">
    <fb>125</fb>
    <v>1</v>
  </rv>
  <rv s="0">
    <fb>125.11499999999999</fb>
    <v>1</v>
  </rv>
  <rv s="0">
    <fb>123.76</fb>
    <v>1</v>
  </rv>
  <rv s="0">
    <fb>124.35</fb>
    <v>1</v>
  </rv>
  <rv s="0">
    <fb>6119225</fb>
    <v>2</v>
  </rv>
  <rv s="0">
    <fb>45391</fb>
    <v>0</v>
  </rv>
  <rv s="0">
    <fb>124.75</fb>
    <v>1</v>
  </rv>
  <rv s="0">
    <fb>121.24</fb>
    <v>1</v>
  </rv>
  <rv s="0">
    <fb>123.23</fb>
    <v>1</v>
  </rv>
  <rv s="0">
    <fb>5564905</fb>
    <v>2</v>
  </rv>
  <rv s="0">
    <fb>45392</fb>
    <v>0</v>
  </rv>
  <rv s="0">
    <fb>121.35</fb>
    <v>1</v>
  </rv>
  <rv s="0">
    <fb>123.08</fb>
    <v>1</v>
  </rv>
  <rv s="0">
    <fb>121.32</fb>
    <v>1</v>
  </rv>
  <rv s="0">
    <fb>121.75</fb>
    <v>1</v>
  </rv>
  <rv s="0">
    <fb>4509869</fb>
    <v>2</v>
  </rv>
  <rv s="0">
    <fb>45393</fb>
    <v>0</v>
  </rv>
  <rv s="0">
    <fb>121.72</fb>
    <v>1</v>
  </rv>
  <rv s="0">
    <fb>123.82</fb>
    <v>1</v>
  </rv>
  <rv s="0">
    <fb>121.36</fb>
    <v>1</v>
  </rv>
  <rv s="0">
    <fb>123.24</fb>
    <v>1</v>
  </rv>
  <rv s="0">
    <fb>7315241</fb>
    <v>2</v>
  </rv>
  <rv s="0">
    <fb>45394</fb>
    <v>0</v>
  </rv>
  <rv s="0">
    <fb>121.74</fb>
    <v>1</v>
  </rv>
  <rv s="0">
    <fb>121.84</fb>
    <v>1</v>
  </rv>
  <rv s="0">
    <fb>120.41500000000001</fb>
    <v>1</v>
  </rv>
  <rv s="0">
    <fb>121.11</fb>
    <v>1</v>
  </rv>
  <rv s="0">
    <fb>6196877</fb>
    <v>2</v>
  </rv>
  <rv s="0">
    <fb>45397</fb>
    <v>0</v>
  </rv>
  <rv s="0">
    <fb>122.18</fb>
    <v>1</v>
  </rv>
  <rv s="0">
    <fb>122.47</fb>
    <v>1</v>
  </rv>
  <rv s="0">
    <fb>119.44</fb>
    <v>1</v>
  </rv>
  <rv s="0">
    <fb>119.88</fb>
    <v>1</v>
  </rv>
  <rv s="0">
    <fb>5101455</fb>
    <v>2</v>
  </rv>
  <rv s="0">
    <fb>45398</fb>
    <v>0</v>
  </rv>
  <rv s="0">
    <fb>121.4426</fb>
    <v>1</v>
  </rv>
  <rv s="0">
    <fb>119.75</fb>
    <v>1</v>
  </rv>
  <rv s="0">
    <fb>120.62</fb>
    <v>1</v>
  </rv>
  <rv s="0">
    <fb>6999959</fb>
    <v>2</v>
  </rv>
  <rv s="0">
    <fb>45399</fb>
    <v>0</v>
  </rv>
  <rv s="0">
    <fb>120.98</fb>
    <v>1</v>
  </rv>
  <rv s="0">
    <fb>121.04</fb>
    <v>1</v>
  </rv>
  <rv s="0">
    <fb>118.61</fb>
    <v>1</v>
  </rv>
  <rv s="0">
    <fb>118.67</fb>
    <v>1</v>
  </rv>
  <rv s="0">
    <fb>5366587</fb>
    <v>2</v>
  </rv>
  <rv s="0">
    <fb>45400</fb>
    <v>0</v>
  </rv>
  <rv s="0">
    <fb>118.76</fb>
    <v>1</v>
  </rv>
  <rv s="0">
    <fb>6662406</fb>
    <v>2</v>
  </rv>
  <rv s="0">
    <fb>45401</fb>
    <v>0</v>
  </rv>
  <rv s="0">
    <fb>116.12</fb>
    <v>1</v>
  </rv>
  <rv s="0">
    <fb>114.46</fb>
    <v>1</v>
  </rv>
  <rv s="0">
    <fb>8251495</fb>
    <v>2</v>
  </rv>
  <rv s="0">
    <fb>45404</fb>
    <v>0</v>
  </rv>
  <rv s="0">
    <fb>116.03</fb>
    <v>1</v>
  </rv>
  <rv s="0">
    <fb>116.33499999999999</fb>
    <v>1</v>
  </rv>
  <rv s="0">
    <fb>7125490</fb>
    <v>2</v>
  </rv>
  <rv s="0">
    <fb>45405</fb>
    <v>0</v>
  </rv>
  <rv s="0">
    <fb>115.17</fb>
    <v>1</v>
  </rv>
  <rv s="0">
    <fb>115.86</fb>
    <v>1</v>
  </rv>
  <rv s="0">
    <fb>115.09</fb>
    <v>1</v>
  </rv>
  <rv s="0">
    <fb>5494823</fb>
    <v>2</v>
  </rv>
  <rv s="0">
    <fb>45406</fb>
    <v>0</v>
  </rv>
  <rv s="0">
    <fb>113.88</fb>
    <v>1</v>
  </rv>
  <rv s="0">
    <fb>5791761</fb>
    <v>2</v>
  </rv>
  <rv s="0">
    <fb>45407</fb>
    <v>0</v>
  </rv>
  <rv s="0">
    <fb>113.63</fb>
    <v>1</v>
  </rv>
  <rv s="0">
    <fb>6796627</fb>
    <v>2</v>
  </rv>
  <rv s="0">
    <fb>45408</fb>
    <v>0</v>
  </rv>
  <rv s="0">
    <fb>117.04</fb>
    <v>1</v>
  </rv>
  <rv s="0">
    <fb>119.21</fb>
    <v>1</v>
  </rv>
  <rv s="0">
    <fb>8355111</fb>
    <v>2</v>
  </rv>
  <rv s="0">
    <fb>45411</fb>
    <v>0</v>
  </rv>
  <rv s="0">
    <fb>117.31</fb>
    <v>1</v>
  </rv>
  <rv s="0">
    <fb>115.29</fb>
    <v>1</v>
  </rv>
  <rv s="0">
    <fb>5190565</fb>
    <v>2</v>
  </rv>
  <rv s="0">
    <fb>45412</fb>
    <v>0</v>
  </rv>
  <rv s="0">
    <fb>115.52</fb>
    <v>1</v>
  </rv>
  <rv s="0">
    <fb>113.69</fb>
    <v>1</v>
  </rv>
  <rv s="0">
    <fb>6234710</fb>
    <v>2</v>
  </rv>
  <rv s="0">
    <fb>45413</fb>
    <v>0</v>
  </rv>
  <rv s="0">
    <fb>113.65</fb>
    <v>1</v>
  </rv>
  <rv s="0">
    <fb>5583638</fb>
    <v>2</v>
  </rv>
  <rv s="0">
    <fb>45414</fb>
    <v>0</v>
  </rv>
  <rv s="0">
    <fb>114.96</fb>
    <v>1</v>
  </rv>
  <rv s="0">
    <fb>5001045</fb>
    <v>2</v>
  </rv>
  <rv s="0">
    <fb>45415</fb>
    <v>0</v>
  </rv>
  <rv s="0">
    <fb>4484976</fb>
    <v>2</v>
  </rv>
  <rv s="0">
    <fb>45418</fb>
    <v>0</v>
  </rv>
  <rv s="0">
    <fb>116.33</fb>
    <v>1</v>
  </rv>
  <rv s="0">
    <fb>118.36</fb>
    <v>1</v>
  </rv>
  <rv s="0">
    <fb>118.34</fb>
    <v>1</v>
  </rv>
  <rv s="0">
    <fb>6052397</fb>
    <v>2</v>
  </rv>
  <rv s="0">
    <fb>45419</fb>
    <v>0</v>
  </rv>
  <rv s="0">
    <fb>118</fb>
    <v>1</v>
  </rv>
  <rv s="0">
    <fb>119.129</fb>
    <v>1</v>
  </rv>
  <rv s="0">
    <fb>117.93</fb>
    <v>1</v>
  </rv>
  <rv s="0">
    <fb>6437743</fb>
    <v>2</v>
  </rv>
  <rv s="0">
    <fb>45420</fb>
    <v>0</v>
  </rv>
  <rv s="0">
    <fb>117.11</fb>
    <v>1</v>
  </rv>
  <rv s="0">
    <fb>117.39</fb>
    <v>1</v>
  </rv>
  <rv s="0">
    <fb>4635960</fb>
    <v>2</v>
  </rv>
  <rv s="0">
    <fb>45421</fb>
    <v>0</v>
  </rv>
  <rv s="0">
    <fb>117.7256</fb>
    <v>1</v>
  </rv>
  <rv s="0">
    <fb>3236316</fb>
    <v>2</v>
  </rv>
  <rv s="0">
    <fb>45422</fb>
    <v>0</v>
  </rv>
  <rv s="0">
    <fb>117.63</fb>
    <v>1</v>
  </rv>
  <rv s="0">
    <fb>115.91</fb>
    <v>1</v>
  </rv>
  <rv s="0">
    <fb>116.67</fb>
    <v>1</v>
  </rv>
  <rv s="0">
    <fb>4122531</fb>
    <v>2</v>
  </rv>
  <rv s="0">
    <fb>45425</fb>
    <v>0</v>
  </rv>
  <rv s="0">
    <fb>117.13</fb>
    <v>1</v>
  </rv>
  <rv s="0">
    <fb>117.19</fb>
    <v>1</v>
  </rv>
  <rv s="0">
    <fb>116.19499999999999</fb>
    <v>1</v>
  </rv>
  <rv s="0">
    <fb>4139953</fb>
    <v>2</v>
  </rv>
  <rv s="0">
    <fb>45426</fb>
    <v>0</v>
  </rv>
  <rv s="0">
    <fb>122.55</fb>
    <v>1</v>
  </rv>
  <rv s="0">
    <fb>116.13</fb>
    <v>1</v>
  </rv>
  <rv s="0">
    <fb>120.87</fb>
    <v>1</v>
  </rv>
  <rv s="0">
    <fb>17811221</fb>
    <v>2</v>
  </rv>
  <rv s="0">
    <fb>45427</fb>
    <v>0</v>
  </rv>
  <rv s="0">
    <fb>120.17</fb>
    <v>1</v>
  </rv>
  <rv s="0">
    <fb>122.09</fb>
    <v>1</v>
  </rv>
  <rv s="0">
    <fb>119.67</fb>
    <v>1</v>
  </rv>
  <rv s="0">
    <fb>121.63</fb>
    <v>1</v>
  </rv>
  <rv s="0">
    <fb>6604632</fb>
    <v>2</v>
  </rv>
  <rv s="0">
    <fb>45428</fb>
    <v>0</v>
  </rv>
  <rv s="0">
    <fb>121.94</fb>
    <v>1</v>
  </rv>
  <rv s="0">
    <fb>122.45</fb>
    <v>1</v>
  </rv>
  <rv s="0">
    <fb>121.21</fb>
    <v>1</v>
  </rv>
  <rv s="0">
    <fb>122.16</fb>
    <v>1</v>
  </rv>
  <rv s="0">
    <fb>5159256</fb>
    <v>2</v>
  </rv>
  <rv s="0">
    <fb>45429</fb>
    <v>0</v>
  </rv>
  <rv s="0">
    <fb>123.18</fb>
    <v>1</v>
  </rv>
  <rv s="0">
    <fb>123.58</fb>
    <v>1</v>
  </rv>
  <rv s="0">
    <fb>122.08</fb>
    <v>1</v>
  </rv>
  <rv s="0">
    <fb>123.5</fb>
    <v>1</v>
  </rv>
  <rv s="0">
    <fb>6179367</fb>
    <v>2</v>
  </rv>
  <rv s="0">
    <fb>45432</fb>
    <v>0</v>
  </rv>
  <rv s="0">
    <fb>123.8</fb>
    <v>1</v>
  </rv>
  <rv s="0">
    <fb>124.68</fb>
    <v>1</v>
  </rv>
  <rv s="0">
    <fb>124.52</fb>
    <v>1</v>
  </rv>
  <rv s="0">
    <fb>5989022</fb>
    <v>2</v>
  </rv>
  <rv s="0">
    <fb>45433</fb>
    <v>0</v>
  </rv>
  <rv s="0">
    <fb>124.46</fb>
    <v>1</v>
  </rv>
  <rv s="0">
    <fb>125.36</fb>
    <v>1</v>
  </rv>
  <rv s="0">
    <fb>123.92</fb>
    <v>1</v>
  </rv>
  <rv s="0">
    <fb>124.63</fb>
    <v>1</v>
  </rv>
  <rv s="0">
    <fb>5549456</fb>
    <v>2</v>
  </rv>
  <rv s="0">
    <fb>45434</fb>
    <v>0</v>
  </rv>
  <rv s="0">
    <fb>125.16</fb>
    <v>1</v>
  </rv>
  <rv s="0">
    <fb>123.295</fb>
    <v>1</v>
  </rv>
  <rv s="0">
    <fb>5705042</fb>
    <v>2</v>
  </rv>
  <rv s="0">
    <fb>45435</fb>
    <v>0</v>
  </rv>
  <rv s="0">
    <fb>126.7</fb>
    <v>1</v>
  </rv>
  <rv s="0">
    <fb>123.16</fb>
    <v>1</v>
  </rv>
  <rv s="0">
    <fb>124.09</fb>
    <v>1</v>
  </rv>
  <rv s="0">
    <fb>6108584</fb>
    <v>2</v>
  </rv>
  <rv s="0">
    <fb>45436</fb>
    <v>0</v>
  </rv>
  <rv s="0">
    <fb>123.42</fb>
    <v>1</v>
  </rv>
  <rv s="0">
    <fb>123.51</fb>
    <v>1</v>
  </rv>
  <rv s="0">
    <fb>121.42</fb>
    <v>1</v>
  </rv>
  <rv s="0">
    <fb>122.91</fb>
    <v>1</v>
  </rv>
  <rv s="0">
    <fb>7173435</fb>
    <v>2</v>
  </rv>
  <rv s="0">
    <fb>45440</fb>
    <v>0</v>
  </rv>
  <rv s="0">
    <fb>124.82</fb>
    <v>1</v>
  </rv>
  <rv s="0">
    <fb>123.011</fb>
    <v>1</v>
  </rv>
  <rv s="0">
    <fb>124.49</fb>
    <v>1</v>
  </rv>
  <rv s="0">
    <fb>6911394</fb>
    <v>2</v>
  </rv>
  <rv s="0">
    <fb>45441</fb>
    <v>0</v>
  </rv>
  <rv s="0">
    <fb>122.99</fb>
    <v>1</v>
  </rv>
  <rv s="0">
    <fb>122.77</fb>
    <v>1</v>
  </rv>
  <rv s="0">
    <fb>123.74</fb>
    <v>1</v>
  </rv>
  <rv s="0">
    <fb>4735091</fb>
    <v>2</v>
  </rv>
  <rv s="0">
    <fb>45442</fb>
    <v>0</v>
  </rv>
  <rv s="0">
    <fb>121.44</fb>
    <v>1</v>
  </rv>
  <rv s="0">
    <fb>117.03</fb>
    <v>1</v>
  </rv>
  <rv s="0">
    <fb>10851552</fb>
    <v>2</v>
  </rv>
  <rv s="0">
    <fb>45443</fb>
    <v>0</v>
  </rv>
  <rv s="0">
    <fb>117.4175</fb>
    <v>1</v>
  </rv>
  <rv s="0">
    <fb>12755639</fb>
    <v>2</v>
  </rv>
  <rv s="0">
    <fb>45446</fb>
    <v>0</v>
  </rv>
  <rv s="0">
    <fb>117.53</fb>
    <v>1</v>
  </rv>
  <rv s="0">
    <fb>119.33</fb>
    <v>1</v>
  </rv>
  <rv s="0">
    <fb>119.28</fb>
    <v>1</v>
  </rv>
  <rv s="0">
    <fb>7256308</fb>
    <v>2</v>
  </rv>
  <rv s="0">
    <fb>45447</fb>
    <v>0</v>
  </rv>
  <rv s="0">
    <fb>119.02</fb>
    <v>1</v>
  </rv>
  <rv s="0">
    <fb>120.37</fb>
    <v>1</v>
  </rv>
  <rv s="0">
    <fb>118.72</fb>
    <v>1</v>
  </rv>
  <rv s="0">
    <fb>7367975</fb>
    <v>2</v>
  </rv>
  <rv s="0">
    <fb>45448</fb>
    <v>0</v>
  </rv>
  <rv s="0">
    <fb>121.65</fb>
    <v>1</v>
  </rv>
  <rv s="0">
    <fb>122.79</fb>
    <v>1</v>
  </rv>
  <rv s="0">
    <fb>120.5077</fb>
    <v>1</v>
  </rv>
  <rv s="0">
    <fb>122.63</fb>
    <v>1</v>
  </rv>
  <rv s="0">
    <fb>5973706</fb>
    <v>2</v>
  </rv>
  <rv s="0">
    <fb>45449</fb>
    <v>0</v>
  </rv>
  <rv s="0">
    <fb>122.88</fb>
    <v>1</v>
  </rv>
  <rv s="0">
    <fb>124.27</fb>
    <v>1</v>
  </rv>
  <rv s="0">
    <fb>122.25</fb>
    <v>1</v>
  </rv>
  <rv s="0">
    <fb>7347249</fb>
    <v>2</v>
  </rv>
  <rv s="0">
    <fb>45450</fb>
    <v>0</v>
  </rv>
  <rv s="0">
    <fb>124.21</fb>
    <v>1</v>
  </rv>
  <rv s="0">
    <fb>126.22</fb>
    <v>1</v>
  </rv>
  <rv s="0">
    <fb>123.27</fb>
    <v>1</v>
  </rv>
  <rv s="0">
    <fb>125.92</fb>
    <v>1</v>
  </rv>
  <rv s="0">
    <fb>11544957</fb>
    <v>2</v>
  </rv>
  <rv s="0">
    <fb>45453</fb>
    <v>0</v>
  </rv>
  <rv s="0">
    <fb>125.73</fb>
    <v>1</v>
  </rv>
  <rv s="0">
    <fb>126.95</fb>
    <v>1</v>
  </rv>
  <rv s="0">
    <fb>124.05</fb>
    <v>1</v>
  </rv>
  <rv s="0">
    <fb>124.5</fb>
    <v>1</v>
  </rv>
  <rv s="0">
    <fb>10190447</fb>
    <v>2</v>
  </rv>
  <rv s="0">
    <fb>45454</fb>
    <v>0</v>
  </rv>
  <rv s="0">
    <fb>122.29</fb>
    <v>1</v>
  </rv>
  <rv s="0">
    <fb>123.88</fb>
    <v>1</v>
  </rv>
  <rv s="0">
    <fb>18373935</fb>
    <v>2</v>
  </rv>
  <rv s="0">
    <fb>45455</fb>
    <v>0</v>
  </rv>
  <rv s="0">
    <fb>134.69</fb>
    <v>1</v>
  </rv>
  <rv s="0">
    <fb>140.95500000000001</fb>
    <v>1</v>
  </rv>
  <rv s="0">
    <fb>133.96</fb>
    <v>1</v>
  </rv>
  <rv s="0">
    <fb>140.38</fb>
    <v>1</v>
  </rv>
  <rv s="0">
    <fb>40871317</fb>
    <v>2</v>
  </rv>
  <rv s="0">
    <fb>45456</fb>
    <v>0</v>
  </rv>
  <rv s="0">
    <fb>140.43</fb>
    <v>1</v>
  </rv>
  <rv s="0">
    <fb>142.4</fb>
    <v>1</v>
  </rv>
  <rv s="0">
    <fb>138.77000000000001</fb>
    <v>1</v>
  </rv>
  <rv s="0">
    <fb>139.85</fb>
    <v>1</v>
  </rv>
  <rv s="0">
    <fb>13733247</fb>
    <v>2</v>
  </rv>
  <rv s="0">
    <fb>45457</fb>
    <v>0</v>
  </rv>
  <rv s="0">
    <fb>139.26</fb>
    <v>1</v>
  </rv>
  <rv s="0">
    <fb>139.97</fb>
    <v>1</v>
  </rv>
  <rv s="0">
    <fb>137.38</fb>
    <v>1</v>
  </rv>
  <rv s="0">
    <fb>138.13</fb>
    <v>1</v>
  </rv>
  <rv s="0">
    <fb>11330789</fb>
    <v>2</v>
  </rv>
  <rv s="0">
    <fb>45460</fb>
    <v>0</v>
  </rv>
  <rv s="0">
    <fb>138.80000000000001</fb>
    <v>1</v>
  </rv>
  <rv s="0">
    <fb>141.44</fb>
    <v>1</v>
  </rv>
  <rv s="0">
    <fb>138.25</fb>
    <v>1</v>
  </rv>
  <rv s="0">
    <fb>141.31</fb>
    <v>1</v>
  </rv>
  <rv s="0">
    <fb>11232754</fb>
    <v>2</v>
  </rv>
  <rv s="0">
    <fb>45461</fb>
    <v>0</v>
  </rv>
  <rv s="0">
    <fb>141.22</fb>
    <v>1</v>
  </rv>
  <rv s="0">
    <fb>145.06</fb>
    <v>1</v>
  </rv>
  <rv s="0">
    <fb>144.63999999999999</fb>
    <v>1</v>
  </rv>
  <rv s="0">
    <fb>11629395</fb>
    <v>2</v>
  </rv>
  <rv s="0">
    <fb>45463</fb>
    <v>0</v>
  </rv>
  <rv s="0">
    <fb>145.32</fb>
    <v>1</v>
  </rv>
  <rv s="0">
    <fb>141.94999999999999</fb>
    <v>1</v>
  </rv>
  <rv s="0">
    <fb>142.91</fb>
    <v>1</v>
  </rv>
  <rv s="0">
    <fb>8940005</fb>
    <v>2</v>
  </rv>
  <rv s="0">
    <fb>45464</fb>
    <v>0</v>
  </rv>
  <rv s="0">
    <fb>143.72</fb>
    <v>1</v>
  </rv>
  <rv s="0">
    <fb>140.44</fb>
    <v>1</v>
  </rv>
  <rv s="0">
    <fb>141.5</fb>
    <v>1</v>
  </rv>
  <rv s="0">
    <fb>14930875</fb>
    <v>2</v>
  </rv>
  <rv s="0">
    <fb>45467</fb>
    <v>0</v>
  </rv>
  <rv s="0">
    <fb>140</fb>
    <v>1</v>
  </rv>
  <rv s="0">
    <fb>141.53</fb>
    <v>1</v>
  </rv>
  <rv s="0">
    <fb>139.12</fb>
    <v>1</v>
  </rv>
  <rv s="0">
    <fb>139.88999999999999</fb>
    <v>1</v>
  </rv>
  <rv s="0">
    <fb>7793293</fb>
    <v>2</v>
  </rv>
  <rv s="0">
    <fb>45468</fb>
    <v>0</v>
  </rv>
  <rv s="0">
    <fb>139</fb>
    <v>1</v>
  </rv>
  <rv s="0">
    <fb>139.55000000000001</fb>
    <v>1</v>
  </rv>
  <rv s="0">
    <fb>137.56</fb>
    <v>1</v>
  </rv>
  <rv s="0">
    <fb>139.16999999999999</fb>
    <v>1</v>
  </rv>
  <rv s="0">
    <fb>8469641</fb>
    <v>2</v>
  </rv>
  <rv s="0">
    <fb>45469</fb>
    <v>0</v>
  </rv>
  <rv s="0">
    <fb>139.49</fb>
    <v>1</v>
  </rv>
  <rv s="0">
    <fb>140.745</fb>
    <v>1</v>
  </rv>
  <rv s="0">
    <fb>138.08000000000001</fb>
    <v>1</v>
  </rv>
  <rv s="0">
    <fb>138.22999999999999</fb>
    <v>1</v>
  </rv>
  <rv s="0">
    <fb>8036309</fb>
    <v>2</v>
  </rv>
  <rv s="0">
    <fb>45470</fb>
    <v>0</v>
  </rv>
  <rv s="0">
    <fb>139.25</fb>
    <v>1</v>
  </rv>
  <rv s="0">
    <fb>141.41999999999999</fb>
    <v>1</v>
  </rv>
  <rv s="0">
    <fb>138.81</fb>
    <v>1</v>
  </rv>
  <rv s="0">
    <fb>140.18</fb>
    <v>1</v>
  </rv>
  <rv s="0">
    <fb>7518199</fb>
    <v>2</v>
  </rv>
  <rv s="0">
    <fb>45471</fb>
    <v>0</v>
  </rv>
  <rv s="0">
    <fb>139.435</fb>
    <v>1</v>
  </rv>
  <rv s="0">
    <fb>142.82</fb>
    <v>1</v>
  </rv>
  <rv s="0">
    <fb>139.27000000000001</fb>
    <v>1</v>
  </rv>
  <rv s="0">
    <fb>141.19999999999999</fb>
    <v>1</v>
  </rv>
  <rv s="0">
    <fb>25814821</fb>
    <v>2</v>
  </rv>
  <rv s="0">
    <fb>45474</fb>
    <v>0</v>
  </rv>
  <rv s="0">
    <fb>141.69</fb>
    <v>1</v>
  </rv>
  <rv s="0">
    <fb>144.05500000000001</fb>
    <v>1</v>
  </rv>
  <rv s="0">
    <fb>141.07</fb>
    <v>1</v>
  </rv>
  <rv s="0">
    <fb>143.09</fb>
    <v>1</v>
  </rv>
  <rv s="0">
    <fb>6552353</fb>
    <v>2</v>
  </rv>
  <rv s="0">
    <fb>45475</fb>
    <v>0</v>
  </rv>
  <rv s="0">
    <fb>142.63</fb>
    <v>1</v>
  </rv>
  <rv s="0">
    <fb>144.22</fb>
    <v>1</v>
  </rv>
  <rv s="0">
    <fb>142.55000000000001</fb>
    <v>1</v>
  </rv>
  <rv s="0">
    <fb>143.28</fb>
    <v>1</v>
  </rv>
  <rv s="0">
    <fb>5920529</fb>
    <v>2</v>
  </rv>
  <rv s="0">
    <fb>45476</fb>
    <v>0</v>
  </rv>
  <rv s="0">
    <fb>143.75</fb>
    <v>1</v>
  </rv>
  <rv s="0">
    <fb>144.65</fb>
    <v>1</v>
  </rv>
  <rv s="0">
    <fb>143.5</fb>
    <v>1</v>
  </rv>
  <rv s="0">
    <fb>144.38</fb>
    <v>1</v>
  </rv>
  <rv s="0">
    <fb>3560778</fb>
    <v>2</v>
  </rv>
  <rv s="0">
    <fb>45478</fb>
    <v>0</v>
  </rv>
  <rv s="0">
    <fb>144.94999999999999</fb>
    <v>1</v>
  </rv>
  <rv s="0">
    <fb>145.785</fb>
    <v>1</v>
  </rv>
  <rv s="0">
    <fb>144.02000000000001</fb>
    <v>1</v>
  </rv>
  <rv s="0">
    <fb>144.83000000000001</fb>
    <v>1</v>
  </rv>
  <rv s="0">
    <fb>5365527</fb>
    <v>2</v>
  </rv>
  <rv s="0">
    <fb>45481</fb>
    <v>0</v>
  </rv>
  <rv s="0">
    <fb>144.76</fb>
    <v>1</v>
  </rv>
  <rv s="0">
    <fb>145.22999999999999</fb>
    <v>1</v>
  </rv>
  <rv s="0">
    <fb>143.43</fb>
    <v>1</v>
  </rv>
  <rv s="0">
    <fb>145.03</fb>
    <v>1</v>
  </rv>
  <rv s="0">
    <fb>8622633</fb>
    <v>2</v>
  </rv>
  <rv s="0">
    <fb>45482</fb>
    <v>0</v>
  </rv>
  <rv s="0">
    <fb>145.13</fb>
    <v>1</v>
  </rv>
  <rv s="0">
    <fb>145.69990000000001</fb>
    <v>1</v>
  </rv>
  <rv s="0">
    <fb>138</fb>
    <v>1</v>
  </rv>
  <rv s="0">
    <fb>140.68</fb>
    <v>1</v>
  </rv>
  <rv s="0">
    <fb>14340040</fb>
    <v>2</v>
  </rv>
  <rv s="0">
    <fb>45483</fb>
    <v>0</v>
  </rv>
  <rv s="0">
    <fb>141.12</fb>
    <v>1</v>
  </rv>
  <rv s="0">
    <fb>142.38</fb>
    <v>1</v>
  </rv>
  <rv s="0">
    <fb>139.73500000000001</fb>
    <v>1</v>
  </rv>
  <rv s="0">
    <fb>142.07</fb>
    <v>1</v>
  </rv>
  <rv s="0">
    <fb>6350258</fb>
    <v>2</v>
  </rv>
  <rv s="0">
    <fb>45484</fb>
    <v>0</v>
  </rv>
  <rv s="0">
    <fb>142.36000000000001</fb>
    <v>1</v>
  </rv>
  <rv s="0">
    <fb>143.47999999999999</fb>
    <v>1</v>
  </rv>
  <rv s="0">
    <fb>141.67840000000001</fb>
    <v>1</v>
  </rv>
  <rv s="0">
    <fb>142.76</fb>
    <v>1</v>
  </rv>
  <rv s="0">
    <fb>5246402</fb>
    <v>2</v>
  </rv>
  <rv s="0">
    <fb>45485</fb>
    <v>0</v>
  </rv>
  <rv s="0">
    <fb>142.71</fb>
    <v>1</v>
  </rv>
  <rv s="0">
    <fb>141.26</fb>
    <v>1</v>
  </rv>
  <rv s="0">
    <fb>144.77000000000001</fb>
    <v>1</v>
  </rv>
  <rv s="0">
    <fb>7361770</fb>
    <v>2</v>
  </rv>
  <rv s="0">
    <fb>45488</fb>
    <v>0</v>
  </rv>
  <rv s="0">
    <fb>145.72999999999999</fb>
    <v>1</v>
  </rv>
  <rv s="0">
    <fb>146.59</fb>
    <v>1</v>
  </rv>
  <rv s="0">
    <fb>141.91999999999999</fb>
    <v>1</v>
  </rv>
  <rv s="0">
    <fb>143.07</fb>
    <v>1</v>
  </rv>
  <rv s="0">
    <fb>8687837</fb>
    <v>2</v>
  </rv>
  <rv s="0">
    <fb>45489</fb>
    <v>0</v>
  </rv>
  <rv s="0">
    <fb>142.05000000000001</fb>
    <v>1</v>
  </rv>
  <rv s="0">
    <fb>142.61000000000001</fb>
    <v>1</v>
  </rv>
  <rv s="0">
    <fb>7181470</fb>
    <v>2</v>
  </rv>
  <rv s="0">
    <fb>45490</fb>
    <v>0</v>
  </rv>
  <rv s="0">
    <fb>140.47999999999999</fb>
    <v>1</v>
  </rv>
  <rv s="0">
    <fb>141.79</fb>
    <v>1</v>
  </rv>
  <rv s="0">
    <fb>138.68010000000001</fb>
    <v>1</v>
  </rv>
  <rv s="0">
    <fb>9157003</fb>
    <v>2</v>
  </rv>
  <rv s="0">
    <fb>45491</fb>
    <v>0</v>
  </rv>
  <rv s="0">
    <fb>139.36000000000001</fb>
    <v>1</v>
  </rv>
  <rv s="0">
    <fb>140.06</fb>
    <v>1</v>
  </rv>
  <rv s="0">
    <fb>137.202</fb>
    <v>1</v>
  </rv>
  <rv s="0">
    <fb>138.03</fb>
    <v>1</v>
  </rv>
  <rv s="0">
    <fb>5998726</fb>
    <v>2</v>
  </rv>
  <rv s="0">
    <fb>45492</fb>
    <v>0</v>
  </rv>
  <rv s="0">
    <fb>138.35</fb>
    <v>1</v>
  </rv>
  <rv s="0">
    <fb>138.56</fb>
    <v>1</v>
  </rv>
  <rv s="0">
    <fb>6111941</fb>
    <v>2</v>
  </rv>
  <rv s="0">
    <fb>45495</fb>
    <v>0</v>
  </rv>
  <rv s="0">
    <fb>139.74</fb>
    <v>1</v>
  </rv>
  <rv s="0">
    <fb>140.16999999999999</fb>
    <v>1</v>
  </rv>
  <rv s="0">
    <fb>5387176</fb>
    <v>2</v>
  </rv>
  <rv s="0">
    <fb>45496</fb>
    <v>0</v>
  </rv>
  <rv s="0">
    <fb>141.30000000000001</fb>
    <v>1</v>
  </rv>
  <rv s="0">
    <fb>143.22</fb>
    <v>1</v>
  </rv>
  <rv s="0">
    <fb>141.21</fb>
    <v>1</v>
  </rv>
  <rv s="0">
    <fb>143.11000000000001</fb>
    <v>1</v>
  </rv>
  <rv s="0">
    <fb>6697410</fb>
    <v>2</v>
  </rv>
  <rv s="0">
    <fb>45497</fb>
    <v>0</v>
  </rv>
  <rv s="0">
    <fb>141.69999999999999</fb>
    <v>1</v>
  </rv>
  <rv s="0">
    <fb>142.66</fb>
    <v>1</v>
  </rv>
  <rv s="0">
    <fb>138.4</fb>
    <v>1</v>
  </rv>
  <rv s="0">
    <fb>8018807</fb>
    <v>2</v>
  </rv>
  <rv s="0">
    <fb>45498</fb>
    <v>0</v>
  </rv>
  <rv s="0">
    <fb>140.15</fb>
    <v>1</v>
  </rv>
  <rv s="0">
    <fb>137.69999999999999</fb>
    <v>1</v>
  </rv>
  <rv s="0">
    <fb>137.82</fb>
    <v>1</v>
  </rv>
  <rv s="0">
    <fb>7654625</fb>
    <v>2</v>
  </rv>
  <rv s="0">
    <fb>45499</fb>
    <v>0</v>
  </rv>
  <rv s="0">
    <fb>138.87</fb>
    <v>1</v>
  </rv>
  <rv s="0">
    <fb>139.96</fb>
    <v>1</v>
  </rv>
  <rv s="0">
    <fb>138.38</fb>
    <v>1</v>
  </rv>
  <rv s="0">
    <fb>139.01</fb>
    <v>1</v>
  </rv>
  <rv s="0">
    <fb>5139377</fb>
    <v>2</v>
  </rv>
  <rv s="0">
    <fb>45502</fb>
    <v>0</v>
  </rv>
  <rv s="0">
    <fb>139.78</fb>
    <v>1</v>
  </rv>
  <rv s="0">
    <fb>137.82499999999999</fb>
    <v>1</v>
  </rv>
  <rv s="0">
    <fb>138.31</fb>
    <v>1</v>
  </rv>
  <rv s="0">
    <fb>4054647</fb>
    <v>2</v>
  </rv>
  <rv s="0">
    <fb>45503</fb>
    <v>0</v>
  </rv>
  <rv s="0">
    <fb>139.07</fb>
    <v>1</v>
  </rv>
  <rv s="0">
    <fb>139.565</fb>
    <v>1</v>
  </rv>
  <rv s="0">
    <fb>134.96</fb>
    <v>1</v>
  </rv>
  <rv s="0">
    <fb>135.66999999999999</fb>
    <v>1</v>
  </rv>
  <rv s="0">
    <fb>6505701</fb>
    <v>2</v>
  </rv>
  <rv s="0">
    <fb>45504</fb>
    <v>0</v>
  </rv>
  <rv s="0">
    <fb>139.69</fb>
    <v>1</v>
  </rv>
  <rv s="0">
    <fb>141.55000000000001</fb>
    <v>1</v>
  </rv>
  <rv s="0">
    <fb>138.66</fb>
    <v>1</v>
  </rv>
  <rv s="0">
    <fb>139.44999999999999</fb>
    <v>1</v>
  </rv>
  <rv s="0">
    <fb>7188043</fb>
    <v>2</v>
  </rv>
  <rv s="0">
    <fb>45505</fb>
    <v>0</v>
  </rv>
  <rv s="0">
    <fb>139.29</fb>
    <v>1</v>
  </rv>
  <rv s="0">
    <fb>140.38999999999999</fb>
    <v>1</v>
  </rv>
  <rv s="0">
    <fb>135.77000000000001</fb>
    <v>1</v>
  </rv>
  <rv s="0">
    <fb>137.51</fb>
    <v>1</v>
  </rv>
  <rv s="0">
    <fb>5906808</fb>
    <v>2</v>
  </rv>
  <rv s="0">
    <fb>45506</fb>
    <v>0</v>
  </rv>
  <rv s="0">
    <fb>132.77000000000001</fb>
    <v>1</v>
  </rv>
  <rv s="0">
    <fb>134.30000000000001</fb>
    <v>1</v>
  </rv>
  <rv s="0">
    <fb>131.80000000000001</fb>
    <v>1</v>
  </rv>
  <rv s="0">
    <fb>133.28</fb>
    <v>1</v>
  </rv>
  <rv s="0">
    <fb>8251585</fb>
    <v>2</v>
  </rv>
  <rv s="0">
    <fb>45509</fb>
    <v>0</v>
  </rv>
  <rv s="0">
    <fb>127.89</fb>
    <v>1</v>
  </rv>
  <rv s="0">
    <fb>129.97</fb>
    <v>1</v>
  </rv>
  <rv s="0">
    <fb>126.6639</fb>
    <v>1</v>
  </rv>
  <rv s="0">
    <fb>127.86</fb>
    <v>1</v>
  </rv>
  <rv s="0">
    <fb>10354987</fb>
    <v>2</v>
  </rv>
  <rv s="0">
    <fb>45510</fb>
    <v>0</v>
  </rv>
  <rv s="0">
    <fb>130.54</fb>
    <v>1</v>
  </rv>
  <rv s="0">
    <fb>131.03749999999999</fb>
    <v>1</v>
  </rv>
  <rv s="0">
    <fb>128.08000000000001</fb>
    <v>1</v>
  </rv>
  <rv s="0">
    <fb>128.21</fb>
    <v>1</v>
  </rv>
  <rv s="0">
    <fb>8373891</fb>
    <v>2</v>
  </rv>
  <rv s="0">
    <fb>45511</fb>
    <v>0</v>
  </rv>
  <rv s="0">
    <fb>128.91999999999999</fb>
    <v>1</v>
  </rv>
  <rv s="0">
    <fb>130.30000000000001</fb>
    <v>1</v>
  </rv>
  <rv s="0">
    <fb>125.75</fb>
    <v>1</v>
  </rv>
  <rv s="0">
    <fb>125.9</fb>
    <v>1</v>
  </rv>
  <rv s="0">
    <fb>8617652</fb>
    <v>2</v>
  </rv>
  <rv s="0">
    <fb>45512</fb>
    <v>0</v>
  </rv>
  <rv s="0">
    <fb>129.82</fb>
    <v>1</v>
  </rv>
  <rv s="0">
    <fb>127.65</fb>
    <v>1</v>
  </rv>
  <rv s="0">
    <fb>128.96</fb>
    <v>1</v>
  </rv>
  <rv s="0">
    <fb>6243219</fb>
    <v>2</v>
  </rv>
  <rv s="0">
    <fb>45513</fb>
    <v>0</v>
  </rv>
  <rv s="0">
    <fb>128.4</fb>
    <v>1</v>
  </rv>
  <rv s="0">
    <fb>132.37</fb>
    <v>1</v>
  </rv>
  <rv s="0">
    <fb>128.34</fb>
    <v>1</v>
  </rv>
  <rv s="0">
    <fb>132.06</fb>
    <v>1</v>
  </rv>
  <rv s="0">
    <fb>5597278</fb>
    <v>2</v>
  </rv>
  <rv s="0">
    <fb>45516</fb>
    <v>0</v>
  </rv>
  <rv s="0">
    <fb>132.25</fb>
    <v>1</v>
  </rv>
  <rv s="0">
    <fb>132.71</fb>
    <v>1</v>
  </rv>
  <rv s="0">
    <fb>131.21</fb>
    <v>1</v>
  </rv>
  <rv s="0">
    <fb>132.58000000000001</fb>
    <v>1</v>
  </rv>
  <rv s="0">
    <fb>5600826</fb>
    <v>2</v>
  </rv>
  <rv s="0">
    <fb>45517</fb>
    <v>0</v>
  </rv>
  <rv s="0">
    <fb>132.97</fb>
    <v>1</v>
  </rv>
  <rv s="0">
    <fb>134.54</fb>
    <v>1</v>
  </rv>
  <rv s="0">
    <fb>132.81</fb>
    <v>1</v>
  </rv>
  <rv s="0">
    <fb>134.26</fb>
    <v>1</v>
  </rv>
  <rv s="0">
    <fb>4324038</fb>
    <v>2</v>
  </rv>
  <rv s="0">
    <fb>45518</fb>
    <v>0</v>
  </rv>
  <rv s="0">
    <fb>134.04</fb>
    <v>1</v>
  </rv>
  <rv s="0">
    <fb>135.97</fb>
    <v>1</v>
  </rv>
  <rv s="0">
    <fb>134.01</fb>
    <v>1</v>
  </rv>
  <rv s="0">
    <fb>135.6</fb>
    <v>1</v>
  </rv>
  <rv s="0">
    <fb>4044630</fb>
    <v>2</v>
  </rv>
  <rv s="0">
    <fb>45519</fb>
    <v>0</v>
  </rv>
  <rv s="0">
    <fb>136.93</fb>
    <v>1</v>
  </rv>
  <rv s="0">
    <fb>137.25</fb>
    <v>1</v>
  </rv>
  <rv s="0">
    <fb>135.72</fb>
    <v>1</v>
  </rv>
  <rv s="0">
    <fb>4698128</fb>
    <v>2</v>
  </rv>
  <rv s="0">
    <fb>45520</fb>
    <v>0</v>
  </rv>
  <rv s="0">
    <fb>136.79</fb>
    <v>1</v>
  </rv>
  <rv s="0">
    <fb>136.38999999999999</fb>
    <v>1</v>
  </rv>
  <rv s="0">
    <fb>137.47</fb>
    <v>1</v>
  </rv>
  <rv s="0">
    <fb>4893787</fb>
    <v>2</v>
  </rv>
  <rv s="0">
    <fb>45523</fb>
    <v>0</v>
  </rv>
  <rv s="0">
    <fb>137.53</fb>
    <v>1</v>
  </rv>
  <rv s="0">
    <fb>137.94999999999999</fb>
    <v>1</v>
  </rv>
  <rv s="0">
    <fb>136.45500000000001</fb>
    <v>1</v>
  </rv>
  <rv s="0">
    <fb>137.91999999999999</fb>
    <v>1</v>
  </rv>
  <rv s="0">
    <fb>3641585</fb>
    <v>2</v>
  </rv>
  <rv s="0">
    <fb>45524</fb>
    <v>0</v>
  </rv>
  <rv s="0">
    <fb>139.79</fb>
    <v>1</v>
  </rv>
  <rv s="0">
    <fb>3738261</fb>
    <v>2</v>
  </rv>
  <rv s="0">
    <fb>45525</fb>
    <v>0</v>
  </rv>
  <rv s="0">
    <fb>140.30000000000001</fb>
    <v>1</v>
  </rv>
  <rv s="0">
    <fb>138.55000000000001</fb>
    <v>1</v>
  </rv>
  <rv s="0">
    <fb>140.19999999999999</fb>
    <v>1</v>
  </rv>
  <rv s="0">
    <fb>3776768</fb>
    <v>2</v>
  </rv>
  <rv s="0">
    <fb>45526</fb>
    <v>0</v>
  </rv>
  <rv s="0">
    <fb>140.69999999999999</fb>
    <v>1</v>
  </rv>
  <rv s="0">
    <fb>141.08000000000001</fb>
    <v>1</v>
  </rv>
  <rv s="0">
    <fb>137.65</fb>
    <v>1</v>
  </rv>
  <rv s="0">
    <fb>5162189</fb>
    <v>2</v>
  </rv>
  <rv s="0">
    <fb>45527</fb>
    <v>0</v>
  </rv>
  <rv s="0">
    <fb>138.72999999999999</fb>
    <v>1</v>
  </rv>
  <rv s="0">
    <fb>137.26</fb>
    <v>1</v>
  </rv>
  <rv s="0">
    <fb>139.19</fb>
    <v>1</v>
  </rv>
  <rv s="0">
    <fb>4544571</fb>
    <v>2</v>
  </rv>
  <rv s="0">
    <fb>45530</fb>
    <v>0</v>
  </rv>
  <rv s="0">
    <fb>139.38999999999999</fb>
    <v>1</v>
  </rv>
  <rv s="0">
    <fb>139.4</fb>
    <v>1</v>
  </rv>
  <rv s="0">
    <fb>138.19</fb>
    <v>1</v>
  </rv>
  <rv s="0">
    <fb>138.9</fb>
    <v>1</v>
  </rv>
  <rv s="0">
    <fb>2729605</fb>
    <v>2</v>
  </rv>
  <rv s="0">
    <fb>45531</fb>
    <v>0</v>
  </rv>
  <rv s="0">
    <fb>137.85</fb>
    <v>1</v>
  </rv>
  <rv s="0">
    <fb>139.5</fb>
    <v>1</v>
  </rv>
  <rv s="0">
    <fb>137.74</fb>
    <v>1</v>
  </rv>
  <rv s="0">
    <fb>138.47999999999999</fb>
    <v>1</v>
  </rv>
  <rv s="0">
    <fb>3872342</fb>
    <v>2</v>
  </rv>
  <rv s="0">
    <fb>45532</fb>
    <v>0</v>
  </rv>
  <rv s="0">
    <fb>138.83000000000001</fb>
    <v>1</v>
  </rv>
  <rv s="0">
    <fb>138.94999999999999</fb>
    <v>1</v>
  </rv>
  <rv s="0">
    <fb>136.91</fb>
    <v>1</v>
  </rv>
  <rv s="0">
    <fb>137.88</fb>
    <v>1</v>
  </rv>
  <rv s="0">
    <fb>3022639</fb>
    <v>2</v>
  </rv>
  <rv s="0">
    <fb>45533</fb>
    <v>0</v>
  </rv>
  <rv s="0">
    <fb>139.13999999999999</fb>
    <v>1</v>
  </rv>
  <rv s="0">
    <fb>141.16</fb>
    <v>1</v>
  </rv>
  <rv s="0">
    <fb>138.85</fb>
    <v>1</v>
  </rv>
  <rv s="0">
    <fb>139.41999999999999</fb>
    <v>1</v>
  </rv>
  <rv s="0">
    <fb>4588361</fb>
    <v>2</v>
  </rv>
  <rv s="0">
    <fb>45534</fb>
    <v>0</v>
  </rv>
  <rv s="0">
    <fb>140.33000000000001</fb>
    <v>1</v>
  </rv>
  <rv s="0">
    <fb>141.72</fb>
    <v>1</v>
  </rv>
  <rv s="0">
    <fb>140.095</fb>
    <v>1</v>
  </rv>
  <rv s="0">
    <fb>141.29</fb>
    <v>1</v>
  </rv>
  <rv s="0">
    <fb>7980679</fb>
    <v>2</v>
  </rv>
  <rv s="0">
    <fb>45538</fb>
    <v>0</v>
  </rv>
  <rv s="0">
    <fb>140.44999999999999</fb>
    <v>1</v>
  </rv>
  <rv s="0">
    <fb>142.19999999999999</fb>
    <v>1</v>
  </rv>
  <rv s="0">
    <fb>6831174</fb>
    <v>2</v>
  </rv>
  <rv s="0">
    <fb>45539</fb>
    <v>0</v>
  </rv>
  <rv s="0">
    <fb>138.44</fb>
    <v>1</v>
  </rv>
  <rv s="0">
    <fb>141.1009</fb>
    <v>1</v>
  </rv>
  <rv s="0">
    <fb>140.75</fb>
    <v>1</v>
  </rv>
  <rv s="0">
    <fb>6243325</fb>
    <v>2</v>
  </rv>
  <rv s="0">
    <fb>45540</fb>
    <v>0</v>
  </rv>
  <rv s="0">
    <fb>141.4</fb>
    <v>1</v>
  </rv>
  <rv s="0">
    <fb>140.30500000000001</fb>
    <v>1</v>
  </rv>
  <rv s="0">
    <fb>8733246</fb>
    <v>2</v>
  </rv>
  <rv s="0">
    <fb>45541</fb>
    <v>0</v>
  </rv>
  <rv s="0">
    <fb>143.79</fb>
    <v>1</v>
  </rv>
  <rv s="0">
    <fb>143.94</fb>
    <v>1</v>
  </rv>
  <rv s="0">
    <fb>141.81</fb>
    <v>1</v>
  </rv>
  <rv s="0">
    <fb>11154796</fb>
    <v>2</v>
  </rv>
  <rv s="0">
    <fb>45544</fb>
    <v>0</v>
  </rv>
  <rv s="0">
    <fb>142.49</fb>
    <v>1</v>
  </rv>
  <rv s="0">
    <fb>143.30000000000001</fb>
    <v>1</v>
  </rv>
  <rv s="0">
    <fb>139.51</fb>
    <v>1</v>
  </rv>
  <rv s="0">
    <fb>20233428</fb>
    <v>2</v>
  </rv>
  <rv s="0">
    <fb>45545</fb>
    <v>0</v>
  </rv>
  <rv s="0">
    <fb>154.22999999999999</fb>
    <v>1</v>
  </rv>
  <rv s="0">
    <fb>160.52000000000001</fb>
    <v>1</v>
  </rv>
  <rv s="0">
    <fb>153.12</fb>
    <v>1</v>
  </rv>
  <rv s="0">
    <fb>155.88999999999999</fb>
    <v>1</v>
  </rv>
  <rv s="0">
    <fb>37374210</fb>
    <v>2</v>
  </rv>
  <rv s="0">
    <fb>45546</fb>
    <v>0</v>
  </rv>
  <rv s="0">
    <fb>156.78</fb>
    <v>1</v>
  </rv>
  <rv s="0">
    <fb>159.44</fb>
    <v>1</v>
  </rv>
  <rv s="0">
    <fb>154.84010000000001</fb>
    <v>1</v>
  </rv>
  <rv s="0">
    <fb>157.18</fb>
    <v>1</v>
  </rv>
  <rv s="0">
    <fb>12630122</fb>
    <v>2</v>
  </rv>
  <rv s="0">
    <fb>45547</fb>
    <v>0</v>
  </rv>
  <rv s="0">
    <fb>159.04</fb>
    <v>1</v>
  </rv>
  <rv s="0">
    <fb>162.34</fb>
    <v>1</v>
  </rv>
  <rv s="0">
    <fb>157.9</fb>
    <v>1</v>
  </rv>
  <rv s="0">
    <fb>161.38</fb>
    <v>1</v>
  </rv>
  <rv s="0">
    <fb>16352048</fb>
    <v>2</v>
  </rv>
  <rv s="0">
    <fb>45548</fb>
    <v>0</v>
  </rv>
  <rv s="0">
    <fb>173.7</fb>
    <v>1</v>
  </rv>
  <rv s="0">
    <fb>173.935</fb>
    <v>1</v>
  </rv>
  <rv s="0">
    <fb>161</fb>
    <v>1</v>
  </rv>
  <rv s="0">
    <fb>162.03</fb>
    <v>1</v>
  </rv>
  <rv s="0">
    <fb>25727805</fb>
    <v>2</v>
  </rv>
  <rv s="0">
    <fb>45551</fb>
    <v>0</v>
  </rv>
  <rv s="0">
    <fb>164.99</fb>
    <v>1</v>
  </rv>
  <rv s="0">
    <fb>173.99</fb>
    <v>1</v>
  </rv>
  <rv s="0">
    <fb>164.51</fb>
    <v>1</v>
  </rv>
  <rv s="0">
    <fb>170.33</fb>
    <v>1</v>
  </rv>
  <rv s="0">
    <fb>27384374</fb>
    <v>2</v>
  </rv>
  <rv s="0">
    <fb>45552</fb>
    <v>0</v>
  </rv>
  <rv s="0">
    <fb>170.28</fb>
    <v>1</v>
  </rv>
  <rv s="0">
    <fb>170.64</fb>
    <v>1</v>
  </rv>
  <rv s="0">
    <fb>166.77</fb>
    <v>1</v>
  </rv>
  <rv s="0">
    <fb>167.47</fb>
    <v>1</v>
  </rv>
  <rv s="0">
    <fb>12580114</fb>
    <v>2</v>
  </rv>
  <rv s="0">
    <fb>45553</fb>
    <v>0</v>
  </rv>
  <rv s="0">
    <fb>167.62</fb>
    <v>1</v>
  </rv>
  <rv s="0">
    <fb>163.72999999999999</fb>
    <v>1</v>
  </rv>
  <rv s="0">
    <fb>164.53</fb>
    <v>1</v>
  </rv>
  <rv s="0">
    <fb>12274414</fb>
    <v>2</v>
  </rv>
  <rv s="0">
    <fb>45554</fb>
    <v>0</v>
  </rv>
  <rv s="0">
    <fb>167.25</fb>
    <v>1</v>
  </rv>
  <rv s="0">
    <fb>168.16</fb>
    <v>1</v>
  </rv>
  <rv s="0">
    <fb>167.59</fb>
    <v>1</v>
  </rv>
  <rv s="0">
    <fb>10075884</fb>
    <v>2</v>
  </rv>
  <rv s="0">
    <fb>45555</fb>
    <v>0</v>
  </rv>
  <rv s="0">
    <fb>167.13</fb>
    <v>1</v>
  </rv>
  <rv s="0">
    <fb>168.83</fb>
    <v>1</v>
  </rv>
  <rv s="0">
    <fb>166.6</fb>
    <v>1</v>
  </rv>
  <rv s="0">
    <fb>168</fb>
    <v>1</v>
  </rv>
  <rv s="0">
    <fb>12187736</fb>
    <v>2</v>
  </rv>
  <rv s="0">
    <fb>45558</fb>
    <v>0</v>
  </rv>
  <rv s="0">
    <fb>167.22499999999999</fb>
    <v>1</v>
  </rv>
  <rv s="0">
    <fb>167.33</fb>
    <v>1</v>
  </rv>
  <rv s="0">
    <fb>164.26</fb>
    <v>1</v>
  </rv>
  <rv s="0">
    <fb>165.95</fb>
    <v>1</v>
  </rv>
  <rv s="0">
    <fb>7916081</fb>
    <v>2</v>
  </rv>
  <rv s="0">
    <fb>45559</fb>
    <v>0</v>
  </rv>
  <rv s="0">
    <fb>165.74</fb>
    <v>1</v>
  </rv>
  <rv s="0">
    <fb>166.1</fb>
    <v>1</v>
  </rv>
  <rv s="0">
    <fb>163.92</fb>
    <v>1</v>
  </rv>
  <rv s="0">
    <fb>165.8</fb>
    <v>1</v>
  </rv>
  <rv s="0">
    <fb>6155076</fb>
    <v>2</v>
  </rv>
  <rv s="0">
    <fb>45560</fb>
    <v>0</v>
  </rv>
  <rv s="0">
    <fb>167.69</fb>
    <v>1</v>
  </rv>
  <rv s="0">
    <fb>168.75</fb>
    <v>1</v>
  </rv>
  <rv s="0">
    <fb>165.66</fb>
    <v>1</v>
  </rv>
  <rv s="0">
    <fb>166.28</fb>
    <v>1</v>
  </rv>
  <rv s="0">
    <fb>7142437</fb>
    <v>2</v>
  </rv>
  <rv s="0">
    <fb>45561</fb>
    <v>0</v>
  </rv>
  <rv s="0">
    <fb>167.65</fb>
    <v>1</v>
  </rv>
  <rv s="0">
    <fb>168.36</fb>
    <v>1</v>
  </rv>
  <rv s="0">
    <fb>166.48</fb>
    <v>1</v>
  </rv>
  <rv s="0">
    <fb>168.1</fb>
    <v>1</v>
  </rv>
  <rv s="0">
    <fb>7096842</fb>
    <v>2</v>
  </rv>
  <rv s="0">
    <fb>45562</fb>
    <v>0</v>
  </rv>
  <rv s="0">
    <fb>168.09</fb>
    <v>1</v>
  </rv>
  <rv s="0">
    <fb>169.10980000000001</fb>
    <v>1</v>
  </rv>
  <rv s="0">
    <fb>166.51</fb>
    <v>1</v>
  </rv>
  <rv s="0">
    <fb>168.74</fb>
    <v>1</v>
  </rv>
  <rv s="0">
    <fb>8974377</fb>
    <v>2</v>
  </rv>
  <rv s="0">
    <fb>45565</fb>
    <v>0</v>
  </rv>
  <rv s="0">
    <fb>169.5</fb>
    <v>1</v>
  </rv>
  <rv s="0">
    <fb>170.52</fb>
    <v>1</v>
  </rv>
  <rv s="0">
    <fb>166.45</fb>
    <v>1</v>
  </rv>
  <rv s="0">
    <fb>170.4</fb>
    <v>1</v>
  </rv>
  <rv s="0">
    <fb>10218973</fb>
    <v>2</v>
  </rv>
  <rv s="0">
    <fb>45566</fb>
    <v>0</v>
  </rv>
  <rv s="0">
    <fb>170.22</fb>
    <v>1</v>
  </rv>
  <rv s="0">
    <fb>170.51</fb>
    <v>1</v>
  </rv>
  <rv s="0">
    <fb>165.97</fb>
    <v>1</v>
  </rv>
  <rv s="0">
    <fb>167.16</fb>
    <v>1</v>
  </rv>
  <rv s="0">
    <fb>7595053</fb>
    <v>2</v>
  </rv>
  <rv s="0">
    <fb>45567</fb>
    <v>0</v>
  </rv>
  <rv s="0">
    <fb>167.6</fb>
    <v>1</v>
  </rv>
  <rv s="0">
    <fb>169.18</fb>
    <v>1</v>
  </rv>
  <rv s="0">
    <fb>167.27</fb>
    <v>1</v>
  </rv>
  <rv s="0">
    <fb>167.71</fb>
    <v>1</v>
  </rv>
  <rv s="0">
    <fb>7073025</fb>
    <v>2</v>
  </rv>
  <rv s="0">
    <fb>45568</fb>
    <v>0</v>
  </rv>
  <rv s="0">
    <fb>166.89</fb>
    <v>1</v>
  </rv>
  <rv s="0">
    <fb>167.86</fb>
    <v>1</v>
  </rv>
  <rv s="0">
    <fb>166.24</fb>
    <v>1</v>
  </rv>
  <rv s="0">
    <fb>166.86</fb>
    <v>1</v>
  </rv>
  <rv s="0">
    <fb>4735708</fb>
    <v>2</v>
  </rv>
  <rv s="0">
    <fb>45569</fb>
    <v>0</v>
  </rv>
  <rv s="0">
    <fb>168.71</fb>
    <v>1</v>
  </rv>
  <rv s="0">
    <fb>170.9</fb>
    <v>1</v>
  </rv>
  <rv s="0">
    <fb>168.16499999999999</fb>
    <v>1</v>
  </rv>
  <rv s="0">
    <fb>170.86</fb>
    <v>1</v>
  </rv>
  <rv s="0">
    <fb>6389504</fb>
    <v>2</v>
  </rv>
  <rv s="0">
    <fb>45572</fb>
    <v>0</v>
  </rv>
  <rv s="0">
    <fb>170.42</fb>
    <v>1</v>
  </rv>
  <rv s="0">
    <fb>172.33</fb>
    <v>1</v>
  </rv>
  <rv s="0">
    <fb>169.55</fb>
    <v>1</v>
  </rv>
  <rv s="0">
    <fb>169.97</fb>
    <v>1</v>
  </rv>
  <rv s="0">
    <fb>6790956</fb>
    <v>2</v>
  </rv>
  <rv s="0">
    <fb>45573</fb>
    <v>0</v>
  </rv>
  <rv s="0">
    <fb>170.6</fb>
    <v>1</v>
  </rv>
  <rv s="0">
    <fb>174.64</fb>
    <v>1</v>
  </rv>
  <rv s="0">
    <fb>170.44200000000001</fb>
    <v>1</v>
  </rv>
  <rv s="0">
    <fb>174.37</fb>
    <v>1</v>
  </rv>
  <rv s="0">
    <fb>7845377</fb>
    <v>2</v>
  </rv>
  <rv s="0">
    <fb>45574</fb>
    <v>0</v>
  </rv>
  <rv s="0">
    <fb>174.56</fb>
    <v>1</v>
  </rv>
  <rv s="0">
    <fb>178.61</fb>
    <v>1</v>
  </rv>
  <rv s="0">
    <fb>173.81</fb>
    <v>1</v>
  </rv>
  <rv s="0">
    <fb>178.29</fb>
    <v>1</v>
  </rv>
  <rv s="0">
    <fb>8120894</fb>
    <v>2</v>
  </rv>
  <rv s="0">
    <fb>45575</fb>
    <v>0</v>
  </rv>
  <rv s="0">
    <fb>177.65</fb>
    <v>1</v>
  </rv>
  <rv s="0">
    <fb>178.3</fb>
    <v>1</v>
  </rv>
  <rv s="0">
    <fb>174.18010000000001</fb>
    <v>1</v>
  </rv>
  <rv s="0">
    <fb>175.41</fb>
    <v>1</v>
  </rv>
  <rv s="0">
    <fb>7115887</fb>
    <v>2</v>
  </rv>
  <rv s="0">
    <fb>45576</fb>
    <v>0</v>
  </rv>
  <rv s="0">
    <fb>175.495</fb>
    <v>1</v>
  </rv>
  <rv s="0">
    <fb>177</fb>
    <v>1</v>
  </rv>
  <rv s="0">
    <fb>174.4</fb>
    <v>1</v>
  </rv>
  <rv s="0">
    <fb>175.77</fb>
    <v>1</v>
  </rv>
  <rv s="0">
    <fb>5869413</fb>
    <v>2</v>
  </rv>
  <rv s="0">
    <fb>45579</fb>
    <v>0</v>
  </rv>
  <rv s="0">
    <fb>176.55</fb>
    <v>1</v>
  </rv>
  <rv s="0">
    <fb>177.22</fb>
    <v>1</v>
  </rv>
  <rv s="0">
    <fb>175.5</fb>
    <v>1</v>
  </rv>
  <rv s="0">
    <fb>176.12</fb>
    <v>1</v>
  </rv>
  <rv s="0">
    <fb>4688662</fb>
    <v>2</v>
  </rv>
  <rv s="0">
    <fb>45580</fb>
    <v>0</v>
  </rv>
  <rv s="0">
    <fb>176.94</fb>
    <v>1</v>
  </rv>
  <rv s="0">
    <fb>178.2199</fb>
    <v>1</v>
  </rv>
  <rv s="0">
    <fb>173.75</fb>
    <v>1</v>
  </rv>
  <rv s="0">
    <fb>174.09</fb>
    <v>1</v>
  </rv>
  <rv s="0">
    <fb>5848630</fb>
    <v>2</v>
  </rv>
  <rv s="0">
    <fb>45581</fb>
    <v>0</v>
  </rv>
  <rv s="0">
    <fb>173.5</fb>
    <v>1</v>
  </rv>
  <rv s="0">
    <fb>174.91200000000001</fb>
    <v>1</v>
  </rv>
  <rv s="0">
    <fb>171.64</fb>
    <v>1</v>
  </rv>
  <rv s="0">
    <fb>174.77</fb>
    <v>1</v>
  </rv>
  <rv s="0">
    <fb>6383034</fb>
    <v>2</v>
  </rv>
  <rv s="0">
    <fb>45582</fb>
    <v>0</v>
  </rv>
  <rv s="0">
    <fb>177.5</fb>
    <v>1</v>
  </rv>
  <rv s="0">
    <fb>177.75</fb>
    <v>1</v>
  </rv>
  <rv s="0">
    <fb>175.14</fb>
    <v>1</v>
  </rv>
  <rv s="0">
    <fb>175.68</fb>
    <v>1</v>
  </rv>
  <rv s="0">
    <fb>5473951</fb>
    <v>2</v>
  </rv>
  <rv s="0">
    <fb>45583</fb>
    <v>0</v>
  </rv>
  <rv s="0">
    <fb>176.8</fb>
    <v>1</v>
  </rv>
  <rv s="0">
    <fb>176.97</fb>
    <v>1</v>
  </rv>
  <rv s="0">
    <fb>174.58</fb>
    <v>1</v>
  </rv>
  <rv s="0">
    <fb>174.69</fb>
    <v>1</v>
  </rv>
  <rv s="0">
    <fb>5001257</fb>
    <v>2</v>
  </rv>
  <rv s="0">
    <fb>45586</fb>
    <v>0</v>
  </rv>
  <rv s="0">
    <fb>174.45</fb>
    <v>1</v>
  </rv>
  <rv s="0">
    <fb>175.15</fb>
    <v>1</v>
  </rv>
  <rv s="0">
    <fb>173.16</fb>
    <v>1</v>
  </rv>
  <rv s="0">
    <fb>173.76</fb>
    <v>1</v>
  </rv>
  <rv s="0">
    <fb>4198362</fb>
    <v>2</v>
  </rv>
  <rv s="0">
    <fb>45587</fb>
    <v>0</v>
  </rv>
  <rv s="0">
    <fb>175.45</fb>
    <v>1</v>
  </rv>
  <rv s="0">
    <fb>175.85</fb>
    <v>1</v>
  </rv>
  <rv s="0">
    <fb>174.28</fb>
    <v>1</v>
  </rv>
  <rv s="0">
    <fb>175.31</fb>
    <v>1</v>
  </rv>
  <rv s="0">
    <fb>5510114</fb>
    <v>2</v>
  </rv>
  <rv s="0">
    <fb>45588</fb>
    <v>0</v>
  </rv>
  <rv s="0">
    <fb>174.5</fb>
    <v>1</v>
  </rv>
  <rv s="0">
    <fb>176.07</fb>
    <v>1</v>
  </rv>
  <rv s="0">
    <fb>173.01</fb>
    <v>1</v>
  </rv>
  <rv s="0">
    <fb>173.1</fb>
    <v>1</v>
  </rv>
  <rv s="0">
    <fb>4830414</fb>
    <v>2</v>
  </rv>
  <rv s="0">
    <fb>45589</fb>
    <v>0</v>
  </rv>
  <rv s="0">
    <fb>173.315</fb>
    <v>1</v>
  </rv>
  <rv s="0">
    <fb>174.95419999999999</fb>
    <v>1</v>
  </rv>
  <rv s="0">
    <fb>172.91</fb>
    <v>1</v>
  </rv>
  <rv s="0">
    <fb>174.38</fb>
    <v>1</v>
  </rv>
  <rv s="0">
    <fb>3488036</fb>
    <v>2</v>
  </rv>
  <rv s="0">
    <fb>45590</fb>
    <v>0</v>
  </rv>
  <rv s="0">
    <fb>174.78</fb>
    <v>1</v>
  </rv>
  <rv s="0">
    <fb>176.29</fb>
    <v>1</v>
  </rv>
  <rv s="0">
    <fb>173.52</fb>
    <v>1</v>
  </rv>
  <rv s="0">
    <fb>3674717</fb>
    <v>2</v>
  </rv>
  <rv s="0">
    <fb>45593</fb>
    <v>0</v>
  </rv>
  <rv s="0">
    <fb>174.04499999999999</fb>
    <v>1</v>
  </rv>
  <rv s="0">
    <fb>174.17</fb>
    <v>1</v>
  </rv>
  <rv s="0">
    <fb>172.13499999999999</fb>
    <v>1</v>
  </rv>
  <rv s="0">
    <fb>172.42</fb>
    <v>1</v>
  </rv>
  <rv s="0">
    <fb>4329971</fb>
    <v>2</v>
  </rv>
  <rv s="0">
    <fb>45594</fb>
    <v>0</v>
  </rv>
  <rv s="0">
    <fb>172.29</fb>
    <v>1</v>
  </rv>
  <rv s="0">
    <fb>174.0231</fb>
    <v>1</v>
  </rv>
  <rv s="0">
    <fb>173.43</fb>
    <v>1</v>
  </rv>
  <rv s="0">
    <fb>4122913</fb>
    <v>2</v>
  </rv>
  <rv s="0">
    <fb>45595</fb>
    <v>0</v>
  </rv>
  <rv s="0">
    <fb>173.98</fb>
    <v>1</v>
  </rv>
  <rv s="0">
    <fb>176.16</fb>
    <v>1</v>
  </rv>
  <rv s="0">
    <fb>172.79</fb>
    <v>1</v>
  </rv>
  <rv s="0">
    <fb>5822451</fb>
    <v>2</v>
  </rv>
  <rv s="0">
    <fb>45596</fb>
    <v>0</v>
  </rv>
  <rv s="0">
    <fb>170.88</fb>
    <v>1</v>
  </rv>
  <rv s="0">
    <fb>167.39750000000001</fb>
    <v>1</v>
  </rv>
  <rv s="0">
    <fb>167.84</fb>
    <v>1</v>
  </rv>
  <rv s="0">
    <fb>9477476</fb>
    <v>2</v>
  </rv>
  <rv s="0">
    <fb>45597</fb>
    <v>0</v>
  </rv>
  <rv s="0">
    <fb>170.15</fb>
    <v>1</v>
  </rv>
  <rv s="0">
    <fb>172.27</fb>
    <v>1</v>
  </rv>
  <rv s="0">
    <fb>169.1</fb>
    <v>1</v>
  </rv>
  <rv s="0">
    <fb>170.02</fb>
    <v>1</v>
  </rv>
  <rv s="0">
    <fb>5680595</fb>
    <v>2</v>
  </rv>
  <rv s="0">
    <fb>45600</fb>
    <v>0</v>
  </rv>
  <rv s="0">
    <fb>170.31</fb>
    <v>1</v>
  </rv>
  <rv s="0">
    <fb>170.48</fb>
    <v>1</v>
  </rv>
  <rv s="0">
    <fb>168.73</fb>
    <v>1</v>
  </rv>
  <rv s="0">
    <fb>169.59</fb>
    <v>1</v>
  </rv>
  <rv s="0">
    <fb>4804405</fb>
    <v>2</v>
  </rv>
  <rv s="0">
    <fb>45601</fb>
    <v>0</v>
  </rv>
  <rv s="0">
    <fb>170.47</fb>
    <v>1</v>
  </rv>
  <rv s="0">
    <fb>171.89</fb>
    <v>1</v>
  </rv>
  <rv s="0">
    <fb>170.32</fb>
    <v>1</v>
  </rv>
  <rv s="0">
    <fb>171.78</fb>
    <v>1</v>
  </rv>
  <rv s="0">
    <fb>5456754</fb>
    <v>2</v>
  </rv>
  <rv s="0">
    <fb>45602</fb>
    <v>0</v>
  </rv>
  <rv s="0">
    <fb>178.52</fb>
    <v>1</v>
  </rv>
  <rv s="0">
    <fb>182.1</fb>
    <v>1</v>
  </rv>
  <rv s="0">
    <fb>177.4153</fb>
    <v>1</v>
  </rv>
  <rv s="0">
    <fb>181.24</fb>
    <v>1</v>
  </rv>
  <rv s="0">
    <fb>11084987</fb>
    <v>2</v>
  </rv>
  <rv s="0">
    <fb>45603</fb>
    <v>0</v>
  </rv>
  <rv s="0">
    <fb>181.08</fb>
    <v>1</v>
  </rv>
  <rv s="0">
    <fb>186.67</fb>
    <v>1</v>
  </rv>
  <rv s="0">
    <fb>180.54</fb>
    <v>1</v>
  </rv>
  <rv s="0">
    <fb>186.37</fb>
    <v>1</v>
  </rv>
  <rv s="0">
    <fb>7759399</fb>
    <v>2</v>
  </rv>
  <rv s="0">
    <fb>45604</fb>
    <v>0</v>
  </rv>
  <rv s="0">
    <fb>186.26</fb>
    <v>1</v>
  </rv>
  <rv s="0">
    <fb>190.16</fb>
    <v>1</v>
  </rv>
  <rv s="0">
    <fb>189.25</fb>
    <v>1</v>
  </rv>
  <rv s="0">
    <fb>8520419</fb>
    <v>2</v>
  </rv>
  <rv s="0">
    <fb>45607</fb>
    <v>0</v>
  </rv>
  <rv s="0">
    <fb>191.05</fb>
    <v>1</v>
  </rv>
  <rv s="0">
    <fb>191.5</fb>
    <v>1</v>
  </rv>
  <rv s="0">
    <fb>187.84</fb>
    <v>1</v>
  </rv>
  <rv s="0">
    <fb>189.13</fb>
    <v>1</v>
  </rv>
  <rv s="0">
    <fb>5973638</fb>
    <v>2</v>
  </rv>
  <rv s="0">
    <fb>45608</fb>
    <v>0</v>
  </rv>
  <rv s="0">
    <fb>188.54</fb>
    <v>1</v>
  </rv>
  <rv s="0">
    <fb>190.61</fb>
    <v>1</v>
  </rv>
  <rv s="0">
    <fb>187.2</fb>
    <v>1</v>
  </rv>
  <rv s="0">
    <fb>189.58</fb>
    <v>1</v>
  </rv>
  <rv s="0">
    <fb>6629891</fb>
    <v>2</v>
  </rv>
  <rv s="0">
    <fb>45609</fb>
    <v>0</v>
  </rv>
  <rv s="0">
    <fb>189</fb>
    <v>1</v>
  </rv>
  <rv s="0">
    <fb>191.77</fb>
    <v>1</v>
  </rv>
  <rv s="0">
    <fb>188.7895</fb>
    <v>1</v>
  </rv>
  <rv s="0">
    <fb>189.63</fb>
    <v>1</v>
  </rv>
  <rv s="0">
    <fb>5695426</fb>
    <v>2</v>
  </rv>
  <rv s="0">
    <fb>45610</fb>
    <v>0</v>
  </rv>
  <rv s="0">
    <fb>188.66</fb>
    <v>1</v>
  </rv>
  <rv s="0">
    <fb>189.59</fb>
    <v>1</v>
  </rv>
  <rv s="0">
    <fb>186.71</fb>
    <v>1</v>
  </rv>
  <rv s="0">
    <fb>187.05</fb>
    <v>1</v>
  </rv>
  <rv s="0">
    <fb>7804318</fb>
    <v>2</v>
  </rv>
  <rv s="0">
    <fb>45611</fb>
    <v>0</v>
  </rv>
  <rv s="0">
    <fb>184.52</fb>
    <v>1</v>
  </rv>
  <rv s="0">
    <fb>185.8</fb>
    <v>1</v>
  </rv>
  <rv s="0">
    <fb>182.33</fb>
    <v>1</v>
  </rv>
  <rv s="0">
    <fb>183.74</fb>
    <v>1</v>
  </rv>
  <rv s="0">
    <fb>8986276</fb>
    <v>2</v>
  </rv>
  <rv s="0">
    <fb>45614</fb>
    <v>0</v>
  </rv>
  <rv s="0">
    <fb>184.3</fb>
    <v>1</v>
  </rv>
  <rv s="0">
    <fb>186.18</fb>
    <v>1</v>
  </rv>
  <rv s="0">
    <fb>182.88</fb>
    <v>1</v>
  </rv>
  <rv s="0">
    <fb>185.73</fb>
    <v>1</v>
  </rv>
  <rv s="0">
    <fb>6291406</fb>
    <v>2</v>
  </rv>
  <rv s="0">
    <fb>45615</fb>
    <v>0</v>
  </rv>
  <rv s="0">
    <fb>184.89</fb>
    <v>1</v>
  </rv>
  <rv s="0">
    <fb>189.32</fb>
    <v>1</v>
  </rv>
  <rv s="0">
    <fb>184.32</fb>
    <v>1</v>
  </rv>
  <rv s="0">
    <fb>188.9</fb>
    <v>1</v>
  </rv>
  <rv s="0">
    <fb>8116958</fb>
    <v>2</v>
  </rv>
  <rv s="0">
    <fb>45616</fb>
    <v>0</v>
  </rv>
  <rv s="0">
    <fb>190.9</fb>
    <v>1</v>
  </rv>
  <rv s="0">
    <fb>190.97</fb>
    <v>1</v>
  </rv>
  <rv s="0">
    <fb>187.82</fb>
    <v>1</v>
  </rv>
  <rv s="0">
    <fb>190.75</fb>
    <v>1</v>
  </rv>
  <rv s="0">
    <fb>4860222</fb>
    <v>2</v>
  </rv>
  <rv s="0">
    <fb>45617</fb>
    <v>0</v>
  </rv>
  <rv s="0">
    <fb>191.94</fb>
    <v>1</v>
  </rv>
  <rv s="0">
    <fb>196.04</fb>
    <v>1</v>
  </rv>
  <rv s="0">
    <fb>191.64009999999999</fb>
    <v>1</v>
  </rv>
  <rv s="0">
    <fb>192.43</fb>
    <v>1</v>
  </rv>
  <rv s="0">
    <fb>11394263</fb>
    <v>2</v>
  </rv>
  <rv s="0">
    <fb>45618</fb>
    <v>0</v>
  </rv>
  <rv s="0">
    <fb>193</fb>
    <v>1</v>
  </rv>
  <rv s="0">
    <fb>194.2</fb>
    <v>1</v>
  </rv>
  <rv s="0">
    <fb>191.06</fb>
    <v>1</v>
  </rv>
  <rv s="0">
    <fb>192.29</fb>
    <v>1</v>
  </rv>
  <rv s="0">
    <fb>6879447</fb>
    <v>2</v>
  </rv>
  <rv s="0">
    <fb>45621</fb>
    <v>0</v>
  </rv>
  <rv s="0">
    <fb>194.5</fb>
    <v>1</v>
  </rv>
  <rv s="0">
    <fb>194.75</fb>
    <v>1</v>
  </rv>
  <rv s="0">
    <fb>187.99</fb>
    <v>1</v>
  </rv>
  <rv s="0">
    <fb>15138474</fb>
    <v>2</v>
  </rv>
  <rv s="0">
    <fb>45622</fb>
    <v>0</v>
  </rv>
  <rv s="0">
    <fb>188.32</fb>
    <v>1</v>
  </rv>
  <rv s="0">
    <fb>192.4</fb>
    <v>1</v>
  </rv>
  <rv s="0">
    <fb>190.37</fb>
    <v>1</v>
  </rv>
  <rv s="0">
    <fb>6427210</fb>
    <v>2</v>
  </rv>
  <rv s="0">
    <fb>45623</fb>
    <v>0</v>
  </rv>
  <rv s="0">
    <fb>188.95500000000001</fb>
    <v>1</v>
  </rv>
  <rv s="0">
    <fb>182.22</fb>
    <v>1</v>
  </rv>
  <rv s="0">
    <fb>182.7</fb>
    <v>1</v>
  </rv>
  <rv s="0">
    <fb>8368797</fb>
    <v>2</v>
  </rv>
  <rv s="0">
    <fb>45625</fb>
    <v>0</v>
  </rv>
  <rv s="0">
    <fb>184.01</fb>
    <v>1</v>
  </rv>
  <rv s="0">
    <fb>185.93</fb>
    <v>1</v>
  </rv>
  <rv s="0">
    <fb>184</fb>
    <v>1</v>
  </rv>
  <rv s="0">
    <fb>184.84</fb>
    <v>1</v>
  </rv>
  <rv s="0">
    <fb>4628044</fb>
    <v>2</v>
  </rv>
  <rv s="0">
    <fb>45628</fb>
    <v>0</v>
  </rv>
  <rv s="0">
    <fb>185.29</fb>
    <v>1</v>
  </rv>
  <rv s="0">
    <fb>181</fb>
    <v>1</v>
  </rv>
  <rv s="0">
    <fb>181.41</fb>
    <v>1</v>
  </rv>
  <rv s="0">
    <fb>8859696</fb>
    <v>2</v>
  </rv>
  <rv s="0">
    <fb>45629</fb>
    <v>0</v>
  </rv>
  <rv s="0">
    <fb>181.18</fb>
    <v>1</v>
  </rv>
  <rv s="0">
    <fb>183.04</fb>
    <v>1</v>
  </rv>
  <rv s="0">
    <fb>179.11</fb>
    <v>1</v>
  </rv>
  <rv s="0">
    <fb>182.89</fb>
    <v>1</v>
  </rv>
  <rv s="0">
    <fb>8917062</fb>
    <v>2</v>
  </rv>
  <rv s="0">
    <fb>45630</fb>
    <v>0</v>
  </rv>
  <rv s="0">
    <fb>188</fb>
    <v>1</v>
  </rv>
  <rv s="0">
    <fb>189.79</fb>
    <v>1</v>
  </rv>
  <rv s="0">
    <fb>185.9</fb>
    <v>1</v>
  </rv>
  <rv s="0">
    <fb>188.19</fb>
    <v>1</v>
  </rv>
  <rv s="0">
    <fb>8906283</fb>
    <v>2</v>
  </rv>
  <rv s="0">
    <fb>45631</fb>
    <v>0</v>
  </rv>
  <rv s="0">
    <fb>189.02</fb>
    <v>1</v>
  </rv>
  <rv s="0">
    <fb>185.85</fb>
    <v>1</v>
  </rv>
  <rv s="0">
    <fb>186.24</fb>
    <v>1</v>
  </rv>
  <rv s="0">
    <fb>6398073</fb>
    <v>2</v>
  </rv>
  <rv s="0">
    <fb>45632</fb>
    <v>0</v>
  </rv>
  <rv s="0">
    <fb>187</fb>
    <v>1</v>
  </rv>
  <rv s="0">
    <fb>192.63</fb>
    <v>1</v>
  </rv>
  <rv s="0">
    <fb>186.38</fb>
    <v>1</v>
  </rv>
  <rv s="0">
    <fb>191.69</fb>
    <v>1</v>
  </rv>
  <rv s="0">
    <fb>10503383</fb>
    <v>2</v>
  </rv>
  <rv s="0">
    <fb>45635</fb>
    <v>0</v>
  </rv>
  <rv s="0">
    <fb>196.3</fb>
    <v>1</v>
  </rv>
  <rv s="0">
    <fb>198.3099</fb>
    <v>1</v>
  </rv>
  <rv s="0">
    <fb>188.93</fb>
    <v>1</v>
  </rv>
  <rv s="0">
    <fb>190.45</fb>
    <v>1</v>
  </rv>
  <rv s="0">
    <fb>20157957</fb>
    <v>2</v>
  </rv>
  <rv s="0">
    <fb>45636</fb>
    <v>0</v>
  </rv>
  <rv s="0">
    <fb>173.46</fb>
    <v>1</v>
  </rv>
  <rv s="0">
    <fb>177.8</fb>
    <v>1</v>
  </rv>
  <rv s="0">
    <fb>171.0592</fb>
    <v>1</v>
  </rv>
  <rv s="0">
    <fb>177.74</fb>
    <v>1</v>
  </rv>
  <rv s="0">
    <fb>26502016</fb>
    <v>2</v>
  </rv>
  <rv s="0">
    <fb>45637</fb>
    <v>0</v>
  </rv>
  <rv s="0">
    <fb>178</fb>
    <v>1</v>
  </rv>
  <rv s="0">
    <fb>181.38</fb>
    <v>1</v>
  </rv>
  <rv s="0">
    <fb>174.83009999999999</fb>
    <v>1</v>
  </rv>
  <rv s="0">
    <fb>178.58</fb>
    <v>1</v>
  </rv>
  <rv s="0">
    <fb>13188714</fb>
    <v>2</v>
  </rv>
  <rv s="0">
    <fb>45638</fb>
    <v>0</v>
  </rv>
  <rv s="0">
    <fb>178.16990000000001</fb>
    <v>1</v>
  </rv>
  <rv s="0">
    <fb>174.81</fb>
    <v>1</v>
  </rv>
  <rv s="0">
    <fb>175.32</fb>
    <v>1</v>
  </rv>
  <rv s="0">
    <fb>8154218</fb>
    <v>2</v>
  </rv>
  <rv s="0">
    <fb>45639</fb>
    <v>0</v>
  </rv>
  <rv s="0">
    <fb>175</fb>
    <v>1</v>
  </rv>
  <rv s="0">
    <fb>176.14</fb>
    <v>1</v>
  </rv>
  <rv s="0">
    <fb>173.39</fb>
    <v>1</v>
  </rv>
  <rv s="0">
    <fb>8351106</fb>
    <v>2</v>
  </rv>
  <rv s="0">
    <fb>45642</fb>
    <v>0</v>
  </rv>
  <rv s="0">
    <fb>173.84</fb>
    <v>1</v>
  </rv>
  <rv s="0">
    <fb>174.27</fb>
    <v>1</v>
  </rv>
  <rv s="0">
    <fb>170.93</fb>
    <v>1</v>
  </rv>
  <rv s="0">
    <fb>171.23</fb>
    <v>1</v>
  </rv>
  <rv s="0">
    <fb>9571955</fb>
    <v>2</v>
  </rv>
  <rv s="0">
    <fb>45643</fb>
    <v>0</v>
  </rv>
  <rv s="0">
    <fb>170.75</fb>
    <v>1</v>
  </rv>
  <rv s="0">
    <fb>172.99</fb>
    <v>1</v>
  </rv>
  <rv s="0">
    <fb>169.27</fb>
    <v>1</v>
  </rv>
  <rv s="0">
    <fb>169.71</fb>
    <v>1</v>
  </rv>
  <rv s="0">
    <fb>8940204</fb>
    <v>2</v>
  </rv>
  <rv s="0">
    <fb>45644</fb>
    <v>0</v>
  </rv>
  <rv s="0">
    <fb>169.41</fb>
    <v>1</v>
  </rv>
  <rv s="0">
    <fb>165.36</fb>
    <v>1</v>
  </rv>
  <rv s="0">
    <fb>165.41</fb>
    <v>1</v>
  </rv>
  <rv s="0">
    <fb>8817934</fb>
    <v>2</v>
  </rv>
  <rv s="0">
    <fb>45645</fb>
    <v>0</v>
  </rv>
  <rv s="0">
    <fb>167.55</fb>
    <v>1</v>
  </rv>
  <rv s="0">
    <fb>171</fb>
    <v>1</v>
  </rv>
  <rv s="0">
    <fb>167.4</fb>
    <v>1</v>
  </rv>
  <rv s="0">
    <fb>168.79</fb>
    <v>1</v>
  </rv>
  <rv s="0">
    <fb>8386394</fb>
    <v>2</v>
  </rv>
  <rv s="0">
    <fb>45646</fb>
    <v>0</v>
  </rv>
  <rv s="0">
    <fb>167.73</fb>
    <v>1</v>
  </rv>
  <rv s="0">
    <fb>171.26</fb>
    <v>1</v>
  </rv>
  <rv s="0">
    <fb>165.63</fb>
    <v>1</v>
  </rv>
  <rv s="0">
    <fb>169.66</fb>
    <v>1</v>
  </rv>
  <rv s="0">
    <fb>13810525</fb>
    <v>2</v>
  </rv>
  <rv s="0">
    <fb>45649</fb>
    <v>0</v>
  </rv>
  <rv s="0">
    <fb>169.62</fb>
    <v>1</v>
  </rv>
  <rv s="0">
    <fb>167.16829999999999</fb>
    <v>1</v>
  </rv>
  <rv s="0">
    <fb>169.14</fb>
    <v>1</v>
  </rv>
  <rv s="0">
    <fb>6518229</fb>
    <v>2</v>
  </rv>
  <rv s="0">
    <fb>45650</fb>
    <v>0</v>
  </rv>
  <rv s="0">
    <fb>169.7</fb>
    <v>1</v>
  </rv>
  <rv s="0">
    <fb>171.77</fb>
    <v>1</v>
  </rv>
  <rv s="0">
    <fb>169.03</fb>
    <v>1</v>
  </rv>
  <rv s="0">
    <fb>171.41</fb>
    <v>1</v>
  </rv>
  <rv s="0">
    <fb>2451547</fb>
    <v>2</v>
  </rv>
  <rv s="0">
    <fb>45652</fb>
    <v>0</v>
  </rv>
  <rv s="0">
    <fb>170.5</fb>
    <v>1</v>
  </rv>
  <rv s="0">
    <fb>172.55</fb>
    <v>1</v>
  </rv>
  <rv s="0">
    <fb>171.68</fb>
    <v>1</v>
  </rv>
  <rv s="0">
    <fb>4103882</fb>
    <v>2</v>
  </rv>
  <rv s="0">
    <fb>45653</fb>
    <v>0</v>
  </rv>
  <rv s="0">
    <fb>170.38</fb>
    <v>1</v>
  </rv>
  <rv s="0">
    <fb>171.15</fb>
    <v>1</v>
  </rv>
  <rv s="0">
    <fb>167.2</fb>
    <v>1</v>
  </rv>
  <rv s="0">
    <fb>168.96</fb>
    <v>1</v>
  </rv>
  <rv s="0">
    <fb>4344287</fb>
    <v>2</v>
  </rv>
  <rv s="0">
    <fb>45656</fb>
    <v>0</v>
  </rv>
  <rv s="0">
    <fb>167.91</fb>
    <v>1</v>
  </rv>
  <rv s="0">
    <fb>164.55</fb>
    <v>1</v>
  </rv>
  <rv s="0">
    <fb>166.91</fb>
    <v>1</v>
  </rv>
  <rv s="0">
    <fb>5254833</fb>
    <v>2</v>
  </rv>
  <rv s="0">
    <fb>45657</fb>
    <v>0</v>
  </rv>
  <rv s="0">
    <fb>167.3</fb>
    <v>1</v>
  </rv>
  <rv s="0">
    <fb>165.84</fb>
    <v>1</v>
  </rv>
  <rv s="0">
    <fb>166.64</fb>
    <v>1</v>
  </rv>
  <rv s="0">
    <fb>4307524</fb>
    <v>2</v>
  </rv>
  <rv s="0">
    <fb>45659</fb>
    <v>0</v>
  </rv>
  <rv s="0">
    <fb>168.52</fb>
    <v>1</v>
  </rv>
  <rv s="0">
    <fb>168.69</fb>
    <v>1</v>
  </rv>
  <rv s="0">
    <fb>164.9</fb>
    <v>1</v>
  </rv>
  <rv s="0">
    <fb>166.03</fb>
    <v>1</v>
  </rv>
  <rv s="0">
    <fb>5365667</fb>
    <v>2</v>
  </rv>
  <rv s="0">
    <fb>45660</fb>
    <v>0</v>
  </rv>
  <rv s="0">
    <fb>166.7</fb>
    <v>1</v>
  </rv>
  <rv s="0">
    <fb>165.27</fb>
    <v>1</v>
  </rv>
  <rv s="0">
    <fb>166.32</fb>
    <v>1</v>
  </rv>
  <rv s="0">
    <fb>5878052</fb>
    <v>2</v>
  </rv>
  <rv s="0">
    <fb>45663</fb>
    <v>0</v>
  </rv>
  <rv s="0">
    <fb>167.31</fb>
    <v>1</v>
  </rv>
  <rv s="0">
    <fb>168.05</fb>
    <v>1</v>
  </rv>
  <rv s="0">
    <fb>165.19</fb>
    <v>1</v>
  </rv>
  <rv s="0">
    <fb>165.69</fb>
    <v>1</v>
  </rv>
  <rv s="0">
    <fb>6845373</fb>
    <v>2</v>
  </rv>
  <rv s="0">
    <fb>45664</fb>
    <v>0</v>
  </rv>
  <rv s="0">
    <fb>165.58</fb>
    <v>1</v>
  </rv>
  <rv s="0">
    <fb>166.16</fb>
    <v>1</v>
  </rv>
  <rv s="0">
    <fb>161.32</fb>
    <v>1</v>
  </rv>
  <rv s="0">
    <fb>7712222</fb>
    <v>2</v>
  </rv>
  <rv s="0">
    <fb>45665</fb>
    <v>0</v>
  </rv>
  <rv s="0">
    <fb>162.18</fb>
    <v>1</v>
  </rv>
  <rv s="0">
    <fb>163.98</fb>
    <v>1</v>
  </rv>
  <rv s="0">
    <fb>161.43</fb>
    <v>1</v>
  </rv>
  <rv s="0">
    <fb>163.13999999999999</fb>
    <v>1</v>
  </rv>
  <rv s="0">
    <fb>7596214</fb>
    <v>2</v>
  </rv>
  <rv s="0">
    <fb>45667</fb>
    <v>0</v>
  </rv>
  <rv s="0">
    <fb>159.19999999999999</fb>
    <v>1</v>
  </rv>
  <rv s="0">
    <fb>153.91999999999999</fb>
    <v>1</v>
  </rv>
  <rv s="0">
    <fb>154.5</fb>
    <v>1</v>
  </rv>
  <rv s="0">
    <fb>13593882</fb>
    <v>2</v>
  </rv>
  <rv s="0">
    <fb>45670</fb>
    <v>0</v>
  </rv>
  <rv s="0">
    <fb>153.74</fb>
    <v>1</v>
  </rv>
  <rv s="0">
    <fb>154.15</fb>
    <v>1</v>
  </rv>
  <rv s="0">
    <fb>152.41999999999999</fb>
    <v>1</v>
  </rv>
  <rv s="0">
    <fb>8828492</fb>
    <v>2</v>
  </rv>
  <rv s="0">
    <fb>45671</fb>
    <v>0</v>
  </rv>
  <rv s="0">
    <fb>156.41999999999999</fb>
    <v>1</v>
  </rv>
  <rv s="0">
    <fb>157.25</fb>
    <v>1</v>
  </rv>
  <rv s="0">
    <fb>154.35</fb>
    <v>1</v>
  </rv>
  <rv s="0">
    <fb>156.31</fb>
    <v>1</v>
  </rv>
  <rv s="0">
    <fb>7410242</fb>
    <v>2</v>
  </rv>
  <rv s="0">
    <fb>45672</fb>
    <v>0</v>
  </rv>
  <rv s="0">
    <fb>158.66499999999999</fb>
    <v>1</v>
  </rv>
  <rv s="0">
    <fb>159.14949999999999</fb>
    <v>1</v>
  </rv>
  <rv s="0">
    <fb>157.26</fb>
    <v>1</v>
  </rv>
  <rv s="0">
    <fb>158.31</fb>
    <v>1</v>
  </rv>
  <rv s="0">
    <fb>10701234</fb>
    <v>2</v>
  </rv>
  <rv s="0">
    <fb>45673</fb>
    <v>0</v>
  </rv>
  <rv s="0">
    <fb>160.15</fb>
    <v>1</v>
  </rv>
  <rv s="0">
    <fb>161.5</fb>
    <v>1</v>
  </rv>
  <rv s="0">
    <fb>158.41</fb>
    <v>1</v>
  </rv>
  <rv s="0">
    <fb>159.54</fb>
    <v>1</v>
  </rv>
  <rv s="0">
    <fb>9210555</fb>
    <v>2</v>
  </rv>
  <rv s="0">
    <fb>45674</fb>
    <v>0</v>
  </rv>
  <rv s="0">
    <fb>161.77000000000001</fb>
    <v>1</v>
  </rv>
  <rv s="0">
    <fb>163.16</fb>
    <v>1</v>
  </rv>
  <rv s="0">
    <fb>160.54</fb>
    <v>1</v>
  </rv>
  <rv s="0">
    <fb>161.03</fb>
    <v>1</v>
  </rv>
  <rv s="0">
    <fb>11618283</fb>
    <v>2</v>
  </rv>
  <rv s="0">
    <fb>45678</fb>
    <v>0</v>
  </rv>
  <rv s="0">
    <fb>163.87</fb>
    <v>1</v>
  </rv>
  <rv s="0">
    <fb>173.37</fb>
    <v>1</v>
  </rv>
  <rv s="0">
    <fb>162.75</fb>
    <v>1</v>
  </rv>
  <rv s="0">
    <fb>172.57</fb>
    <v>1</v>
  </rv>
  <rv s="0">
    <fb>30232048</fb>
    <v>2</v>
  </rv>
  <rv s="0">
    <fb>45679</fb>
    <v>0</v>
  </rv>
  <rv s="0">
    <fb>191.51</fb>
    <v>1</v>
  </rv>
  <rv s="0">
    <fb>191.99</fb>
    <v>1</v>
  </rv>
  <rv s="0">
    <fb>180.57</fb>
    <v>1</v>
  </rv>
  <rv s="0">
    <fb>184.22</fb>
    <v>1</v>
  </rv>
  <rv s="0">
    <fb>48028518</fb>
    <v>2</v>
  </rv>
  <rv s="0">
    <fb>45680</fb>
    <v>0</v>
  </rv>
  <rv s="0">
    <fb>181.64</fb>
    <v>1</v>
  </rv>
  <rv s="0">
    <fb>186.57</fb>
    <v>1</v>
  </rv>
  <rv s="0">
    <fb>181.5</fb>
    <v>1</v>
  </rv>
  <rv s="0">
    <fb>186.47</fb>
    <v>1</v>
  </rv>
  <rv s="0">
    <fb>17314645</fb>
    <v>2</v>
  </rv>
  <rv s="0">
    <fb>45681</fb>
    <v>0</v>
  </rv>
  <rv s="0">
    <fb>188.64</fb>
    <v>1</v>
  </rv>
  <rv s="0">
    <fb>189.1</fb>
    <v>1</v>
  </rv>
  <rv s="0">
    <fb>181.87</fb>
    <v>1</v>
  </rv>
  <rv s="0">
    <fb>183.6</fb>
    <v>1</v>
  </rv>
  <rv s="0">
    <fb>12147180</fb>
    <v>2</v>
  </rv>
  <rv s="0">
    <fb>45684</fb>
    <v>0</v>
  </rv>
  <rv s="0">
    <fb>168.9</fb>
    <v>1</v>
  </rv>
  <rv s="0">
    <fb>172.52</fb>
    <v>1</v>
  </rv>
  <rv s="0">
    <fb>152.66</fb>
    <v>1</v>
  </rv>
  <rv s="0">
    <fb>158.28</fb>
    <v>1</v>
  </rv>
  <rv s="0">
    <fb>42201592</fb>
    <v>2</v>
  </rv>
  <rv s="0">
    <fb>45685</fb>
    <v>0</v>
  </rv>
  <rv s="0">
    <fb>162.99</fb>
    <v>1</v>
  </rv>
  <rv s="0">
    <fb>165.82499999999999</fb>
    <v>1</v>
  </rv>
  <rv s="0">
    <fb>156.75</fb>
    <v>1</v>
  </rv>
  <rv s="0">
    <fb>164</fb>
    <v>1</v>
  </rv>
  <rv s="0">
    <fb>20319300</fb>
    <v>2</v>
  </rv>
  <rv s="0">
    <fb>45686</fb>
    <v>0</v>
  </rv>
  <rv s="0">
    <fb>164.02500000000001</fb>
    <v>1</v>
  </rv>
  <rv s="0">
    <fb>160.01</fb>
    <v>1</v>
  </rv>
  <rv s="0">
    <fb>162.02000000000001</fb>
    <v>1</v>
  </rv>
  <rv s="0">
    <fb>9866583</fb>
    <v>2</v>
  </rv>
  <rv s="0">
    <fb>45687</fb>
    <v>0</v>
  </rv>
  <rv s="0">
    <fb>164.78</fb>
    <v>1</v>
  </rv>
  <rv s="0">
    <fb>171.49</fb>
    <v>1</v>
  </rv>
  <rv s="0">
    <fb>164.1</fb>
    <v>1</v>
  </rv>
  <rv s="0">
    <fb>14981706</fb>
    <v>2</v>
  </rv>
  <rv s="0">
    <fb>45688</fb>
    <v>0</v>
  </rv>
  <rv s="0">
    <fb>170.41</fb>
    <v>1</v>
  </rv>
  <rv s="0">
    <fb>173</fb>
    <v>1</v>
  </rv>
  <rv s="0">
    <fb>169.12960000000001</fb>
    <v>1</v>
  </rv>
  <rv s="0">
    <fb>170.06</fb>
    <v>1</v>
  </rv>
  <rv s="0">
    <fb>8722470</fb>
    <v>2</v>
  </rv>
  <rv s="0">
    <fb>45691</fb>
    <v>0</v>
  </rv>
  <rv s="0">
    <fb>163.19999999999999</fb>
    <v>1</v>
  </rv>
  <rv s="0">
    <fb>169.9</fb>
    <v>1</v>
  </rv>
  <rv s="0">
    <fb>168.6</fb>
    <v>1</v>
  </rv>
  <rv s="0">
    <fb>8250588</fb>
    <v>2</v>
  </rv>
  <rv s="0">
    <fb>45692</fb>
    <v>0</v>
  </rv>
  <rv s="0">
    <fb>166.35</fb>
    <v>1</v>
  </rv>
  <rv s="0">
    <fb>167.89</fb>
    <v>1</v>
  </rv>
  <rv s="0">
    <fb>6776982</fb>
    <v>2</v>
  </rv>
  <rv s="0">
    <fb>45693</fb>
    <v>0</v>
  </rv>
  <rv s="0">
    <fb>168.99</fb>
    <v>1</v>
  </rv>
  <rv s="0">
    <fb>171.66</fb>
    <v>1</v>
  </rv>
  <rv s="0">
    <fb>7866650</fb>
    <v>2</v>
  </rv>
  <rv s="0">
    <fb>45694</fb>
    <v>0</v>
  </rv>
  <rv s="0">
    <fb>175.65</fb>
    <v>1</v>
  </rv>
  <rv s="0">
    <fb>171.57</fb>
    <v>1</v>
  </rv>
  <rv s="0">
    <fb>172.35</fb>
    <v>1</v>
  </rv>
  <rv s="0">
    <fb>7036908</fb>
    <v>2</v>
  </rv>
  <rv s="0">
    <fb>45695</fb>
    <v>0</v>
  </rv>
  <rv s="0">
    <fb>177.39</fb>
    <v>1</v>
  </rv>
  <rv s="0">
    <fb>173.18</fb>
    <v>1</v>
  </rv>
  <rv s="0">
    <fb>174.46</fb>
    <v>1</v>
  </rv>
  <rv s="0">
    <fb>9991297</fb>
    <v>2</v>
  </rv>
  <rv s="0">
    <fb>45698</fb>
    <v>0</v>
  </rv>
  <rv s="0">
    <fb>176</fb>
    <v>1</v>
  </rv>
  <rv s="0">
    <fb>179.99</fb>
    <v>1</v>
  </rv>
  <rv s="0">
    <fb>174.92</fb>
    <v>1</v>
  </rv>
  <rv s="0">
    <fb>178.92</fb>
    <v>1</v>
  </rv>
  <rv s="0">
    <fb>7625900</fb>
    <v>2</v>
  </rv>
  <rv s="0">
    <fb>45699</fb>
    <v>0</v>
  </rv>
  <rv s="0">
    <fb>177.62</fb>
    <v>1</v>
  </rv>
  <rv s="0">
    <fb>179.12</fb>
    <v>1</v>
  </rv>
  <rv s="0">
    <fb>176.45</fb>
    <v>1</v>
  </rv>
  <rv s="0">
    <fb>177.19</fb>
    <v>1</v>
  </rv>
  <rv s="0">
    <fb>6528766</fb>
    <v>2</v>
  </rv>
  <rv s="0">
    <fb>45700</fb>
    <v>0</v>
  </rv>
  <rv s="0">
    <fb>174.89</fb>
    <v>1</v>
  </rv>
  <rv s="0">
    <fb>170.71</fb>
    <v>1</v>
  </rv>
  <rv s="0">
    <fb>172.22</fb>
    <v>1</v>
  </rv>
  <rv s="0">
    <fb>7454841</fb>
    <v>2</v>
  </rv>
  <rv s="0">
    <fb>45701</fb>
    <v>0</v>
  </rv>
  <rv s="0">
    <fb>174.375</fb>
    <v>1</v>
  </rv>
  <rv s="0">
    <fb>172.1</fb>
    <v>1</v>
  </rv>
  <rv s="0">
    <fb>173.86</fb>
    <v>1</v>
  </rv>
  <rv s="0">
    <fb>6421673</fb>
    <v>2</v>
  </rv>
  <rv s="0">
    <fb>45702</fb>
    <v>0</v>
  </rv>
  <rv s="0">
    <fb>174.25</fb>
    <v>1</v>
  </rv>
  <rv s="0">
    <fb>175.03</fb>
    <v>1</v>
  </rv>
  <rv s="0">
    <fb>172.81280000000001</fb>
    <v>1</v>
  </rv>
  <rv s="0">
    <fb>174.16</fb>
    <v>1</v>
  </rv>
  <rv s="0">
    <fb>7260851</fb>
    <v>2</v>
  </rv>
  <rv s="0">
    <fb>45706</fb>
    <v>0</v>
  </rv>
  <rv s="0">
    <fb>176.75</fb>
    <v>1</v>
  </rv>
  <rv s="0">
    <fb>182.24</fb>
    <v>1</v>
  </rv>
  <rv s="0">
    <fb>176.09</fb>
    <v>1</v>
  </rv>
  <rv s="0">
    <fb>179.8</fb>
    <v>1</v>
  </rv>
  <rv s="0">
    <fb>11430497</fb>
    <v>2</v>
  </rv>
  <rv s="0">
    <fb>45707</fb>
    <v>0</v>
  </rv>
  <rv s="0">
    <fb>181.68</fb>
    <v>1</v>
  </rv>
  <rv s="0">
    <fb>175.7</fb>
    <v>1</v>
  </rv>
  <rv s="0">
    <fb>181.52</fb>
    <v>1</v>
  </rv>
  <rv s="0">
    <fb>8688500</fb>
    <v>2</v>
  </rv>
  <rv s="0">
    <fb>45708</fb>
    <v>0</v>
  </rv>
  <rv s="0">
    <fb>179.81</fb>
    <v>1</v>
  </rv>
  <rv s="0">
    <fb>180.27</fb>
    <v>1</v>
  </rv>
  <rv s="0">
    <fb>174.43</fb>
    <v>1</v>
  </rv>
  <rv s="0">
    <fb>8737035</fb>
    <v>2</v>
  </rv>
  <rv s="0">
    <fb>45709</fb>
    <v>0</v>
  </rv>
  <rv s="0">
    <fb>176.875</fb>
    <v>1</v>
  </rv>
  <rv s="0">
    <fb>167.81</fb>
    <v>1</v>
  </rv>
  <rv s="0">
    <fb>9713871</fb>
    <v>2</v>
  </rv>
  <rv s="0">
    <fb>45712</fb>
    <v>0</v>
  </rv>
  <rv s="0">
    <fb>173.57</fb>
    <v>1</v>
  </rv>
  <rv s="0">
    <fb>164.66</fb>
    <v>1</v>
  </rv>
  <rv s="0">
    <fb>169.96</fb>
    <v>1</v>
  </rv>
  <rv s="0">
    <fb>10639053</fb>
    <v>2</v>
  </rv>
  <rv s="0">
    <fb>45713</fb>
    <v>0</v>
  </rv>
  <rv s="0">
    <fb>169.29</fb>
    <v>1</v>
  </rv>
  <rv s="0">
    <fb>164.441</fb>
    <v>1</v>
  </rv>
  <rv s="0">
    <fb>168.54</fb>
    <v>1</v>
  </rv>
  <rv s="0">
    <fb>8316085</fb>
    <v>2</v>
  </rv>
  <rv s="0">
    <fb>45714</fb>
    <v>0</v>
  </rv>
  <rv s="0">
    <fb>170.98</fb>
    <v>1</v>
  </rv>
  <rv s="0">
    <fb>173.87</fb>
    <v>1</v>
  </rv>
  <rv s="0">
    <fb>169.125</fb>
    <v>1</v>
  </rv>
  <rv s="0">
    <fb>172.47</fb>
    <v>1</v>
  </rv>
  <rv s="0">
    <fb>6915115</fb>
    <v>2</v>
  </rv>
  <rv s="0">
    <fb>45715</fb>
    <v>0</v>
  </rv>
  <rv s="0">
    <fb>174.86</fb>
    <v>1</v>
  </rv>
  <rv s="0">
    <fb>164.58</fb>
    <v>1</v>
  </rv>
  <rv s="0">
    <fb>164.76</fb>
    <v>1</v>
  </rv>
  <rv s="0">
    <fb>7436810</fb>
    <v>2</v>
  </rv>
  <rv s="0">
    <fb>45716</fb>
    <v>0</v>
  </rv>
  <rv s="0">
    <fb>163.11000000000001</fb>
    <v>1</v>
  </rv>
  <rv s="0">
    <fb>166.15</fb>
    <v>1</v>
  </rv>
  <rv s="0">
    <fb>160.81</fb>
    <v>1</v>
  </rv>
  <rv s="0">
    <fb>166.06</fb>
    <v>1</v>
  </rv>
  <rv s="0">
    <fb>12843286</fb>
    <v>2</v>
  </rv>
  <rv s="0">
    <fb>45719</fb>
    <v>0</v>
  </rv>
  <rv s="0">
    <fb>166.95</fb>
    <v>1</v>
  </rv>
  <rv s="0">
    <fb>167.12</fb>
    <v>1</v>
  </rv>
  <rv s="0">
    <fb>161.13</fb>
    <v>1</v>
  </rv>
  <rv s="0">
    <fb>8081840</fb>
    <v>2</v>
  </rv>
  <rv s="0">
    <fb>45720</fb>
    <v>0</v>
  </rv>
  <rv s="0">
    <fb>159.22</fb>
    <v>1</v>
  </rv>
  <rv s="0">
    <fb>159.76</fb>
    <v>1</v>
  </rv>
  <rv s="0">
    <fb>153.52000000000001</fb>
    <v>1</v>
  </rv>
  <rv s="0">
    <fb>157.47</fb>
    <v>1</v>
  </rv>
  <rv s="0">
    <fb>13171897</fb>
    <v>2</v>
  </rv>
  <rv s="0">
    <fb>45721</fb>
    <v>0</v>
  </rv>
  <rv s="0">
    <fb>158.06</fb>
    <v>1</v>
  </rv>
  <rv s="0">
    <fb>162.4853</fb>
    <v>1</v>
  </rv>
  <rv s="0">
    <fb>157.05000000000001</fb>
    <v>1</v>
  </rv>
  <rv s="0">
    <fb>161.56</fb>
    <v>1</v>
  </rv>
  <rv s="0">
    <fb>7140996</fb>
    <v>2</v>
  </rv>
  <rv s="0">
    <fb>45722</fb>
    <v>0</v>
  </rv>
  <rv s="0">
    <fb>157.155</fb>
    <v>1</v>
  </rv>
  <rv s="0">
    <fb>149.7286</fb>
    <v>1</v>
  </rv>
  <rv s="0">
    <fb>150.94</fb>
    <v>1</v>
  </rv>
  <rv s="0">
    <fb>12321246</fb>
    <v>2</v>
  </rv>
  <rv s="0">
    <fb>45723</fb>
    <v>0</v>
  </rv>
  <rv s="0">
    <fb>150.62</fb>
    <v>1</v>
  </rv>
  <rv s="0">
    <fb>156.47999999999999</fb>
    <v>1</v>
  </rv>
  <rv s="0">
    <fb>148.5</fb>
    <v>1</v>
  </rv>
  <rv s="0">
    <fb>155.16</fb>
    <v>1</v>
  </rv>
  <rv s="0">
    <fb>12646488</fb>
    <v>2</v>
  </rv>
  <rv s="0">
    <fb>45726</fb>
    <v>0</v>
  </rv>
  <rv s="0">
    <fb>150.53</fb>
    <v>1</v>
  </rv>
  <rv s="0">
    <fb>152.52000000000001</fb>
    <v>1</v>
  </rv>
  <rv s="0">
    <fb>146.80000000000001</fb>
    <v>1</v>
  </rv>
  <rv s="0">
    <fb>148.79</fb>
    <v>1</v>
  </rv>
  <rv s="0">
    <fb>21486052</fb>
    <v>2</v>
  </rv>
  <rv s="0">
    <fb>45727</fb>
    <v>0</v>
  </rv>
  <rv s="0">
    <fb>143.41999999999999</fb>
    <v>1</v>
  </rv>
  <rv s="0">
    <fb>145.78</fb>
    <v>1</v>
  </rv>
  <rv s="0">
    <fb>144.18</fb>
    <v>1</v>
  </rv>
  <rv s="0">
    <fb>27200233</fb>
    <v>2</v>
  </rv>
  <rv s="0">
    <fb>45728</fb>
    <v>0</v>
  </rv>
  <rv s="0">
    <fb>146.22999999999999</fb>
    <v>1</v>
  </rv>
  <rv s="0">
    <fb>152.22999999999999</fb>
    <v>1</v>
  </rv>
  <rv s="0">
    <fb>145.0121</fb>
    <v>1</v>
  </rv>
  <rv s="0">
    <fb>150.88999999999999</fb>
    <v>1</v>
  </rv>
  <rv s="0">
    <fb>15373853</fb>
    <v>2</v>
  </rv>
  <rv s="0">
    <fb>45729</fb>
    <v>0</v>
  </rv>
  <rv s="0">
    <fb>149.79</fb>
    <v>1</v>
  </rv>
  <rv s="0">
    <fb>150.16999999999999</fb>
    <v>1</v>
  </rv>
  <rv s="0">
    <fb>145.47999999999999</fb>
    <v>1</v>
  </rv>
  <rv s="0">
    <fb>147.66</fb>
    <v>1</v>
  </rv>
  <rv s="0">
    <fb>14187662</fb>
    <v>2</v>
  </rv>
  <rv s="0">
    <fb>45730</fb>
    <v>0</v>
  </rv>
  <rv s="0">
    <fb>148.91499999999999</fb>
    <v>1</v>
  </rv>
  <rv s="0">
    <fb>150.88</fb>
    <v>1</v>
  </rv>
  <rv s="0">
    <fb>147.88</fb>
    <v>1</v>
  </rv>
  <rv s="0">
    <fb>149.27000000000001</fb>
    <v>1</v>
  </rv>
  <rv s="0">
    <fb>9329964</fb>
    <v>2</v>
  </rv>
  <rv s="0">
    <fb>45733</fb>
    <v>0</v>
  </rv>
  <rv s="0">
    <fb>150.4</fb>
    <v>1</v>
  </rv>
  <rv s="0">
    <fb>155.75</fb>
    <v>1</v>
  </rv>
  <rv s="0">
    <fb>154.01</fb>
    <v>1</v>
  </rv>
  <rv s="0">
    <fb>9884994</fb>
    <v>2</v>
  </rv>
  <rv s="0">
    <fb>45734</fb>
    <v>0</v>
  </rv>
  <rv s="0">
    <fb>152.37</fb>
    <v>1</v>
  </rv>
  <rv s="0">
    <fb>152.41499999999999</fb>
    <v>1</v>
  </rv>
  <rv s="0">
    <fb>148.63</fb>
    <v>1</v>
  </rv>
  <rv s="0">
    <fb>149.44999999999999</fb>
    <v>1</v>
  </rv>
  <rv s="0">
    <fb>9402508</fb>
    <v>2</v>
  </rv>
  <rv s="0">
    <fb>45735</fb>
    <v>0</v>
  </rv>
  <rv s="0">
    <fb>150.06</fb>
    <v>1</v>
  </rv>
  <rv s="0">
    <fb>154.07</fb>
    <v>1</v>
  </rv>
  <rv s="0">
    <fb>150</fb>
    <v>1</v>
  </rv>
  <rv s="0">
    <fb>152.44999999999999</fb>
    <v>1</v>
  </rv>
  <rv s="0">
    <fb>6909504</fb>
    <v>2</v>
  </rv>
  <rv s="0">
    <fb>45736</fb>
    <v>0</v>
  </rv>
  <rv s="0">
    <fb>151.58000000000001</fb>
    <v>1</v>
  </rv>
  <rv s="0">
    <fb>154.49</fb>
    <v>1</v>
  </rv>
  <rv s="0">
    <fb>150.82</fb>
    <v>1</v>
  </rv>
  <rv s="0">
    <fb>152.72</fb>
    <v>1</v>
  </rv>
  <rv s="0">
    <fb>7051615</fb>
    <v>2</v>
  </rv>
  <rv s="0">
    <fb>45737</fb>
    <v>0</v>
  </rv>
  <rv s="0">
    <fb>151.65</fb>
    <v>1</v>
  </rv>
  <rv s="0">
    <fb>153.84</fb>
    <v>1</v>
  </rv>
  <rv s="0">
    <fb>150.11000000000001</fb>
    <v>1</v>
  </rv>
  <rv s="0">
    <fb>17620224</fb>
    <v>2</v>
  </rv>
  <rv s="0">
    <fb>45740</fb>
    <v>0</v>
  </rv>
  <rv s="0">
    <fb>156.34</fb>
    <v>1</v>
  </rv>
  <rv s="0">
    <fb>156.60499999999999</fb>
    <v>1</v>
  </rv>
  <rv s="0">
    <fb>154.03</fb>
    <v>1</v>
  </rv>
  <rv s="0">
    <fb>154.87</fb>
    <v>1</v>
  </rv>
  <rv s="0">
    <fb>7848332</fb>
    <v>2</v>
  </rv>
  <rv s="0">
    <fb>45741</fb>
    <v>0</v>
  </rv>
  <rv s="0">
    <fb>154.51</fb>
    <v>1</v>
  </rv>
  <rv s="0">
    <fb>155.6</fb>
    <v>1</v>
  </rv>
  <rv s="0">
    <fb>153.05000000000001</fb>
    <v>1</v>
  </rv>
  <rv s="0">
    <fb>153.93</fb>
    <v>1</v>
  </rv>
  <rv s="0">
    <fb>8521249</fb>
    <v>2</v>
  </rv>
  <rv s="0">
    <fb>45742</fb>
    <v>0</v>
  </rv>
  <rv s="0">
    <fb>152.88999999999999</fb>
    <v>1</v>
  </rv>
  <rv s="0">
    <fb>153.03</fb>
    <v>1</v>
  </rv>
  <rv s="0">
    <fb>146.56</fb>
    <v>1</v>
  </rv>
  <rv s="0">
    <fb>147.80000000000001</fb>
    <v>1</v>
  </rv>
  <rv s="0">
    <fb>13222521</fb>
    <v>2</v>
  </rv>
  <rv s="0">
    <fb>45743</fb>
    <v>0</v>
  </rv>
  <rv s="0">
    <fb>145.85</fb>
    <v>1</v>
  </rv>
  <rv s="0">
    <fb>147.04</fb>
    <v>1</v>
  </rv>
  <rv s="0">
    <fb>144.91999999999999</fb>
    <v>1</v>
  </rv>
  <rv s="0">
    <fb>9148321</fb>
    <v>2</v>
  </rv>
  <rv s="0">
    <fb>45744</fb>
    <v>0</v>
  </rv>
  <rv s="0">
    <fb>143.78</fb>
    <v>1</v>
  </rv>
  <rv s="0">
    <fb>145.65</fb>
    <v>1</v>
  </rv>
  <rv s="0">
    <fb>139.11000000000001</fb>
    <v>1</v>
  </rv>
  <rv s="0">
    <fb>140.87</fb>
    <v>1</v>
  </rv>
  <rv s="0">
    <fb>13144486</fb>
    <v>2</v>
  </rv>
  <rv s="0">
    <fb>45747</fb>
    <v>0</v>
  </rv>
  <rv s="0">
    <fb>138.63999999999999</fb>
    <v>1</v>
  </rv>
  <rv s="0">
    <fb>140.59</fb>
    <v>1</v>
  </rv>
  <rv s="0">
    <fb>136.76</fb>
    <v>1</v>
  </rv>
  <rv s="0">
    <fb>139.81</fb>
    <v>1</v>
  </rv>
  <rv s="0">
    <fb>15509923</fb>
    <v>2</v>
  </rv>
  <rv s="0">
    <fb>45748</fb>
    <v>0</v>
  </rv>
  <rv s="0">
    <fb>139.76</fb>
    <v>1</v>
  </rv>
  <rv s="0">
    <fb>143.25</fb>
    <v>1</v>
  </rv>
  <rv s="0">
    <fb>138.76</fb>
    <v>1</v>
  </rv>
  <rv s="0">
    <fb>141.94</fb>
    <v>1</v>
  </rv>
  <rv s="0">
    <fb>9518457</fb>
    <v>2</v>
  </rv>
  <rv s="0">
    <fb>45749</fb>
    <v>0</v>
  </rv>
  <rv s="0">
    <fb>139.86000000000001</fb>
    <v>1</v>
  </rv>
  <rv s="0">
    <fb>147.88999999999999</fb>
    <v>1</v>
  </rv>
  <rv s="0">
    <fb>145.86000000000001</fb>
    <v>1</v>
  </rv>
  <rv s="0">
    <fb>11594432</fb>
    <v>2</v>
  </rv>
  <rv s="0">
    <fb>45750</fb>
    <v>0</v>
  </rv>
  <rv s="0">
    <fb>136.63999999999999</fb>
    <v>1</v>
  </rv>
  <rv s="0">
    <fb>137.22999999999999</fb>
    <v>1</v>
  </rv>
  <rv s="0">
    <fb>14433768</fb>
    <v>2</v>
  </rv>
  <rv s="0">
    <fb>45751</fb>
    <v>0</v>
  </rv>
  <rv s="0">
    <fb>132.91</fb>
    <v>1</v>
  </rv>
  <rv s="0">
    <fb>133.82</fb>
    <v>1</v>
  </rv>
  <rv s="0">
    <fb>14986861</fb>
    <v>2</v>
  </rv>
  <rv s="0">
    <fb>45754</fb>
    <v>0</v>
  </rv>
  <rv s="0">
    <fb>118.86</fb>
    <v>1</v>
  </rv>
  <rv s="0">
    <fb>134.11000000000001</fb>
    <v>1</v>
  </rv>
  <rv s="0">
    <fb>127.16</fb>
    <v>1</v>
  </rv>
  <rv s="0">
    <fb>19482652</fb>
    <v>2</v>
  </rv>
  <rv s="0">
    <fb>45755</fb>
    <v>0</v>
  </rv>
  <rv s="0">
    <fb>132.54</fb>
    <v>1</v>
  </rv>
  <rv s="0">
    <fb>132.99</fb>
    <v>1</v>
  </rv>
  <rv s="0">
    <fb>121.69499999999999</fb>
    <v>1</v>
  </rv>
  <rv s="0">
    <fb>11950277</fb>
    <v>2</v>
  </rv>
  <rv s="0">
    <fb>45756</fb>
    <v>0</v>
  </rv>
  <rv s="0">
    <fb>123.4</fb>
    <v>1</v>
  </rv>
  <rv s="0">
    <fb>17761994</fb>
    <v>2</v>
  </rv>
  <rv s="0">
    <fb>45757</fb>
    <v>0</v>
  </rv>
  <rv s="0">
    <fb>136.65</fb>
    <v>1</v>
  </rv>
  <rv s="0">
    <fb>129.255</fb>
    <v>1</v>
  </rv>
  <rv s="0">
    <fb>133.35</fb>
    <v>1</v>
  </rv>
  <rv s="0">
    <fb>12401562</fb>
    <v>2</v>
  </rv>
  <rv s="0">
    <fb>45758</fb>
    <v>0</v>
  </rv>
  <rv s="0">
    <fb>132.11000000000001</fb>
    <v>1</v>
  </rv>
  <rv s="0">
    <fb>133</fb>
    <v>1</v>
  </rv>
  <rv s="0">
    <fb>128.84</fb>
    <v>1</v>
  </rv>
  <rv s="0">
    <fb>132.35</fb>
    <v>1</v>
  </rv>
  <rv s="0">
    <fb>10190175</fb>
    <v>2</v>
  </rv>
  <rv s="0">
    <fb>45761</fb>
    <v>0</v>
  </rv>
  <rv s="0">
    <fb>136.80000000000001</fb>
    <v>1</v>
  </rv>
  <rv s="0">
    <fb>132.87</fb>
    <v>1</v>
  </rv>
  <rv s="0">
    <fb>134.63999999999999</fb>
    <v>1</v>
  </rv>
  <rv s="0">
    <fb>8217740</fb>
    <v>2</v>
  </rv>
  <rv s="0">
    <fb>45762</fb>
    <v>0</v>
  </rv>
  <rv s="0">
    <fb>134.76</fb>
    <v>1</v>
  </rv>
  <rv s="0">
    <fb>136.482</fb>
    <v>1</v>
  </rv>
  <rv s="0">
    <fb>133.72</fb>
    <v>1</v>
  </rv>
  <rv s="0">
    <fb>133.94</fb>
    <v>1</v>
  </rv>
  <rv s="0">
    <fb>8629959</fb>
    <v>2</v>
  </rv>
  <rv s="0">
    <fb>45763</fb>
    <v>0</v>
  </rv>
  <rv s="0">
    <fb>132.28</fb>
    <v>1</v>
  </rv>
  <rv s="0">
    <fb>132.5368</fb>
    <v>1</v>
  </rv>
  <rv s="0">
    <fb>127.85</fb>
    <v>1</v>
  </rv>
  <rv s="0">
    <fb>129.76</fb>
    <v>1</v>
  </rv>
  <rv s="0">
    <fb>8295176</fb>
    <v>2</v>
  </rv>
  <rv s="0">
    <fb>45764</fb>
    <v>0</v>
  </rv>
  <rv s="0">
    <fb>130.9</fb>
    <v>1</v>
  </rv>
  <rv s="0">
    <fb>131.30000000000001</fb>
    <v>1</v>
  </rv>
  <rv s="0">
    <fb>128.44</fb>
    <v>1</v>
  </rv>
  <rv s="0">
    <fb>128.62</fb>
    <v>1</v>
  </rv>
  <rv s="0">
    <fb>8925522</fb>
    <v>2</v>
  </rv>
  <rv s="0">
    <fb>45768</fb>
    <v>0</v>
  </rv>
  <rv s="0">
    <fb>126.88500000000001</fb>
    <v>1</v>
  </rv>
  <rv s="0">
    <fb>127.19499999999999</fb>
    <v>1</v>
  </rv>
  <rv s="0">
    <fb>121.235</fb>
    <v>1</v>
  </rv>
  <rv s="0">
    <fb>122.82</fb>
    <v>1</v>
  </rv>
  <rv s="0">
    <fb>12201231</fb>
    <v>2</v>
  </rv>
  <rv s="0">
    <fb>45769</fb>
    <v>0</v>
  </rv>
  <rv s="0">
    <fb>123.39</fb>
    <v>1</v>
  </rv>
  <rv s="0">
    <fb>127.24</fb>
    <v>1</v>
  </rv>
  <rv s="0">
    <fb>11233702</fb>
    <v>2</v>
  </rv>
  <rv s="0">
    <fb>45770</fb>
    <v>0</v>
  </rv>
  <rv s="0">
    <fb>134.91</fb>
    <v>1</v>
  </rv>
  <rv s="0">
    <fb>135.87</fb>
    <v>1</v>
  </rv>
  <rv s="0">
    <fb>130.99</fb>
    <v>1</v>
  </rv>
  <rv s="0">
    <fb>131.4</fb>
    <v>1</v>
  </rv>
  <rv s="0">
    <fb>9528873</fb>
    <v>2</v>
  </rv>
  <rv s="0">
    <fb>45771</fb>
    <v>0</v>
  </rv>
  <rv s="0">
    <fb>132.51</fb>
    <v>1</v>
  </rv>
  <rv s="0">
    <fb>137.86000000000001</fb>
    <v>1</v>
  </rv>
  <rv s="0">
    <fb>132</fb>
    <v>1</v>
  </rv>
  <rv s="0">
    <fb>7305887</fb>
    <v>2</v>
  </rv>
  <rv s="0">
    <fb>45772</fb>
    <v>0</v>
  </rv>
  <rv s="0">
    <fb>137.49</fb>
    <v>1</v>
  </rv>
  <rv s="0">
    <fb>136.755</fb>
    <v>1</v>
  </rv>
  <rv s="0">
    <fb>138.49</fb>
    <v>1</v>
  </rv>
  <rv s="0">
    <fb>5476378</fb>
    <v>2</v>
  </rv>
  <rv s="0">
    <fb>45775</fb>
    <v>0</v>
  </rv>
  <rv s="0">
    <fb>139.65</fb>
    <v>1</v>
  </rv>
  <rv s="0">
    <fb>140.66999999999999</fb>
    <v>1</v>
  </rv>
  <rv s="0">
    <fb>140.13999999999999</fb>
    <v>1</v>
  </rv>
  <rv s="0">
    <fb>6985102</fb>
    <v>2</v>
  </rv>
  <rv s="0">
    <fb>45776</fb>
    <v>0</v>
  </rv>
  <rv s="0">
    <fb>140.79</fb>
    <v>1</v>
  </rv>
  <rv s="0">
    <fb>4851458</fb>
    <v>2</v>
  </rv>
  <rv s="0">
    <fb>45777</fb>
    <v>0</v>
  </rv>
  <rv s="0">
    <fb>135.565</fb>
    <v>1</v>
  </rv>
  <rv s="0">
    <fb>140.72</fb>
    <v>1</v>
  </rv>
  <rv s="0">
    <fb>9443538</fb>
    <v>2</v>
  </rv>
  <rv s="0">
    <fb>45778</fb>
    <v>0</v>
  </rv>
  <rv s="0">
    <fb>148.63999999999999</fb>
    <v>1</v>
  </rv>
  <rv s="0">
    <fb>145.33500000000001</fb>
    <v>1</v>
  </rv>
  <rv s="0">
    <fb>145.49</fb>
    <v>1</v>
  </rv>
  <rv s="0">
    <fb>11525751</fb>
    <v>2</v>
  </rv>
  <rv s="0">
    <fb>45779</fb>
    <v>0</v>
  </rv>
  <rv s="0">
    <fb>148.33000000000001</fb>
    <v>1</v>
  </rv>
  <rv s="0">
    <fb>153.06</fb>
    <v>1</v>
  </rv>
  <rv s="0">
    <fb>150.72999999999999</fb>
    <v>1</v>
  </rv>
  <rv s="0">
    <fb>11345977</fb>
    <v>2</v>
  </rv>
  <rv s="0">
    <fb>45782</fb>
    <v>0</v>
  </rv>
  <rv s="0">
    <fb>149.435</fb>
    <v>1</v>
  </rv>
  <rv s="0">
    <fb>148.52010000000001</fb>
    <v>1</v>
  </rv>
  <rv s="0">
    <fb>149.29</fb>
    <v>1</v>
  </rv>
  <rv s="0">
    <fb>5187449</fb>
    <v>2</v>
  </rv>
  <rv s="0">
    <fb>45783</fb>
    <v>0</v>
  </rv>
  <rv s="0">
    <fb>146.97999999999999</fb>
    <v>1</v>
  </rv>
  <rv s="0">
    <fb>148.941</fb>
    <v>1</v>
  </rv>
  <rv s="0">
    <fb>145.72</fb>
    <v>1</v>
  </rv>
  <rv s="0">
    <fb>147.69999999999999</fb>
    <v>1</v>
  </rv>
  <rv s="0">
    <fb>5108595</fb>
    <v>2</v>
  </rv>
  <rv s="0">
    <fb>45784</fb>
    <v>0</v>
  </rv>
  <rv s="0">
    <fb>147.5</fb>
    <v>1</v>
  </rv>
  <rv s="0">
    <fb>149.9</fb>
    <v>1</v>
  </rv>
  <rv s="0">
    <fb>147.24</fb>
    <v>1</v>
  </rv>
  <rv s="0">
    <fb>149.37</fb>
    <v>1</v>
  </rv>
  <rv s="0">
    <fb>6051937</fb>
    <v>2</v>
  </rv>
  <rv s="0">
    <fb>45785</fb>
    <v>0</v>
  </rv>
  <rv s="0">
    <fb>149.05000000000001</fb>
    <v>1</v>
  </rv>
  <rv s="0">
    <fb>151.81</fb>
    <v>1</v>
  </rv>
  <rv s="0">
    <fb>148.61000000000001</fb>
    <v>1</v>
  </rv>
  <rv s="0">
    <fb>150.30000000000001</fb>
    <v>1</v>
  </rv>
  <rv s="0">
    <fb>6113612</fb>
    <v>2</v>
  </rv>
  <rv s="0">
    <fb>45786</fb>
    <v>0</v>
  </rv>
  <rv s="0">
    <fb>150.04</fb>
    <v>1</v>
  </rv>
  <rv s="0">
    <fb>151.79910000000001</fb>
    <v>1</v>
  </rv>
  <rv s="0">
    <fb>150.34</fb>
    <v>1</v>
  </rv>
  <rv s="0">
    <fb>4707130</fb>
    <v>2</v>
  </rv>
  <rv s="0">
    <fb>45789</fb>
    <v>0</v>
  </rv>
  <rv s="0">
    <fb>157.43</fb>
    <v>1</v>
  </rv>
  <rv s="0">
    <fb>154.41650000000001</fb>
    <v>1</v>
  </rv>
  <rv s="0">
    <fb>157.22</fb>
    <v>1</v>
  </rv>
  <rv s="0">
    <fb>7875461</fb>
    <v>2</v>
  </rv>
  <rv s="0">
    <fb>45790</fb>
    <v>0</v>
  </rv>
  <rv s="0">
    <fb>158.22</fb>
    <v>1</v>
  </rv>
  <rv s="0">
    <fb>163.22</fb>
    <v>1</v>
  </rv>
  <rv s="0">
    <fb>157.57</fb>
    <v>1</v>
  </rv>
  <rv s="0">
    <fb>162.27000000000001</fb>
    <v>1</v>
  </rv>
  <rv s="0">
    <fb>11955157</fb>
    <v>2</v>
  </rv>
  <rv s="0">
    <fb>45791</fb>
    <v>0</v>
  </rv>
  <rv s="0">
    <fb>162.36000000000001</fb>
    <v>1</v>
  </rv>
  <rv s="0">
    <fb>163.41</fb>
    <v>1</v>
  </rv>
  <rv s="0">
    <fb>161.05779999999999</fb>
    <v>1</v>
  </rv>
  <rv s="0">
    <fb>162.94999999999999</fb>
    <v>1</v>
  </rv>
  <rv s="0">
    <fb>7499392</fb>
    <v>2</v>
  </rv>
  <rv s="0">
    <fb>45792</fb>
    <v>0</v>
  </rv>
  <rv s="0">
    <fb>161.36000000000001</fb>
    <v>1</v>
  </rv>
  <rv s="0">
    <fb>161.74</fb>
    <v>1</v>
  </rv>
  <rv s="0">
    <fb>158.91</fb>
    <v>1</v>
  </rv>
  <rv s="0">
    <fb>159.4</fb>
    <v>1</v>
  </rv>
  <rv s="0">
    <fb>10169217</fb>
    <v>2</v>
  </rv>
  <rv s="0">
    <fb>45793</fb>
    <v>0</v>
  </rv>
  <rv s="0">
    <fb>160</fb>
    <v>1</v>
  </rv>
  <rv s="0">
    <fb>160.84</fb>
    <v>1</v>
  </rv>
  <rv s="0">
    <fb>158.52000000000001</fb>
    <v>1</v>
  </rv>
  <rv s="0">
    <fb>160.49</fb>
    <v>1</v>
  </rv>
  <rv s="0">
    <fb>8515458</fb>
    <v>2</v>
  </rv>
  <rv s="0">
    <fb>45796</fb>
    <v>0</v>
  </rv>
  <rv s="0">
    <fb>158.30000000000001</fb>
    <v>1</v>
  </rv>
  <rv s="0">
    <fb>161.9699</fb>
    <v>1</v>
  </rv>
  <rv s="0">
    <fb>157.8289</fb>
    <v>1</v>
  </rv>
  <rv s="0">
    <fb>159.63999999999999</fb>
    <v>1</v>
  </rv>
  <rv s="0">
    <fb>10268917</fb>
    <v>2</v>
  </rv>
  <rv s="0">
    <fb>45797</fb>
    <v>0</v>
  </rv>
  <rv s="0">
    <fb>158.63</fb>
    <v>1</v>
  </rv>
  <rv s="0">
    <fb>160.36000000000001</fb>
    <v>1</v>
  </rv>
  <rv s="0">
    <fb>157.53</fb>
    <v>1</v>
  </rv>
  <rv s="0">
    <fb>160.31</fb>
    <v>1</v>
  </rv>
  <rv s="0">
    <fb>7576418</fb>
    <v>2</v>
  </rv>
  <rv s="0">
    <fb>45798</fb>
    <v>0</v>
  </rv>
  <rv s="0">
    <fb>158.35</fb>
    <v>1</v>
  </rv>
  <rv s="0">
    <fb>160.9</fb>
    <v>1</v>
  </rv>
  <rv s="0">
    <fb>156.459</fb>
    <v>1</v>
  </rv>
  <rv s="0">
    <fb>6011038</fb>
    <v>2</v>
  </rv>
  <rv s="0">
    <fb>45799</fb>
    <v>0</v>
  </rv>
  <rv s="0">
    <fb>156.97499999999999</fb>
    <v>1</v>
  </rv>
  <rv s="0">
    <fb>159.19</fb>
    <v>1</v>
  </rv>
  <rv s="0">
    <fb>156.82</fb>
    <v>1</v>
  </rv>
  <rv s="0">
    <fb>157.31</fb>
    <v>1</v>
  </rv>
  <rv s="0">
    <fb>7603261</fb>
    <v>2</v>
  </rv>
  <rv s="0">
    <fb>45800</fb>
    <v>0</v>
  </rv>
  <rv s="0">
    <fb>154.99</fb>
    <v>1</v>
  </rv>
  <rv s="0">
    <fb>157.375</fb>
    <v>1</v>
  </rv>
  <rv s="0">
    <fb>154.25720000000001</fb>
    <v>1</v>
  </rv>
  <rv s="0">
    <fb>155.97</fb>
    <v>1</v>
  </rv>
  <rv s="0">
    <fb>6527516</fb>
    <v>2</v>
  </rv>
  <rv s="0">
    <fb>45804</fb>
    <v>0</v>
  </rv>
  <rv s="0">
    <fb>159.32</fb>
    <v>1</v>
  </rv>
  <rv s="0">
    <fb>162.4</fb>
    <v>1</v>
  </rv>
  <rv s="0">
    <fb>158.91999999999999</fb>
    <v>1</v>
  </rv>
  <rv s="0">
    <fb>161.91</fb>
    <v>1</v>
  </rv>
  <rv s="0">
    <fb>6976813</fb>
    <v>2</v>
  </rv>
  <rv s="0">
    <fb>45805</fb>
    <v>0</v>
  </rv>
  <rv s="0">
    <fb>161.86500000000001</fb>
    <v>1</v>
  </rv>
  <rv s="0">
    <fb>164.32</fb>
    <v>1</v>
  </rv>
  <rv s="0">
    <fb>161.28</fb>
    <v>1</v>
  </rv>
  <rv s="0">
    <fb>163.85</fb>
    <v>1</v>
  </rv>
  <rv s="0">
    <fb>8090652</fb>
    <v>2</v>
  </rv>
  <rv s="0">
    <fb>45806</fb>
    <v>0</v>
  </rv>
  <rv s="0">
    <fb>165</fb>
    <v>1</v>
  </rv>
  <rv s="0">
    <fb>165.32</fb>
    <v>1</v>
  </rv>
  <rv s="0">
    <fb>161.49</fb>
    <v>1</v>
  </rv>
  <rv s="0">
    <fb>162.9</fb>
    <v>1</v>
  </rv>
  <rv s="0">
    <fb>6995831</fb>
    <v>2</v>
  </rv>
  <rv s="0">
    <fb>45807</fb>
    <v>0</v>
  </rv>
  <rv s="0">
    <fb>163.43</fb>
    <v>1</v>
  </rv>
  <rv s="0">
    <fb>165.75</fb>
    <v>1</v>
  </rv>
  <rv s="0">
    <fb>161.55009999999999</fb>
    <v>1</v>
  </rv>
  <rv s="0">
    <fb>165.53</fb>
    <v>1</v>
  </rv>
  <rv s="0">
    <fb>17547858</fb>
    <v>2</v>
  </rv>
  <rv s="0">
    <fb>45810</fb>
    <v>0</v>
  </rv>
  <rv s="0">
    <fb>164.16499999999999</fb>
    <v>1</v>
  </rv>
  <rv s="0">
    <fb>167</fb>
    <v>1</v>
  </rv>
  <rv s="0">
    <fb>162.6</fb>
    <v>1</v>
  </rv>
  <rv s="0">
    <fb>166.57</fb>
    <v>1</v>
  </rv>
  <rv s="0">
    <fb>7165969</fb>
    <v>2</v>
  </rv>
  <rv s="0">
    <fb>45811</fb>
    <v>0</v>
  </rv>
  <rv s="0">
    <fb>166.8</fb>
    <v>1</v>
  </rv>
  <rv s="0">
    <fb>169.33</fb>
    <v>1</v>
  </rv>
  <rv s="0">
    <fb>166.59</fb>
    <v>1</v>
  </rv>
  <rv s="0">
    <fb>7155281</fb>
    <v>2</v>
  </rv>
  <rv s="0">
    <fb>45812</fb>
    <v>0</v>
  </rv>
  <rv s="0">
    <fb>167.57</fb>
    <v>1</v>
  </rv>
  <rv s="0">
    <fb>6375793</fb>
    <v>2</v>
  </rv>
  <rv s="0">
    <fb>45813</fb>
    <v>0</v>
  </rv>
  <rv s="0">
    <fb>169</fb>
    <v>1</v>
  </rv>
  <rv s="0">
    <fb>172.25989999999999</fb>
    <v>1</v>
  </rv>
  <rv s="0">
    <fb>168.755</fb>
    <v>1</v>
  </rv>
  <rv s="0">
    <fb>171.14</fb>
    <v>1</v>
  </rv>
  <rv s="0">
    <fb>7710284</fb>
    <v>2</v>
  </rv>
  <rv s="0">
    <fb>45814</fb>
    <v>0</v>
  </rv>
  <rv s="0">
    <fb>174</fb>
    <v>1</v>
  </rv>
  <rv s="0">
    <fb>174.79</fb>
    <v>1</v>
  </rv>
  <rv s="0">
    <fb>172.6601</fb>
    <v>1</v>
  </rv>
  <rv s="0">
    <fb>174.02</fb>
    <v>1</v>
  </rv>
  <rv s="0">
    <fb>6833674</fb>
    <v>2</v>
  </rv>
  <rv s="0">
    <fb>45817</fb>
    <v>0</v>
  </rv>
  <rv s="0">
    <fb>178.72</fb>
    <v>1</v>
  </rv>
  <rv s="0">
    <fb>173.79</fb>
    <v>1</v>
  </rv>
  <rv s="0">
    <fb>177.15</fb>
    <v>1</v>
  </rv>
  <rv s="0">
    <fb>9668911</fb>
    <v>2</v>
  </rv>
  <rv s="0">
    <fb>45818</fb>
    <v>0</v>
  </rv>
  <rv s="0">
    <fb>177.71</fb>
    <v>1</v>
  </rv>
  <rv s="0">
    <fb>177.85</fb>
    <v>1</v>
  </rv>
  <rv s="0">
    <fb>177.48</fb>
    <v>1</v>
  </rv>
  <rv s="0">
    <fb>11056716</fb>
    <v>2</v>
  </rv>
  <rv s="0">
    <fb>45819</fb>
    <v>0</v>
  </rv>
  <rv s="0">
    <fb>177.55</fb>
    <v>1</v>
  </rv>
  <rv s="0">
    <fb>179.55</fb>
    <v>1</v>
  </rv>
  <rv s="0">
    <fb>176.2</fb>
    <v>1</v>
  </rv>
  <rv s="0">
    <fb>176.38</fb>
    <v>1</v>
  </rv>
  <rv s="0">
    <fb>18002910</fb>
    <v>2</v>
  </rv>
  <rv s="0">
    <fb>45820</fb>
    <v>0</v>
  </rv>
  <rv s="0">
    <fb>189.96</fb>
    <v>1</v>
  </rv>
  <rv s="0">
    <fb>202.49</fb>
    <v>1</v>
  </rv>
  <rv s="0">
    <fb>188.88</fb>
    <v>1</v>
  </rv>
  <rv s="0">
    <fb>199.86</fb>
    <v>1</v>
  </rv>
  <rv s="0">
    <fb>54609995</fb>
    <v>2</v>
  </rv>
  <rv s="0">
    <fb>45821</fb>
    <v>0</v>
  </rv>
  <rv s="0">
    <fb>201.58</fb>
    <v>1</v>
  </rv>
  <rv s="0">
    <fb>216.59989999999999</fb>
    <v>1</v>
  </rv>
  <rv s="0">
    <fb>201.2</fb>
    <v>1</v>
  </rv>
  <rv s="0">
    <fb>215.22</fb>
    <v>1</v>
  </rv>
  <rv s="0">
    <fb>53707361</fb>
    <v>2</v>
  </rv>
  <rv s="0">
    <fb>45824</fb>
    <v>0</v>
  </rv>
  <rv s="0">
    <fb>213.2</fb>
    <v>1</v>
  </rv>
  <rv s="0">
    <fb>215.17</fb>
    <v>1</v>
  </rv>
  <rv s="0">
    <fb>209.97630000000001</fb>
    <v>1</v>
  </rv>
  <rv s="0">
    <fb>211.1</fb>
    <v>1</v>
  </rv>
  <rv s="0">
    <fb>22665299</fb>
    <v>2</v>
  </rv>
  <rv s="0">
    <fb>45825</fb>
    <v>0</v>
  </rv>
  <rv s="0">
    <fb>210.66</fb>
    <v>1</v>
  </rv>
  <rv s="0">
    <fb>215.88</fb>
    <v>1</v>
  </rv>
  <rv s="0">
    <fb>207.48050000000001</fb>
    <v>1</v>
  </rv>
  <rv s="0">
    <fb>208.18</fb>
    <v>1</v>
  </rv>
  <rv s="0">
    <fb>17819162</fb>
    <v>2</v>
  </rv>
  <rv s="0">
    <fb>45826</fb>
    <v>0</v>
  </rv>
  <rv s="0">
    <fb>211.08500000000001</fb>
    <v>1</v>
  </rv>
  <rv s="0">
    <fb>214.7199</fb>
    <v>1</v>
  </rv>
  <rv s="0">
    <fb>209.5701</fb>
    <v>1</v>
  </rv>
  <rv s="0">
    <fb>210.87</fb>
    <v>1</v>
  </rv>
  <rv s="0">
    <fb>15055390</fb>
    <v>2</v>
  </rv>
  <rv s="0">
    <fb>45828</fb>
    <v>0</v>
  </rv>
  <rv s="0">
    <fb>213.35</fb>
    <v>1</v>
  </rv>
  <rv s="0">
    <fb>213.8</fb>
    <v>1</v>
  </rv>
  <rv s="0">
    <fb>204.64</fb>
    <v>1</v>
  </rv>
  <rv s="0">
    <fb>205.17</fb>
    <v>1</v>
  </rv>
  <rv s="0">
    <fb>20879095</fb>
    <v>2</v>
  </rv>
  <rv s="0">
    <fb>45831</fb>
    <v>0</v>
  </rv>
  <rv s="0">
    <fb>205.505</fb>
    <v>1</v>
  </rv>
  <rv s="0">
    <fb>207.27</fb>
    <v>1</v>
  </rv>
  <rv s="0">
    <fb>202.54</fb>
    <v>1</v>
  </rv>
  <rv s="0">
    <fb>207.04</fb>
    <v>1</v>
  </rv>
  <rv s="0">
    <fb>13418393</fb>
    <v>2</v>
  </rv>
  <rv s="0">
    <fb>45832</fb>
    <v>0</v>
  </rv>
  <rv s="0">
    <fb>209.99</fb>
    <v>1</v>
  </rv>
  <rv s="0">
    <fb>216.36500000000001</fb>
    <v>1</v>
  </rv>
  <rv s="0">
    <fb>208.55</fb>
    <v>1</v>
  </rv>
  <rv s="0">
    <fb>215.27</fb>
    <v>1</v>
  </rv>
  <rv s="0">
    <fb>19030617</fb>
    <v>2</v>
  </rv>
  <rv s="0">
    <fb>45833</fb>
    <v>0</v>
  </rv>
  <rv s="0">
    <fb>214.93989999999999</fb>
    <v>1</v>
  </rv>
  <rv s="0">
    <fb>216.9299</fb>
    <v>1</v>
  </rv>
  <rv s="0">
    <fb>210.23</fb>
    <v>1</v>
  </rv>
  <rv s="0">
    <fb>210.72</fb>
    <v>1</v>
  </rv>
  <rv s="0">
    <fb>11804604</fb>
    <v>2</v>
  </rv>
  <rv s="0">
    <fb>45834</fb>
    <v>0</v>
  </rv>
  <rv s="0">
    <fb>212</fb>
    <v>1</v>
  </rv>
  <rv s="0">
    <fb>214.42</fb>
    <v>1</v>
  </rv>
  <rv s="0">
    <fb>210.3587</fb>
    <v>1</v>
  </rv>
  <rv s="0">
    <fb>212.82</fb>
    <v>1</v>
  </rv>
  <rv s="0">
    <fb>10531112</fb>
    <v>2</v>
  </rv>
  <rv s="0">
    <fb>45835</fb>
    <v>0</v>
  </rv>
  <rv s="0">
    <fb>213.69</fb>
    <v>1</v>
  </rv>
  <rv s="0">
    <fb>214.65</fb>
    <v>1</v>
  </rv>
  <rv s="0">
    <fb>209.96</fb>
    <v>1</v>
  </rv>
  <rv s="0">
    <fb>210.24</fb>
    <v>1</v>
  </rv>
  <rv s="0">
    <fb>14127502</fb>
    <v>2</v>
  </rv>
  <rv s="0">
    <fb>45838</fb>
    <v>0</v>
  </rv>
  <rv s="0">
    <fb>226.5</fb>
    <v>1</v>
  </rv>
  <rv s="0">
    <fb>228.22</fb>
    <v>1</v>
  </rv>
  <rv s="0">
    <fb>218.3801</fb>
    <v>1</v>
  </rv>
  <rv s="0">
    <fb>218.63</fb>
    <v>1</v>
  </rv>
  <rv s="0">
    <fb>31844231</fb>
    <v>2</v>
  </rv>
  <rv s="0">
    <fb>45839</fb>
    <v>0</v>
  </rv>
  <rv s="0">
    <fb>219.3</fb>
    <v>1</v>
  </rv>
  <rv s="0">
    <fb>223.17</fb>
    <v>1</v>
  </rv>
  <rv s="0">
    <fb>216.30789999999999</fb>
    <v>1</v>
  </rv>
  <rv s="0">
    <fb>218.96</fb>
    <v>1</v>
  </rv>
  <rv s="0">
    <fb>16962196</fb>
    <v>2</v>
  </rv>
  <rv s="0">
    <fb>45840</fb>
    <v>0</v>
  </rv>
  <rv s="0">
    <fb>217.68</fb>
    <v>1</v>
  </rv>
  <rv s="0">
    <fb>231.9</fb>
    <v>1</v>
  </rv>
  <rv s="0">
    <fb>216.72</fb>
    <v>1</v>
  </rv>
  <rv s="0">
    <fb>229.98</fb>
    <v>1</v>
  </rv>
  <rv s="0">
    <fb>22326900</fb>
    <v>2</v>
  </rv>
  <rv s="0">
    <fb>45841</fb>
    <v>0</v>
  </rv>
  <rv s="0">
    <fb>233.22</fb>
    <v>1</v>
  </rv>
  <rv s="0">
    <fb>237.98990000000001</fb>
    <v>1</v>
  </rv>
  <rv s="0">
    <fb>231.2</fb>
    <v>1</v>
  </rv>
  <rv s="0">
    <fb>237.32</fb>
    <v>1</v>
  </rv>
  <rv s="0">
    <fb>18441376</fb>
    <v>2</v>
  </rv>
  <rv s="0">
    <fb>45845</fb>
    <v>0</v>
  </rv>
  <rv s="0">
    <fb>235.11</fb>
    <v>1</v>
  </rv>
  <rv s="0">
    <fb>235.25</fb>
    <v>1</v>
  </rv>
  <rv s="0">
    <fb>229.5</fb>
    <v>1</v>
  </rv>
  <rv s="0">
    <fb>232.26</fb>
    <v>1</v>
  </rv>
  <rv s="0">
    <fb>16584266</fb>
    <v>2</v>
  </rv>
  <rv s="0">
    <fb>45846</fb>
    <v>0</v>
  </rv>
  <rv s="0">
    <fb>237.13</fb>
    <v>1</v>
  </rv>
  <rv s="0">
    <fb>241.4385</fb>
    <v>1</v>
  </rv>
  <rv s="0">
    <fb>233.19</fb>
    <v>1</v>
  </rv>
  <rv s="0">
    <fb>234.5</fb>
    <v>1</v>
  </rv>
  <rv s="0">
    <fb>20401777</fb>
    <v>2</v>
  </rv>
  <rv s="0">
    <fb>45847</fb>
    <v>0</v>
  </rv>
  <rv s="0">
    <fb>235.51</fb>
    <v>1</v>
  </rv>
  <rv s="0">
    <fb>236.51</fb>
    <v>1</v>
  </rv>
  <rv s="0">
    <fb>232</fb>
    <v>1</v>
  </rv>
  <rv s="0">
    <fb>235.81</fb>
    <v>1</v>
  </rv>
  <rv s="0">
    <fb>10871629</fb>
    <v>2</v>
  </rv>
  <rv s="0">
    <fb>45848</fb>
    <v>0</v>
  </rv>
  <rv s="0">
    <fb>239.94</fb>
    <v>1</v>
  </rv>
  <rv s="0">
    <fb>240.05500000000001</fb>
    <v>1</v>
  </rv>
  <rv s="0">
    <fb>233.5</fb>
    <v>1</v>
  </rv>
  <rv s="0">
    <fb>235</fb>
    <v>1</v>
  </rv>
  <rv s="0">
    <fb>11486345</fb>
    <v>2</v>
  </rv>
  <rv s="0">
    <fb>45849</fb>
    <v>0</v>
  </rv>
  <rv s="0">
    <fb>231.37</fb>
    <v>1</v>
  </rv>
  <rv s="0">
    <fb>234</fb>
    <v>1</v>
  </rv>
  <rv s="0">
    <fb>229.87</fb>
    <v>1</v>
  </rv>
  <rv s="0">
    <fb>230.56</fb>
    <v>1</v>
  </rv>
  <rv s="0">
    <fb>10208178</fb>
    <v>2</v>
  </rv>
  <rv s="0">
    <fb>45852</fb>
    <v>0</v>
  </rv>
  <rv s="0">
    <fb>229.45</fb>
    <v>1</v>
  </rv>
  <rv s="0">
    <fb>230.64</fb>
    <v>1</v>
  </rv>
  <rv s="0">
    <fb>225.12</fb>
    <v>1</v>
  </rv>
  <rv s="0">
    <fb>229.28</fb>
    <v>1</v>
  </rv>
  <rv s="0">
    <fb>11336967</fb>
    <v>2</v>
  </rv>
  <rv s="0">
    <fb>45853</fb>
    <v>0</v>
  </rv>
  <rv s="0">
    <fb>232.405</fb>
    <v>1</v>
  </rv>
  <rv s="0">
    <fb>235.6</fb>
    <v>1</v>
  </rv>
  <rv s="0">
    <fb>229.2</fb>
    <v>1</v>
  </rv>
  <rv s="0">
    <fb>234.96</fb>
    <v>1</v>
  </rv>
  <rv s="0">
    <fb>10728795</fb>
    <v>2</v>
  </rv>
  <rv s="0">
    <fb>45854</fb>
    <v>0</v>
  </rv>
  <rv s="0">
    <fb>235.5</fb>
    <v>1</v>
  </rv>
  <rv s="0">
    <fb>241.33</fb>
    <v>1</v>
  </rv>
  <rv s="0">
    <fb>241.3</fb>
    <v>1</v>
  </rv>
  <rv s="0">
    <fb>12597452</fb>
    <v>2</v>
  </rv>
  <rv s="0">
    <fb>45855</fb>
    <v>0</v>
  </rv>
  <rv s="0">
    <fb>243.34</fb>
    <v>1</v>
  </rv>
  <rv s="0">
    <fb>251.59989999999999</fb>
    <v>1</v>
  </rv>
  <rv s="0">
    <fb>242.01</fb>
    <v>1</v>
  </rv>
  <rv s="0">
    <fb>248.75</fb>
    <v>1</v>
  </rv>
  <rv s="0">
    <fb>17631328</fb>
    <v>2</v>
  </rv>
  <rv s="0">
    <fb>45856</fb>
    <v>0</v>
  </rv>
  <rv s="0">
    <fb>248.5</fb>
    <v>1</v>
  </rv>
  <rv s="0">
    <fb>249.68</fb>
    <v>1</v>
  </rv>
  <rv s="0">
    <fb>245</fb>
    <v>1</v>
  </rv>
  <rv s="0">
    <fb>245.45</fb>
    <v>1</v>
  </rv>
  <rv s="0">
    <fb>9678072</fb>
    <v>2</v>
  </rv>
  <rv s="0">
    <fb>45859</fb>
    <v>0</v>
  </rv>
  <rv s="0">
    <fb>245.31</fb>
    <v>1</v>
  </rv>
  <rv s="0">
    <fb>246.8</fb>
    <v>1</v>
  </rv>
  <rv s="0">
    <fb>243.24</fb>
    <v>1</v>
  </rv>
  <rv s="0">
    <fb>243.54</fb>
    <v>1</v>
  </rv>
  <rv s="0">
    <fb>7348362</fb>
    <v>2</v>
  </rv>
  <rv s="0">
    <fb>45860</fb>
    <v>0</v>
  </rv>
  <rv s="0">
    <fb>241.98</fb>
    <v>1</v>
  </rv>
  <rv s="0">
    <fb>242.29</fb>
    <v>1</v>
  </rv>
  <rv s="0">
    <fb>235.4101</fb>
    <v>1</v>
  </rv>
  <rv s="0">
    <fb>238.11</fb>
    <v>1</v>
  </rv>
  <rv s="0">
    <fb>11380866</fb>
    <v>2</v>
  </rv>
  <rv s="0">
    <fb>45861</fb>
    <v>0</v>
  </rv>
  <rv s="0">
    <fb>239.95</fb>
    <v>1</v>
  </rv>
  <rv s="0">
    <fb>243.42</fb>
    <v>1</v>
  </rv>
  <rv s="0">
    <fb>238.66</fb>
    <v>1</v>
  </rv>
  <rv s="0">
    <fb>241.9</fb>
    <v>1</v>
  </rv>
  <rv s="0">
    <fb>7255797</fb>
    <v>2</v>
  </rv>
  <rv s="0">
    <fb>45862</fb>
    <v>0</v>
  </rv>
  <rv s="0">
    <fb>242.41</fb>
    <v>1</v>
  </rv>
  <rv s="0">
    <fb>244.08</fb>
    <v>1</v>
  </rv>
  <rv s="0">
    <fb>240.56010000000001</fb>
    <v>1</v>
  </rv>
  <rv s="0">
    <fb>242.83</fb>
    <v>1</v>
  </rv>
  <rv s="0">
    <fb>8237851</fb>
    <v>2</v>
  </rv>
  <rv s="0">
    <fb>45863</fb>
    <v>0</v>
  </rv>
  <rv s="0">
    <fb>242.34</fb>
    <v>1</v>
  </rv>
  <rv s="0">
    <fb>245.47</fb>
    <v>1</v>
  </rv>
  <rv s="0">
    <fb>241.43</fb>
    <v>1</v>
  </rv>
  <rv s="0">
    <fb>245.12</fb>
    <v>1</v>
  </rv>
  <rv s="0">
    <fb>7149571</fb>
    <v>2</v>
  </rv>
  <rv s="0">
    <fb>45866</fb>
    <v>0</v>
  </rv>
  <rv s="0">
    <fb>246</fb>
    <v>1</v>
  </rv>
  <rv s="0">
    <fb>247.78</fb>
    <v>1</v>
  </rv>
  <rv s="0">
    <fb>247.71</fb>
    <v>1</v>
  </rv>
  <rv s="0">
    <fb>6756775</fb>
    <v>2</v>
  </rv>
  <rv s="0">
    <fb>45867</fb>
    <v>0</v>
  </rv>
  <rv s="0">
    <fb>248.7</fb>
    <v>1</v>
  </rv>
  <rv s="0">
    <fb>253.07</fb>
    <v>1</v>
  </rv>
  <rv s="0">
    <fb>246.59</fb>
    <v>1</v>
  </rv>
  <rv s="0">
    <fb>249.98</fb>
    <v>1</v>
  </rv>
  <rv s="0">
    <fb>8415324</fb>
    <v>2</v>
  </rv>
  <rv s="0">
    <fb>45868</fb>
    <v>0</v>
  </rv>
  <rv s="0">
    <fb>248.64</fb>
    <v>1</v>
  </rv>
  <rv s="0">
    <fb>251.05</fb>
    <v>1</v>
  </rv>
  <rv s="0">
    <fb>245.6</fb>
    <v>1</v>
  </rv>
  <rv s="0">
    <fb>250.6</fb>
    <v>1</v>
  </rv>
  <rv s="0">
    <fb>8441378</fb>
    <v>2</v>
  </rv>
  <rv s="0">
    <fb>45869</fb>
    <v>0</v>
  </rv>
  <rv s="0">
    <fb>255.76499999999999</fb>
    <v>1</v>
  </rv>
  <rv s="0">
    <fb>260.87</fb>
    <v>1</v>
  </rv>
  <rv s="0">
    <fb>253.31800000000001</fb>
    <v>1</v>
  </rv>
  <rv s="0">
    <fb>253.77</fb>
    <v>1</v>
  </rv>
  <rv s="0">
    <fb>15548726</fb>
    <v>2</v>
  </rv>
  <rv s="0">
    <fb>45870</fb>
    <v>0</v>
  </rv>
  <rv s="0">
    <fb>247.83</fb>
    <v>1</v>
  </rv>
  <rv s="0">
    <fb>248.41</fb>
    <v>1</v>
  </rv>
  <rv s="0">
    <fb>242</fb>
    <v>1</v>
  </rv>
  <rv s="0">
    <fb>244.42</fb>
    <v>1</v>
  </rv>
  <rv s="0">
    <fb>12718218</fb>
    <v>2</v>
  </rv>
  <rv s="0">
    <fb>45873</fb>
    <v>0</v>
  </rv>
  <rv s="0">
    <fb>245.9</fb>
    <v>1</v>
  </rv>
  <rv s="0">
    <fb>252.91</fb>
    <v>1</v>
  </rv>
  <rv s="0">
    <fb>252.53</fb>
    <v>1</v>
  </rv>
  <rv s="0">
    <fb>8614784</fb>
    <v>2</v>
  </rv>
  <rv s="0">
    <fb>45874</fb>
    <v>0</v>
  </rv>
  <rv s="0">
    <fb>255.41</fb>
    <v>1</v>
  </rv>
  <rv s="0">
    <fb>258.48719999999997</fb>
    <v>1</v>
  </rv>
  <rv s="0">
    <fb>251.37</fb>
    <v>1</v>
  </rv>
  <rv s="0">
    <fb>255.67</fb>
    <v>1</v>
  </rv>
  <rv s="0">
    <fb>11197287</fb>
    <v>2</v>
  </rv>
  <rv s="0">
    <fb>45875</fb>
    <v>0</v>
  </rv>
  <rv s="0">
    <fb>256.83999999999997</fb>
    <v>1</v>
  </rv>
  <rv s="0">
    <fb>251.72</fb>
    <v>1</v>
  </rv>
  <rv s="0">
    <fb>256.43</fb>
    <v>1</v>
  </rv>
  <rv s="0">
    <fb>9930222</fb>
    <v>2</v>
  </rv>
  <rv s="0">
    <fb>45876</fb>
    <v>0</v>
  </rv>
  <rv s="0">
    <fb>257.70999999999998</fb>
    <v>1</v>
  </rv>
  <rv s="0">
    <fb>257.76</fb>
    <v>1</v>
  </rv>
  <rv s="0">
    <fb>246.52</fb>
    <v>1</v>
  </rv>
  <rv s="0">
    <fb>249.39</fb>
    <v>1</v>
  </rv>
  <rv s="0">
    <fb>11954223</fb>
    <v>2</v>
  </rv>
  <rv s="0">
    <fb>45877</fb>
    <v>0</v>
  </rv>
  <rv s="0">
    <fb>250.03</fb>
    <v>1</v>
  </rv>
  <rv s="0">
    <fb>250.89340000000001</fb>
    <v>1</v>
  </rv>
  <rv s="0">
    <fb>247.86</fb>
    <v>1</v>
  </rv>
  <rv s="0">
    <fb>250.05</fb>
    <v>1</v>
  </rv>
  <rv s="0">
    <fb>8313278</fb>
    <v>2</v>
  </rv>
  <rv s="0">
    <fb>45880</fb>
    <v>0</v>
  </rv>
  <rv s="0">
    <fb>248.4</fb>
    <v>1</v>
  </rv>
  <rv s="0">
    <fb>254.69</fb>
    <v>1</v>
  </rv>
  <rv s="0">
    <fb>245.56</fb>
    <v>1</v>
  </rv>
  <rv s="0">
    <fb>252.68</fb>
    <v>1</v>
  </rv>
  <rv s="0">
    <fb>9012112</fb>
    <v>2</v>
  </rv>
  <rv s="0">
    <fb>45881</fb>
    <v>0</v>
  </rv>
  <rv s="0">
    <fb>252.58</fb>
    <v>1</v>
  </rv>
  <rv s="0">
    <fb>257.87</fb>
    <v>1</v>
  </rv>
  <rv s="0">
    <fb>251.08</fb>
    <v>1</v>
  </rv>
  <rv s="0">
    <fb>253.86</fb>
    <v>1</v>
  </rv>
  <rv s="0">
    <fb>10001712</fb>
    <v>2</v>
  </rv>
  <rv s="0">
    <fb>45882</fb>
    <v>0</v>
  </rv>
  <rv s="0">
    <fb>257.17</fb>
    <v>1</v>
  </rv>
  <rv s="0">
    <fb>257.66989999999998</fb>
    <v>1</v>
  </rv>
  <rv s="0">
    <fb>242.63499999999999</fb>
    <v>1</v>
  </rv>
  <rv s="0">
    <fb>244.18</fb>
    <v>1</v>
  </rv>
  <rv s="0">
    <fb>14182078</fb>
    <v>2</v>
  </rv>
  <rv s="0">
    <fb>45883</fb>
    <v>0</v>
  </rv>
  <rv s="0">
    <fb>244.95</fb>
    <v>1</v>
  </rv>
  <rv s="0">
    <fb>248.92</fb>
    <v>1</v>
  </rv>
  <rv s="0">
    <fb>242.57</fb>
    <v>1</v>
  </rv>
  <rv s="0">
    <fb>244.96</fb>
    <v>1</v>
  </rv>
  <rv s="0">
    <fb>10285555</fb>
    <v>2</v>
  </rv>
  <rv s="0">
    <fb>45884</fb>
    <v>0</v>
  </rv>
  <rv s="0">
    <fb>246.92</fb>
    <v>1</v>
  </rv>
  <rv s="0">
    <fb>250.63</fb>
    <v>1</v>
  </rv>
  <rv s="0">
    <fb>242.92500000000001</fb>
    <v>1</v>
  </rv>
  <rv s="0">
    <fb>248.28</fb>
    <v>1</v>
  </rv>
  <rv s="0">
    <fb>11553988</fb>
    <v>2</v>
  </rv>
  <rv s="0">
    <fb>45887</fb>
    <v>0</v>
  </rv>
  <rv s="0">
    <fb>246.2</fb>
    <v>1</v>
  </rv>
  <rv s="0">
    <fb>249.16</fb>
    <v>1</v>
  </rv>
  <rv s="0">
    <fb>243.62</fb>
    <v>1</v>
  </rv>
  <rv s="0">
    <fb>249.07</fb>
    <v>1</v>
  </rv>
  <rv s="0">
    <fb>6759921</fb>
    <v>2</v>
  </rv>
  <rv s="0">
    <fb>45888</fb>
    <v>0</v>
  </rv>
  <rv s="0">
    <fb>249.25</fb>
    <v>1</v>
  </rv>
  <rv s="0">
    <fb>232.23</fb>
    <v>1</v>
  </rv>
  <rv s="0">
    <fb>234.62</fb>
    <v>1</v>
  </rv>
  <rv s="0">
    <fb>16819250</fb>
    <v>2</v>
  </rv>
  <rv s="0">
    <fb>45889</fb>
    <v>0</v>
  </rv>
  <rv s="0">
    <fb>232.18</fb>
    <v>1</v>
  </rv>
  <rv s="0">
    <fb>235.88</fb>
    <v>1</v>
  </rv>
  <rv s="0">
    <fb>228.2543</fb>
    <v>1</v>
  </rv>
  <rv s="0">
    <fb>235.06</fb>
    <v>1</v>
  </rv>
  <rv s="0">
    <fb>11256417</fb>
    <v>2</v>
  </rv>
  <rv s="0">
    <fb>45890</fb>
    <v>0</v>
  </rv>
  <rv s="0">
    <fb>233.04499999999999</fb>
    <v>1</v>
  </rv>
  <rv s="0">
    <fb>235.91990000000001</fb>
    <v>1</v>
  </rv>
  <rv s="0">
    <fb>232.43</fb>
    <v>1</v>
  </rv>
  <rv s="0">
    <fb>233.16</fb>
    <v>1</v>
  </rv>
  <rv s="0">
    <fb>7403128</fb>
    <v>2</v>
  </rv>
  <rv s="0">
    <fb>45891</fb>
    <v>0</v>
  </rv>
  <rv s="0">
    <fb>234.06</fb>
    <v>1</v>
  </rv>
  <rv s="0">
    <fb>238.5</fb>
    <v>1</v>
  </rv>
  <rv s="0">
    <fb>231.46</fb>
    <v>1</v>
  </rv>
  <rv s="0">
    <fb>236.37</fb>
    <v>1</v>
  </rv>
  <rv s="0">
    <fb>9343637</fb>
    <v>2</v>
  </rv>
  <rv s="0">
    <fb>45894</fb>
    <v>0</v>
  </rv>
  <rv s="0">
    <fb>237.35</fb>
    <v>1</v>
  </rv>
  <rv s="0">
    <fb>239.03</fb>
    <v>1</v>
  </rv>
  <rv s="0">
    <fb>235.27</fb>
    <v>1</v>
  </rv>
  <rv s="0">
    <fb>235.41</fb>
    <v>1</v>
  </rv>
  <rv s="0">
    <fb>6308625</fb>
    <v>2</v>
  </rv>
  <rv s="0">
    <fb>45895</fb>
    <v>0</v>
  </rv>
  <rv s="0">
    <fb>236.905</fb>
    <v>1</v>
  </rv>
  <rv s="0">
    <fb>232.71</fb>
    <v>1</v>
  </rv>
  <rv s="0">
    <fb>234.21</fb>
    <v>1</v>
  </rv>
  <rv s="0">
    <fb>11805197</fb>
    <v>2</v>
  </rv>
  <rv s="0">
    <fb>45896</fb>
    <v>0</v>
  </rv>
  <rv s="0">
    <fb>234.995</fb>
    <v>1</v>
  </rv>
  <rv s="0">
    <fb>236.53</fb>
    <v>1</v>
  </rv>
  <rv s="0">
    <fb>232.68</fb>
    <v>1</v>
  </rv>
  <rv s="0">
    <fb>5637590</fb>
    <v>2</v>
  </rv>
  <rv s="0">
    <fb>45897</fb>
    <v>0</v>
  </rv>
  <rv s="0">
    <fb>235.54</fb>
    <v>1</v>
  </rv>
  <rv s="0">
    <fb>241.95</fb>
    <v>1</v>
  </rv>
  <rv s="0">
    <fb>235.12</fb>
    <v>1</v>
  </rv>
  <rv s="0">
    <fb>240.32</fb>
    <v>1</v>
  </rv>
  <rv s="0">
    <fb>8691548</fb>
    <v>2</v>
  </rv>
  <rv s="0">
    <fb>45898</fb>
    <v>0</v>
  </rv>
  <rv s="0">
    <fb>237.61</fb>
    <v>1</v>
  </rv>
  <rv s="0">
    <fb>238.22</fb>
    <v>1</v>
  </rv>
  <rv s="0">
    <fb>223.11</fb>
    <v>1</v>
  </rv>
  <rv s="0">
    <fb>226.13</fb>
    <v>1</v>
  </rv>
  <rv s="0">
    <fb>16618641</fb>
    <v>2</v>
  </rv>
  <rv s="0">
    <fb>45902</fb>
    <v>0</v>
  </rv>
  <rv s="0">
    <fb>222</fb>
    <v>1</v>
  </rv>
  <rv s="0">
    <fb>225.45</fb>
    <v>1</v>
  </rv>
  <rv s="0">
    <fb>218.79</fb>
    <v>1</v>
  </rv>
  <rv s="0">
    <fb>225.3</fb>
    <v>1</v>
  </rv>
  <rv s="0">
    <fb>10461903</fb>
    <v>2</v>
  </rv>
  <rv s="0">
    <fb>45903</fb>
    <v>0</v>
  </rv>
  <rv s="0">
    <fb>225.9</fb>
    <v>1</v>
  </rv>
  <rv s="0">
    <fb>221.75</fb>
    <v>1</v>
  </rv>
  <rv s="0">
    <fb>223.45</fb>
    <v>1</v>
  </rv>
  <rv s="0">
    <fb>8900813</fb>
    <v>2</v>
  </rv>
  <rv s="0">
    <fb>45904</fb>
    <v>0</v>
  </rv>
  <rv s="0">
    <fb>223.57</fb>
    <v>1</v>
  </rv>
  <rv s="0">
    <fb>219.56010000000001</fb>
    <v>1</v>
  </rv>
  <rv s="0">
    <fb>223</fb>
    <v>1</v>
  </rv>
  <rv s="0">
    <fb>10303069</fb>
    <v>2</v>
  </rv>
  <rv s="0">
    <fb>45905</fb>
    <v>0</v>
  </rv>
  <rv s="0">
    <fb>232.55</fb>
    <v>1</v>
  </rv>
  <rv s="0">
    <fb>225.88499999999999</fb>
    <v>1</v>
  </rv>
  <rv s="0">
    <fb>232.8</fb>
    <v>1</v>
  </rv>
  <rv s="0">
    <fb>15386096</fb>
    <v>2</v>
  </rv>
  <rv s="0">
    <fb>45908</fb>
    <v>0</v>
  </rv>
  <rv s="0">
    <fb>239.89</fb>
    <v>1</v>
  </rv>
  <rv s="0">
    <fb>242.42</fb>
    <v>1</v>
  </rv>
  <rv s="0">
    <fb>235.31</fb>
    <v>1</v>
  </rv>
  <rv s="0">
    <fb>238.48</fb>
    <v>1</v>
  </rv>
  <rv s="0">
    <fb>18803046</fb>
    <v>2</v>
  </rv>
  <rv s="0">
    <fb>45909</fb>
    <v>0</v>
  </rv>
  <rv s="0">
    <fb>243.49</fb>
    <v>1</v>
  </rv>
  <rv s="0">
    <fb>234.56</fb>
    <v>1</v>
  </rv>
  <rv s="0">
    <fb>241.51</fb>
    <v>1</v>
  </rv>
  <rv s="0">
    <fb>41178697</fb>
    <v>2</v>
  </rv>
  <rv s="0">
    <fb>45910</fb>
    <v>0</v>
  </rv>
  <rv s="0">
    <fb>319.19</fb>
    <v>1</v>
  </rv>
  <rv s="0">
    <fb>345.72</fb>
    <v>1</v>
  </rv>
  <rv s="0">
    <fb>312.08999999999997</fb>
    <v>1</v>
  </rv>
  <rv s="0">
    <fb>328.33</fb>
    <v>1</v>
  </rv>
  <rv s="0">
    <fb>131618085</fb>
    <v>2</v>
  </rv>
  <rv s="0">
    <fb>45911</fb>
    <v>0</v>
  </rv>
  <rv s="0">
    <fb>330.34</fb>
    <v>1</v>
  </rv>
  <rv s="0">
    <fb>331</fb>
    <v>1</v>
  </rv>
  <rv s="0">
    <fb>304.60000000000002</fb>
    <v>1</v>
  </rv>
  <rv s="0">
    <fb>307.86</fb>
    <v>1</v>
  </rv>
  <rv s="0">
    <fb>69986027</fb>
    <v>2</v>
  </rv>
  <rv s="0">
    <fb>45912</fb>
    <v>0</v>
  </rv>
  <rv s="0">
    <fb>305.79000000000002</fb>
    <v>1</v>
  </rv>
  <rv s="0">
    <fb>307.97000000000003</fb>
    <v>1</v>
  </rv>
  <rv s="0">
    <fb>291.75</fb>
    <v>1</v>
  </rv>
  <rv s="0">
    <fb>292.18</fb>
    <v>1</v>
  </rv>
  <rv s="0">
    <fb>51781914</fb>
    <v>2</v>
  </rv>
  <rv s="0">
    <fb>45915</fb>
    <v>0</v>
  </rv>
  <rv s="0">
    <fb>306.45</fb>
    <v>1</v>
  </rv>
  <rv s="0">
    <fb>307.02999999999997</fb>
    <v>1</v>
  </rv>
  <rv s="0">
    <fb>297.29000000000002</fb>
    <v>1</v>
  </rv>
  <rv s="0">
    <fb>302.14</fb>
    <v>1</v>
  </rv>
  <rv s="0">
    <fb>40004004</fb>
    <v>2</v>
  </rv>
  <rv s="0">
    <fb>45916</fb>
    <v>0</v>
  </rv>
  <rv s="0">
    <fb>314.06</fb>
    <v>1</v>
  </rv>
  <rv s="0">
    <fb>319.97000000000003</fb>
    <v>1</v>
  </rv>
  <rv s="0">
    <fb>302.2724</fb>
    <v>1</v>
  </rv>
  <rv s="0">
    <fb>306.64999999999998</fb>
    <v>1</v>
  </rv>
  <rv s="0">
    <fb>51923268</fb>
    <v>2</v>
  </rv>
  <rv s="0">
    <fb>45917</fb>
    <v>0</v>
  </rv>
  <rv s="0">
    <fb>307.69</fb>
    <v>1</v>
  </rv>
  <rv s="0">
    <fb>308.66000000000003</fb>
    <v>1</v>
  </rv>
  <rv s="0">
    <fb>295.02999999999997</fb>
    <v>1</v>
  </rv>
  <rv s="0">
    <fb>301.41000000000003</fb>
    <v>1</v>
  </rv>
  <rv s="0">
    <fb>27707949</fb>
    <v>2</v>
  </rv>
  <rv s="0">
    <fb>45918</fb>
    <v>0</v>
  </rv>
  <rv s="0">
    <fb>303.03500000000003</fb>
    <v>1</v>
  </rv>
  <rv s="0">
    <fb>303.82</fb>
    <v>1</v>
  </rv>
  <rv s="0">
    <fb>292</fb>
    <v>1</v>
  </rv>
  <rv s="0">
    <fb>296.62</fb>
    <v>1</v>
  </rv>
  <rv s="0">
    <fb>24673116</fb>
    <v>2</v>
  </rv>
  <rv s="0">
    <fb>45919</fb>
    <v>0</v>
  </rv>
  <rv s="0">
    <fb>299</fb>
    <v>1</v>
  </rv>
  <rv s="0">
    <fb>311.11</fb>
    <v>1</v>
  </rv>
  <rv s="0">
    <fb>297.32</fb>
    <v>1</v>
  </rv>
  <rv s="0">
    <fb>40776201</fb>
    <v>2</v>
  </rv>
  <rv s="0">
    <fb>45922</fb>
    <v>0</v>
  </rv>
  <rv s="0">
    <fb>309.63</fb>
    <v>1</v>
  </rv>
  <rv s="0">
    <fb>329.5</fb>
    <v>1</v>
  </rv>
  <rv s="0">
    <fb>306.92</fb>
    <v>1</v>
  </rv>
  <rv s="0">
    <fb>328.15</fb>
    <v>1</v>
  </rv>
  <rv s="0">
    <fb>44437549</fb>
    <v>2</v>
  </rv>
  <rv s="0">
    <fb>45923</fb>
    <v>0</v>
  </rv>
  <rv s="0">
    <fb>324</fb>
    <v>1</v>
  </rv>
  <rv s="0">
    <fb>325</fb>
    <v>1</v>
  </rv>
  <rv s="0">
    <fb>310.05</fb>
    <v>1</v>
  </rv>
  <rv s="0">
    <fb>313.83</fb>
    <v>1</v>
  </rv>
  <rv s="0">
    <fb>35280199</fb>
    <v>2</v>
  </rv>
  <rv s="0">
    <fb>45924</fb>
    <v>0</v>
  </rv>
  <rv s="0">
    <fb>311.86</fb>
    <v>1</v>
  </rv>
  <rv s="0">
    <fb>312.47000000000003</fb>
    <v>1</v>
  </rv>
  <rv s="0">
    <fb>300.02999999999997</fb>
    <v>1</v>
  </rv>
  <rv s="0">
    <fb>308.45999999999998</fb>
    <v>1</v>
  </rv>
  <rv s="0">
    <fb>33765279</fb>
    <v>2</v>
  </rv>
  <rv s="0">
    <fb>45925</fb>
    <v>0</v>
  </rv>
  <rv s="0">
    <fb>295.27</fb>
    <v>1</v>
  </rv>
  <rv s="0">
    <fb>298.75</fb>
    <v>1</v>
  </rv>
  <rv s="0">
    <fb>288.55</fb>
    <v>1</v>
  </rv>
  <rv s="0">
    <fb>291.33</fb>
    <v>1</v>
  </rv>
  <rv s="0">
    <fb>39274883</fb>
    <v>2</v>
  </rv>
  <rv s="0">
    <fb>45926</fb>
    <v>0</v>
  </rv>
  <rv s="0">
    <fb>293</fb>
    <v>1</v>
  </rv>
  <rv s="0">
    <fb>294</fb>
    <v>1</v>
  </rv>
  <rv s="0">
    <fb>283</fb>
    <v>1</v>
  </rv>
  <rv s="0">
    <fb>283.45999999999998</fb>
    <v>1</v>
  </rv>
  <rv s="0">
    <fb>25990691</fb>
    <v>2</v>
  </rv>
  <rv s="0">
    <fb>45929</fb>
    <v>0</v>
  </rv>
  <rv s="0">
    <fb>284.60000000000002</fb>
    <v>1</v>
  </rv>
  <rv s="0">
    <fb>285.98</fb>
    <v>1</v>
  </rv>
  <rv s="0">
    <fb>279.61</fb>
    <v>1</v>
  </rv>
  <rv s="0">
    <fb>282.76</fb>
    <v>1</v>
  </rv>
  <rv s="0">
    <fb>25778508</fb>
    <v>2</v>
  </rv>
  <rv s="0">
    <fb>45930</fb>
    <v>0</v>
  </rv>
  <rv s="0">
    <fb>283.69</fb>
    <v>1</v>
  </rv>
  <rv s="0">
    <fb>284</fb>
    <v>1</v>
  </rv>
  <rv s="0">
    <fb>275.89999999999998</fb>
    <v>1</v>
  </rv>
  <rv s="0">
    <fb>281.24</fb>
    <v>1</v>
  </rv>
  <rv s="0">
    <fb>23880810</fb>
    <v>2</v>
  </rv>
  <rv s="0">
    <fb>45931</fb>
    <v>0</v>
  </rv>
  <rv s="0">
    <fb>278.8</fb>
    <v>1</v>
  </rv>
  <rv s="0">
    <fb>289.99</fb>
    <v>1</v>
  </rv>
  <rv s="0">
    <fb>277.88</fb>
    <v>1</v>
  </rv>
  <rv s="0">
    <fb>289.01</fb>
    <v>1</v>
  </rv>
  <rv s="0">
    <fb>23378324</fb>
    <v>2</v>
  </rv>
  <rv s="0">
    <fb>45932</fb>
    <v>0</v>
  </rv>
  <rv s="0">
    <fb>291.8</fb>
    <v>1</v>
  </rv>
  <rv s="0">
    <fb>294.97000000000003</fb>
    <v>1</v>
  </rv>
  <rv s="0">
    <fb>286.05</fb>
    <v>1</v>
  </rv>
  <rv s="0">
    <fb>288.77999999999997</fb>
    <v>1</v>
  </rv>
  <rv s="0">
    <fb>16215460</fb>
    <v>2</v>
  </rv>
  <rv s="0">
    <fb>45933</fb>
    <v>0</v>
  </rv>
  <rv s="0">
    <fb>289.60000000000002</fb>
    <v>1</v>
  </rv>
  <rv s="0">
    <fb>294.64</fb>
    <v>1</v>
  </rv>
  <rv s="0">
    <fb>286.14</fb>
    <v>1</v>
  </rv>
  <rv s="0">
    <fb>13688407</fb>
    <v>2</v>
  </rv>
  <rv s="0">
    <fb>45936</fb>
    <v>0</v>
  </rv>
  <rv s="0">
    <fb>292.38</fb>
    <v>1</v>
  </rv>
  <rv s="0">
    <fb>296.68</fb>
    <v>1</v>
  </rv>
  <rv s="0">
    <fb>290.8</fb>
    <v>1</v>
  </rv>
  <rv s="0">
    <fb>291.58999999999997</fb>
    <v>1</v>
  </rv>
  <rv s="0">
    <fb>14076795</fb>
    <v>2</v>
  </rv>
  <rv s="0">
    <fb>45937</fb>
    <v>0</v>
  </rv>
  <rv s="0">
    <fb>293.22000000000003</fb>
    <v>1</v>
  </rv>
  <rv s="0">
    <fb>271</fb>
    <v>1</v>
  </rv>
  <rv s="0">
    <fb>284.24</fb>
    <v>1</v>
  </rv>
  <rv s="0">
    <fb>31723384</fb>
    <v>2</v>
  </rv>
  <rv s="0">
    <fb>45938</fb>
    <v>0</v>
  </rv>
  <rv s="0">
    <fb>285.42</fb>
    <v>1</v>
  </rv>
  <rv s="0">
    <fb>291.52999999999997</fb>
    <v>1</v>
  </rv>
  <rv s="0">
    <fb>283.60000000000002</fb>
    <v>1</v>
  </rv>
  <rv s="0">
    <fb>288.63</fb>
    <v>1</v>
  </rv>
  <rv s="0">
    <fb>18982122</fb>
    <v>2</v>
  </rv>
  <rv s="0">
    <fb>45939</fb>
    <v>0</v>
  </rv>
  <rv s="0">
    <fb>291.55</fb>
    <v>1</v>
  </rv>
  <rv s="0">
    <fb>300.97000000000003</fb>
    <v>1</v>
  </rv>
  <rv s="0">
    <fb>287.26</fb>
    <v>1</v>
  </rv>
  <rv s="0">
    <fb>296.95999999999998</fb>
    <v>1</v>
  </rv>
  <rv s="0">
    <fb>26479833</fb>
    <v>2</v>
  </rv>
  <rv s="0">
    <fb>45940</fb>
    <v>0</v>
  </rv>
  <rv s="0">
    <fb>300.27999999999997</fb>
    <v>1</v>
  </rv>
  <rv s="0">
    <fb>307.72000000000003</fb>
    <v>1</v>
  </rv>
  <rv s="0">
    <fb>292.01</fb>
    <v>1</v>
  </rv>
  <rv s="0">
    <fb>292.95999999999998</fb>
    <v>1</v>
  </rv>
  <rv s="0">
    <fb>28895338</fb>
    <v>2</v>
  </rv>
  <rv s="0">
    <fb>45943</fb>
    <v>0</v>
  </rv>
  <rv s="0">
    <fb>298.7</fb>
    <v>1</v>
  </rv>
  <rv s="0">
    <fb>310.7</fb>
    <v>1</v>
  </rv>
  <rv s="0">
    <fb>297.74</fb>
    <v>1</v>
  </rv>
  <rv s="0">
    <fb>308.01</fb>
    <v>1</v>
  </rv>
  <rv s="0">
    <fb>21703725</fb>
    <v>2</v>
  </rv>
  <rv s="0">
    <fb>45944</fb>
    <v>0</v>
  </rv>
  <rv s="0">
    <fb>303.57</fb>
    <v>1</v>
  </rv>
  <rv s="0">
    <fb>304.42</fb>
    <v>1</v>
  </rv>
  <rv s="0">
    <fb>291.98</fb>
    <v>1</v>
  </rv>
  <rv s="0">
    <fb>17346186</fb>
    <v>2</v>
  </rv>
  <rv s="0">
    <fb>45945</fb>
    <v>0</v>
  </rv>
  <rv s="0">
    <fb>304.89999999999998</fb>
    <v>1</v>
  </rv>
  <rv s="0">
    <fb>311.01</fb>
    <v>1</v>
  </rv>
  <rv s="0">
    <fb>298.92</fb>
    <v>1</v>
  </rv>
  <rv s="0">
    <fb>303.62</fb>
    <v>1</v>
  </rv>
  <rv s="0">
    <fb>13698938</fb>
    <v>2</v>
  </rv>
  <rv s="0">
    <fb>45946</fb>
    <v>0</v>
  </rv>
  <rv s="0">
    <fb>305.60000000000002</fb>
    <v>1</v>
  </rv>
  <rv s="0">
    <fb>322.54000000000002</fb>
    <v>1</v>
  </rv>
  <rv s="0">
    <fb>303.07</fb>
    <v>1</v>
  </rv>
  <rv s="0">
    <fb>313</fb>
    <v>1</v>
  </rv>
  <rv s="0">
    <fb>32500863</fb>
    <v>2</v>
  </rv>
  <rv s="0">
    <fb>45947</fb>
    <v>0</v>
  </rv>
  <rv s="0">
    <fb>303.75</fb>
    <v>1</v>
  </rv>
  <rv s="0">
    <fb>304.27999999999997</fb>
    <v>1</v>
  </rv>
  <rv s="0">
    <fb>287.5</fb>
    <v>1</v>
  </rv>
  <rv s="0">
    <fb>291.31</fb>
    <v>1</v>
  </rv>
  <rv s="0">
    <fb>37653000</fb>
    <v>2</v>
  </rv>
  <rv s="0">
    <fb>45950</fb>
    <v>0</v>
  </rv>
  <rv s="0">
    <fb>288.95</fb>
    <v>1</v>
  </rv>
  <rv s="0">
    <fb>289.24</fb>
    <v>1</v>
  </rv>
  <rv s="0">
    <fb>275.31</fb>
    <v>1</v>
  </rv>
  <rv s="0">
    <fb>277.18</fb>
    <v>1</v>
  </rv>
  <rv s="0">
    <fb>32810748</fb>
    <v>2</v>
  </rv>
  <rv s="0">
    <fb>45951</fb>
    <v>0</v>
  </rv>
  <rv s="0">
    <fb>278.11</fb>
    <v>1</v>
  </rv>
  <rv s="0">
    <fb>280.29989999999998</fb>
    <v>1</v>
  </rv>
  <rv s="0">
    <fb>272.26</fb>
    <v>1</v>
  </rv>
  <rv s="0">
    <fb>275.14999999999998</fb>
    <v>1</v>
  </rv>
  <rv s="0">
    <fb>18370806</fb>
    <v>2</v>
  </rv>
  <rv s="0">
    <fb>45952</fb>
    <v>0</v>
  </rv>
  <rv s="0">
    <fb>274.82</fb>
    <v>1</v>
  </rv>
  <rv s="0">
    <fb>277.2</fb>
    <v>1</v>
  </rv>
  <rv s="0">
    <fb>269.25</fb>
    <v>1</v>
  </rv>
  <rv s="0">
    <fb>272.66000000000003</fb>
    <v>1</v>
  </rv>
  <rv s="0">
    <fb>16474016</fb>
    <v>2</v>
  </rv>
  <rv s="0">
    <fb>45953</fb>
    <v>0</v>
  </rv>
  <rv s="0">
    <fb>272.95999999999998</fb>
    <v>1</v>
  </rv>
  <rv s="0">
    <fb>283.10000000000002</fb>
    <v>1</v>
  </rv>
  <rv s="0">
    <fb>272.38499999999999</fb>
    <v>1</v>
  </rv>
  <rv s="0">
    <fb>280.07</fb>
    <v>1</v>
  </rv>
  <rv s="0">
    <fb>16872158</fb>
    <v>2</v>
  </rv>
  <rv s="0">
    <fb>45954</fb>
    <v>0</v>
  </rv>
  <rv s="0">
    <fb>285.92</fb>
    <v>1</v>
  </rv>
  <rv s="0">
    <fb>287.19</fb>
    <v>1</v>
  </rv>
  <rv s="0">
    <fb>282.245</fb>
    <v>1</v>
  </rv>
  <rv s="0">
    <fb>283.33</fb>
    <v>1</v>
  </rv>
  <rv s="0">
    <fb>13194896</fb>
    <v>2</v>
  </rv>
  <rv s="0">
    <fb>45957</fb>
    <v>0</v>
  </rv>
  <rv s="0">
    <fb>286.57</fb>
    <v>1</v>
  </rv>
  <rv s="0">
    <fb>287</fb>
    <v>1</v>
  </rv>
  <rv s="0">
    <fb>279.81</fb>
    <v>1</v>
  </rv>
  <rv s="0">
    <fb>281.39999999999998</fb>
    <v>1</v>
  </rv>
  <rv s="0">
    <fb>13855836</fb>
    <v>2</v>
  </rv>
  <rv s="0">
    <fb>45958</fb>
    <v>0</v>
  </rv>
  <rv s="0">
    <fb>285.45999999999998</fb>
    <v>1</v>
  </rv>
  <rv s="0">
    <fb>280.54000000000002</fb>
    <v>1</v>
  </rv>
  <rv s="0">
    <fb>280.83</fb>
    <v>1</v>
  </rv>
  <rv s="0">
    <fb>12448523</fb>
    <v>2</v>
  </rv>
  <rv s="0">
    <fb>45959</fb>
    <v>0</v>
  </rv>
  <rv s="0">
    <fb>281.45999999999998</fb>
    <v>1</v>
  </rv>
  <rv s="0">
    <fb>281.62</fb>
    <v>1</v>
  </rv>
  <rv s="0">
    <fb>271.35000000000002</fb>
    <v>1</v>
  </rv>
  <rv s="0">
    <fb>275.3</fb>
    <v>1</v>
  </rv>
  <rv s="0">
    <fb>18007149</fb>
    <v>2</v>
  </rv>
  <rv s="0">
    <fb>45960</fb>
    <v>0</v>
  </rv>
  <rv s="0">
    <fb>268.74</fb>
    <v>1</v>
  </rv>
  <rv s="0">
    <fb>269.76</fb>
    <v>1</v>
  </rv>
  <rv s="0">
    <fb>256.27999999999997</fb>
    <v>1</v>
  </rv>
  <rv s="0">
    <fb>256.89</fb>
    <v>1</v>
  </rv>
  <rv s="0">
    <fb>27954197</fb>
    <v>2</v>
  </rv>
  <rv s="0">
    <fb>45961</fb>
    <v>0</v>
  </rv>
  <rv s="0">
    <fb>259.51</fb>
    <v>1</v>
  </rv>
  <rv s="0">
    <fb>265.81</fb>
    <v>1</v>
  </rv>
  <rv s="0">
    <fb>256.7097</fb>
    <v>1</v>
  </rv>
  <rv s="0">
    <fb>262.61</fb>
    <v>1</v>
  </rv>
  <rv s="0">
    <fb>16898693</fb>
    <v>2</v>
  </rv>
  <rv s="0">
    <fb>45964</fb>
    <v>0</v>
  </rv>
  <rv s="0">
    <fb>265.24</fb>
    <v>1</v>
  </rv>
  <rv s="0">
    <fb>265.62</fb>
    <v>1</v>
  </rv>
  <rv s="0">
    <fb>255.23</fb>
    <v>1</v>
  </rv>
  <rv s="0">
    <fb>257.85000000000002</fb>
    <v>1</v>
  </rv>
  <rv s="0">
    <fb>15709214</fb>
    <v>2</v>
  </rv>
  <rv s="0">
    <fb>45965</fb>
    <v>0</v>
  </rv>
  <rv s="0">
    <fb>255.28</fb>
    <v>1</v>
  </rv>
  <rv s="0">
    <fb>245.185</fb>
    <v>1</v>
  </rv>
  <rv s="0">
    <fb>248.17</fb>
    <v>1</v>
  </rv>
  <rv s="0">
    <fb>19772593</fb>
    <v>2</v>
  </rv>
  <rv s="0">
    <fb>45966</fb>
    <v>0</v>
  </rv>
  <rv s="0">
    <fb>247.91</fb>
    <v>1</v>
  </rv>
  <rv s="0">
    <fb>252.4</fb>
    <v>1</v>
  </rv>
  <rv s="0">
    <fb>247.03</fb>
    <v>1</v>
  </rv>
  <rv s="0">
    <fb>250.31</fb>
    <v>1</v>
  </rv>
  <rv s="0">
    <fb>11991459</fb>
    <v>2</v>
  </rv>
  <rv s="0">
    <fb>45967</fb>
    <v>0</v>
  </rv>
  <rv s="0">
    <fb>247.94</fb>
    <v>1</v>
  </rv>
  <rv s="0">
    <fb>239.29</fb>
    <v>1</v>
  </rv>
  <rv s="0">
    <fb>243.8</fb>
    <v>1</v>
  </rv>
  <rv s="0">
    <fb>18678269</fb>
    <v>2</v>
  </rv>
  <rv s="0">
    <fb>45968</fb>
    <v>0</v>
  </rv>
  <rv s="0">
    <fb>239</fb>
    <v>1</v>
  </rv>
  <rv s="0">
    <fb>240.4</fb>
    <v>1</v>
  </rv>
  <rv s="0">
    <fb>232.35</fb>
    <v>1</v>
  </rv>
  <rv s="0">
    <fb>239.26</fb>
    <v>1</v>
  </rv>
  <rv s="0">
    <fb>20969260</fb>
    <v>2</v>
  </rv>
  <rv s="0">
    <fb>45971</fb>
    <v>0</v>
  </rv>
  <rv s="0">
    <fb>245.95</fb>
    <v>1</v>
  </rv>
  <rv s="0">
    <fb>247.24</fb>
    <v>1</v>
  </rv>
  <rv s="0">
    <fb>237.07</fb>
    <v>1</v>
  </rv>
  <rv s="0">
    <fb>240.83</fb>
    <v>1</v>
  </rv>
  <rv s="0">
    <fb>16698716</fb>
    <v>2</v>
  </rv>
  <rv s="0">
    <fb>45972</fb>
    <v>0</v>
  </rv>
  <rv s="0">
    <fb>236.23</fb>
    <v>1</v>
  </rv>
  <rv s="0">
    <fb>237.45</fb>
    <v>1</v>
  </rv>
  <rv s="0">
    <fb>228.89</fb>
    <v>1</v>
  </rv>
  <rv s="0">
    <fb>236.15</fb>
    <v>1</v>
  </rv>
  <rv s="0">
    <fb>20686607</fb>
    <v>2</v>
  </rv>
  <rv s="0">
    <fb>45973</fb>
    <v>0</v>
  </rv>
  <rv s="0">
    <fb>236.74</fb>
    <v>1</v>
  </rv>
  <rv s="0">
    <fb>236.81</fb>
    <v>1</v>
  </rv>
  <rv s="0">
    <fb>226.17</fb>
    <v>1</v>
  </rv>
  <rv s="0">
    <fb>226.99</fb>
    <v>1</v>
  </rv>
  <rv s="0">
    <fb>24194992</fb>
    <v>2</v>
  </rv>
  <rv s="0">
    <fb>45974</fb>
    <v>0</v>
  </rv>
  <rv s="0">
    <fb>224.99</fb>
    <v>1</v>
  </rv>
  <rv s="0">
    <fb>225.16</fb>
    <v>1</v>
  </rv>
  <rv s="0">
    <fb>217.57</fb>
    <v>1</v>
  </rv>
  <rv s="0">
    <fb>30008998</fb>
    <v>2</v>
  </rv>
  <rv s="0">
    <fb>45975</fb>
    <v>0</v>
  </rv>
  <rv s="0">
    <fb>210.83</fb>
    <v>1</v>
  </rv>
  <rv s="0">
    <fb>227.05</fb>
    <v>1</v>
  </rv>
  <rv s="0">
    <fb>210.77</fb>
    <v>1</v>
  </rv>
  <rv s="0">
    <fb>222.85</fb>
    <v>1</v>
  </rv>
  <rv s="0">
    <fb>36053807</fb>
    <v>2</v>
  </rv>
  <rv s="0">
    <fb>45978</fb>
    <v>0</v>
  </rv>
  <rv s="0">
    <fb>218.21</fb>
    <v>1</v>
  </rv>
  <rv s="0">
    <fb>222.8</fb>
    <v>1</v>
  </rv>
  <rv s="0">
    <fb>215.56</fb>
    <v>1</v>
  </rv>
  <rv s="0">
    <fb>219.86</fb>
    <v>1</v>
  </rv>
  <rv s="0">
    <fb>16143779</fb>
    <v>2</v>
  </rv>
  <rv s="0">
    <fb>45979</fb>
    <v>0</v>
  </rv>
  <rv s="0">
    <fb>216.20500000000001</fb>
    <v>1</v>
  </rv>
  <rv s="0">
    <fb>223.7</fb>
    <v>1</v>
  </rv>
  <rv s="0">
    <fb>214.5</fb>
    <v>1</v>
  </rv>
  <rv s="0">
    <fb>220.49</fb>
    <v>1</v>
  </rv>
  <rv s="0">
    <fb>21098291</fb>
    <v>2</v>
  </rv>
  <rv s="0">
    <fb>45980</fb>
    <v>0</v>
  </rv>
  <rv s="0">
    <fb>219.06</fb>
    <v>1</v>
  </rv>
  <rv s="0">
    <fb>228.1499</fb>
    <v>1</v>
  </rv>
  <rv s="0">
    <fb>217.31</fb>
    <v>1</v>
  </rv>
  <rv s="0">
    <fb>225.53</fb>
    <v>1</v>
  </rv>
  <rv s="0">
    <fb>21679490</fb>
    <v>2</v>
  </rv>
  <rv s="0">
    <fb>45981</fb>
    <v>0</v>
  </rv>
  <rv s="0">
    <fb>231.16</fb>
    <v>1</v>
  </rv>
  <rv s="0">
    <fb>210.3</fb>
    <v>1</v>
  </rv>
  <rv s="0">
    <fb>210.69</fb>
    <v>1</v>
  </rv>
  <rv s="0">
    <fb>27459600</fb>
    <v>2</v>
  </rv>
  <rv s="0">
    <fb>45982</fb>
    <v>0</v>
  </rv>
  <rv s="0">
    <fb>207.08</fb>
    <v>1</v>
  </rv>
  <rv s="0">
    <fb>208.31</fb>
    <v>1</v>
  </rv>
  <rv s="0">
    <fb>193.55</fb>
    <v>1</v>
  </rv>
  <rv s="0">
    <fb>198.76</fb>
    <v>1</v>
  </rv>
  <rv s="0">
    <fb>44834071</fb>
    <v>2</v>
  </rv>
  <rv s="0">
    <fb>45985</fb>
    <v>0</v>
  </rv>
  <rv s="0">
    <fb>196.85499999999999</fb>
    <v>1</v>
  </rv>
  <rv s="0">
    <fb>203.82</fb>
    <v>1</v>
  </rv>
  <rv s="0">
    <fb>194.3</fb>
    <v>1</v>
  </rv>
  <rv s="0">
    <fb>200.28</fb>
    <v>1</v>
  </rv>
  <rv s="0">
    <fb>31144706</fb>
    <v>2</v>
  </rv>
  <rv s="0">
    <fb>45986</fb>
    <v>0</v>
  </rv>
  <rv s="0">
    <fb>194.08</fb>
    <v>1</v>
  </rv>
  <rv s="0">
    <fb>199.41</fb>
    <v>1</v>
  </rv>
  <rv s="0">
    <fb>185.63</fb>
    <v>1</v>
  </rv>
  <rv s="0">
    <fb>197.03</fb>
    <v>1</v>
  </rv>
  <rv s="0">
    <fb>29594993</fb>
    <v>2</v>
  </rv>
  <rv s="0">
    <fb>45987</fb>
    <v>0</v>
  </rv>
  <rv s="0">
    <fb>209.5</fb>
    <v>1</v>
  </rv>
  <rv s="0">
    <fb>210</fb>
    <v>1</v>
  </rv>
  <rv s="0">
    <fb>202.24</fb>
    <v>1</v>
  </rv>
  <rv s="0">
    <fb>204.96</fb>
    <v>1</v>
  </rv>
  <rv s="0">
    <fb>26544148</fb>
    <v>2</v>
  </rv>
  <rv s="0">
    <fb>45989</fb>
    <v>0</v>
  </rv>
  <rv s="0">
    <fb>199.51</fb>
    <v>1</v>
  </rv>
  <rv s="0">
    <fb>202.3399</fb>
    <v>1</v>
  </rv>
  <rv s="0">
    <fb>197.61</fb>
    <v>1</v>
  </rv>
  <rv s="0">
    <fb>201.95</fb>
    <v>1</v>
  </rv>
  <rv s="0">
    <fb>13848479</fb>
    <v>2</v>
  </rv>
  <rv s="0">
    <fb>45992</fb>
    <v>0</v>
  </rv>
  <rv s="0">
    <fb>200.5</fb>
    <v>1</v>
  </rv>
  <rv s="0">
    <fb>203.5</fb>
    <v>1</v>
  </rv>
  <rv s="0">
    <fb>196.7</fb>
    <v>1</v>
  </rv>
  <rv s="0">
    <fb>200.94</fb>
    <v>1</v>
  </rv>
  <rv s="0">
    <fb>13461204</fb>
    <v>2</v>
  </rv>
  <rv s="0">
    <fb>45993</fb>
    <v>0</v>
  </rv>
  <rv s="0">
    <fb>205.14</fb>
    <v>1</v>
  </rv>
  <rv s="0">
    <fb>209.7</fb>
    <v>1</v>
  </rv>
  <rv s="0">
    <fb>200</fb>
    <v>1</v>
  </rv>
  <rv s="0">
    <fb>201.1</fb>
    <v>1</v>
  </rv>
  <rv s="0">
    <fb>19664471</fb>
    <v>2</v>
  </rv>
  <rv s="0">
    <fb>45994</fb>
    <v>0</v>
  </rv>
  <rv s="0">
    <fb>200.33</fb>
    <v>1</v>
  </rv>
  <rv s="0">
    <fb>207.92</fb>
    <v>1</v>
  </rv>
  <rv s="0">
    <fb>199.4</fb>
    <v>1</v>
  </rv>
  <rv s="0">
    <fb>207.73</fb>
    <v>1</v>
  </rv>
  <rv s="0">
    <fb>19060528</fb>
    <v>2</v>
  </rv>
  <rv s="0">
    <fb>45995</fb>
    <v>0</v>
  </rv>
  <rv s="0">
    <fb>207.86</fb>
    <v>1</v>
  </rv>
  <rv s="0">
    <fb>215.41</fb>
    <v>1</v>
  </rv>
  <rv s="0">
    <fb>206.315</fb>
    <v>1</v>
  </rv>
  <rv s="0">
    <fb>214.33</fb>
    <v>1</v>
  </rv>
  <rv s="0">
    <fb>23316937</fb>
    <v>2</v>
  </rv>
  <rv s="0">
    <fb>45996</fb>
    <v>0</v>
  </rv>
  <rv s="0">
    <fb>219</fb>
    <v>1</v>
  </rv>
  <rv s="0">
    <fb>219.5</fb>
    <v>1</v>
  </rv>
  <rv s="0">
    <fb>213.62</fb>
    <v>1</v>
  </rv>
  <rv s="0">
    <fb>217.58</fb>
    <v>1</v>
  </rv>
  <rv s="0">
    <fb>24208687</fb>
    <v>2</v>
  </rv>
  <rv s="0">
    <fb>45999</fb>
    <v>0</v>
  </rv>
  <rv s="0">
    <fb>221.345</fb>
    <v>1</v>
  </rv>
  <rv s="0">
    <fb>224.75</fb>
    <v>1</v>
  </rv>
  <rv s="0">
    <fb>216.91</fb>
    <v>1</v>
  </rv>
  <rv s="0">
    <fb>220.54</fb>
    <v>1</v>
  </rv>
  <rv s="0">
    <fb>24711161</fb>
    <v>2</v>
  </rv>
  <rv s="0">
    <fb>46000</fb>
    <v>0</v>
  </rv>
  <rv s="0">
    <fb>220.03</fb>
    <v>1</v>
  </rv>
  <rv s="0">
    <fb>222.62</fb>
    <v>1</v>
  </rv>
  <rv s="0">
    <fb>218.28</fb>
    <v>1</v>
  </rv>
  <rv s="0">
    <fb>221.53</fb>
    <v>1</v>
  </rv>
  <rv s="0">
    <fb>17643643</fb>
    <v>2</v>
  </rv>
  <rv s="0">
    <fb>46001</fb>
    <v>0</v>
  </rv>
  <rv s="0">
    <fb>221.8</fb>
    <v>1</v>
  </rv>
  <rv s="0">
    <fb>225.32</fb>
    <v>1</v>
  </rv>
  <rv s="0">
    <fb>223.01</fb>
    <v>1</v>
  </rv>
  <rv s="0">
    <fb>47927993</fb>
    <v>2</v>
  </rv>
  <rv s="0">
    <fb>46002</fb>
    <v>0</v>
  </rv>
  <rv s="0">
    <fb>190.62</fb>
    <v>1</v>
  </rv>
  <rv s="0">
    <fb>201.99</fb>
    <v>1</v>
  </rv>
  <rv s="0">
    <fb>186.23</fb>
    <v>1</v>
  </rv>
  <rv s="0">
    <fb>198.85</fb>
    <v>1</v>
  </rv>
  <rv s="0">
    <fb>100612691</fb>
    <v>2</v>
  </rv>
  <rv s="0">
    <fb>46003</fb>
    <v>0</v>
  </rv>
  <rv s="0">
    <fb>196.37</fb>
    <v>1</v>
  </rv>
  <rv s="0">
    <fb>197.85</fb>
    <v>1</v>
  </rv>
  <rv s="0">
    <fb>185.98</fb>
    <v>1</v>
  </rv>
  <rv s="0">
    <fb>189.97</fb>
    <v>1</v>
  </rv>
  <rv s="0">
    <fb>55201644</fb>
    <v>2</v>
  </rv>
  <rv s="0">
    <fb>46006</fb>
    <v>0</v>
  </rv>
  <rv s="0">
    <fb>188.29</fb>
    <v>1</v>
  </rv>
  <rv s="0">
    <fb>188.96969999999999</fb>
    <v>1</v>
  </rv>
  <rv s="0">
    <fb>181.4</fb>
    <v>1</v>
  </rv>
  <rv s="0">
    <fb>184.92</fb>
    <v>1</v>
  </rv>
  <rv s="0">
    <fb>43897509</fb>
    <v>2</v>
  </rv>
  <rv s="0">
    <fb>46007</fb>
    <v>0</v>
  </rv>
  <rv s="0">
    <fb>184.7</fb>
    <v>1</v>
  </rv>
  <rv s="0">
    <fb>189.8</fb>
    <v>1</v>
  </rv>
  <rv s="0">
    <fb>184.49</fb>
    <v>1</v>
  </rv>
  <rv s="0">
    <fb>188.65</fb>
    <v>1</v>
  </rv>
  <rv s="0">
    <fb>32433525</fb>
    <v>2</v>
  </rv>
  <rv s="0">
    <fb>46008</fb>
    <v>0</v>
  </rv>
  <rv s="0">
    <fb>183.31</fb>
    <v>1</v>
  </rv>
  <rv s="0">
    <fb>186.5</fb>
    <v>1</v>
  </rv>
  <rv s="0">
    <fb>177.07</fb>
    <v>1</v>
  </rv>
  <rv s="0">
    <fb>178.46</fb>
    <v>1</v>
  </rv>
  <rv s="0">
    <fb>50222018</fb>
    <v>2</v>
  </rv>
  <rv s="0">
    <fb>46009</fb>
    <v>0</v>
  </rv>
  <rv s="0">
    <fb>182.72</fb>
    <v>1</v>
  </rv>
  <rv s="0">
    <fb>184.76</fb>
    <v>1</v>
  </rv>
  <rv s="0">
    <fb>180.03</fb>
    <v>1</v>
  </rv>
  <rv s="0">
    <fb>36297285</fb>
    <v>2</v>
  </rv>
  <rv s="0">
    <fb>46010</fb>
    <v>0</v>
  </rv>
  <rv s="0">
    <fb>188.38499999999999</fb>
    <v>1</v>
  </rv>
  <rv s="0">
    <fb>195.12</fb>
    <v>1</v>
  </rv>
  <rv s="0">
    <fb>188.12</fb>
    <v>1</v>
  </rv>
  <rv s="0">
    <fb>191.97</fb>
    <v>1</v>
  </rv>
  <rv s="0">
    <fb>77008550</fb>
    <v>2</v>
  </rv>
  <rv s="0">
    <fb>46013</fb>
    <v>0</v>
  </rv>
  <rv s="0">
    <fb>196.82</fb>
    <v>1</v>
  </rv>
  <rv s="0">
    <fb>198.8</fb>
    <v>1</v>
  </rv>
  <rv s="0">
    <fb>192.83</fb>
    <v>1</v>
  </rv>
  <rv s="0">
    <fb>198.38</fb>
    <v>1</v>
  </rv>
  <rv s="0">
    <fb>27148017</fb>
    <v>2</v>
  </rv>
  <rv s="0">
    <fb>46014</fb>
    <v>0</v>
  </rv>
  <rv s="0">
    <fb>196.43</fb>
    <v>1</v>
  </rv>
  <rv s="0">
    <fb>197.2</fb>
    <v>1</v>
  </rv>
  <rv s="0">
    <fb>192.19</fb>
    <v>1</v>
  </rv>
  <rv s="0">
    <fb>195.34</fb>
    <v>1</v>
  </rv>
  <rv s="0">
    <fb>18301588</fb>
    <v>2</v>
  </rv>
  <rv s="0">
    <fb>46015</fb>
    <v>0</v>
  </rv>
  <rv s="0">
    <fb>195</fb>
    <v>1</v>
  </rv>
  <rv s="0">
    <fb>198.28</fb>
    <v>1</v>
  </rv>
  <rv s="0">
    <fb>194.42</fb>
    <v>1</v>
  </rv>
  <rv s="0">
    <fb>197.49</fb>
    <v>1</v>
  </rv>
  <rv s="0">
    <fb>9282733</fb>
    <v>2</v>
  </rv>
  <rv s="0">
    <fb>46017</fb>
    <v>0</v>
  </rv>
  <rv s="0">
    <fb>198.06</fb>
    <v>1</v>
  </rv>
  <rv s="0">
    <fb>200.3699</fb>
    <v>1</v>
  </rv>
  <rv s="0">
    <fb>196.11</fb>
    <v>1</v>
  </rv>
  <rv s="0">
    <fb>197.99</fb>
    <v>1</v>
  </rv>
  <rv s="0">
    <fb>11262030</fb>
    <v>2</v>
  </rv>
  <rv s="0">
    <fb>46020</fb>
    <v>0</v>
  </rv>
  <rv s="0">
    <fb>194.16</fb>
    <v>1</v>
  </rv>
  <rv s="0">
    <fb>198.51</fb>
    <v>1</v>
  </rv>
  <rv s="0">
    <fb>192.64</fb>
    <v>1</v>
  </rv>
  <rv s="0">
    <fb>195.38</fb>
    <v>1</v>
  </rv>
  <rv s="0">
    <fb>14748125</fb>
    <v>2</v>
  </rv>
  <rv s="0">
    <fb>46021</fb>
    <v>0</v>
  </rv>
  <rv s="0">
    <fb>196.06</fb>
    <v>1</v>
  </rv>
  <rv s="0">
    <fb>195.71</fb>
    <v>1</v>
  </rv>
  <rv s="0">
    <fb>197.21</fb>
    <v>1</v>
  </rv>
  <rv s="0">
    <fb>14197359</fb>
    <v>2</v>
  </rv>
  <rv s="0">
    <fb>46022</fb>
    <v>0</v>
  </rv>
  <rv s="0">
    <fb>196.42</fb>
    <v>1</v>
  </rv>
  <rv s="0">
    <fb>194.73</fb>
    <v>1</v>
  </rv>
  <rv s="0">
    <fb>194.91</fb>
    <v>1</v>
  </rv>
  <rv s="0">
    <fb>10341453</fb>
    <v>2</v>
  </rv>
  <rv s="0">
    <fb>46024</fb>
    <v>0</v>
  </rv>
  <rv s="0">
    <fb>197.47</fb>
    <v>1</v>
  </rv>
  <rv s="0">
    <fb>198.59</fb>
    <v>1</v>
  </rv>
  <rv s="0">
    <fb>194.21</fb>
    <v>1</v>
  </rv>
  <rv s="0">
    <fb>14540657</fb>
    <v>2</v>
  </rv>
  <rv s="0">
    <fb>46027</fb>
    <v>0</v>
  </rv>
  <rv s="0">
    <fb>198.34</fb>
    <v>1</v>
  </rv>
  <rv s="0">
    <fb>201.69</fb>
    <v>1</v>
  </rv>
  <rv s="0">
    <fb>192.33</fb>
    <v>1</v>
  </rv>
  <rv s="0">
    <fb>192.59</fb>
    <v>1</v>
  </rv>
  <rv s="0">
    <fb>22635516</fb>
    <v>2</v>
  </rv>
  <rv s="0">
    <fb>46028</fb>
    <v>0</v>
  </rv>
  <rv s="0">
    <fb>192.56</fb>
    <v>1</v>
  </rv>
  <rv s="0">
    <fb>194.875</fb>
    <v>1</v>
  </rv>
  <rv s="0">
    <fb>190.7</fb>
    <v>1</v>
  </rv>
  <rv s="0">
    <fb>193.75</fb>
    <v>1</v>
  </rv>
  <rv s="0">
    <fb>16474464</fb>
    <v>2</v>
  </rv>
  <rv s="0">
    <fb>46029</fb>
    <v>0</v>
  </rv>
  <rv s="0">
    <fb>195.3</fb>
    <v>1</v>
  </rv>
  <rv s="0">
    <fb>195.67</fb>
    <v>1</v>
  </rv>
  <rv s="0">
    <fb>192</fb>
    <v>1</v>
  </rv>
  <rv s="0">
    <fb>192.84</fb>
    <v>1</v>
  </rv>
  <rv s="0">
    <fb>11171198</fb>
    <v>2</v>
  </rv>
  <rv s="0">
    <fb>46030</fb>
    <v>0</v>
  </rv>
  <rv s="0">
    <fb>190.88</fb>
    <v>1</v>
  </rv>
  <rv s="0">
    <fb>190.95</fb>
    <v>1</v>
  </rv>
  <rv s="0">
    <fb>186.15</fb>
    <v>1</v>
  </rv>
  <rv s="0">
    <fb>189.65</fb>
    <v>1</v>
  </rv>
  <rv s="0">
    <fb>19468504</fb>
    <v>2</v>
  </rv>
  <rv s="0">
    <fb>46031</fb>
    <v>0</v>
  </rv>
  <rv s="0">
    <fb>191.655</fb>
    <v>1</v>
  </rv>
  <rv s="0">
    <fb>200.18</fb>
    <v>1</v>
  </rv>
  <rv s="0">
    <fb>188.78</fb>
    <v>1</v>
  </rv>
  <rv s="0">
    <fb>198.52</fb>
    <v>1</v>
  </rv>
  <rv s="0">
    <fb>26152742</fb>
    <v>2</v>
  </rv>
  <rv s="0">
    <fb>46034</fb>
    <v>0</v>
  </rv>
  <rv s="0">
    <fb>197.6</fb>
    <v>1</v>
  </rv>
  <rv s="0">
    <fb>206.6</fb>
    <v>1</v>
  </rv>
  <rv s="0">
    <fb>197.01079999999999</fb>
    <v>1</v>
  </rv>
  <rv s="0">
    <fb>204.68</fb>
    <v>1</v>
  </rv>
  <rv s="0">
    <fb>25428545</fb>
    <v>2</v>
  </rv>
  <rv s="0">
    <fb>46035</fb>
    <v>0</v>
  </rv>
  <rv s="0">
    <fb>205</fb>
    <v>1</v>
  </rv>
  <rv s="0">
    <fb>207.8</fb>
    <v>1</v>
  </rv>
  <rv s="0">
    <fb>200.655</fb>
    <v>1</v>
  </rv>
  <rv s="0">
    <fb>202.29</fb>
    <v>1</v>
  </rv>
  <rv s="0">
    <fb>15857426</fb>
    <v>2</v>
  </rv>
  <rv s="0">
    <fb>46036</fb>
    <v>0</v>
  </rv>
  <rv s="0">
    <fb>201.68</fb>
    <v>1</v>
  </rv>
  <rv s="0">
    <fb>190.81</fb>
    <v>1</v>
  </rv>
  <rv s="0">
    <fb>193.61</fb>
    <v>1</v>
  </rv>
  <rv s="0">
    <fb>22473159</fb>
    <v>2</v>
  </rv>
  <rv s="0">
    <fb>46037</fb>
    <v>0</v>
  </rv>
  <rv s="0">
    <fb>195.01</fb>
    <v>1</v>
  </rv>
  <rv s="0">
    <fb>189.39</fb>
    <v>1</v>
  </rv>
  <rv s="0">
    <fb>189.85</fb>
    <v>1</v>
  </rv>
  <rv s="0">
    <fb>16418626</fb>
    <v>2</v>
  </rv>
  <rv s="0">
    <fb>46038</fb>
    <v>0</v>
  </rv>
  <rv s="0">
    <fb>189.91</fb>
    <v>1</v>
  </rv>
  <rv s="0">
    <fb>191.87</fb>
    <v>1</v>
  </rv>
  <rv s="0">
    <fb>186.53</fb>
    <v>1</v>
  </rv>
  <rv s="0">
    <fb>191.09</fb>
    <v>1</v>
  </rv>
  <rv s="0">
    <fb>19224705</fb>
    <v>2</v>
  </rv>
  <rv s="0">
    <fb>46042</fb>
    <v>0</v>
  </rv>
  <rv s="0">
    <fb>187.19</fb>
    <v>1</v>
  </rv>
  <rv s="0">
    <fb>179.36</fb>
    <v>1</v>
  </rv>
  <rv s="0">
    <fb>179.92</fb>
    <v>1</v>
  </rv>
  <rv s="0">
    <fb>29129492</fb>
    <v>2</v>
  </rv>
  <rv s="0">
    <fb>46043</fb>
    <v>0</v>
  </rv>
  <rv s="0">
    <fb>179.68</fb>
    <v>1</v>
  </rv>
  <rv s="0">
    <fb>180.6</fb>
    <v>1</v>
  </rv>
  <rv s="0">
    <fb>173.88</fb>
    <v>1</v>
  </rv>
  <rv s="0">
    <fb>38189995</fb>
    <v>2</v>
  </rv>
  <rv s="0">
    <fb>46044</fb>
    <v>0</v>
  </rv>
  <rv s="0">
    <fb>179.37</fb>
    <v>1</v>
  </rv>
  <rv s="0">
    <fb>180.16</fb>
    <v>1</v>
  </rv>
  <rv s="0">
    <fb>176.5</fb>
    <v>1</v>
  </rv>
  <rv s="0">
    <fb>178.18</fb>
    <v>1</v>
  </rv>
  <rv s="0">
    <fb>21141907</fb>
    <v>2</v>
  </rv>
  <rv s="0">
    <fb>46045</fb>
    <v>0</v>
  </rv>
  <rv s="0">
    <fb>172.62</fb>
    <v>1</v>
  </rv>
  <rv s="0">
    <fb>179.65</fb>
    <v>1</v>
  </rv>
  <rv s="0">
    <fb>172</fb>
    <v>1</v>
  </rv>
  <rv s="0">
    <fb>177.16</fb>
    <v>1</v>
  </rv>
  <rv s="0">
    <fb>23011338</fb>
    <v>2</v>
  </rv>
  <rv s="0">
    <fb>46048</fb>
    <v>0</v>
  </rv>
  <rv s="0">
    <fb>179.1</fb>
    <v>1</v>
  </rv>
  <rv s="0">
    <fb>185.31</fb>
    <v>1</v>
  </rv>
  <rv s="0">
    <fb>178.53</fb>
    <v>1</v>
  </rv>
  <rv s="0">
    <fb>182.44</fb>
    <v>1</v>
  </rv>
  <rv s="0">
    <fb>21100378</fb>
    <v>2</v>
  </rv>
  <rv s="0">
    <fb>46049</fb>
    <v>0</v>
  </rv>
  <rv s="0">
    <fb>179.19</fb>
    <v>1</v>
  </rv>
  <rv s="0">
    <fb>179.72</fb>
    <v>1</v>
  </rv>
  <rv s="0">
    <fb>173.68</fb>
    <v>1</v>
  </rv>
  <rv s="0">
    <fb>174.9</fb>
    <v>1</v>
  </rv>
  <rv s="0">
    <fb>27093664</fb>
    <v>2</v>
  </rv>
  <rv s="0">
    <fb>46050</fb>
    <v>0</v>
  </rv>
  <rv s="0">
    <fb>174.91499999999999</fb>
    <v>1</v>
  </rv>
  <rv s="0">
    <fb>171.86</fb>
    <v>1</v>
  </rv>
  <rv s="0">
    <fb>172.8</fb>
    <v>1</v>
  </rv>
  <rv s="0">
    <fb>35882668</fb>
    <v>2</v>
  </rv>
  <rv s="0">
    <fb>46051</fb>
    <v>0</v>
  </rv>
  <rv s="0">
    <fb>170.23</fb>
    <v>1</v>
  </rv>
  <rv s="0">
    <fb>161.52000000000001</fb>
    <v>1</v>
  </rv>
  <rv s="0">
    <fb>169.01</fb>
    <v>1</v>
  </rv>
  <rv s="0">
    <fb>37254511</fb>
    <v>2</v>
  </rv>
  <rv s="0">
    <fb>46052</fb>
    <v>0</v>
  </rv>
  <rv s="0">
    <fb>168.17</fb>
    <v>1</v>
  </rv>
  <rv s="0">
    <fb>163.24</fb>
    <v>1</v>
  </rv>
  <rv s="0">
    <fb>27362378</fb>
    <v>2</v>
  </rv>
  <rv s="0">
    <fb>46055</fb>
    <v>0</v>
  </rv>
  <rv s="0">
    <fb>170.92</fb>
    <v>1</v>
  </rv>
  <rv s="0">
    <fb>171.2</fb>
    <v>1</v>
  </rv>
  <rv s="0">
    <fb>160.06</fb>
    <v>1</v>
  </rv>
  <rv s="0">
    <fb>47421032</fb>
    <v>2</v>
  </rv>
  <rv s="0">
    <fb>46056</fb>
    <v>0</v>
  </rv>
  <rv s="0">
    <fb>158.26</fb>
    <v>1</v>
  </rv>
  <rv s="0">
    <fb>159.38</fb>
    <v>1</v>
  </rv>
  <rv s="0">
    <fb>151.9</fb>
    <v>1</v>
  </rv>
  <rv s="0">
    <fb>154.66999999999999</fb>
    <v>1</v>
  </rv>
  <rv s="0">
    <fb>43260101</fb>
    <v>2</v>
  </rv>
  <rv s="0">
    <fb>46057</fb>
    <v>0</v>
  </rv>
  <rv s="0">
    <fb>153.88999999999999</fb>
    <v>1</v>
  </rv>
  <rv s="0">
    <fb>153.94</fb>
    <v>1</v>
  </rv>
  <rv s="0">
    <fb>144.43199999999999</fb>
    <v>1</v>
  </rv>
  <rv s="0">
    <fb>146.66999999999999</fb>
    <v>1</v>
  </rv>
  <rv s="0">
    <fb>42323390</fb>
    <v>2</v>
  </rv>
  <rv s="0">
    <fb>46058</fb>
    <v>0</v>
  </rv>
  <rv s="0">
    <fb>145.6</fb>
    <v>1</v>
  </rv>
  <rv s="0">
    <fb>146.55000000000001</fb>
    <v>1</v>
  </rv>
  <rv s="0">
    <fb>135.25</fb>
    <v>1</v>
  </rv>
  <rv s="0">
    <fb>136.47999999999999</fb>
    <v>1</v>
  </rv>
  <rv s="0">
    <fb>42788953</fb>
    <v>2</v>
  </rv>
  <rv s="0">
    <fb>46059</fb>
    <v>0</v>
  </rv>
  <rv s="0">
    <fb>139.75</fb>
    <v>1</v>
  </rv>
  <rv s="0">
    <fb>143.19999999999999</fb>
    <v>1</v>
  </rv>
  <rv s="0">
    <fb>138.91</fb>
    <v>1</v>
  </rv>
  <rv s="0">
    <fb>29962414</fb>
    <v>2</v>
  </rv>
  <rv s="0">
    <fb>46062</fb>
    <v>0</v>
  </rv>
  <rv s="0">
    <fb>148.49</fb>
    <v>1</v>
  </rv>
  <rv s="0">
    <fb>159.75</fb>
    <v>1</v>
  </rv>
  <rv s="0">
    <fb>147</fb>
    <v>1</v>
  </rv>
  <rv s="0">
    <fb>156.59</fb>
    <v>1</v>
  </rv>
  <rv s="0">
    <fb>49936490</fb>
    <v>2</v>
  </rv>
  <rv s="0">
    <fb>46063</fb>
    <v>0</v>
  </rv>
  <rv s="0">
    <fb>165.39</fb>
    <v>1</v>
  </rv>
  <rv s="0">
    <fb>156.96</fb>
    <v>1</v>
  </rv>
  <rv s="0">
    <fb>159.88999999999999</fb>
    <v>1</v>
  </rv>
  <rv s="0">
    <fb>40092248</fb>
    <v>2</v>
  </rv>
  <rv s="0">
    <fb>46064</fb>
    <v>0</v>
  </rv>
  <rv s="0">
    <fb>163.66</fb>
    <v>1</v>
  </rv>
  <rv s="0">
    <fb>154</fb>
    <v>1</v>
  </rv>
  <rv s="0">
    <fb>157.16</fb>
    <v>1</v>
  </rv>
  <rv s="0">
    <fb>24538854</fb>
    <v>2</v>
  </rv>
  <rv s="0">
    <fb>46065</fb>
    <v>0</v>
  </rv>
  <rv s="0">
    <fb>157.93</fb>
    <v>1</v>
  </rv>
  <rv s="0">
    <fb>152.5</fb>
    <v>1</v>
  </rv>
  <rv s="0">
    <fb>23285399</fb>
    <v>2</v>
  </rv>
  <rv s="0">
    <fb>46066</fb>
    <v>0</v>
  </rv>
  <rv s="0">
    <fb>159.25</fb>
    <v>1</v>
  </rv>
  <rv s="0">
    <fb>162.30000000000001</fb>
    <v>1</v>
  </rv>
  <rv s="0">
    <fb>155.29</fb>
    <v>1</v>
  </rv>
  <rv s="0">
    <fb>160.13999999999999</fb>
    <v>1</v>
  </rv>
  <rv s="0">
    <fb>18596959</fb>
    <v>2</v>
  </rv>
  <rv s="0">
    <fb>46070</fb>
    <v>0</v>
  </rv>
  <rv s="0">
    <fb>157.97999999999999</fb>
    <v>1</v>
  </rv>
  <rv s="0">
    <fb>159.28</fb>
    <v>1</v>
  </rv>
  <rv s="0">
    <fb>152.88</fb>
    <v>1</v>
  </rv>
  <rv s="0">
    <fb>153.97</fb>
    <v>1</v>
  </rv>
  <rv s="0">
    <fb>19610800</fb>
    <v>2</v>
  </rv>
  <rv s="0">
    <fb>46071</fb>
    <v>0</v>
  </rv>
  <rv s="0">
    <fb>154.405</fb>
    <v>1</v>
  </rv>
  <rv s="0">
    <fb>157.30000000000001</fb>
    <v>1</v>
  </rv>
  <rv s="0">
    <fb>151.37</fb>
    <v>1</v>
  </rv>
  <rv s="0">
    <fb>156.16999999999999</fb>
    <v>1</v>
  </rv>
  <rv s="0">
    <fb>14801081</fb>
    <v>2</v>
  </rv>
  <rv s="0">
    <fb>46072</fb>
    <v>0</v>
  </rv>
  <rv s="0">
    <fb>157.19</fb>
    <v>1</v>
  </rv>
  <rv s="0">
    <fb>160.08269999999999</fb>
    <v>1</v>
  </rv>
  <rv s="0">
    <fb>155.77000000000001</fb>
    <v>1</v>
  </rv>
  <rv s="0">
    <fb>156.54</fb>
    <v>1</v>
  </rv>
  <rv s="0">
    <fb>14976323</fb>
    <v>2</v>
  </rv>
  <rv s="0">
    <fb>46073</fb>
    <v>0</v>
  </rv>
  <rv s="0">
    <fb>153.30000000000001</fb>
    <v>1</v>
  </rv>
  <rv s="0">
    <fb>153.99</fb>
    <v>1</v>
  </rv>
  <rv s="0">
    <fb>147.38999999999999</fb>
    <v>1</v>
  </rv>
  <rv s="0">
    <fb>148.08000000000001</fb>
    <v>1</v>
  </rv>
  <rv s="0">
    <fb>29621889</fb>
    <v>2</v>
  </rv>
  <rv s="0">
    <fb>46076</fb>
    <v>0</v>
  </rv>
  <rv s="0">
    <fb>145.69</fb>
    <v>1</v>
  </rv>
  <rv s="0">
    <fb>145.80000000000001</fb>
    <v>1</v>
  </rv>
  <rv s="0">
    <fb>138.58500000000001</fb>
    <v>1</v>
  </rv>
  <rv s="0">
    <fb>31749782</fb>
    <v>2</v>
  </rv>
  <rv s="0">
    <fb>46077</fb>
    <v>0</v>
  </rv>
  <rv s="0">
    <fb>140.84</fb>
    <v>1</v>
  </rv>
  <rv s="0">
    <fb>146.76</fb>
    <v>1</v>
  </rv>
  <rv s="0">
    <fb>146.13999999999999</fb>
    <v>1</v>
  </rv>
  <rv s="0">
    <fb>21336624</fb>
    <v>2</v>
  </rv>
  <rv s="0">
    <fb>46078</fb>
    <v>0</v>
  </rv>
  <rv s="0">
    <fb>149.16</fb>
    <v>1</v>
  </rv>
  <rv s="0">
    <fb>153.27940000000001</fb>
    <v>1</v>
  </rv>
  <rv s="0">
    <fb>147.33500000000001</fb>
    <v>1</v>
  </rv>
  <rv s="0">
    <fb>27303928</fb>
    <v>2</v>
  </rv>
  <rv s="0">
    <fb>46079</fb>
    <v>0</v>
  </rv>
  <rv s="0">
    <fb>145.15</fb>
    <v>1</v>
  </rv>
  <rv s="0">
    <fb>150.31</fb>
    <v>1</v>
  </rv>
  <rv s="0">
    <fb>20652223</fb>
    <v>2</v>
  </rv>
  <rv s="0">
    <fb>46080</fb>
    <v>0</v>
  </rv>
  <rv s="0">
    <fb>143.88</fb>
    <v>1</v>
  </rv>
  <rv s="0">
    <fb>146.08000000000001</fb>
    <v>1</v>
  </rv>
  <rv s="0">
    <fb>142.1</fb>
    <v>1</v>
  </rv>
  <rv s="0">
    <fb>145.4</fb>
    <v>1</v>
  </rv>
  <rv s="0">
    <fb>36425195</fb>
    <v>2</v>
  </rv>
  <rv s="0">
    <fb>46083</fb>
    <v>0</v>
  </rv>
  <rv s="0">
    <fb>141.62</fb>
    <v>1</v>
  </rv>
  <rv s="0">
    <fb>141.18</fb>
    <v>1</v>
  </rv>
  <rv s="0">
    <fb>149.25</fb>
    <v>1</v>
  </rv>
  <rv s="0">
    <fb>22418782</fb>
    <v>2</v>
  </rv>
  <rv s="0">
    <fb>46084</fb>
    <v>0</v>
  </rv>
  <rv s="0">
    <fb>144.75</fb>
    <v>1</v>
  </rv>
  <rv s="0">
    <fb>150.93</fb>
    <v>1</v>
  </rv>
  <rv s="0">
    <fb>143.05000000000001</fb>
    <v>1</v>
  </rv>
  <rv s="0">
    <fb>149.01</fb>
    <v>1</v>
  </rv>
  <rv s="0">
    <fb>20120790</fb>
    <v>2</v>
  </rv>
  <rv s="0">
    <fb>46085</fb>
    <v>0</v>
  </rv>
  <rv s="0">
    <fb>150.01</fb>
    <v>1</v>
  </rv>
  <rv s="0">
    <fb>153.61000000000001</fb>
    <v>1</v>
  </rv>
  <rv s="0">
    <fb>149.1</fb>
    <v>1</v>
  </rv>
  <rv s="0">
    <fb>17585394</fb>
    <v>2</v>
  </rv>
  <rv s="0">
    <fb>46086</fb>
    <v>0</v>
  </rv>
  <rv s="0">
    <fb>152.59</fb>
    <v>1</v>
  </rv>
  <rv s="0">
    <fb>157.94</fb>
    <v>1</v>
  </rv>
  <rv s="0">
    <fb>150.12</fb>
    <v>1</v>
  </rv>
  <rv s="0">
    <fb>154.79</fb>
    <v>1</v>
  </rv>
  <rv s="0">
    <fb>24094779</fb>
    <v>2</v>
  </rv>
  <rv s="0">
    <fb>46087</fb>
    <v>0</v>
  </rv>
  <rv s="0">
    <fb>152.91999999999999</fb>
    <v>1</v>
  </rv>
  <rv s="0">
    <fb>151.62</fb>
    <v>1</v>
  </rv>
  <rv s="0">
    <fb>152.96</fb>
    <v>1</v>
  </rv>
  <rv s="0">
    <fb>38000592</fb>
    <v>2</v>
  </rv>
  <rv s="0">
    <fb>46090</fb>
    <v>0</v>
  </rv>
  <rv s="0">
    <fb>150.69999999999999</fb>
    <v>1</v>
  </rv>
  <rv s="0">
    <fb>152</fb>
    <v>1</v>
  </rv>
  <rv s="0">
    <fb>146.4348</fb>
    <v>1</v>
  </rv>
  <rv s="0">
    <fb>151.56</fb>
    <v>1</v>
  </rv>
  <rv s="0">
    <fb>31173468</fb>
    <v>2</v>
  </rv>
  <rv s="0">
    <fb>46091</fb>
    <v>0</v>
  </rv>
  <rv s="0">
    <fb>153.62</fb>
    <v>1</v>
  </rv>
  <rv s="0">
    <fb>154.13999999999999</fb>
    <v>1</v>
  </rv>
  <rv s="0">
    <fb>148.44999999999999</fb>
    <v>1</v>
  </rv>
  <rv s="0">
    <fb>149.4</fb>
    <v>1</v>
  </rv>
  <rv s="0">
    <fb>51544623</fb>
    <v>2</v>
  </rv>
  <rv s="0">
    <fb>46092</fb>
    <v>0</v>
  </rv>
  <rv s="0">
    <fb>166.38</fb>
    <v>1</v>
  </rv>
  <rv s="0">
    <fb>171.76</fb>
    <v>1</v>
  </rv>
  <rv s="0">
    <fb>160.58000000000001</fb>
    <v>1</v>
  </rv>
  <rv s="0">
    <fb>163.12</fb>
    <v>1</v>
  </rv>
  <rv s="0">
    <fb>83247484</fb>
    <v>2</v>
  </rv>
  <rv s="0">
    <fb>46093</fb>
    <v>0</v>
  </rv>
  <rv s="0">
    <fb>167.83</fb>
    <v>1</v>
  </rv>
  <rv s="0">
    <fb>158.61000000000001</fb>
    <v>1</v>
  </rv>
  <rv s="0">
    <fb>159.16</fb>
    <v>1</v>
  </rv>
  <rv s="0">
    <fb>37133719</fb>
    <v>2</v>
  </rv>
  <rv s="0">
    <fb>46094</fb>
    <v>0</v>
  </rv>
  <rv s="0">
    <fb>159.05000000000001</fb>
    <v>1</v>
  </rv>
  <rv s="0">
    <fb>160.77000000000001</fb>
    <v>1</v>
  </rv>
  <rv s="0">
    <fb>155.11000000000001</fb>
    <v>1</v>
  </rv>
  <rv s="0">
    <fb>26350375</fb>
    <v>2</v>
  </rv>
  <rv s="0">
    <fb>46097</fb>
    <v>0</v>
  </rv>
  <rv s="0">
    <fb>156.06</fb>
    <v>1</v>
  </rv>
  <rv s="0">
    <fb>158.74</fb>
    <v>1</v>
  </rv>
  <rv s="0">
    <fb>154.5104</fb>
    <v>1</v>
  </rv>
  <rv s="0">
    <fb>21607689</fb>
    <v>2</v>
  </rv>
  <rv s="0">
    <fb>46098</fb>
    <v>0</v>
  </rv>
  <rv s="0">
    <fb>155.44</fb>
    <v>1</v>
  </rv>
  <rv s="0">
    <fb>153.5001</fb>
    <v>1</v>
  </rv>
  <rv s="0">
    <fb>154.69</fb>
    <v>1</v>
  </rv>
  <rv s="0">
    <fb>23929463</fb>
    <v>2</v>
  </rv>
  <rv s="0">
    <fb>46099</fb>
    <v>0</v>
  </rv>
  <rv s="0">
    <fb>153.4</fb>
    <v>1</v>
  </rv>
  <rv s="0">
    <fb>154.96520000000001</fb>
    <v>1</v>
  </rv>
  <rv s="0">
    <fb>152.04</fb>
    <v>1</v>
  </rv>
  <rv s="0">
    <fb>152.9</fb>
    <v>1</v>
  </rv>
  <rv s="0">
    <fb>18051075</fb>
    <v>2</v>
  </rv>
  <rv s="0">
    <fb>46100</fb>
    <v>0</v>
  </rv>
  <rv s="0">
    <fb>150.46</fb>
    <v>1</v>
  </rv>
  <rv s="0">
    <fb>156.91999999999999</fb>
    <v>1</v>
  </rv>
  <rv s="0">
    <fb>148.88999999999999</fb>
    <v>1</v>
  </rv>
  <rv s="0">
    <fb>155.52000000000001</fb>
    <v>1</v>
  </rv>
  <rv s="0">
    <fb>22046113</fb>
    <v>2</v>
  </rv>
  <rv s="0">
    <fb>46101</fb>
    <v>0</v>
  </rv>
  <rv s="0">
    <fb>153.25</fb>
    <v>1</v>
  </rv>
  <rv s="0">
    <fb>147.94999999999999</fb>
    <v>1</v>
  </rv>
  <rv s="0">
    <fb>149.68</fb>
    <v>1</v>
  </rv>
  <rv s="0">
    <fb>37551358</fb>
    <v>2</v>
  </rv>
  <rv s="0">
    <fb>46104</fb>
    <v>0</v>
  </rv>
  <rv s="0">
    <fb>151.41999999999999</fb>
    <v>1</v>
  </rv>
  <rv s="0">
    <fb>155.78</fb>
    <v>1</v>
  </rv>
  <rv s="0">
    <fb>150.71</fb>
    <v>1</v>
  </rv>
  <rv s="0">
    <fb>154.34</fb>
    <v>1</v>
  </rv>
  <rv s="0">
    <fb>19927945</fb>
    <v>2</v>
  </rv>
  <rv s="0">
    <fb>46105</fb>
    <v>0</v>
  </rv>
  <rv s="0">
    <fb>153</fb>
    <v>1</v>
  </rv>
  <rv s="0">
    <fb>153.9</fb>
    <v>1</v>
  </rv>
  <rv s="0">
    <fb>146.85</fb>
    <v>1</v>
  </rv>
  <rv s="0">
    <fb>147.09</fb>
    <v>1</v>
  </rv>
  <rv s="0">
    <fb>26122141</fb>
    <v>2</v>
  </rv>
  <rv s="0">
    <fb>46106</fb>
    <v>0</v>
  </rv>
  <rv s="0">
    <fb>149.22499999999999</fb>
    <v>1</v>
  </rv>
  <rv s="0">
    <fb>149.84</fb>
    <v>1</v>
  </rv>
  <rv s="0">
    <fb>144.60079999999999</fb>
    <v>1</v>
  </rv>
  <rv s="0">
    <fb>146.02000000000001</fb>
    <v>1</v>
  </rv>
  <rv s="0">
    <fb>20683774</fb>
    <v>2</v>
  </rv>
  <rv s="0">
    <fb>46107</fb>
    <v>0</v>
  </rv>
  <rv s="0">
    <fb>143.88999999999999</fb>
    <v>1</v>
  </rv>
  <rv s="0">
    <fb>146.47</fb>
    <v>1</v>
  </rv>
  <rv s="0">
    <fb>142.54</fb>
    <v>1</v>
  </rv>
  <rv s="0">
    <fb>142.81</fb>
    <v>1</v>
  </rv>
  <rv s="0">
    <fb>16961884</fb>
    <v>2</v>
  </rv>
  <rv s="0">
    <fb>46108</fb>
    <v>0</v>
  </rv>
  <rv s="0">
    <fb>140.93</fb>
    <v>1</v>
  </rv>
  <rv s="0">
    <fb>138.30099999999999</fb>
    <v>1</v>
  </rv>
  <rv s="0">
    <fb>139.66</fb>
    <v>1</v>
  </rv>
  <rv s="0">
    <fb>17929588</fb>
    <v>2</v>
  </rv>
  <rv s="0">
    <fb>46111</fb>
    <v>0</v>
  </rv>
  <rv s="0">
    <fb>140.04</fb>
    <v>1</v>
  </rv>
  <rv s="0">
    <fb>136.94999999999999</fb>
    <v>1</v>
  </rv>
  <rv s="0">
    <fb>20125734</fb>
    <v>2</v>
  </rv>
  <rv s="0">
    <fb>46112</fb>
    <v>0</v>
  </rv>
  <rv s="0">
    <fb>147.39500000000001</fb>
    <v>1</v>
  </rv>
  <rv s="0">
    <fb>147.11000000000001</fb>
    <v>1</v>
  </rv>
  <rv s="0">
    <fb>24491953</fb>
    <v>2</v>
  </rv>
  <rv s="0">
    <fb>46113</fb>
    <v>0</v>
  </rv>
  <rv s="0">
    <fb>149.09</fb>
    <v>1</v>
  </rv>
  <rv s="0">
    <fb>149.65</fb>
    <v>1</v>
  </rv>
  <rv s="0">
    <fb>144.66999999999999</fb>
    <v>1</v>
  </rv>
  <rv s="0">
    <fb>20495868</fb>
    <v>2</v>
  </rv>
  <rv s="0">
    <fb>46114</fb>
    <v>0</v>
  </rv>
  <rv s="0">
    <fb>142.78</fb>
    <v>1</v>
  </rv>
  <rv s="0">
    <fb>146.44</fb>
    <v>1</v>
  </rv>
  <rv s="0">
    <fb>146.38</fb>
    <v>1</v>
  </rv>
  <rv s="0">
    <fb>14381866</fb>
    <v>2</v>
  </rv>
  <rv s="0">
    <fb>46118</fb>
    <v>0</v>
  </rv>
  <rv s="0">
    <fb>147.44</fb>
    <v>1</v>
  </rv>
  <rv s="0">
    <fb>148.55000000000001</fb>
    <v>1</v>
  </rv>
  <rv s="0">
    <fb>143.85</fb>
    <v>1</v>
  </rv>
  <rv s="0">
    <fb>145.54</fb>
    <v>1</v>
  </rv>
  <rv s="0">
    <fb>12556727</fb>
    <v>2</v>
  </rv>
  <rv s="0">
    <fb>46119</fb>
    <v>0</v>
  </rv>
  <rv s="0">
    <fb>144.57</fb>
    <v>1</v>
  </rv>
  <rv s="0">
    <fb>139.94</fb>
    <v>1</v>
  </rv>
  <rv s="0">
    <fb>143.16999999999999</fb>
    <v>1</v>
  </rv>
  <rv s="0">
    <fb>17250445</fb>
    <v>2</v>
  </rv>
  <rv s="0">
    <fb>46120</fb>
    <v>0</v>
  </rv>
  <rv s="0">
    <fb>151.46</fb>
    <v>1</v>
  </rv>
  <rv s="0">
    <fb>142.9</fb>
    <v>1</v>
  </rv>
  <rv s="0">
    <fb>143.66</fb>
    <v>1</v>
  </rv>
  <rv s="0">
    <fb>23527034</fb>
    <v>2</v>
  </rv>
  <rv s="0">
    <fb>46121</fb>
    <v>0</v>
  </rv>
  <rv s="0">
    <fb>142.80000000000001</fb>
    <v>1</v>
  </rv>
  <rv s="0">
    <fb>136</fb>
    <v>1</v>
  </rv>
  <rv s="0">
    <fb>30407824</fb>
    <v>2</v>
  </rv>
  <rv s="0">
    <fb>46122</fb>
    <v>0</v>
  </rv>
  <rv s="0">
    <fb>137.32</fb>
    <v>1</v>
  </rv>
  <rv s="0">
    <fb>140.16499999999999</fb>
    <v>1</v>
  </rv>
  <rv s="0">
    <fb>134.57</fb>
    <v>1</v>
  </rv>
  <rv s="0">
    <fb>138.09</fb>
    <v>1</v>
  </rv>
  <rv s="0">
    <fb>26171810</fb>
    <v>2</v>
  </rv>
  <rv s="0">
    <fb>46125</fb>
    <v>0</v>
  </rv>
  <rv s="0">
    <fb>139.77000000000001</fb>
    <v>1</v>
  </rv>
  <rv s="0">
    <fb>155.91</fb>
    <v>1</v>
  </rv>
  <rv s="0">
    <fb>139.72</fb>
    <v>1</v>
  </rv>
  <rv s="0">
    <fb>155.62</fb>
    <v>1</v>
  </rv>
  <rv s="0">
    <fb>49997735</fb>
    <v>2</v>
  </rv>
  <rv s="0">
    <fb>46126</fb>
    <v>0</v>
  </rv>
  <rv s="0">
    <fb>167.93</fb>
    <v>1</v>
  </rv>
  <rv s="0">
    <fb>169.4</fb>
    <v>1</v>
  </rv>
  <rv s="0">
    <fb>163</fb>
    <v>1</v>
  </rv>
  <rv s="0">
    <fb>59779843</fb>
    <v>2</v>
  </rv>
  <rv s="0">
    <fb>46127</fb>
    <v>0</v>
  </rv>
  <rv s="0">
    <fb>172.56</fb>
    <v>1</v>
  </rv>
  <rv s="0">
    <fb>166.21</fb>
    <v>1</v>
  </rv>
  <rv s="0">
    <fb>169.81</fb>
    <v>1</v>
  </rv>
  <rv s="0">
    <fb>43010821</fb>
    <v>2</v>
  </rv>
  <rv s="0">
    <fb>46128</fb>
    <v>0</v>
  </rv>
  <rv s="0">
    <fb>176.42</fb>
    <v>1</v>
  </rv>
  <rv s="0">
    <fb>173.8</fb>
    <v>1</v>
  </rv>
  <rv s="0">
    <fb>178.34</fb>
    <v>1</v>
  </rv>
  <rv s="0">
    <fb>46997279</fb>
    <v>2</v>
  </rv>
  <rv s="0">
    <fb>46129</fb>
    <v>0</v>
  </rv>
  <rv s="0">
    <fb>182.93</fb>
    <v>1</v>
  </rv>
  <rv s="0">
    <fb>184.5</fb>
    <v>1</v>
  </rv>
  <rv s="0">
    <fb>173.36</fb>
    <v>1</v>
  </rv>
  <rv s="0">
    <fb>175.06</fb>
    <v>1</v>
  </rv>
  <rv s="0">
    <fb>45282649</fb>
    <v>2</v>
  </rv>
  <rv s="0">
    <fb>46132</fb>
    <v>0</v>
  </rv>
  <rv s="0">
    <fb>176.81</fb>
    <v>1</v>
  </rv>
  <rv s="0">
    <fb>177.76</fb>
    <v>1</v>
  </rv>
  <rv s="0">
    <fb>173.51</fb>
    <v>1</v>
  </rv>
  <rv s="0">
    <fb>177.58</fb>
    <v>1</v>
  </rv>
  <rv s="0">
    <fb>22330910</fb>
    <v>2</v>
  </rv>
  <rv s="0">
    <fb>46133</fb>
    <v>0</v>
  </rv>
  <rv s="0">
    <fb>178.35</fb>
    <v>1</v>
  </rv>
  <rv s="0">
    <fb>185.34</fb>
    <v>1</v>
  </rv>
  <rv s="0">
    <fb>176.01230000000001</fb>
    <v>1</v>
  </rv>
  <rv s="0">
    <fb>181.17</fb>
    <v>1</v>
  </rv>
  <rv s="0">
    <fb>39638047</fb>
    <v>2</v>
  </rv>
  <rv s="0">
    <fb>46134</fb>
    <v>0</v>
  </rv>
  <rv s="0">
    <fb>189.18</fb>
    <v>1</v>
  </rv>
  <rv s="0">
    <fb>182.8</fb>
    <v>1</v>
  </rv>
  <rv s="0">
    <fb>187.5</fb>
    <v>1</v>
  </rv>
  <rv s="0">
    <fb>32448788</fb>
    <v>2</v>
  </rv>
  <rv s="0">
    <fb>46135</fb>
    <v>0</v>
  </rv>
  <rv s="0">
    <fb>180.4</fb>
    <v>1</v>
  </rv>
  <rv s="0">
    <fb>181.89</fb>
    <v>1</v>
  </rv>
  <rv s="0">
    <fb>174.08</fb>
    <v>1</v>
  </rv>
  <rv s="0">
    <fb>176.28</fb>
    <v>1</v>
  </rv>
  <rv s="0">
    <fb>37084241</fb>
    <v>2</v>
  </rv>
  <rv s="0">
    <fb>46136</fb>
    <v>0</v>
  </rv>
  <rv s="0">
    <fb>180.505</fb>
    <v>1</v>
  </rv>
  <rv s="0">
    <fb>180.71</fb>
    <v>1</v>
  </rv>
  <rv s="0">
    <fb>168.8</fb>
    <v>1</v>
  </rv>
  <rv s="0">
    <fb>173.28</fb>
    <v>1</v>
  </rv>
  <rv s="0">
    <fb>33214988</fb>
    <v>2</v>
  </rv>
  <rv s="0">
    <fb>46139</fb>
    <v>0</v>
  </rv>
  <rv s="0">
    <fb>172.584</fb>
    <v>1</v>
  </rv>
  <rv s="0">
    <fb>173.55</fb>
    <v>1</v>
  </rv>
  <rv s="0">
    <fb>167.9</fb>
    <v>1</v>
  </rv>
  <rv s="0">
    <fb>172.96</fb>
    <v>1</v>
  </rv>
  <rv s="0">
    <fb>21616573</fb>
    <v>2</v>
  </rv>
  <rv s="0">
    <fb>46140</fb>
    <v>0</v>
  </rv>
  <rv s="0">
    <fb>162.16</fb>
    <v>1</v>
  </rv>
  <rv s="0">
    <fb>168.69990000000001</fb>
    <v>1</v>
  </rv>
  <rv s="0">
    <fb>162.05000000000001</fb>
    <v>1</v>
  </rv>
  <rv s="0">
    <fb>165.96</fb>
    <v>1</v>
  </rv>
  <rv s="0">
    <fb>33716456</fb>
    <v>2</v>
  </rv>
  <rv s="0">
    <fb>46141</fb>
    <v>0</v>
  </rv>
  <rv s="0">
    <fb>164.04</fb>
    <v>1</v>
  </rv>
  <rv s="0">
    <fb>160.65</fb>
    <v>1</v>
  </rv>
  <rv s="0">
    <fb>163.83000000000001</fb>
    <v>1</v>
  </rv>
  <rv s="0">
    <fb>20587497</fb>
    <v>2</v>
  </rv>
  <rv s="0">
    <fb>46142</fb>
    <v>0</v>
  </rv>
  <rv s="0">
    <fb>165.18</fb>
    <v>1</v>
  </rv>
  <rv s="0">
    <fb>160.33000000000001</fb>
    <v>1</v>
  </rv>
  <rv s="0">
    <fb>161.38999999999999</fb>
    <v>1</v>
  </rv>
  <rv s="0">
    <fb>21016368</fb>
    <v>2</v>
  </rv>
  <rv s="0">
    <fb>46143</fb>
    <v>0</v>
  </rv>
  <rv s="0">
    <fb>166.42</fb>
    <v>1</v>
  </rv>
  <rv s="0">
    <fb>174.3</fb>
    <v>1</v>
  </rv>
  <rv s="0">
    <fb>171.83</fb>
    <v>1</v>
  </rv>
  <rv s="0">
    <fb>26318017</fb>
    <v>2</v>
  </rv>
  <rv s="0">
    <fb>46146</fb>
    <v>0</v>
  </rv>
  <rv s="0">
    <fb>176.02</fb>
    <v>1</v>
  </rv>
  <rv s="0">
    <fb>183.5</fb>
    <v>1</v>
  </rv>
  <rv s="0">
    <fb>174.26</fb>
    <v>1</v>
  </rv>
  <rv s="0">
    <fb>180.29</fb>
    <v>1</v>
  </rv>
  <rv s="0">
    <fb>33504465</fb>
    <v>2</v>
  </rv>
  <rv s="0">
    <fb>46147</fb>
    <v>0</v>
  </rv>
  <rv s="0">
    <fb>182.125</fb>
    <v>1</v>
  </rv>
  <rv s="0">
    <fb>186.52</fb>
    <v>1</v>
  </rv>
  <rv s="0">
    <fb>179</fb>
    <v>1</v>
  </rv>
  <rv s="0">
    <fb>185.35</fb>
    <v>1</v>
  </rv>
  <rv s="0">
    <fb>23497237</fb>
    <v>2</v>
  </rv>
  <rv s="0">
    <fb>46148</fb>
    <v>0</v>
  </rv>
  <rv s="0">
    <fb>186.2</fb>
    <v>1</v>
  </rv>
  <rv s="0">
    <fb>194.29</fb>
    <v>1</v>
  </rv>
  <rv s="0">
    <fb>182.67</fb>
    <v>1</v>
  </rv>
  <rv s="0">
    <fb>194.03</fb>
    <v>1</v>
  </rv>
  <rv s="0">
    <fb>27685486</fb>
    <v>2</v>
  </rv>
  <rv s="0">
    <fb>46149</fb>
    <v>0</v>
  </rv>
  <rv s="0">
    <fb>198.61</fb>
    <v>1</v>
  </rv>
  <rv s="0">
    <fb>200.15</fb>
    <v>1</v>
  </rv>
  <rv s="0">
    <fb>190.8</fb>
    <v>1</v>
  </rv>
  <rv s="0">
    <fb>194.59</fb>
    <v>1</v>
  </rv>
  <rv s="0">
    <fb>31803162</fb>
    <v>2</v>
  </rv>
  <rv s="0">
    <fb>46150</fb>
    <v>0</v>
  </rv>
  <rv s="0">
    <fb>192.58</fb>
    <v>1</v>
  </rv>
  <rv s="0">
    <fb>198</fb>
    <v>1</v>
  </rv>
  <rv s="0">
    <fb>190.21</fb>
    <v>1</v>
  </rv>
  <rv s="0">
    <fb>195.95</fb>
    <v>1</v>
  </rv>
  <rv s="0">
    <fb>21158338</fb>
    <v>2</v>
  </rv>
  <rv s="0">
    <fb>46153</fb>
    <v>0</v>
  </rv>
  <rv s="0">
    <fb>192.15</fb>
    <v>1</v>
  </rv>
  <rv s="0">
    <fb>195.68219999999999</fb>
    <v>1</v>
  </rv>
  <rv s="0">
    <fb>190.6</fb>
    <v>1</v>
  </rv>
  <rv s="0">
    <fb>193.84</fb>
    <v>1</v>
  </rv>
  <rv s="0">
    <fb>16890587</fb>
    <v>2</v>
  </rv>
  <rv s="0">
    <fb>46154</fb>
    <v>0</v>
  </rv>
  <rv s="0">
    <fb>192.92</fb>
    <v>1</v>
  </rv>
  <rv s="0">
    <fb>180.87010000000001</fb>
    <v>1</v>
  </rv>
  <rv s="0">
    <fb>186.83</fb>
    <v>1</v>
  </rv>
  <rv s="0">
    <fb>22123411</fb>
    <v>2</v>
  </rv>
  <rv s="0">
    <fb>46155</fb>
    <v>0</v>
  </rv>
  <rv s="0">
    <fb>189.03</fb>
    <v>1</v>
  </rv>
  <rv s="0">
    <fb>191.57</fb>
    <v>1</v>
  </rv>
  <rv s="0">
    <fb>185.06</fb>
    <v>1</v>
  </rv>
  <rv s="0">
    <fb>189.76</fb>
    <v>1</v>
  </rv>
  <rv s="0">
    <fb>15789272</fb>
    <v>2</v>
  </rv>
  <rv s="0">
    <fb>46156</fb>
    <v>0</v>
  </rv>
  <rv s="0">
    <fb>188.18</fb>
    <v>1</v>
  </rv>
  <rv s="0">
    <fb>200.709</fb>
    <v>1</v>
  </rv>
  <rv s="0">
    <fb>185.45</fb>
    <v>1</v>
  </rv>
  <rv s="0">
    <fb>195.61</fb>
    <v>1</v>
  </rv>
  <rv s="0">
    <fb>22544995</fb>
    <v>2</v>
  </rv>
  <rv s="0">
    <fb>46157</fb>
    <v>0</v>
  </rv>
  <rv s="0">
    <fb>190.49</fb>
    <v>1</v>
  </rv>
  <rv s="0">
    <fb>192.95</fb>
    <v>1</v>
  </rv>
  <rv s="0">
    <fb>15747148</fb>
    <v>2</v>
  </rv>
  <rv s="0">
    <fb>46160</fb>
    <v>0</v>
  </rv>
  <rv s="0">
    <fb>190</fb>
    <v>1</v>
  </rv>
  <rv s="0">
    <fb>190.76</fb>
    <v>1</v>
  </rv>
  <rv s="0">
    <fb>183.27</fb>
    <v>1</v>
  </rv>
  <rv s="0">
    <fb>186.61</fb>
    <v>1</v>
  </rv>
  <rv s="0">
    <fb>19114329</fb>
    <v>2</v>
  </rv>
  <rv s="0">
    <fb>46161</fb>
    <v>0</v>
  </rv>
  <rv s="0">
    <fb>186</fb>
    <v>1</v>
  </rv>
  <rv s="0">
    <fb>188.72479999999999</fb>
    <v>1</v>
  </rv>
  <rv s="0">
    <fb>180.93</fb>
    <v>1</v>
  </rv>
  <rv s="0">
    <fb>181.46</fb>
    <v>1</v>
  </rv>
  <rv s="0">
    <fb>16717712</fb>
    <v>2</v>
  </rv>
  <rv s="0">
    <fb>46162</fb>
    <v>0</v>
  </rv>
  <rv s="0">
    <fb>179.94</fb>
    <v>1</v>
  </rv>
  <rv s="0">
    <fb>188.22</fb>
    <v>1</v>
  </rv>
  <rv s="0">
    <fb>178.8</fb>
    <v>1</v>
  </rv>
  <rv s="0">
    <fb>188.16</fb>
    <v>1</v>
  </rv>
  <rv s="0">
    <fb>16517223</fb>
    <v>2</v>
  </rv>
  <rv s="0">
    <fb>46163</fb>
    <v>0</v>
  </rv>
  <rv s="0">
    <fb>189.01</fb>
    <v>1</v>
  </rv>
  <rv s="0">
    <fb>192.82</fb>
    <v>1</v>
  </rv>
  <rv s="0">
    <fb>189.77</fb>
    <v>1</v>
  </rv>
  <rv s="0">
    <fb>12119718</fb>
    <v>2</v>
  </rv>
  <rv s="0">
    <fb>46164</fb>
    <v>0</v>
  </rv>
  <rv s="0">
    <fb>191.67</fb>
    <v>1</v>
  </rv>
  <rv s="0">
    <fb>197</fb>
    <v>1</v>
  </rv>
  <rv s="0">
    <fb>191.1</fb>
    <v>1</v>
  </rv>
  <rv s="0">
    <fb>192.08</fb>
    <v>1</v>
  </rv>
  <rv s="0">
    <fb>10875803</fb>
    <v>2</v>
  </rv>
  <rv s="0">
    <fb>46168</fb>
    <v>0</v>
  </rv>
  <rv s="0">
    <fb>193.3</fb>
    <v>1</v>
  </rv>
  <rv s="0">
    <fb>195.2</fb>
    <v>1</v>
  </rv>
  <rv s="0">
    <fb>190.56</fb>
    <v>1</v>
  </rv>
  <rv s="0">
    <fb>193.06</fb>
    <v>1</v>
  </rv>
  <rv s="0">
    <fb>12856100</fb>
    <v>2</v>
  </rv>
  <rv s="0">
    <fb>46169</fb>
    <v>0</v>
  </rv>
  <rv s="0">
    <fb>191.48</fb>
    <v>1</v>
  </rv>
  <rv s="0">
    <fb>192.14</fb>
    <v>1</v>
  </rv>
  <rv s="0">
    <fb>187.9161</fb>
    <v>1</v>
  </rv>
  <rv s="0">
    <fb>190.96</fb>
    <v>1</v>
  </rv>
  <rv s="0">
    <fb>12125998</fb>
    <v>2</v>
  </rv>
  <rv s="0">
    <fb>46170</fb>
    <v>0</v>
  </rv>
  <rv s="0">
    <fb>194.04</fb>
    <v>1</v>
  </rv>
  <rv s="0">
    <fb>193.37719999999999</fb>
    <v>1</v>
  </rv>
  <rv s="0">
    <fb>203.7</fb>
    <v>1</v>
  </rv>
  <rv s="0">
    <fb>25339881</fb>
    <v>2</v>
  </rv>
  <rv s="0">
    <fb>46171</fb>
    <v>0</v>
  </rv>
  <rv s="0">
    <fb>209</fb>
    <v>1</v>
  </rv>
  <rv s="0">
    <fb>226.29</fb>
    <v>1</v>
  </rv>
  <rv s="0">
    <fb>208.01</fb>
    <v>1</v>
  </rv>
  <rv s="0">
    <fb>225.78</fb>
    <v>1</v>
  </rv>
  <rv s="0">
    <fb>41082199</fb>
    <v>2</v>
  </rv>
  <rv s="0">
    <fb>46174</fb>
    <v>0</v>
  </rv>
  <rv s="0">
    <fb>230.5</fb>
    <v>1</v>
  </rv>
  <rv s="0">
    <fb>250.25</fb>
    <v>1</v>
  </rv>
  <rv s="0">
    <fb>224.6</fb>
    <v>1</v>
  </rv>
  <rv s="0">
    <fb>248.15</fb>
    <v>1</v>
  </rv>
  <rv s="0">
    <fb>48389992</fb>
    <v>2</v>
  </rv>
  <rv s="0">
    <fb>46175</fb>
    <v>0</v>
  </rv>
  <rv s="0">
    <fb>242.8</fb>
    <v>1</v>
  </rv>
  <rv s="0">
    <fb>249</fb>
    <v>1</v>
  </rv>
  <rv s="0">
    <fb>238.84</fb>
    <v>1</v>
  </rv>
  <rv s="0">
    <fb>244.58</fb>
    <v>1</v>
  </rv>
  <rv s="0">
    <fb>30294766</fb>
    <v>2</v>
  </rv>
  <rv s="0">
    <fb>46176</fb>
    <v>0</v>
  </rv>
  <rv s="0">
    <fb>240.48</fb>
    <v>1</v>
  </rv>
  <rv s="0">
    <fb>240.51</fb>
    <v>1</v>
  </rv>
  <rv s="0">
    <fb>227.60499999999999</fb>
    <v>1</v>
  </rv>
  <rv s="0">
    <fb>230.33</fb>
    <v>1</v>
  </rv>
  <rv s="0">
    <fb>23644680</fb>
    <v>2</v>
  </rv>
  <rv s="0">
    <fb>46177</fb>
    <v>0</v>
  </rv>
  <rv s="0">
    <fb>227</fb>
    <v>1</v>
  </rv>
  <rv s="0">
    <fb>238.95</fb>
    <v>1</v>
  </rv>
  <rv s="0">
    <fb>224</fb>
    <v>1</v>
  </rv>
  <rv s="0">
    <fb>236.34</fb>
    <v>1</v>
  </rv>
  <rv s="0">
    <fb>19993753</fb>
    <v>2</v>
  </rv>
  <rv s="0">
    <fb>46178</fb>
    <v>0</v>
  </rv>
  <rv s="0">
    <fb>229.49</fb>
    <v>1</v>
  </rv>
  <rv s="0">
    <fb>231.44</fb>
    <v>1</v>
  </rv>
  <rv s="0">
    <fb>209.45009999999999</fb>
    <v>1</v>
  </rv>
  <rv s="0">
    <fb>213.68</fb>
    <v>1</v>
  </rv>
  <rv s="0">
    <fb>29019876</fb>
    <v>2</v>
  </rv>
  <rv s="0">
    <fb>46181</fb>
    <v>0</v>
  </rv>
  <rv s="0">
    <fb>217.75</fb>
    <v>1</v>
  </rv>
  <rv s="0">
    <fb>209.33099999999999</fb>
    <v>1</v>
  </rv>
  <rv s="0">
    <fb>211.82</fb>
    <v>1</v>
  </rv>
  <rv s="0">
    <fb>17227241</fb>
    <v>2</v>
  </rv>
  <rv s="0">
    <fb>46182</fb>
    <v>0</v>
  </rv>
  <rv s="0">
    <fb>213.905</fb>
    <v>1</v>
  </rv>
  <rv s="0">
    <fb>220.5</fb>
    <v>1</v>
  </rv>
  <rv s="0">
    <fb>197.7901</fb>
    <v>1</v>
  </rv>
  <rv s="0">
    <fb>205.81</fb>
    <v>1</v>
  </rv>
  <rv s="0">
    <fb>26040722</fb>
    <v>2</v>
  </rv>
  <rv s="0">
    <fb>46183</fb>
    <v>0</v>
  </rv>
  <rv s="0">
    <fb>198.5</fb>
    <v>1</v>
  </rv>
  <rv s="0">
    <fb>212.47989999999999</fb>
    <v>1</v>
  </rv>
  <rv s="0">
    <fb>198.18</fb>
    <v>1</v>
  </rv>
  <rv s="0">
    <fb>201.26</fb>
    <v>1</v>
  </rv>
  <rv s="0">
    <fb>46108327</fb>
    <v>2</v>
  </rv>
  <rv s="0">
    <fb>46184</fb>
    <v>0</v>
  </rv>
  <rv s="0">
    <fb>179.67</fb>
    <v>1</v>
  </rv>
  <rv s="0">
    <fb>184.77</fb>
    <v>1</v>
  </rv>
  <rv s="0">
    <fb>175.28</fb>
    <v>1</v>
  </rv>
  <rv s="0">
    <fb>184.1</fb>
    <v>1</v>
  </rv>
  <rv s="0">
    <fb>63678509</fb>
    <v>2</v>
  </rv>
  <rv s="0">
    <fb>46185</fb>
    <v>0</v>
  </rv>
  <rv s="0">
    <fb>185.01</fb>
    <v>1</v>
  </rv>
  <rv s="0">
    <fb>185.58</fb>
    <v>1</v>
  </rv>
  <rv s="0">
    <fb>184.13</fb>
    <v>1</v>
  </rv>
  <rv s="0">
    <fb>29562284</fb>
    <v>2</v>
  </rv>
  <rv s="0">
    <fb>46188</fb>
    <v>0</v>
  </rv>
  <rv s="0">
    <fb>187.39</fb>
    <v>1</v>
  </rv>
  <rv s="0">
    <fb>195.32</fb>
    <v>1</v>
  </rv>
  <rv s="0">
    <fb>186.21340000000001</fb>
    <v>1</v>
  </rv>
  <rv s="0">
    <fb>20279863</fb>
    <v>2</v>
  </rv>
  <rv s="0">
    <fb>46189</fb>
    <v>0</v>
  </rv>
  <rv s="0">
    <fb>190.01</fb>
    <v>1</v>
  </rv>
  <rv s="0">
    <fb>187.66</fb>
    <v>1</v>
  </rv>
  <rv s="0">
    <fb>188.33</fb>
    <v>1</v>
  </rv>
  <rv s="0">
    <fb>16985542</fb>
    <v>2</v>
  </rv>
  <rv s="0">
    <fb>46190</fb>
    <v>0</v>
  </rv>
  <rv s="0">
    <fb>186.155</fb>
    <v>1</v>
  </rv>
  <rv s="0">
    <fb>190.19</fb>
    <v>1</v>
  </rv>
  <rv s="0">
    <fb>182.58</fb>
    <v>1</v>
  </rv>
  <rv s="0">
    <fb>183.53</fb>
    <v>1</v>
  </rv>
  <rv s="0">
    <fb>16616626</fb>
    <v>2</v>
  </rv>
  <rv s="0">
    <fb>46191</fb>
    <v>0</v>
  </rv>
  <rv s="0">
    <fb>183.01</fb>
    <v>1</v>
  </rv>
  <rv s="0">
    <fb>177.7</fb>
    <v>1</v>
  </rv>
  <rv s="0">
    <fb>184.29</fb>
    <v>1</v>
  </rv>
  <rv s="0">
    <fb>31386081</fb>
    <v>2</v>
  </rv>
  <rv s="0">
    <fb>46195</fb>
    <v>0</v>
  </rv>
  <rv s="0">
    <fb>182.31</fb>
    <v>1</v>
  </rv>
  <rv s="0">
    <fb>184.58</fb>
    <v>1</v>
  </rv>
  <rv s="0">
    <fb>175.07</fb>
    <v>1</v>
  </rv>
  <rv s="0">
    <fb>22935420</fb>
    <v>2</v>
  </rv>
  <rv s="0">
    <fb>46196</fb>
    <v>0</v>
  </rv>
  <rv s="0">
    <fb>174.33</fb>
    <v>1</v>
  </rv>
  <rv s="0">
    <fb>164.61</fb>
    <v>1</v>
  </rv>
  <rv s="0">
    <fb>165.16</fb>
    <v>1</v>
  </rv>
  <rv s="0">
    <fb>33327886</fb>
    <v>2</v>
  </rv>
  <rv s="0">
    <fb>46197</fb>
    <v>0</v>
  </rv>
  <rv s="0">
    <fb>162.47499999999999</fb>
    <v>1</v>
  </rv>
  <rv s="0">
    <fb>155.35</fb>
    <v>1</v>
  </rv>
  <rv s="0">
    <fb>38305028</fb>
    <v>2</v>
  </rv>
  <rv s="0">
    <fb>46198</fb>
    <v>0</v>
  </rv>
  <rv s="0">
    <fb>157.35</fb>
    <v>1</v>
  </rv>
  <rv s="0">
    <fb>157.62</fb>
    <v>1</v>
  </rv>
  <rv s="0">
    <fb>150.36000000000001</fb>
    <v>1</v>
  </rv>
  <rv s="0">
    <fb>152.46</fb>
    <v>1</v>
  </rv>
  <rv s="0">
    <fb>36914335</fb>
    <v>2</v>
  </rv>
  <rv s="0">
    <fb>46199</fb>
    <v>0</v>
  </rv>
  <rv s="0">
    <fb>150.26</fb>
    <v>1</v>
  </rv>
  <rv s="0">
    <fb>153.54</fb>
    <v>1</v>
  </rv>
  <rv s="0">
    <fb>148</fb>
    <v>1</v>
  </rv>
  <rv s="0">
    <fb>148.53</fb>
    <v>1</v>
  </rv>
  <rv s="0">
    <fb>36532141</fb>
    <v>2</v>
  </rv>
  <rv s="0">
    <fb>46202</fb>
    <v>0</v>
  </rv>
  <rv s="0">
    <fb>145.19999999999999</fb>
    <v>1</v>
  </rv>
  <rv s="0">
    <fb>147.76</fb>
    <v>1</v>
  </rv>
  <rv s="0">
    <fb>34310313</fb>
    <v>2</v>
  </rv>
  <rv s="0">
    <fb>46203</fb>
    <v>0</v>
  </rv>
  <rv s="0">
    <fb>147.25</fb>
    <v>1</v>
  </rv>
  <rv s="0">
    <fb>149.93</fb>
    <v>1</v>
  </rv>
  <rv s="0">
    <fb>144.47999999999999</fb>
    <v>1</v>
  </rv>
  <rv s="0">
    <fb>35926860</fb>
    <v>2</v>
  </rv>
  <rv s="0">
    <fb>46204</fb>
    <v>0</v>
  </rv>
  <rv s="0">
    <fb>144.49</fb>
    <v>1</v>
  </rv>
  <rv s="0">
    <fb>147.55000000000001</fb>
    <v>1</v>
  </rv>
  <rv s="0">
    <fb>142.5</fb>
    <v>1</v>
  </rv>
  <rv s="0">
    <fb>45963999</fb>
    <v>2</v>
  </rv>
  <rv s="0">
    <fb>46205</fb>
    <v>0</v>
  </rv>
  <rv s="0">
    <fb>147.06</fb>
    <v>1</v>
  </rv>
  <rv s="0">
    <fb>138.8272</fb>
    <v>1</v>
  </rv>
  <rv s="0">
    <fb>140.27000000000001</fb>
    <v>1</v>
  </rv>
  <rv s="0">
    <fb>44273642</fb>
    <v>2</v>
  </rv>
  <rv s="0">
    <fb>46209</fb>
    <v>0</v>
  </rv>
  <rv s="0">
    <fb>144.30000000000001</fb>
    <v>1</v>
  </rv>
  <rv s="0">
    <fb>145.62219999999999</fb>
    <v>1</v>
  </rv>
  <rv s="0">
    <fb>143.76</fb>
    <v>1</v>
  </rv>
  <rv s="0">
    <fb>36682951</fb>
    <v>2</v>
  </rv>
  <rv s="0">
    <fb>46210</fb>
    <v>0</v>
  </rv>
  <rv s="0">
    <fb>145.56</fb>
    <v>1</v>
  </rv>
  <rv s="0">
    <fb>137.55000000000001</fb>
    <v>1</v>
  </rv>
  <rv s="0">
    <fb>141.6</fb>
    <v>1</v>
  </rv>
  <rv s="0">
    <fb>47199976</fb>
    <v>2</v>
  </rv>
  <rv s="0">
    <fb>46211</fb>
    <v>0</v>
  </rv>
  <rv s="0">
    <fb>139.05500000000001</fb>
    <v>1</v>
  </rv>
  <rv s="0">
    <fb>141.84</fb>
    <v>1</v>
  </rv>
  <rv s="0">
    <fb>137.54499999999999</fb>
    <v>1</v>
  </rv>
  <rv s="0">
    <fb>140.49</fb>
    <v>1</v>
  </rv>
  <rv s="0">
    <fb>34607304</fb>
    <v>2</v>
  </rv>
  <rv s="0">
    <fb>46212</fb>
    <v>0</v>
  </rv>
  <rv s="0">
    <fb>149.07</fb>
    <v>1</v>
  </rv>
  <rv s="0">
    <fb>140.94</fb>
    <v>1</v>
  </rv>
  <rv s="0">
    <fb>35221882</fb>
    <v>2</v>
  </rv>
  <rv s="0">
    <fb>46213</fb>
    <v>0</v>
  </rv>
  <rv s="0">
    <fb>145.68</fb>
    <v>1</v>
  </rv>
  <rv s="0">
    <fb>140.63999999999999</fb>
    <v>1</v>
  </rv>
  <rv s="0">
    <fb>29843309</fb>
    <v>2</v>
  </rv>
  <rv s="0">
    <fb>46216</fb>
    <v>0</v>
  </rv>
  <rv s="0">
    <fb>139.03</fb>
    <v>1</v>
  </rv>
  <rv s="0">
    <fb>131.35</fb>
    <v>1</v>
  </rv>
  <rv s="0">
    <fb>131.54</fb>
    <v>1</v>
  </rv>
  <rv s="0">
    <fb>56690274</fb>
    <v>2</v>
  </rv>
  <rv s="0">
    <fb>46217</fb>
    <v>0</v>
  </rv>
  <rv s="0">
    <fb>132.76</fb>
    <v>1</v>
  </rv>
  <rv s="0">
    <fb>127.94</fb>
    <v>1</v>
  </rv>
  <rv s="0">
    <fb>52670410</fb>
    <v>2</v>
  </rv>
  <rv s="0">
    <fb>46218</fb>
    <v>0</v>
  </rv>
  <rv s="0">
    <fb>130.56</fb>
    <v>1</v>
  </rv>
  <rv s="0">
    <fb>133.9</fb>
    <v>1</v>
  </rv>
  <rv s="0">
    <fb>132.49</fb>
    <v>1</v>
  </rv>
  <rv s="0">
    <fb>48520434</fb>
    <v>2</v>
  </rv>
  <rv s="0">
    <fb>46219</fb>
    <v>0</v>
  </rv>
  <rv s="0">
    <fb>131.47499999999999</fb>
    <v>1</v>
  </rv>
  <rv s="0">
    <fb>131.78</fb>
    <v>1</v>
  </rv>
  <rv s="0">
    <fb>123.66</fb>
    <v>1</v>
  </rv>
  <rv s="0">
    <fb>54780940</fb>
    <v>2</v>
  </rv>
  <rv s="0">
    <fb>46220</fb>
    <v>0</v>
  </rv>
  <rv s="0">
    <fb>121.7</fb>
    <v>1</v>
  </rv>
  <rv s="0">
    <fb>128.435</fb>
    <v>1</v>
  </rv>
  <rv s="0">
    <fb>121.5</fb>
    <v>1</v>
  </rv>
  <rv s="0">
    <fb>126.41</fb>
    <v>1</v>
  </rv>
  <rv s="0">
    <fb>39917140</fb>
    <v>2</v>
  </rv>
  <rv s="0">
    <fb>46223</fb>
    <v>0</v>
  </rv>
  <rv s="0">
    <fb>125.4897</fb>
    <v>1</v>
  </rv>
  <rv s="0">
    <fb>120.03</fb>
    <v>1</v>
  </rv>
  <rv s="0">
    <fb>121.38</fb>
    <v>1</v>
  </rv>
  <rv s="0">
    <fb>36793230</fb>
    <v>2</v>
  </rv>
  <rv s="0">
    <fb>46224</fb>
    <v>0</v>
  </rv>
  <rv s="0">
    <fb>122.81</fb>
    <v>1</v>
  </rv>
  <rv s="0">
    <fb>127.42</fb>
    <v>1</v>
  </rv>
  <rv s="0">
    <fb>122.21</fb>
    <v>1</v>
  </rv>
  <rv s="0">
    <fb>127.05</fb>
    <v>1</v>
  </rv>
  <rv s="0">
    <fb>27748087</fb>
    <v>2</v>
  </rv>
  <rv s="0">
    <fb>46225</fb>
    <v>0</v>
  </rv>
  <rv s="0">
    <fb>126.18</fb>
    <v>1</v>
  </rv>
  <rv s="0">
    <fb>124.7</fb>
    <v>1</v>
  </rv>
  <rv s="0">
    <fb>21096693</fb>
    <v>2</v>
  </rv>
  <rv s="0">
    <fb>46226</fb>
    <v>0</v>
  </rv>
  <rv s="0">
    <fb>123.96</fb>
    <v>1</v>
  </rv>
  <rv s="0">
    <fb>120.04</fb>
    <v>1</v>
  </rv>
  <rv s="0">
    <fb>30900642</fb>
    <v>2</v>
  </rv>
  <rv s="0">
    <fb>46227</fb>
    <v>0</v>
  </rv>
  <rv s="0">
    <fb>46405702</fb>
    <v>2</v>
  </rv>
  <rv s="0">
    <fb>46230</fb>
    <v>0</v>
  </rv>
  <rv s="0">
    <fb>121.99</fb>
    <v>1</v>
  </rv>
  <rv s="0">
    <fb>36916623</fb>
    <v>2</v>
  </rv>
  <rv s="0">
    <fb>46231</fb>
    <v>0</v>
  </rv>
  <rv s="0">
    <fb>122.33</fb>
    <v>1</v>
  </rv>
  <rv s="0">
    <fb>119.96</fb>
    <v>1</v>
  </rv>
  <rv s="0">
    <fb>32665418</fb>
    <v>2</v>
  </rv>
  <rv s="0">
    <fb>46232</fb>
    <v>0</v>
  </rv>
  <rv s="0">
    <fb>119.42</fb>
    <v>1</v>
  </rv>
  <rv s="0">
    <fb>121.92</fb>
    <v>1</v>
  </rv>
  <rv s="0">
    <fb>116.2</fb>
    <v>1</v>
  </rv>
  <rv s="0">
    <fb>117.74</fb>
    <v>1</v>
  </rv>
  <rv s="0">
    <fb>28081771</fb>
    <v>2</v>
  </rv>
  <rv s="0">
    <fb>46233</fb>
    <v>0</v>
  </rv>
  <rv s="0">
    <fb>122.87</fb>
    <v>1</v>
  </rv>
  <rv s="0">
    <fb>121.58</fb>
    <v>1</v>
  </rv>
  <rv s="0">
    <fb>127.56</fb>
    <v>1</v>
  </rv>
  <rv s="0">
    <fb>41338393</fb>
    <v>2</v>
  </rv>
  <rv s="0">
    <fb>46234</fb>
    <v>0</v>
  </rv>
  <rv s="0">
    <fb>130.07</fb>
    <v>1</v>
  </rv>
  <rv s="0">
    <fb>132.4</fb>
    <v>1</v>
  </rv>
  <rv s="0">
    <fb>125.7</fb>
    <v>1</v>
  </rv>
  <rv s="0">
    <fb>129.87</fb>
    <v>1</v>
  </rv>
  <rv s="0">
    <fb>34438662</fb>
    <v>2</v>
  </rv>
  <rv s="0">
    <fb>46237</fb>
    <v>0</v>
  </rv>
  <rv s="0">
    <fb>131.91999999999999</fb>
    <v>1</v>
  </rv>
  <rv s="0">
    <fb>130.21</fb>
    <v>1</v>
  </rv>
  <rv s="0">
    <fb>141.85</fb>
    <v>1</v>
  </rv>
  <rv s="0">
    <fb>49696896</fb>
    <v>2</v>
  </rv>
  <rv s="0">
    <fb>46238</fb>
    <v>0</v>
  </rv>
  <rv s="0">
    <fb>141.01</fb>
    <v>1</v>
  </rv>
  <rv s="0">
    <fb>148.69999999999999</fb>
    <v>1</v>
  </rv>
  <rv s="0">
    <fb>145.74</fb>
    <v>1</v>
  </rv>
  <rv s="0">
    <fb>43723491</fb>
    <v>2</v>
  </rv>
  <rv s="0">
    <fb>46239</fb>
    <v>0</v>
  </rv>
  <rv s="0">
    <fb>145</fb>
    <v>1</v>
  </rv>
  <rv s="0">
    <fb>146.38990000000001</fb>
    <v>1</v>
  </rv>
  <rv s="0">
    <fb>144.38999999999999</fb>
    <v>1</v>
  </rv>
  <rv s="0">
    <fb>23524074</fb>
    <v>2</v>
  </rv>
  <rv s="0">
    <fb>46240</fb>
    <v>0</v>
  </rv>
  <rv s="0">
    <fb>146.58000000000001</fb>
    <v>1</v>
  </rv>
  <rv s="0">
    <fb>138.72</fb>
    <v>1</v>
  </rv>
  <rv s="0">
    <fb>143.47</fb>
    <v>1</v>
  </rv>
  <rv s="0">
    <fb>23073334</fb>
    <v>2</v>
  </rv>
  <rv s="0">
    <fb>46241</fb>
    <v>0</v>
  </rv>
  <rv s="0">
    <fb>147.16</fb>
    <v>1</v>
  </rv>
  <rv s="0">
    <fb>142.34</fb>
    <v>1</v>
  </rv>
  <rv s="0">
    <fb>147.02000000000001</fb>
    <v>1</v>
  </rv>
  <rv s="0">
    <fb>22874018</fb>
    <v>2</v>
  </rv>
  <rv s="0">
    <fb>46244</fb>
    <v>0</v>
  </rv>
  <rv s="0">
    <fb>148.26</fb>
    <v>1</v>
  </rv>
  <rv s="0">
    <fb>151.99</fb>
    <v>1</v>
  </rv>
  <rv s="0">
    <fb>146.62</fb>
    <v>1</v>
  </rv>
  <rv s="0">
    <fb>151.05000000000001</fb>
    <v>1</v>
  </rv>
  <rv s="0">
    <fb>24265023</fb>
    <v>2</v>
  </rv>
  <rv s="0">
    <fb>46245</fb>
    <v>0</v>
  </rv>
  <rv s="0">
    <fb>151.19999999999999</fb>
    <v>1</v>
  </rv>
  <rv s="0">
    <fb>144.24</fb>
    <v>1</v>
  </rv>
  <rv s="0">
    <fb>28761753</fb>
    <v>2</v>
  </rv>
  <rv s="0">
    <fb>46246</fb>
    <v>0</v>
  </rv>
  <rv s="0">
    <fb>152.81</fb>
    <v>1</v>
  </rv>
  <rv s="0">
    <fb>154.88999999999999</fb>
    <v>1</v>
  </rv>
  <rv s="0">
    <fb>153.28</fb>
    <v>1</v>
  </rv>
  <rv s="0">
    <fb>43559358</fb>
    <v>2</v>
  </rv>
  <rv s="0">
    <fb>46247</fb>
    <v>0</v>
  </rv>
  <rv s="0">
    <fb>151.97999999999999</fb>
    <v>1</v>
  </rv>
  <rv s="0">
    <fb>159.26</fb>
    <v>1</v>
  </rv>
  <rv s="0">
    <fb>151.91</fb>
    <v>1</v>
  </rv>
  <rv s="0">
    <fb>156.22</fb>
    <v>1</v>
  </rv>
  <rv s="0">
    <fb>25739974</fb>
    <v>2</v>
  </rv>
  <rv s="0">
    <fb>46248</fb>
    <v>0</v>
  </rv>
  <rv s="0">
    <fb>155.84</fb>
    <v>1</v>
  </rv>
  <rv s="0">
    <fb>156.38999999999999</fb>
    <v>1</v>
  </rv>
  <rv s="0">
    <fb>148.80009999999999</fb>
    <v>1</v>
  </rv>
  <rv s="0">
    <fb>150.52000000000001</fb>
    <v>1</v>
  </rv>
  <rv s="0">
    <fb>21905468</fb>
    <v>2</v>
  </rv>
  <rv s="0">
    <fb>46251</fb>
    <v>0</v>
  </rv>
  <rv s="0">
    <fb>145.5</fb>
    <v>1</v>
  </rv>
  <rv s="0">
    <fb>146.65</fb>
    <v>1</v>
  </rv>
  <rv s="0">
    <fb>20667953</fb>
    <v>2</v>
  </rv>
  <rv s="0">
    <fb>46252</fb>
    <v>0</v>
  </rv>
  <rv s="0">
    <fb>146</fb>
    <v>1</v>
  </rv>
  <rv s="0">
    <fb>142.35</fb>
    <v>1</v>
  </rv>
  <rv s="0">
    <fb>142.79</fb>
    <v>1</v>
  </rv>
  <rv s="0">
    <fb>19152301</fb>
    <v>2</v>
  </rv>
  <rv s="0">
    <fb>46253</fb>
    <v>0</v>
  </rv>
  <rv s="0">
    <fb>142.69499999999999</fb>
    <v>1</v>
  </rv>
  <rv s="0">
    <fb>137.43</fb>
    <v>1</v>
  </rv>
  <rv s="0">
    <fb>143.81</fb>
    <v>1</v>
  </rv>
  <rv s="0">
    <fb>26552896</fb>
    <v>2</v>
  </rv>
  <rv s="0">
    <fb>46254</fb>
    <v>0</v>
  </rv>
  <rv s="0">
    <fb>145.91999999999999</fb>
    <v>1</v>
  </rv>
  <rv s="0">
    <fb>141.02000000000001</fb>
    <v>1</v>
  </rv>
  <rv s="0">
    <fb>15184406</fb>
    <v>2</v>
  </rv>
  <rv s="0">
    <fb>46255</fb>
    <v>0</v>
  </rv>
  <rv s="0">
    <fb>143.715</fb>
    <v>1</v>
  </rv>
  <rv s="0">
    <fb>148.35</fb>
    <v>1</v>
  </rv>
  <rv s="0">
    <fb>142.6</fb>
    <v>1</v>
  </rv>
  <rv s="0">
    <fb>19635031</fb>
    <v>2</v>
  </rv>
  <rv s="0">
    <fb>46258</fb>
    <v>0</v>
  </rv>
  <rv s="0">
    <fb>145.12</fb>
    <v>1</v>
  </rv>
  <rv s="0">
    <fb>141.25</fb>
    <v>1</v>
  </rv>
  <rv s="0">
    <fb>142.44999999999999</fb>
    <v>1</v>
  </rv>
  <rv s="0">
    <fb>14158571</fb>
    <v>2</v>
  </rv>
  <rv s="0">
    <fb>46259</fb>
    <v>0</v>
  </rv>
  <rv s="0">
    <fb>146.33500000000001</fb>
    <v>1</v>
  </rv>
  <rv s="0">
    <fb>142.51</fb>
    <v>1</v>
  </rv>
  <rv s="0">
    <fb>13329370</fb>
    <v>2</v>
  </rv>
  <rv s="0">
    <fb>46260</fb>
    <v>0</v>
  </rv>
  <rv s="0">
    <fb>151.63</fb>
    <v>1</v>
  </rv>
  <rv s="0">
    <fb>146.82499999999999</fb>
    <v>1</v>
  </rv>
  <rv s="0">
    <fb>148.87</fb>
    <v>1</v>
  </rv>
  <rv s="0">
    <fb>18426066</fb>
    <v>2</v>
  </rv>
  <rv s="0">
    <fb>46261</fb>
    <v>0</v>
  </rv>
  <rv s="0">
    <fb>152.10599999999999</fb>
    <v>1</v>
  </rv>
  <rv s="0">
    <fb>153.83000000000001</fb>
    <v>1</v>
  </rv>
  <rv s="0">
    <fb>147.52000000000001</fb>
    <v>1</v>
  </rv>
  <rv s="0">
    <fb>151.94</fb>
    <v>1</v>
  </rv>
  <rv s="0">
    <fb>30251433</fb>
    <v>2</v>
  </rv>
  <rv s="0">
    <fb>46262</fb>
    <v>0</v>
  </rv>
  <rv s="0">
    <fb>153.6</fb>
    <v>1</v>
  </rv>
  <rv s="0">
    <fb>149.71</fb>
    <v>1</v>
  </rv>
  <rv s="0">
    <fb>150.85</fb>
    <v>1</v>
  </rv>
  <rv s="0">
    <fb>17799963</fb>
    <v>2</v>
  </rv>
  <rv s="0">
    <fb>46265</fb>
    <v>0</v>
  </rv>
  <rv s="0">
    <fb>149.31</fb>
    <v>1</v>
  </rv>
  <rv s="0">
    <fb>151.26</fb>
    <v>1</v>
  </rv>
  <rv s="0">
    <fb>147.75</fb>
    <v>1</v>
  </rv>
  <rv s="0">
    <fb>149.12</fb>
    <v>1</v>
  </rv>
  <rv s="0">
    <fb>16118904</fb>
    <v>2</v>
  </rv>
  <rv s="0">
    <fb>46266</fb>
    <v>0</v>
  </rv>
  <rv s="0">
    <fb>146.75</fb>
    <v>1</v>
  </rv>
  <rv s="0">
    <fb>146.79</fb>
    <v>1</v>
  </rv>
  <rv s="0">
    <fb>139.94999999999999</fb>
    <v>1</v>
  </rv>
  <rv s="0">
    <fb>141.32</fb>
    <v>1</v>
  </rv>
  <rv s="0">
    <fb>25443267</fb>
    <v>2</v>
  </rv>
  <rv s="0">
    <fb>46267</fb>
    <v>0</v>
  </rv>
  <rv s="0">
    <fb>140.26</fb>
    <v>1</v>
  </rv>
  <rv s="0">
    <fb>146.69</fb>
    <v>1</v>
  </rv>
  <rv s="0">
    <fb>145.75</fb>
    <v>1</v>
  </rv>
  <rv s="0">
    <fb>21906714</fb>
    <v>2</v>
  </rv>
  <rv s="0">
    <fb>46268</fb>
    <v>0</v>
  </rv>
  <rv s="0">
    <fb>147.27000000000001</fb>
    <v>1</v>
  </rv>
  <rv s="0">
    <fb>156.77000000000001</fb>
    <v>1</v>
  </rv>
  <rv s="0">
    <fb>146.91999999999999</fb>
    <v>1</v>
  </rv>
  <rv s="0">
    <fb>154.04</fb>
    <v>1</v>
  </rv>
  <rv s="0">
    <fb>25101731</fb>
    <v>2</v>
  </rv>
  <rv s="0">
    <fb>46269</fb>
    <v>0</v>
  </rv>
  <rv s="0">
    <fb>159.45500000000001</fb>
    <v>1</v>
  </rv>
  <rv s="0">
    <fb>159.69999999999999</fb>
    <v>1</v>
  </rv>
  <rv s="0">
    <fb>156.71</fb>
    <v>1</v>
  </rv>
  <rv s="0">
    <fb>158.78</fb>
    <v>1</v>
  </rv>
  <rv s="0">
    <fb>26511284</fb>
    <v>2</v>
  </rv>
  <rv s="1">
    <v>https://www.bing.com/financeapi/forcetrigger?t=a33pk2&amp;q=CBOE+MKT+VOLATILITY+IDX&amp;form=skydnc</v>
    <v>Learn more on Bing</v>
  </rv>
  <rv s="2">
    <v>3</v>
    <v>CBOE MKT VOLATILITY IDX</v>
    <v>5</v>
    <v>6</v>
    <v>Finance</v>
    <v>7</v>
    <v>en-US</v>
    <v>a33pk2</v>
    <v>268435456</v>
    <v>1</v>
    <v>Powered by Refinitiv</v>
    <v>35.299999999999997</v>
    <v>13.38</v>
    <v>-1.1399999999999999</v>
    <v>-6.9766999999999996E-2</v>
    <v>US</v>
    <v>16.82</v>
    <v>Index</v>
    <v>6736</v>
    <v>15.12</v>
    <v>CBOE MKT VOLATILITY IDX</v>
    <v>16.39</v>
    <v>16.34</v>
    <v>15.2</v>
    <v>VIX</v>
    <v>CBOE MKT VOLATILITY IDX</v>
  </rv>
  <rv s="3">
    <v>6737</v>
  </rv>
  <rv s="0">
    <fb>15.98</fb>
    <v>1</v>
  </rv>
  <rv s="0">
    <fb>17.07</fb>
    <v>1</v>
  </rv>
  <rv s="0">
    <fb>15.91</fb>
    <v>1</v>
  </rv>
  <rv s="0">
    <fb>16.48</fb>
    <v>1</v>
  </rv>
  <rv s="0">
    <fb>16.059999999999999</fb>
    <v>1</v>
  </rv>
  <rv s="0">
    <fb>16.71</fb>
    <v>1</v>
  </rv>
  <rv s="0">
    <fb>15.68</fb>
    <v>1</v>
  </rv>
  <rv s="0">
    <fb>16.11</fb>
    <v>1</v>
  </rv>
  <rv s="0">
    <fb>16.27</fb>
    <v>1</v>
  </rv>
  <rv s="0">
    <fb>16.98</fb>
    <v>1</v>
  </rv>
  <rv s="0">
    <fb>15.73</fb>
    <v>1</v>
  </rv>
  <rv s="0">
    <fb>16.41</fb>
    <v>1</v>
  </rv>
  <rv s="0">
    <fb>17.059999999999999</fb>
    <v>1</v>
  </rv>
  <rv s="0">
    <fb>16.079999999999998</fb>
    <v>1</v>
  </rv>
  <rv s="0">
    <fb>44445</fb>
    <v>0</v>
  </rv>
  <rv s="4">
    <fb t="e">#N/A</fb>
    <v>6</v>
    <v>4</v>
  </rv>
  <rv s="0">
    <fb>16.940000000000001</fb>
    <v>1</v>
  </rv>
  <rv s="0">
    <fb>18.39</fb>
    <v>1</v>
  </rv>
  <rv s="0">
    <fb>16.89</fb>
    <v>1</v>
  </rv>
  <rv s="0">
    <fb>18.14</fb>
    <v>1</v>
  </rv>
  <rv s="0">
    <fb>18.97</fb>
    <v>1</v>
  </rv>
  <rv s="0">
    <fb>19.64</fb>
    <v>1</v>
  </rv>
  <rv s="0">
    <fb>17.78</fb>
    <v>1</v>
  </rv>
  <rv s="0">
    <fb>17.96</fb>
    <v>1</v>
  </rv>
  <rv s="0">
    <fb>19.440000000000001</fb>
    <v>1</v>
  </rv>
  <rv s="0">
    <fb>19.54</fb>
    <v>1</v>
  </rv>
  <rv s="0">
    <fb>17.170000000000002</fb>
    <v>1</v>
  </rv>
  <rv s="0">
    <fb>18.8</fb>
    <v>1</v>
  </rv>
  <rv s="0">
    <fb>17.940000000000001</fb>
    <v>1</v>
  </rv>
  <rv s="0">
    <fb>21.13</fb>
    <v>1</v>
  </rv>
  <rv s="0">
    <fb>16.989999999999998</fb>
    <v>1</v>
  </rv>
  <rv s="0">
    <fb>20.95</fb>
    <v>1</v>
  </rv>
  <rv s="0">
    <fb>21.18</fb>
    <v>1</v>
  </rv>
  <rv s="0">
    <fb>18.760000000000002</fb>
    <v>1</v>
  </rv>
  <rv s="0">
    <fb>19.37</fb>
    <v>1</v>
  </rv>
  <rv s="0">
    <fb>19.579999999999998</fb>
    <v>1</v>
  </rv>
  <rv s="0">
    <fb>20.47</fb>
    <v>1</v>
  </rv>
  <rv s="0">
    <fb>19.46</fb>
    <v>1</v>
  </rv>
  <rv s="0">
    <fb>19.3</fb>
    <v>1</v>
  </rv>
  <rv s="0">
    <fb>20.27</fb>
    <v>1</v>
  </rv>
  <rv s="0">
    <fb>18.010000000000002</fb>
    <v>1</v>
  </rv>
  <rv s="0">
    <fb>18.18</fb>
    <v>1</v>
  </rv>
  <rv s="0">
    <fb>18.41</fb>
    <v>1</v>
  </rv>
  <rv s="0">
    <fb>19.760000000000002</fb>
    <v>1</v>
  </rv>
  <rv s="0">
    <fb>17.649999999999999</fb>
    <v>1</v>
  </rv>
  <rv s="0">
    <fb>18.690000000000001</fb>
    <v>1</v>
  </rv>
  <rv s="0">
    <fb>18.37</fb>
    <v>1</v>
  </rv>
  <rv s="0">
    <fb>21.51</fb>
    <v>1</v>
  </rv>
  <rv s="0">
    <fb>18.350000000000001</fb>
    <v>1</v>
  </rv>
  <rv s="0">
    <fb>20.81</fb>
    <v>1</v>
  </rv>
  <rv s="0">
    <fb>24.25</fb>
    <v>1</v>
  </rv>
  <rv s="0">
    <fb>28.79</fb>
    <v>1</v>
  </rv>
  <rv s="0">
    <fb>23.9</fb>
    <v>1</v>
  </rv>
  <rv s="0">
    <fb>25.71</fb>
    <v>1</v>
  </rv>
  <rv s="0">
    <fb>23.41</fb>
    <v>1</v>
  </rv>
  <rv s="0">
    <fb>25.6</fb>
    <v>1</v>
  </rv>
  <rv s="0">
    <fb>21.71</fb>
    <v>1</v>
  </rv>
  <rv s="0">
    <fb>24.36</fb>
    <v>1</v>
  </rv>
  <rv s="0">
    <fb>22.72</fb>
    <v>1</v>
  </rv>
  <rv s="0">
    <fb>23.4</fb>
    <v>1</v>
  </rv>
  <rv s="0">
    <fb>20.75</fb>
    <v>1</v>
  </rv>
  <rv s="0">
    <fb>20.87</fb>
    <v>1</v>
  </rv>
  <rv s="0">
    <fb>19.91</fb>
    <v>1</v>
  </rv>
  <rv s="0">
    <fb>20.21</fb>
    <v>1</v>
  </rv>
  <rv s="0">
    <fb>18.420000000000002</fb>
    <v>1</v>
  </rv>
  <rv s="0">
    <fb>18.63</fb>
    <v>1</v>
  </rv>
  <rv s="0">
    <fb>19.329999999999998</fb>
    <v>1</v>
  </rv>
  <rv s="0">
    <fb>20.41</fb>
    <v>1</v>
  </rv>
  <rv s="0">
    <fb>17.63</fb>
    <v>1</v>
  </rv>
  <rv s="0">
    <fb>17.75</fb>
    <v>1</v>
  </rv>
  <rv s="0">
    <fb>19.32</fb>
    <v>1</v>
  </rv>
  <rv s="0">
    <fb>17.739999999999998</fb>
    <v>1</v>
  </rv>
  <rv s="0">
    <fb>19.739999999999998</fb>
    <v>1</v>
  </rv>
  <rv s="0">
    <fb>24.82</fb>
    <v>1</v>
  </rv>
  <rv s="0">
    <fb>19.71</fb>
    <v>1</v>
  </rv>
  <rv s="0">
    <fb>23.25</fb>
    <v>1</v>
  </rv>
  <rv s="0">
    <fb>22.07</fb>
    <v>1</v>
  </rv>
  <rv s="0">
    <fb>23.79</fb>
    <v>1</v>
  </rv>
  <rv s="0">
    <fb>21.45</fb>
    <v>1</v>
  </rv>
  <rv s="0">
    <fb>22.56</fb>
    <v>1</v>
  </rv>
  <rv s="0">
    <fb>21.48</fb>
    <v>1</v>
  </rv>
  <rv s="0">
    <fb>24.71</fb>
    <v>1</v>
  </rv>
  <rv s="0">
    <fb>20.6</fb>
    <v>1</v>
  </rv>
  <rv s="0">
    <fb>23.14</fb>
    <v>1</v>
  </rv>
  <rv s="0">
    <fb>24.78</fb>
    <v>1</v>
  </rv>
  <rv s="0">
    <fb>24.89</fb>
    <v>1</v>
  </rv>
  <rv s="0">
    <fb>20.64</fb>
    <v>1</v>
  </rv>
  <rv s="0">
    <fb>21.15</fb>
    <v>1</v>
  </rv>
  <rv s="0">
    <fb>22.9</fb>
    <v>1</v>
  </rv>
  <rv s="0">
    <fb>24.58</fb>
    <v>1</v>
  </rv>
  <rv s="0">
    <fb>21.88</fb>
    <v>1</v>
  </rv>
  <rv s="0">
    <fb>22.96</fb>
    <v>1</v>
  </rv>
  <rv s="0">
    <fb>22.92</fb>
    <v>1</v>
  </rv>
  <rv s="0">
    <fb>23.17</fb>
    <v>1</v>
  </rv>
  <rv s="0">
    <fb>20.62</fb>
    <v>1</v>
  </rv>
  <rv s="0">
    <fb>21.3</fb>
    <v>1</v>
  </rv>
  <rv s="0">
    <fb>22.95</fb>
    <v>1</v>
  </rv>
  <rv s="0">
    <fb>24.4</fb>
    <v>1</v>
  </rv>
  <rv s="0">
    <fb>20.99</fb>
    <v>1</v>
  </rv>
  <rv s="0">
    <fb>21</fb>
    <v>1</v>
  </rv>
  <rv s="0">
    <fb>20.54</fb>
    <v>1</v>
  </rv>
  <rv s="0">
    <fb>20.76</fb>
    <v>1</v>
  </rv>
  <rv s="0">
    <fb>19.07</fb>
    <v>1</v>
  </rv>
  <rv s="0">
    <fb>19.940000000000001</fb>
    <v>1</v>
  </rv>
  <rv s="0">
    <fb>18.2</fb>
    <v>1</v>
  </rv>
  <rv s="0">
    <fb>18.77</fb>
    <v>1</v>
  </rv>
  <rv s="0">
    <fb>19.93</fb>
    <v>1</v>
  </rv>
  <rv s="0">
    <fb>20.45</fb>
    <v>1</v>
  </rv>
  <rv s="0">
    <fb>18.11</fb>
    <v>1</v>
  </rv>
  <rv s="0">
    <fb>20</fb>
    <v>1</v>
  </rv>
  <rv s="0">
    <fb>19.850000000000001</fb>
    <v>1</v>
  </rv>
  <rv s="0">
    <fb>20.14</fb>
    <v>1</v>
  </rv>
  <rv s="0">
    <fb>20.23</fb>
    <v>1</v>
  </rv>
  <rv s="0">
    <fb>18.440000000000001</fb>
    <v>1</v>
  </rv>
  <rv s="0">
    <fb>18.64</fb>
    <v>1</v>
  </rv>
  <rv s="0">
    <fb>18.079999999999998</fb>
    <v>1</v>
  </rv>
  <rv s="0">
    <fb>16.8</fb>
    <v>1</v>
  </rv>
  <rv s="0">
    <fb>16.86</fb>
    <v>1</v>
  </rv>
  <rv s="0">
    <fb>16.64</fb>
    <v>1</v>
  </rv>
  <rv s="0">
    <fb>16.850000000000001</fb>
    <v>1</v>
  </rv>
  <rv s="0">
    <fb>15.72</fb>
    <v>1</v>
  </rv>
  <rv s="0">
    <fb>16.3</fb>
    <v>1</v>
  </rv>
  <rv s="0">
    <fb>17.29</fb>
    <v>1</v>
  </rv>
  <rv s="0">
    <fb>17.93</fb>
    <v>1</v>
  </rv>
  <rv s="0">
    <fb>16.309999999999999</fb>
    <v>1</v>
  </rv>
  <rv s="0">
    <fb>16.09</fb>
    <v>1</v>
  </rv>
  <rv s="0">
    <fb>15.57</fb>
    <v>1</v>
  </rv>
  <rv s="0">
    <fb>15.7</fb>
    <v>1</v>
  </rv>
  <rv s="0">
    <fb>15.82</fb>
    <v>1</v>
  </rv>
  <rv s="0">
    <fb>15.89</fb>
    <v>1</v>
  </rv>
  <rv s="0">
    <fb>15.29</fb>
    <v>1</v>
  </rv>
  <rv s="0">
    <fb>15.49</fb>
    <v>1</v>
  </rv>
  <rv s="0">
    <fb>14.92</fb>
    <v>1</v>
  </rv>
  <rv s="0">
    <fb>15.01</fb>
    <v>1</v>
  </rv>
  <rv s="0">
    <fb>15.35</fb>
    <v>1</v>
  </rv>
  <rv s="0">
    <fb>16.39</fb>
    <v>1</v>
  </rv>
  <rv s="0">
    <fb>14.84</fb>
    <v>1</v>
  </rv>
  <rv s="0">
    <fb>15.43</fb>
    <v>1</v>
  </rv>
  <rv s="0">
    <fb>16.14</fb>
    <v>1</v>
  </rv>
  <rv s="0">
    <fb>16.329999999999998</fb>
    <v>1</v>
  </rv>
  <rv s="0">
    <fb>15.1</fb>
    <v>1</v>
  </rv>
  <rv s="0">
    <fb>15.24</fb>
    <v>1</v>
  </rv>
  <rv s="0">
    <fb>15.02</fb>
    <v>1</v>
  </rv>
  <rv s="0">
    <fb>14.9</fb>
    <v>1</v>
  </rv>
  <rv s="0">
    <fb>15.79</fb>
    <v>1</v>
  </rv>
  <rv s="0">
    <fb>15.54</fb>
    <v>1</v>
  </rv>
  <rv s="0">
    <fb>17.16</fb>
    <v>1</v>
  </rv>
  <rv s="0">
    <fb>16.23</fb>
    <v>1</v>
  </rv>
  <rv s="0">
    <fb>16.53</fb>
    <v>1</v>
  </rv>
  <rv s="0">
    <fb>17.399999999999999</fb>
    <v>1</v>
  </rv>
  <rv s="0">
    <fb>18.059999999999999</fb>
    <v>1</v>
  </rv>
  <rv s="0">
    <fb>16.13</fb>
    <v>1</v>
  </rv>
  <rv s="0">
    <fb>16.260000000000002</fb>
    <v>1</v>
  </rv>
  <rv s="0">
    <fb>17.7</fb>
    <v>1</v>
  </rv>
  <rv s="0">
    <fb>16.32</fb>
    <v>1</v>
  </rv>
  <rv s="0">
    <fb>16.54</fb>
    <v>1</v>
  </rv>
  <rv s="0">
    <fb>16.649999999999999</fb>
    <v>1</v>
  </rv>
  <rv s="0">
    <fb>16.03</fb>
    <v>1</v>
  </rv>
  <rv s="0">
    <fb>15.06</fb>
    <v>1</v>
  </rv>
  <rv s="0">
    <fb>14.73</fb>
    <v>1</v>
  </rv>
  <rv s="0">
    <fb>15.44</fb>
    <v>1</v>
  </rv>
  <rv s="0">
    <fb>15.59</fb>
    <v>1</v>
  </rv>
  <rv s="0">
    <fb>17.02</fb>
    <v>1</v>
  </rv>
  <rv s="0">
    <fb>14.95</fb>
    <v>1</v>
  </rv>
  <rv s="0">
    <fb>17.23</fb>
    <v>1</v>
  </rv>
  <rv s="0">
    <fb>17.690000000000001</fb>
    <v>1</v>
  </rv>
  <rv s="0">
    <fb>16.440000000000001</fb>
    <v>1</v>
  </rv>
  <rv s="0">
    <fb>17.22</fb>
    <v>1</v>
  </rv>
  <rv s="0">
    <fb>17.43</fb>
    <v>1</v>
  </rv>
  <rv s="0">
    <fb>18.57</fb>
    <v>1</v>
  </rv>
  <rv s="0">
    <fb>17.21</fb>
    <v>1</v>
  </rv>
  <rv s="0">
    <fb>19.899999999999999</fb>
    <v>1</v>
  </rv>
  <rv s="0">
    <fb>18.73</fb>
    <v>1</v>
  </rv>
  <rv s="0">
    <fb>18.34</fb>
    <v>1</v>
  </rv>
  <rv s="0">
    <fb>17.27</fb>
    <v>1</v>
  </rv>
  <rv s="0">
    <fb>17.66</fb>
    <v>1</v>
  </rv>
  <rv s="0">
    <fb>17.489999999999998</fb>
    <v>1</v>
  </rv>
  <rv s="0">
    <fb>16.149999999999999</fb>
    <v>1</v>
  </rv>
  <rv s="0">
    <fb>16.29</fb>
    <v>1</v>
  </rv>
  <rv s="0">
    <fb>17.03</fb>
    <v>1</v>
  </rv>
  <rv s="0">
    <fb>17.46</fb>
    <v>1</v>
  </rv>
  <rv s="0">
    <fb>16.489999999999998</fb>
    <v>1</v>
  </rv>
  <rv s="0">
    <fb>17.079999999999998</fb>
    <v>1</v>
  </rv>
  <rv s="0">
    <fb>16.37</fb>
    <v>1</v>
  </rv>
  <rv s="0">
    <fb>16.36</fb>
    <v>1</v>
  </rv>
  <rv s="0">
    <fb>17.190000000000001</fb>
    <v>1</v>
  </rv>
  <rv s="0">
    <fb>16.28</fb>
    <v>1</v>
  </rv>
  <rv s="0">
    <fb>17.11</fb>
    <v>1</v>
  </rv>
  <rv s="0">
    <fb>16.809999999999999</fb>
    <v>1</v>
  </rv>
  <rv s="0">
    <fb>18.149999999999999</fb>
    <v>1</v>
  </rv>
  <rv s="0">
    <fb>16.38</fb>
    <v>1</v>
  </rv>
  <rv s="0">
    <fb>17.59</fb>
    <v>1</v>
  </rv>
  <rv s="0">
    <fb>17.36</fb>
    <v>1</v>
  </rv>
  <rv s="0">
    <fb>19.010000000000002</fb>
    <v>1</v>
  </rv>
  <rv s="0">
    <fb>17.91</fb>
    <v>1</v>
  </rv>
  <rv s="0">
    <fb>19.59</fb>
    <v>1</v>
  </rv>
  <rv s="0">
    <fb>17.350000000000001</fb>
    <v>1</v>
  </rv>
  <rv s="0">
    <fb>19.170000000000002</fb>
    <v>1</v>
  </rv>
  <rv s="0">
    <fb>20.239999999999998</fb>
    <v>1</v>
  </rv>
  <rv s="0">
    <fb>20.91</fb>
    <v>1</v>
  </rv>
  <rv s="0">
    <fb>19.03</fb>
    <v>1</v>
  </rv>
  <rv s="0">
    <fb>19.38</fb>
    <v>1</v>
  </rv>
  <rv s="0">
    <fb>20.96</fb>
    <v>1</v>
  </rv>
  <rv s="0">
    <fb>18.52</fb>
    <v>1</v>
  </rv>
  <rv s="0">
    <fb>18.579999999999998</fb>
    <v>1</v>
  </rv>
  <rv s="0">
    <fb>44525</fb>
    <v>0</v>
  </rv>
  <rv s="0">
    <fb>26.62</fb>
    <v>1</v>
  </rv>
  <rv s="0">
    <fb>28.99</fb>
    <v>1</v>
  </rv>
  <rv s="0">
    <fb>23.88</fb>
    <v>1</v>
  </rv>
  <rv s="0">
    <fb>28.62</fb>
    <v>1</v>
  </rv>
  <rv s="0">
    <fb>25.31</fb>
    <v>1</v>
  </rv>
  <rv s="0">
    <fb>25.69</fb>
    <v>1</v>
  </rv>
  <rv s="0">
    <fb>26.23</fb>
    <v>1</v>
  </rv>
  <rv s="0">
    <fb>28.56</fb>
    <v>1</v>
  </rv>
  <rv s="0">
    <fb>23.71</fb>
    <v>1</v>
  </rv>
  <rv s="0">
    <fb>27.19</fb>
    <v>1</v>
  </rv>
  <rv s="0">
    <fb>24.92</fb>
    <v>1</v>
  </rv>
  <rv s="0">
    <fb>32.61</fb>
    <v>1</v>
  </rv>
  <rv s="0">
    <fb>22.38</fb>
    <v>1</v>
  </rv>
  <rv s="0">
    <fb>31.12</fb>
    <v>1</v>
  </rv>
  <rv s="0">
    <fb>29.44</fb>
    <v>1</v>
  </rv>
  <rv s="0">
    <fb>30.68</fb>
    <v>1</v>
  </rv>
  <rv s="0">
    <fb>27.15</fb>
    <v>1</v>
  </rv>
  <rv s="0">
    <fb>27.95</fb>
    <v>1</v>
  </rv>
  <rv s="0">
    <fb>26.95</fb>
    <v>1</v>
  </rv>
  <rv s="0">
    <fb>35.32</fb>
    <v>1</v>
  </rv>
  <rv s="0">
    <fb>25.89</fb>
    <v>1</v>
  </rv>
  <rv s="0">
    <fb>30.67</fb>
    <v>1</v>
  </rv>
  <rv s="0">
    <fb>30.82</fb>
    <v>1</v>
  </rv>
  <rv s="0">
    <fb>26.75</fb>
    <v>1</v>
  </rv>
  <rv s="0">
    <fb>27.18</fb>
    <v>1</v>
  </rv>
  <rv s="0">
    <fb>24.69</fb>
    <v>1</v>
  </rv>
  <rv s="0">
    <fb>21.58</fb>
    <v>1</v>
  </rv>
  <rv s="0">
    <fb>21.89</fb>
    <v>1</v>
  </rv>
  <rv s="0">
    <fb>21.74</fb>
    <v>1</v>
  </rv>
  <rv s="0">
    <fb>23.11</fb>
    <v>1</v>
  </rv>
  <rv s="0">
    <fb>20.309999999999999</fb>
    <v>1</v>
  </rv>
  <rv s="0">
    <fb>22.12</fb>
    <v>1</v>
  </rv>
  <rv s="0">
    <fb>21.27</fb>
    <v>1</v>
  </rv>
  <rv s="0">
    <fb>19.29</fb>
    <v>1</v>
  </rv>
  <rv s="0">
    <fb>18.96</fb>
    <v>1</v>
  </rv>
  <rv s="0">
    <fb>19.670000000000002</fb>
    <v>1</v>
  </rv>
  <rv s="0">
    <fb>23</fb>
    <v>1</v>
  </rv>
  <rv s="0">
    <fb>21.6</fb>
    <v>1</v>
  </rv>
  <rv s="0">
    <fb>23.47</fb>
    <v>1</v>
  </rv>
  <rv s="0">
    <fb>19.02</fb>
    <v>1</v>
  </rv>
  <rv s="0">
    <fb>18.559999999999999</fb>
    <v>1</v>
  </rv>
  <rv s="0">
    <fb>22.13</fb>
    <v>1</v>
  </rv>
  <rv s="0">
    <fb>18.190000000000001</fb>
    <v>1</v>
  </rv>
  <rv s="0">
    <fb>20.57</fb>
    <v>1</v>
  </rv>
  <rv s="0">
    <fb>20.7</fb>
    <v>1</v>
  </rv>
  <rv s="0">
    <fb>23.26</fb>
    <v>1</v>
  </rv>
  <rv s="0">
    <fb>20.49</fb>
    <v>1</v>
  </rv>
  <rv s="0">
    <fb>21.57</fb>
    <v>1</v>
  </rv>
  <rv s="0">
    <fb>27.39</fb>
    <v>1</v>
  </rv>
  <rv s="0">
    <fb>22.85</fb>
    <v>1</v>
  </rv>
  <rv s="0">
    <fb>22.87</fb>
    <v>1</v>
  </rv>
  <rv s="0">
    <fb>22.28</fb>
    <v>1</v>
  </rv>
  <rv s="0">
    <fb>22.68</fb>
    <v>1</v>
  </rv>
  <rv s="0">
    <fb>20.9</fb>
    <v>1</v>
  </rv>
  <rv s="0">
    <fb>21.01</fb>
    <v>1</v>
  </rv>
  <rv s="0">
    <fb>21.04</fb>
    <v>1</v>
  </rv>
  <rv s="0">
    <fb>21.36</fb>
    <v>1</v>
  </rv>
  <rv s="0">
    <fb>18.59</fb>
    <v>1</v>
  </rv>
  <rv s="0">
    <fb>18.809999999999999</fb>
    <v>1</v>
  </rv>
  <rv s="0">
    <fb>18.93</fb>
    <v>1</v>
  </rv>
  <rv s="0">
    <fb>17.62</fb>
    <v>1</v>
  </rv>
  <rv s="0">
    <fb>44554</fb>
    <v>0</v>
  </rv>
  <rv s="0">
    <fb>19.41</fb>
    <v>1</v>
  </rv>
  <rv s="0">
    <fb>17.55</fb>
    <v>1</v>
  </rv>
  <rv s="0">
    <fb>17.68</fb>
    <v>1</v>
  </rv>
  <rv s="0">
    <fb>18.47</fb>
    <v>1</v>
  </rv>
  <rv s="0">
    <fb>17.510000000000002</fb>
    <v>1</v>
  </rv>
  <rv s="0">
    <fb>17.54</fb>
    <v>1</v>
  </rv>
  <rv s="0">
    <fb>18</fb>
    <v>1</v>
  </rv>
  <rv s="0">
    <fb>16.95</fb>
    <v>1</v>
  </rv>
  <rv s="0">
    <fb>17.3</fb>
    <v>1</v>
  </rv>
  <rv s="0">
    <fb>17.79</fb>
    <v>1</v>
  </rv>
  <rv s="0">
    <fb>16.62</fb>
    <v>1</v>
  </rv>
  <rv s="0">
    <fb>17.329999999999998</fb>
    <v>1</v>
  </rv>
  <rv s="0">
    <fb>18.27</fb>
    <v>1</v>
  </rv>
  <rv s="0">
    <fb>17.600000000000001</fb>
    <v>1</v>
  </rv>
  <rv s="0">
    <fb>18.54</fb>
    <v>1</v>
  </rv>
  <rv s="0">
    <fb>16.559999999999999</fb>
    <v>1</v>
  </rv>
  <rv s="0">
    <fb>16.600000000000001</fb>
    <v>1</v>
  </rv>
  <rv s="0">
    <fb>16.57</fb>
    <v>1</v>
  </rv>
  <rv s="0">
    <fb>17.809999999999999</fb>
    <v>1</v>
  </rv>
  <rv s="0">
    <fb>16.34</fb>
    <v>1</v>
  </rv>
  <rv s="0">
    <fb>16.91</fb>
    <v>1</v>
  </rv>
  <rv s="0">
    <fb>20.170000000000002</fb>
    <v>1</v>
  </rv>
  <rv s="0">
    <fb>16.579999999999998</fb>
    <v>1</v>
  </rv>
  <rv s="0">
    <fb>19.73</fb>
    <v>1</v>
  </rv>
  <rv s="0">
    <fb>20.29</fb>
    <v>1</v>
  </rv>
  <rv s="0">
    <fb>21.06</fb>
    <v>1</v>
  </rv>
  <rv s="0">
    <fb>19.079999999999998</fb>
    <v>1</v>
  </rv>
  <rv s="0">
    <fb>19.61</fb>
    <v>1</v>
  </rv>
  <rv s="0">
    <fb>20.8</fb>
    <v>1</v>
  </rv>
  <rv s="0">
    <fb>23.33</fb>
    <v>1</v>
  </rv>
  <rv s="0">
    <fb>19.399999999999999</fb>
    <v>1</v>
  </rv>
  <rv s="0">
    <fb>19.62</fb>
    <v>1</v>
  </rv>
  <rv s="0">
    <fb>18.170000000000002</fb>
    <v>1</v>
  </rv>
  <rv s="0">
    <fb>20.61</fb>
    <v>1</v>
  </rv>
  <rv s="0">
    <fb>17.45</fb>
    <v>1</v>
  </rv>
  <rv s="0">
    <fb>20.11</fb>
    <v>1</v>
  </rv>
  <rv s="0">
    <fb>19.05</fb>
    <v>1</v>
  </rv>
  <rv s="0">
    <fb>19.190000000000001</fb>
    <v>1</v>
  </rv>
  <rv s="0">
    <fb>44578</fb>
    <v>0</v>
  </rv>
  <rv s="0">
    <fb>23.2</fb>
    <v>1</v>
  </rv>
  <rv s="0">
    <fb>22.79</fb>
    <v>1</v>
  </rv>
  <rv s="0">
    <fb>23.12</fb>
    <v>1</v>
  </rv>
  <rv s="0">
    <fb>23.99</fb>
    <v>1</v>
  </rv>
  <rv s="0">
    <fb>21.85</fb>
    <v>1</v>
  </rv>
  <rv s="0">
    <fb>23.85</fb>
    <v>1</v>
  </rv>
  <rv s="0">
    <fb>23.46</fb>
    <v>1</v>
  </rv>
  <rv s="0">
    <fb>21.68</fb>
    <v>1</v>
  </rv>
  <rv s="0">
    <fb>25.59</fb>
    <v>1</v>
  </rv>
  <rv s="0">
    <fb>25.38</fb>
    <v>1</v>
  </rv>
  <rv s="0">
    <fb>29.79</fb>
    <v>1</v>
  </rv>
  <rv s="0">
    <fb>28.85</fb>
    <v>1</v>
  </rv>
  <rv s="0">
    <fb>28.2</fb>
    <v>1</v>
  </rv>
  <rv s="0">
    <fb>38.94</fb>
    <v>1</v>
  </rv>
  <rv s="0">
    <fb>28.02</fb>
    <v>1</v>
  </rv>
  <rv s="0">
    <fb>29.9</fb>
    <v>1</v>
  </rv>
  <rv s="0">
    <fb>32.29</fb>
    <v>1</v>
  </rv>
  <rv s="0">
    <fb>35.85</fb>
    <v>1</v>
  </rv>
  <rv s="0">
    <fb>29.13</fb>
    <v>1</v>
  </rv>
  <rv s="0">
    <fb>31.16</fb>
    <v>1</v>
  </rv>
  <rv s="0">
    <fb>29.35</fb>
    <v>1</v>
  </rv>
  <rv s="0">
    <fb>33.04</fb>
    <v>1</v>
  </rv>
  <rv s="0">
    <fb>26.9</fb>
    <v>1</v>
  </rv>
  <rv s="0">
    <fb>31.96</fb>
    <v>1</v>
  </rv>
  <rv s="0">
    <fb>32.19</fb>
    <v>1</v>
  </rv>
  <rv s="0">
    <fb>33</fb>
    <v>1</v>
  </rv>
  <rv s="0">
    <fb>28.42</fb>
    <v>1</v>
  </rv>
  <rv s="0">
    <fb>30.49</fb>
    <v>1</v>
  </rv>
  <rv s="0">
    <fb>30.27</fb>
    <v>1</v>
  </rv>
  <rv s="0">
    <fb>32.82</fb>
    <v>1</v>
  </rv>
  <rv s="0">
    <fb>27.28</fb>
    <v>1</v>
  </rv>
  <rv s="0">
    <fb>27.66</fb>
    <v>1</v>
  </rv>
  <rv s="0">
    <fb>28.36</fb>
    <v>1</v>
  </rv>
  <rv s="0">
    <fb>29.41</fb>
    <v>1</v>
  </rv>
  <rv s="0">
    <fb>24.83</fb>
    <v>1</v>
  </rv>
  <rv s="0">
    <fb>24.57</fb>
    <v>1</v>
  </rv>
  <rv s="0">
    <fb>25.33</fb>
    <v>1</v>
  </rv>
  <rv s="0">
    <fb>21.96</fb>
    <v>1</v>
  </rv>
  <rv s="0">
    <fb>21.56</fb>
    <v>1</v>
  </rv>
  <rv s="0">
    <fb>22.73</fb>
    <v>1</v>
  </rv>
  <rv s="0">
    <fb>20.46</fb>
    <v>1</v>
  </rv>
  <rv s="0">
    <fb>22.09</fb>
    <v>1</v>
  </rv>
  <rv s="0">
    <fb>22.63</fb>
    <v>1</v>
  </rv>
  <rv s="0">
    <fb>25.81</fb>
    <v>1</v>
  </rv>
  <rv s="0">
    <fb>22.3</fb>
    <v>1</v>
  </rv>
  <rv s="0">
    <fb>24.35</fb>
    <v>1</v>
  </rv>
  <rv s="0">
    <fb>23.77</fb>
    <v>1</v>
  </rv>
  <rv s="0">
    <fb>26.26</fb>
    <v>1</v>
  </rv>
  <rv s="0">
    <fb>23.22</fb>
    <v>1</v>
  </rv>
  <rv s="0">
    <fb>24.09</fb>
    <v>1</v>
  </rv>
  <rv s="0">
    <fb>22.02</fb>
    <v>1</v>
  </rv>
  <rv s="0">
    <fb>22.86</fb>
    <v>1</v>
  </rv>
  <rv s="0">
    <fb>23.09</fb>
    <v>1</v>
  </rv>
  <rv s="0">
    <fb>23.48</fb>
    <v>1</v>
  </rv>
  <rv s="0">
    <fb>21.32</fb>
    <v>1</v>
  </rv>
  <rv s="0">
    <fb>21.44</fb>
    <v>1</v>
  </rv>
  <rv s="0">
    <fb>19.96</fb>
    <v>1</v>
  </rv>
  <rv s="0">
    <fb>20.37</fb>
    <v>1</v>
  </rv>
  <rv s="0">
    <fb>24.77</fb>
    <v>1</v>
  </rv>
  <rv s="0">
    <fb>20.18</fb>
    <v>1</v>
  </rv>
  <rv s="0">
    <fb>23.91</fb>
    <v>1</v>
  </rv>
  <rv s="0">
    <fb>24.39</fb>
    <v>1</v>
  </rv>
  <rv s="0">
    <fb>30.99</fb>
    <v>1</v>
  </rv>
  <rv s="0">
    <fb>27.36</fb>
    <v>1</v>
  </rv>
  <rv s="0">
    <fb>29.17</fb>
    <v>1</v>
  </rv>
  <rv s="0">
    <fb>32.04</fb>
    <v>1</v>
  </rv>
  <rv s="0">
    <fb>28.33</fb>
    <v>1</v>
  </rv>
  <rv s="0">
    <fb>28.09</fb>
    <v>1</v>
  </rv>
  <rv s="0">
    <fb>25.7</fb>
    <v>1</v>
  </rv>
  <rv s="0">
    <fb>25.19</fb>
    <v>1</v>
  </rv>
  <rv s="0">
    <fb>27.09</fb>
    <v>1</v>
  </rv>
  <rv s="0">
    <fb>24.29</fb>
    <v>1</v>
  </rv>
  <rv s="0">
    <fb>28.37</fb>
    <v>1</v>
  </rv>
  <rv s="0">
    <fb>24.76</fb>
    <v>1</v>
  </rv>
  <rv s="0">
    <fb>28.11</fb>
    <v>1</v>
  </rv>
  <rv s="0">
    <fb>26.66</fb>
    <v>1</v>
  </rv>
  <rv s="0">
    <fb>29.71</fb>
    <v>1</v>
  </rv>
  <rv s="0">
    <fb>26.38</fb>
    <v>1</v>
  </rv>
  <rv s="0">
    <fb>27.75</fb>
    <v>1</v>
  </rv>
  <rv s="0">
    <fb>44613</fb>
    <v>0</v>
  </rv>
  <rv s="0">
    <fb>31.8</fb>
    <v>1</v>
  </rv>
  <rv s="0">
    <fb>28.4</fb>
    <v>1</v>
  </rv>
  <rv s="0">
    <fb>28.81</fb>
    <v>1</v>
  </rv>
  <rv s="0">
    <fb>28.04</fb>
    <v>1</v>
  </rv>
  <rv s="0">
    <fb>31.07</fb>
    <v>1</v>
  </rv>
  <rv s="0">
    <fb>27.2</fb>
    <v>1</v>
  </rv>
  <rv s="0">
    <fb>31.02</fb>
    <v>1</v>
  </rv>
  <rv s="0">
    <fb>37.5</fb>
    <v>1</v>
  </rv>
  <rv s="0">
    <fb>37.79</fb>
    <v>1</v>
  </rv>
  <rv s="0">
    <fb>29.45</fb>
    <v>1</v>
  </rv>
  <rv s="0">
    <fb>30.32</fb>
    <v>1</v>
  </rv>
  <rv s="0">
    <fb>31.68</fb>
    <v>1</v>
  </rv>
  <rv s="0">
    <fb>32</fb>
    <v>1</v>
  </rv>
  <rv s="0">
    <fb>26.93</fb>
    <v>1</v>
  </rv>
  <rv s="0">
    <fb>27.59</fb>
    <v>1</v>
  </rv>
  <rv s="0">
    <fb>32.44</fb>
    <v>1</v>
  </rv>
  <rv s="0">
    <fb>33.51</fb>
    <v>1</v>
  </rv>
  <rv s="0">
    <fb>28.43</fb>
    <v>1</v>
  </rv>
  <rv s="0">
    <fb>30.15</fb>
    <v>1</v>
  </rv>
  <rv s="0">
    <fb>35.19</fb>
    <v>1</v>
  </rv>
  <rv s="0">
    <fb>33.32</fb>
    <v>1</v>
  </rv>
  <rv s="0">
    <fb>34.200000000000003</fb>
    <v>1</v>
  </rv>
  <rv s="0">
    <fb>34.409999999999997</fb>
    <v>1</v>
  </rv>
  <rv s="0">
    <fb>30.12</fb>
    <v>1</v>
  </rv>
  <rv s="0">
    <fb>30.74</fb>
    <v>1</v>
  </rv>
  <rv s="0">
    <fb>30.52</fb>
    <v>1</v>
  </rv>
  <rv s="0">
    <fb>32.01</fb>
    <v>1</v>
  </rv>
  <rv s="0">
    <fb>29.31</fb>
    <v>1</v>
  </rv>
  <rv s="0">
    <fb>30.48</fb>
    <v>1</v>
  </rv>
  <rv s="0">
    <fb>31.9</fb>
    <v>1</v>
  </rv>
  <rv s="0">
    <fb>34.65</fb>
    <v>1</v>
  </rv>
  <rv s="0">
    <fb>31.47</fb>
    <v>1</v>
  </rv>
  <rv s="0">
    <fb>31.98</fb>
    <v>1</v>
  </rv>
  <rv s="0">
    <fb>35.880000000000003</fb>
    <v>1</v>
  </rv>
  <rv s="0">
    <fb>36.549999999999997</fb>
    <v>1</v>
  </rv>
  <rv s="0">
    <fb>32.590000000000003</fb>
    <v>1</v>
  </rv>
  <rv s="0">
    <fb>36.450000000000003</fb>
    <v>1</v>
  </rv>
  <rv s="0">
    <fb>36.19</fb>
    <v>1</v>
  </rv>
  <rv s="0">
    <fb>37.520000000000003</fb>
    <v>1</v>
  </rv>
  <rv s="0">
    <fb>32.78</fb>
    <v>1</v>
  </rv>
  <rv s="0">
    <fb>35.130000000000003</fb>
    <v>1</v>
  </rv>
  <rv s="0">
    <fb>33.74</fb>
    <v>1</v>
  </rv>
  <rv s="0">
    <fb>34.119999999999997</fb>
    <v>1</v>
  </rv>
  <rv s="0">
    <fb>31.39</fb>
    <v>1</v>
  </rv>
  <rv s="0">
    <fb>32.450000000000003</fb>
    <v>1</v>
  </rv>
  <rv s="0">
    <fb>33.03</fb>
    <v>1</v>
  </rv>
  <rv s="0">
    <fb>34.03</fb>
    <v>1</v>
  </rv>
  <rv s="0">
    <fb>30.23</fb>
    <v>1</v>
  </rv>
  <rv s="0">
    <fb>30.43</fb>
    <v>1</v>
  </rv>
  <rv s="0">
    <fb>31.04</fb>
    <v>1</v>
  </rv>
  <rv s="0">
    <fb>28.84</fb>
    <v>1</v>
  </rv>
  <rv s="0">
    <fb>30.75</fb>
    <v>1</v>
  </rv>
  <rv s="0">
    <fb>31.03</fb>
    <v>1</v>
  </rv>
  <rv s="0">
    <fb>33.18</fb>
    <v>1</v>
  </rv>
  <rv s="0">
    <fb>30.06</fb>
    <v>1</v>
  </rv>
  <rv s="0">
    <fb>31.77</fb>
    <v>1</v>
  </rv>
  <rv s="0">
    <fb>33.130000000000003</fb>
    <v>1</v>
  </rv>
  <rv s="0">
    <fb>33.83</fb>
    <v>1</v>
  </rv>
  <rv s="0">
    <fb>29.57</fb>
    <v>1</v>
  </rv>
  <rv s="0">
    <fb>29.83</fb>
    <v>1</v>
  </rv>
  <rv s="0">
    <fb>29.02</fb>
    <v>1</v>
  </rv>
  <rv s="0">
    <fb>29.8</fb>
    <v>1</v>
  </rv>
  <rv s="0">
    <fb>26.29</fb>
    <v>1</v>
  </rv>
  <rv s="0">
    <fb>26.67</fb>
    <v>1</v>
  </rv>
  <rv s="0">
    <fb>26.51</fb>
    <v>1</v>
  </rv>
  <rv s="0">
    <fb>27.47</fb>
    <v>1</v>
  </rv>
  <rv s="0">
    <fb>25.25</fb>
    <v>1</v>
  </rv>
  <rv s="0">
    <fb>25.67</fb>
    <v>1</v>
  </rv>
  <rv s="0">
    <fb>26.36</fb>
    <v>1</v>
  </rv>
  <rv s="0">
    <fb>26.82</fb>
    <v>1</v>
  </rv>
  <rv s="0">
    <fb>23.87</fb>
    <v>1</v>
  </rv>
  <rv s="0">
    <fb>25.14</fb>
    <v>1</v>
  </rv>
  <rv s="0">
    <fb>25.36</fb>
    <v>1</v>
  </rv>
  <rv s="0">
    <fb>22.99</fb>
    <v>1</v>
  </rv>
  <rv s="0">
    <fb>23.53</fb>
    <v>1</v>
  </rv>
  <rv s="0">
    <fb>24.02</fb>
    <v>1</v>
  </rv>
  <rv s="0">
    <fb>22.7</fb>
    <v>1</v>
  </rv>
  <rv s="0">
    <fb>22.94</fb>
    <v>1</v>
  </rv>
  <rv s="0">
    <fb>23.04</fb>
    <v>1</v>
  </rv>
  <rv s="0">
    <fb>24.03</fb>
    <v>1</v>
  </rv>
  <rv s="0">
    <fb>22.64</fb>
    <v>1</v>
  </rv>
  <rv s="0">
    <fb>23.57</fb>
    <v>1</v>
  </rv>
  <rv s="0">
    <fb>23.61</fb>
    <v>1</v>
  </rv>
  <rv s="0">
    <fb>21.49</fb>
    <v>1</v>
  </rv>
  <rv s="0">
    <fb>21.67</fb>
    <v>1</v>
  </rv>
  <rv s="0">
    <fb>21.87</fb>
    <v>1</v>
  </rv>
  <rv s="0">
    <fb>22.14</fb>
    <v>1</v>
  </rv>
  <rv s="0">
    <fb>19.63</fb>
    <v>1</v>
  </rv>
  <rv s="0">
    <fb>19.7</fb>
    <v>1</v>
  </rv>
  <rv s="0">
    <fb>18.670000000000002</fb>
    <v>1</v>
  </rv>
  <rv s="0">
    <fb>18.899999999999999</fb>
    <v>1</v>
  </rv>
  <rv s="0">
    <fb>20.51</fb>
    <v>1</v>
  </rv>
  <rv s="0">
    <fb>18.72</fb>
    <v>1</v>
  </rv>
  <rv s="0">
    <fb>19.68</fb>
    <v>1</v>
  </rv>
  <rv s="0">
    <fb>20.56</fb>
    <v>1</v>
  </rv>
  <rv s="0">
    <fb>20.86</fb>
    <v>1</v>
  </rv>
  <rv s="0">
    <fb>20.78</fb>
    <v>1</v>
  </rv>
  <rv s="0">
    <fb>18.45</fb>
    <v>1</v>
  </rv>
  <rv s="0">
    <fb>18.79</fb>
    <v>1</v>
  </rv>
  <rv s="0">
    <fb>18.55</fb>
    <v>1</v>
  </rv>
  <rv s="0">
    <fb>21.03</fb>
    <v>1</v>
  </rv>
  <rv s="0">
    <fb>21.24</fb>
    <v>1</v>
  </rv>
  <rv s="0">
    <fb>22.1</fb>
    <v>1</v>
  </rv>
  <rv s="0">
    <fb>21.97</fb>
    <v>1</v>
  </rv>
  <rv s="0">
    <fb>23.82</fb>
    <v>1</v>
  </rv>
  <rv s="0">
    <fb>21.12</fb>
    <v>1</v>
  </rv>
  <rv s="0">
    <fb>21.55</fb>
    <v>1</v>
  </rv>
  <rv s="0">
    <fb>21.25</fb>
    <v>1</v>
  </rv>
  <rv s="0">
    <fb>22.34</fb>
    <v>1</v>
  </rv>
  <rv s="0">
    <fb>20.28</fb>
    <v>1</v>
  </rv>
  <rv s="0">
    <fb>21.16</fb>
    <v>1</v>
  </rv>
  <rv s="0">
    <fb>24.42</fb>
    <v>1</v>
  </rv>
  <rv s="0">
    <fb>24.37</fb>
    <v>1</v>
  </rv>
  <rv s="0">
    <fb>24.94</fb>
    <v>1</v>
  </rv>
  <rv s="0">
    <fb>22.27</fb>
    <v>1</v>
  </rv>
  <rv s="0">
    <fb>24.26</fb>
    <v>1</v>
  </rv>
  <rv s="0">
    <fb>23.52</fb>
    <v>1</v>
  </rv>
  <rv s="0">
    <fb>24.45</fb>
    <v>1</v>
  </rv>
  <rv s="0">
    <fb>21.37</fb>
    <v>1</v>
  </rv>
  <rv s="0">
    <fb>21.82</fb>
    <v>1</v>
  </rv>
  <rv s="0">
    <fb>21.72</fb>
    <v>1</v>
  </rv>
  <rv s="0">
    <fb>20.85</fb>
    <v>1</v>
  </rv>
  <rv s="0">
    <fb>44666</fb>
    <v>0</v>
  </rv>
  <rv s="0">
    <fb>24.52</fb>
    <v>1</v>
  </rv>
  <rv s="0">
    <fb>24.6</fb>
    <v>1</v>
  </rv>
  <rv s="0">
    <fb>21.98</fb>
    <v>1</v>
  </rv>
  <rv s="0">
    <fb>22.17</fb>
    <v>1</v>
  </rv>
  <rv s="0">
    <fb>22.55</fb>
    <v>1</v>
  </rv>
  <rv s="0">
    <fb>20.36</fb>
    <v>1</v>
  </rv>
  <rv s="0">
    <fb>19.75</fb>
    <v>1</v>
  </rv>
  <rv s="0">
    <fb>20.32</fb>
    <v>1</v>
  </rv>
  <rv s="0">
    <fb>23.28</fb>
    <v>1</v>
  </rv>
  <rv s="0">
    <fb>19.809999999999999</fb>
    <v>1</v>
  </rv>
  <rv s="0">
    <fb>22.71</fb>
    <v>1</v>
  </rv>
  <rv s="0">
    <fb>28.27</fb>
    <v>1</v>
  </rv>
  <rv s="0">
    <fb>22.62</fb>
    <v>1</v>
  </rv>
  <rv s="0">
    <fb>28.21</fb>
    <v>1</v>
  </rv>
  <rv s="0">
    <fb>30.04</fb>
    <v>1</v>
  </rv>
  <rv s="0">
    <fb>31.6</fb>
    <v>1</v>
  </rv>
  <rv s="0">
    <fb>26.8</fb>
    <v>1</v>
  </rv>
  <rv s="0">
    <fb>27.02</fb>
    <v>1</v>
  </rv>
  <rv s="0">
    <fb>27.38</fb>
    <v>1</v>
  </rv>
  <rv s="0">
    <fb>33.81</fb>
    <v>1</v>
  </rv>
  <rv s="0">
    <fb>27.06</fb>
    <v>1</v>
  </rv>
  <rv s="0">
    <fb>33.520000000000003</fb>
    <v>1</v>
  </rv>
  <rv s="0">
    <fb>31.11</fb>
    <v>1</v>
  </rv>
  <rv s="0">
    <fb>32.770000000000003</fb>
    <v>1</v>
  </rv>
  <rv s="0">
    <fb>29.82</fb>
    <v>1</v>
  </rv>
  <rv s="0">
    <fb>29.91</fb>
    <v>1</v>
  </rv>
  <rv s="0">
    <fb>28</fb>
    <v>1</v>
  </rv>
  <rv s="0">
    <fb>29.99</fb>
    <v>1</v>
  </rv>
  <rv s="0">
    <fb>28.97</fb>
    <v>1</v>
  </rv>
  <rv s="0">
    <fb>34.340000000000003</fb>
    <v>1</v>
  </rv>
  <rv s="0">
    <fb>28.54</fb>
    <v>1</v>
  </rv>
  <rv s="0">
    <fb>33.4</fb>
    <v>1</v>
  </rv>
  <rv s="0">
    <fb>33.35</fb>
    <v>1</v>
  </rv>
  <rv s="0">
    <fb>36.64</fb>
    <v>1</v>
  </rv>
  <rv s="0">
    <fb>31.74</fb>
    <v>1</v>
  </rv>
  <rv s="0">
    <fb>32.340000000000003</fb>
    <v>1</v>
  </rv>
  <rv s="0">
    <fb>31.76</fb>
    <v>1</v>
  </rv>
  <rv s="0">
    <fb>29.06</fb>
    <v>1</v>
  </rv>
  <rv s="0">
    <fb>29.25</fb>
    <v>1</v>
  </rv>
  <rv s="0">
    <fb>29.12</fb>
    <v>1</v>
  </rv>
  <rv s="0">
    <fb>29.42</fb>
    <v>1</v>
  </rv>
  <rv s="0">
    <fb>25.42</fb>
    <v>1</v>
  </rv>
  <rv s="0">
    <fb>25.97</fb>
    <v>1</v>
  </rv>
  <rv s="0">
    <fb>33.200000000000003</fb>
    <v>1</v>
  </rv>
  <rv s="0">
    <fb>25.78</fb>
    <v>1</v>
  </rv>
  <rv s="0">
    <fb>31.2</fb>
    <v>1</v>
  </rv>
  <rv s="0">
    <fb>32.229999999999997</fb>
    <v>1</v>
  </rv>
  <rv s="0">
    <fb>35.340000000000003</fb>
    <v>1</v>
  </rv>
  <rv s="0">
    <fb>30.19</fb>
    <v>1</v>
  </rv>
  <rv s="0">
    <fb>35.479999999999997</fb>
    <v>1</v>
  </rv>
  <rv s="0">
    <fb>34.75</fb>
    <v>1</v>
  </rv>
  <rv s="0">
    <fb>33.659999999999997</fb>
    <v>1</v>
  </rv>
  <rv s="0">
    <fb>34.840000000000003</fb>
    <v>1</v>
  </rv>
  <rv s="0">
    <fb>32.24</fb>
    <v>1</v>
  </rv>
  <rv s="0">
    <fb>32.99</fb>
    <v>1</v>
  </rv>
  <rv s="0">
    <fb>32.869999999999997</fb>
    <v>1</v>
  </rv>
  <rv s="0">
    <fb>34.39</fb>
    <v>1</v>
  </rv>
  <rv s="0">
    <fb>30.69</fb>
    <v>1</v>
  </rv>
  <rv s="0">
    <fb>32.56</fb>
    <v>1</v>
  </rv>
  <rv s="0">
    <fb>34.76</fb>
    <v>1</v>
  </rv>
  <rv s="0">
    <fb>31.7</fb>
    <v>1</v>
  </rv>
  <rv s="0">
    <fb>31.09</fb>
    <v>1</v>
  </rv>
  <rv s="0">
    <fb>28.78</fb>
    <v>1</v>
  </rv>
  <rv s="0">
    <fb>28.87</fb>
    <v>1</v>
  </rv>
  <rv s="0">
    <fb>30.01</fb>
    <v>1</v>
  </rv>
  <rv s="0">
    <fb>27.07</fb>
    <v>1</v>
  </rv>
  <rv s="0">
    <fb>27.17</fb>
    <v>1</v>
  </rv>
  <rv s="0">
    <fb>25.51</fb>
    <v>1</v>
  </rv>
  <rv s="0">
    <fb>26.1</fb>
    <v>1</v>
  </rv>
  <rv s="0">
    <fb>26.74</fb>
    <v>1</v>
  </rv>
  <rv s="0">
    <fb>31.49</fb>
    <v>1</v>
  </rv>
  <rv s="0">
    <fb>26.21</fb>
    <v>1</v>
  </rv>
  <rv s="0">
    <fb>30.96</fb>
    <v>1</v>
  </rv>
  <rv s="0">
    <fb>31.24</fb>
    <v>1</v>
  </rv>
  <rv s="0">
    <fb>33.11</fb>
    <v>1</v>
  </rv>
  <rv s="0">
    <fb>32.909999999999997</fb>
    <v>1</v>
  </rv>
  <rv s="0">
    <fb>28.06</fb>
    <v>1</v>
  </rv>
  <rv s="0">
    <fb>29.43</fb>
    <v>1</v>
  </rv>
  <rv s="0">
    <fb>28.98</fb>
    <v>1</v>
  </rv>
  <rv s="0">
    <fb>30.39</fb>
    <v>1</v>
  </rv>
  <rv s="0">
    <fb>28.29</fb>
    <v>1</v>
  </rv>
  <rv s="0">
    <fb>28.48</fb>
    <v>1</v>
  </rv>
  <rv s="0">
    <fb>29.04</fb>
    <v>1</v>
  </rv>
  <rv s="0">
    <fb>29.33</fb>
    <v>1</v>
  </rv>
  <rv s="0">
    <fb>28.16</fb>
    <v>1</v>
  </rv>
  <rv s="0">
    <fb>28.46</fb>
    <v>1</v>
  </rv>
  <rv s="0">
    <fb>27.11</fb>
    <v>1</v>
  </rv>
  <rv s="0">
    <fb>27.5</fb>
    <v>1</v>
  </rv>
  <rv s="0">
    <fb>27.54</fb>
    <v>1</v>
  </rv>
  <rv s="0">
    <fb>25.57</fb>
    <v>1</v>
  </rv>
  <rv s="0">
    <fb>25.72</fb>
    <v>1</v>
  </rv>
  <rv s="0">
    <fb>44711</fb>
    <v>0</v>
  </rv>
  <rv s="0">
    <fb>26.16</fb>
    <v>1</v>
  </rv>
  <rv s="0">
    <fb>26.81</fb>
    <v>1</v>
  </rv>
  <rv s="0">
    <fb>26.08</fb>
    <v>1</v>
  </rv>
  <rv s="0">
    <fb>26.54</fb>
    <v>1</v>
  </rv>
  <rv s="0">
    <fb>28.35</fb>
    <v>1</v>
  </rv>
  <rv s="0">
    <fb>25.94</fb>
    <v>1</v>
  </rv>
  <rv s="0">
    <fb>26.19</fb>
    <v>1</v>
  </rv>
  <rv s="0">
    <fb>26.05</fb>
    <v>1</v>
  </rv>
  <rv s="0">
    <fb>27.73</fb>
    <v>1</v>
  </rv>
  <rv s="0">
    <fb>25.73</fb>
    <v>1</v>
  </rv>
  <rv s="0">
    <fb>26.5</fb>
    <v>1</v>
  </rv>
  <rv s="0">
    <fb>24.33</fb>
    <v>1</v>
  </rv>
  <rv s="0">
    <fb>24.72</fb>
    <v>1</v>
  </rv>
  <rv s="0">
    <fb>24.91</fb>
    <v>1</v>
  </rv>
  <rv s="0">
    <fb>25.96</fb>
    <v>1</v>
  </rv>
  <rv s="0">
    <fb>24.79</fb>
    <v>1</v>
  </rv>
  <rv s="0">
    <fb>25.37</fb>
    <v>1</v>
  </rv>
  <rv s="0">
    <fb>25.07</fb>
    <v>1</v>
  </rv>
  <rv s="0">
    <fb>25.54</fb>
    <v>1</v>
  </rv>
  <rv s="0">
    <fb>26.24</fb>
    <v>1</v>
  </rv>
  <rv s="0">
    <fb>23.74</fb>
    <v>1</v>
  </rv>
  <rv s="0">
    <fb>23.96</fb>
    <v>1</v>
  </rv>
  <rv s="0">
    <fb>26.09</fb>
    <v>1</v>
  </rv>
  <rv s="0">
    <fb>29.63</fb>
    <v>1</v>
  </rv>
  <rv s="0">
    <fb>31.37</fb>
    <v>1</v>
  </rv>
  <rv s="0">
    <fb>35.049999999999997</fb>
    <v>1</v>
  </rv>
  <rv s="0">
    <fb>31.29</fb>
    <v>1</v>
  </rv>
  <rv s="0">
    <fb>34.020000000000003</fb>
    <v>1</v>
  </rv>
  <rv s="0">
    <fb>33.01</fb>
    <v>1</v>
  </rv>
  <rv s="0">
    <fb>34</fb>
    <v>1</v>
  </rv>
  <rv s="0">
    <fb>32.06</fb>
    <v>1</v>
  </rv>
  <rv s="0">
    <fb>32.69</fb>
    <v>1</v>
  </rv>
  <rv s="0">
    <fb>32.39</fb>
    <v>1</v>
  </rv>
  <rv s="0">
    <fb>27.76</fb>
    <v>1</v>
  </rv>
  <rv s="0">
    <fb>29.62</fb>
    <v>1</v>
  </rv>
  <rv s="0">
    <fb>30.35</fb>
    <v>1</v>
  </rv>
  <rv s="0">
    <fb>34.82</fb>
    <v>1</v>
  </rv>
  <rv s="0">
    <fb>32.950000000000003</fb>
    <v>1</v>
  </rv>
  <rv s="0">
    <fb>32.840000000000003</fb>
    <v>1</v>
  </rv>
  <rv s="0">
    <fb>33.31</fb>
    <v>1</v>
  </rv>
  <rv s="0">
    <fb>30.47</fb>
    <v>1</v>
  </rv>
  <rv s="0">
    <fb>31.13</fb>
    <v>1</v>
  </rv>
  <rv s="0">
    <fb>44732</fb>
    <v>0</v>
  </rv>
  <rv s="0">
    <fb>32.159999999999997</fb>
    <v>1</v>
  </rv>
  <rv s="0">
    <fb>30.98</fb>
    <v>1</v>
  </rv>
  <rv s="0">
    <fb>30.63</fb>
    <v>1</v>
  </rv>
  <rv s="0">
    <fb>30.65</fb>
    <v>1</v>
  </rv>
  <rv s="0">
    <fb>31.45</fb>
    <v>1</v>
  </rv>
  <rv s="0">
    <fb>31.57</fb>
    <v>1</v>
  </rv>
  <rv s="0">
    <fb>28.95</fb>
    <v>1</v>
  </rv>
  <rv s="0">
    <fb>29.29</fb>
    <v>1</v>
  </rv>
  <rv s="0">
    <fb>29.77</fb>
    <v>1</v>
  </rv>
  <rv s="0">
    <fb>28.74</fb>
    <v>1</v>
  </rv>
  <rv s="0">
    <fb>29.05</fb>
    <v>1</v>
  </rv>
  <rv s="0">
    <fb>29.07</fb>
    <v>1</v>
  </rv>
  <rv s="0">
    <fb>29.72</fb>
    <v>1</v>
  </rv>
  <rv s="0">
    <fb>26.83</fb>
    <v>1</v>
  </rv>
  <rv s="0">
    <fb>27.23</fb>
    <v>1</v>
  </rv>
  <rv s="0">
    <fb>28.3</fb>
    <v>1</v>
  </rv>
  <rv s="0">
    <fb>28.66</fb>
    <v>1</v>
  </rv>
  <rv s="0">
    <fb>28.68</fb>
    <v>1</v>
  </rv>
  <rv s="0">
    <fb>26.47</fb>
    <v>1</v>
  </rv>
  <rv s="0">
    <fb>28.8</fb>
    <v>1</v>
  </rv>
  <rv s="0">
    <fb>29.36</fb>
    <v>1</v>
  </rv>
  <rv s="0">
    <fb>27.85</fb>
    <v>1</v>
  </rv>
  <rv s="0">
    <fb>30.22</fb>
    <v>1</v>
  </rv>
  <rv s="0">
    <fb>28.28</fb>
    <v>1</v>
  </rv>
  <rv s="0">
    <fb>28.71</fb>
    <v>1</v>
  </rv>
  <rv s="0">
    <fb>29.53</fb>
    <v>1</v>
  </rv>
  <rv s="0">
    <fb>29.59</fb>
    <v>1</v>
  </rv>
  <rv s="0">
    <fb>26.69</fb>
    <v>1</v>
  </rv>
  <rv s="0">
    <fb>26.7</fb>
    <v>1</v>
  </rv>
  <rv s="0">
    <fb>44746</fb>
    <v>0</v>
  </rv>
  <rv s="0">
    <fb>27.96</fb>
    <v>1</v>
  </rv>
  <rv s="0">
    <fb>28.1</fb>
    <v>1</v>
  </rv>
  <rv s="0">
    <fb>27.46</fb>
    <v>1</v>
  </rv>
  <rv s="0">
    <fb>27.53</fb>
    <v>1</v>
  </rv>
  <rv s="0">
    <fb>27.37</fb>
    <v>1</v>
  </rv>
  <rv s="0">
    <fb>27.3</fb>
    <v>1</v>
  </rv>
  <rv s="0">
    <fb>27.84</fb>
    <v>1</v>
  </rv>
  <rv s="0">
    <fb>28.07</fb>
    <v>1</v>
  </rv>
  <rv s="0">
    <fb>26.43</fb>
    <v>1</v>
  </rv>
  <rv s="0">
    <fb>26.73</fb>
    <v>1</v>
  </rv>
  <rv s="0">
    <fb>26.79</fb>
    <v>1</v>
  </rv>
  <rv s="0">
    <fb>25.66</fb>
    <v>1</v>
  </rv>
  <rv s="0">
    <fb>26.41</fb>
    <v>1</v>
  </rv>
  <rv s="0">
    <fb>26.61</fb>
    <v>1</v>
  </rv>
  <rv s="0">
    <fb>24.43</fb>
    <v>1</v>
  </rv>
  <rv s="0">
    <fb>24.64</fb>
    <v>1</v>
  </rv>
  <rv s="0">
    <fb>26.42</fb>
    <v>1</v>
  </rv>
  <rv s="0">
    <fb>25.79</fb>
    <v>1</v>
  </rv>
  <rv s="0">
    <fb>26.17</fb>
    <v>1</v>
  </rv>
  <rv s="0">
    <fb>27.14</fb>
    <v>1</v>
  </rv>
  <rv s="0">
    <fb>25.82</fb>
    <v>1</v>
  </rv>
  <rv s="0">
    <fb>27.29</fb>
    <v>1</v>
  </rv>
  <rv s="0">
    <fb>27.35</fb>
    <v>1</v>
  </rv>
  <rv s="0">
    <fb>28.45</fb>
    <v>1</v>
  </rv>
  <rv s="0">
    <fb>26.2</fb>
    <v>1</v>
  </rv>
  <rv s="0">
    <fb>26.4</fb>
    <v>1</v>
  </rv>
  <rv s="0">
    <fb>26.72</fb>
    <v>1</v>
  </rv>
  <rv s="0">
    <fb>24.13</fb>
    <v>1</v>
  </rv>
  <rv s="0">
    <fb>24.23</fb>
    <v>1</v>
  </rv>
  <rv s="0">
    <fb>25.91</fb>
    <v>1</v>
  </rv>
  <rv s="0">
    <fb>24.38</fb>
    <v>1</v>
  </rv>
  <rv s="0">
    <fb>25.3</fb>
    <v>1</v>
  </rv>
  <rv s="0">
    <fb>25.12</fb>
    <v>1</v>
  </rv>
  <rv s="0">
    <fb>25.41</fb>
    <v>1</v>
  </rv>
  <rv s="0">
    <fb>24.5</fb>
    <v>1</v>
  </rv>
  <rv s="0">
    <fb>24.73</fb>
    <v>1</v>
  </rv>
  <rv s="0">
    <fb>24.07</fb>
    <v>1</v>
  </rv>
  <rv s="0">
    <fb>24.67</fb>
    <v>1</v>
  </rv>
  <rv s="0">
    <fb>23.3</fb>
    <v>1</v>
  </rv>
  <rv s="0">
    <fb>23.81</fb>
    <v>1</v>
  </rv>
  <rv s="0">
    <fb>22.41</fb>
    <v>1</v>
  </rv>
  <rv s="0">
    <fb>23.03</fb>
    <v>1</v>
  </rv>
  <rv s="0">
    <fb>23.19</fb>
    <v>1</v>
  </rv>
  <rv s="0">
    <fb>23.36</fb>
    <v>1</v>
  </rv>
  <rv s="0">
    <fb>23.95</fb>
    <v>1</v>
  </rv>
  <rv s="0">
    <fb>24.27</fb>
    <v>1</v>
  </rv>
  <rv s="0">
    <fb>24.41</fb>
    <v>1</v>
  </rv>
  <rv s="0">
    <fb>23.02</fb>
    <v>1</v>
  </rv>
  <rv s="0">
    <fb>23.24</fb>
    <v>1</v>
  </rv>
  <rv s="0">
    <fb>23.54</fb>
    <v>1</v>
  </rv>
  <rv s="0">
    <fb>22.22</fb>
    <v>1</v>
  </rv>
  <rv s="0">
    <fb>22.33</fb>
    <v>1</v>
  </rv>
  <rv s="0">
    <fb>22.16</fb>
    <v>1</v>
  </rv>
  <rv s="0">
    <fb>21.21</fb>
    <v>1</v>
  </rv>
  <rv s="0">
    <fb>21.33</fb>
    <v>1</v>
  </rv>
  <rv s="0">
    <fb>23.27</fb>
    <v>1</v>
  </rv>
  <rv s="0">
    <fb>22.26</fb>
    <v>1</v>
  </rv>
  <rv s="0">
    <fb>22.84</fb>
    <v>1</v>
  </rv>
  <rv s="0">
    <fb>24.08</fb>
    <v>1</v>
  </rv>
  <rv s="0">
    <fb>24.68</fb>
    <v>1</v>
  </rv>
  <rv s="0">
    <fb>22.67</fb>
    <v>1</v>
  </rv>
  <rv s="0">
    <fb>23.93</fb>
    <v>1</v>
  </rv>
  <rv s="0">
    <fb>23.86</fb>
    <v>1</v>
  </rv>
  <rv s="0">
    <fb>23.92</fb>
    <v>1</v>
  </rv>
  <rv s="0">
    <fb>21.95</fb>
    <v>1</v>
  </rv>
  <rv s="0">
    <fb>22.06</fb>
    <v>1</v>
  </rv>
  <rv s="0">
    <fb>22.66</fb>
    <v>1</v>
  </rv>
  <rv s="0">
    <fb>21.5</fb>
    <v>1</v>
  </rv>
  <rv s="0">
    <fb>22.58</fb>
    <v>1</v>
  </rv>
  <rv s="0">
    <fb>22.01</fb>
    <v>1</v>
  </rv>
  <rv s="0">
    <fb>20.83</fb>
    <v>1</v>
  </rv>
  <rv s="0">
    <fb>21.29</fb>
    <v>1</v>
  </rv>
  <rv s="0">
    <fb>21.41</fb>
    <v>1</v>
  </rv>
  <rv s="0">
    <fb>22.23</fb>
    <v>1</v>
  </rv>
  <rv s="0">
    <fb>21.77</fb>
    <v>1</v>
  </rv>
  <rv s="0">
    <fb>19.84</fb>
    <v>1</v>
  </rv>
  <rv s="0">
    <fb>20.2</fb>
    <v>1</v>
  </rv>
  <rv s="0">
    <fb>20.34</fb>
    <v>1</v>
  </rv>
  <rv s="0">
    <fb>20.350000000000001</fb>
    <v>1</v>
  </rv>
  <rv s="0">
    <fb>19.12</fb>
    <v>1</v>
  </rv>
  <rv s="0">
    <fb>19.53</fb>
    <v>1</v>
  </rv>
  <rv s="0">
    <fb>20.74</fb>
    <v>1</v>
  </rv>
  <rv s="0">
    <fb>19.95</fb>
    <v>1</v>
  </rv>
  <rv s="0">
    <fb>20.39</fb>
    <v>1</v>
  </rv>
  <rv s="0">
    <fb>19.5</fb>
    <v>1</v>
  </rv>
  <rv s="0">
    <fb>19.690000000000001</fb>
    <v>1</v>
  </rv>
  <rv s="0">
    <fb>20.63</fb>
    <v>1</v>
  </rv>
  <rv s="0">
    <fb>19.43</fb>
    <v>1</v>
  </rv>
  <rv s="0">
    <fb>19.559999999999999</fb>
    <v>1</v>
  </rv>
  <rv s="0">
    <fb>20.16</fb>
    <v>1</v>
  </rv>
  <rv s="0">
    <fb>20.079999999999998</fb>
    <v>1</v>
  </rv>
  <rv s="0">
    <fb>24.62</fb>
    <v>1</v>
  </rv>
  <rv s="0">
    <fb>22.39</fb>
    <v>1</v>
  </rv>
  <rv s="0">
    <fb>23.8</fb>
    <v>1</v>
  </rv>
  <rv s="0">
    <fb>24.21</fb>
    <v>1</v>
  </rv>
  <rv s="0">
    <fb>23.07</fb>
    <v>1</v>
  </rv>
  <rv s="0">
    <fb>24.11</fb>
    <v>1</v>
  </rv>
  <rv s="0">
    <fb>24.86</fb>
    <v>1</v>
  </rv>
  <rv s="0">
    <fb>22.82</fb>
    <v>1</v>
  </rv>
  <rv s="0">
    <fb>23.13</fb>
    <v>1</v>
  </rv>
  <rv s="0">
    <fb>21.78</fb>
    <v>1</v>
  </rv>
  <rv s="0">
    <fb>25.9</fb>
    <v>1</v>
  </rv>
  <rv s="0">
    <fb>25.56</fb>
    <v>1</v>
  </rv>
  <rv s="0">
    <fb>26.86</fb>
    <v>1</v>
  </rv>
  <rv s="0">
    <fb>27.67</fb>
    <v>1</v>
  </rv>
  <rv s="0">
    <fb>25.47</fb>
    <v>1</v>
  </rv>
  <rv s="0">
    <fb>25.75</fb>
    <v>1</v>
  </rv>
  <rv s="0">
    <fb>27.69</fb>
    <v>1</v>
  </rv>
  <rv s="0">
    <fb>25.13</fb>
    <v>1</v>
  </rv>
  <rv s="0">
    <fb>25.86</fb>
    <v>1</v>
  </rv>
  <rv s="0">
    <fb>25.87</fb>
    <v>1</v>
  </rv>
  <rv s="0">
    <fb>26.88</fb>
    <v>1</v>
  </rv>
  <rv s="0">
    <fb>27.45</fb>
    <v>1</v>
  </rv>
  <rv s="0">
    <fb>26.28</fb>
    <v>1</v>
  </rv>
  <rv s="0">
    <fb>44809</fb>
    <v>0</v>
  </rv>
  <rv s="0">
    <fb>26.85</fb>
    <v>1</v>
  </rv>
  <rv s="0">
    <fb>25.84</fb>
    <v>1</v>
  </rv>
  <rv s="0">
    <fb>25.99</fb>
    <v>1</v>
  </rv>
  <rv s="0">
    <fb>25.46</fb>
    <v>1</v>
  </rv>
  <rv s="0">
    <fb>27.8</fb>
    <v>1</v>
  </rv>
  <rv s="0">
    <fb>26.91</fb>
    <v>1</v>
  </rv>
  <rv s="0">
    <fb>24.54</fb>
    <v>1</v>
  </rv>
  <rv s="0">
    <fb>24.7</fb>
    <v>1</v>
  </rv>
  <rv s="0">
    <fb>23.56</fb>
    <v>1</v>
  </rv>
  <rv s="0">
    <fb>23.49</fb>
    <v>1</v>
  </rv>
  <rv s="0">
    <fb>23.58</fb>
    <v>1</v>
  </rv>
  <rv s="0">
    <fb>23.16</fb>
    <v>1</v>
  </rv>
  <rv s="0">
    <fb>23.67</fb>
    <v>1</v>
  </rv>
  <rv s="0">
    <fb>28.15</fb>
    <v>1</v>
  </rv>
  <rv s="0">
    <fb>27.27</fb>
    <v>1</v>
  </rv>
  <rv s="0">
    <fb>27.56</fb>
    <v>1</v>
  </rv>
  <rv s="0">
    <fb>26.27</fb>
    <v>1</v>
  </rv>
  <rv s="0">
    <fb>26.14</fb>
    <v>1</v>
  </rv>
  <rv s="0">
    <fb>26.3</fb>
    <v>1</v>
  </rv>
  <rv s="0">
    <fb>25.76</fb>
    <v>1</v>
  </rv>
  <rv s="0">
    <fb>25.65</fb>
    <v>1</v>
  </rv>
  <rv s="0">
    <fb>27.81</fb>
    <v>1</v>
  </rv>
  <rv s="0">
    <fb>25.61</fb>
    <v>1</v>
  </rv>
  <rv s="0">
    <fb>27.16</fb>
    <v>1</v>
  </rv>
  <rv s="0">
    <fb>28.03</fb>
    <v>1</v>
  </rv>
  <rv s="0">
    <fb>30.18</fb>
    <v>1</v>
  </rv>
  <rv s="0">
    <fb>25.55</fb>
    <v>1</v>
  </rv>
  <rv s="0">
    <fb>27.99</fb>
    <v>1</v>
  </rv>
  <rv s="0">
    <fb>28.38</fb>
    <v>1</v>
  </rv>
  <rv s="0">
    <fb>26.71</fb>
    <v>1</v>
  </rv>
  <rv s="0">
    <fb>27.68</fb>
    <v>1</v>
  </rv>
  <rv s="0">
    <fb>32.31</fb>
    <v>1</v>
  </rv>
  <rv s="0">
    <fb>27.58</fb>
    <v>1</v>
  </rv>
  <rv s="0">
    <fb>29.92</fb>
    <v>1</v>
  </rv>
  <rv s="0">
    <fb>32.880000000000003</fb>
    <v>1</v>
  </rv>
  <rv s="0">
    <fb>32.26</fb>
    <v>1</v>
  </rv>
  <rv s="0">
    <fb>34.14</fb>
    <v>1</v>
  </rv>
  <rv s="0">
    <fb>30.3</fb>
    <v>1</v>
  </rv>
  <rv s="0">
    <fb>32.6</fb>
    <v>1</v>
  </rv>
  <rv s="0">
    <fb>34.5</fb>
    <v>1</v>
  </rv>
  <rv s="0">
    <fb>34.880000000000003</fb>
    <v>1</v>
  </rv>
  <rv s="0">
    <fb>30.03</fb>
    <v>1</v>
  </rv>
  <rv s="0">
    <fb>31.61</fb>
    <v>1</v>
  </rv>
  <rv s="0">
    <fb>33.25</fb>
    <v>1</v>
  </rv>
  <rv s="0">
    <fb>29.39</fb>
    <v>1</v>
  </rv>
  <rv s="0">
    <fb>31.62</fb>
    <v>1</v>
  </rv>
  <rv s="0">
    <fb>33.06</fb>
    <v>1</v>
  </rv>
  <rv s="0">
    <fb>30.1</fb>
    <v>1</v>
  </rv>
  <rv s="0">
    <fb>29.52</fb>
    <v>1</v>
  </rv>
  <rv s="0">
    <fb>30.11</fb>
    <v>1</v>
  </rv>
  <rv s="0">
    <fb>28.5</fb>
    <v>1</v>
  </rv>
  <rv s="0">
    <fb>28.55</fb>
    <v>1</v>
  </rv>
  <rv s="0">
    <fb>28.6</fb>
    <v>1</v>
  </rv>
  <rv s="0">
    <fb>30.37</fb>
    <v>1</v>
  </rv>
  <rv s="0">
    <fb>32.020000000000003</fb>
    <v>1</v>
  </rv>
  <rv s="0">
    <fb>29.88</fb>
    <v>1</v>
  </rv>
  <rv s="0">
    <fb>31.36</fb>
    <v>1</v>
  </rv>
  <rv s="0">
    <fb>32.93</fb>
    <v>1</v>
  </rv>
  <rv s="0">
    <fb>33.99</fb>
    <v>1</v>
  </rv>
  <rv s="0">
    <fb>32.049999999999997</fb>
    <v>1</v>
  </rv>
  <rv s="0">
    <fb>33.56</fb>
    <v>1</v>
  </rv>
  <rv s="0">
    <fb>34.43</fb>
    <v>1</v>
  </rv>
  <rv s="0">
    <fb>33.630000000000003</fb>
    <v>1</v>
  </rv>
  <rv s="0">
    <fb>33.54</fb>
    <v>1</v>
  </rv>
  <rv s="0">
    <fb>34.53</fb>
    <v>1</v>
  </rv>
  <rv s="0">
    <fb>33.57</fb>
    <v>1</v>
  </rv>
  <rv s="0">
    <fb>33.6</fb>
    <v>1</v>
  </rv>
  <rv s="0">
    <fb>33.869999999999997</fb>
    <v>1</v>
  </rv>
  <rv s="0">
    <fb>31.63</fb>
    <v>1</v>
  </rv>
  <rv s="0">
    <fb>31.94</fb>
    <v>1</v>
  </rv>
  <rv s="0">
    <fb>31.89</fb>
    <v>1</v>
  </rv>
  <rv s="0">
    <fb>32.979999999999997</fb>
    <v>1</v>
  </rv>
  <rv s="0">
    <fb>31.14</fb>
    <v>1</v>
  </rv>
  <rv s="0">
    <fb>32.270000000000003</fb>
    <v>1</v>
  </rv>
  <rv s="0">
    <fb>30.7</fb>
    <v>1</v>
  </rv>
  <rv s="0">
    <fb>31.1</fb>
    <v>1</v>
  </rv>
  <rv s="0">
    <fb>31.93</fb>
    <v>1</v>
  </rv>
  <rv s="0">
    <fb>30.42</fb>
    <v>1</v>
  </rv>
  <rv s="0">
    <fb>30.5</fb>
    <v>1</v>
  </rv>
  <rv s="0">
    <fb>30.94</fb>
    <v>1</v>
  </rv>
  <rv s="0">
    <fb>30.76</fb>
    <v>1</v>
  </rv>
  <rv s="0">
    <fb>31.3</fb>
    <v>1</v>
  </rv>
  <rv s="0">
    <fb>31.32</fb>
    <v>1</v>
  </rv>
  <rv s="0">
    <fb>29.76</fb>
    <v>1</v>
  </rv>
  <rv s="0">
    <fb>29.98</fb>
    <v>1</v>
  </rv>
  <rv s="0">
    <fb>30.21</fb>
    <v>1</v>
  </rv>
  <rv s="0">
    <fb>30.44</fb>
    <v>1</v>
  </rv>
  <rv s="0">
    <fb>29.24</fb>
    <v>1</v>
  </rv>
  <rv s="0">
    <fb>29.69</fb>
    <v>1</v>
  </rv>
  <rv s="0">
    <fb>30.95</fb>
    <v>1</v>
  </rv>
  <rv s="0">
    <fb>29.78</fb>
    <v>1</v>
  </rv>
  <rv s="0">
    <fb>29.85</fb>
    <v>1</v>
  </rv>
  <rv s="0">
    <fb>30</fb>
    <v>1</v>
  </rv>
  <rv s="0">
    <fb>28.22</fb>
    <v>1</v>
  </rv>
  <rv s="0">
    <fb>28.44</fb>
    <v>1</v>
  </rv>
  <rv s="0">
    <fb>28.52</fb>
    <v>1</v>
  </rv>
  <rv s="0">
    <fb>27.51</fb>
    <v>1</v>
  </rv>
  <rv s="0">
    <fb>26.94</fb>
    <v>1</v>
  </rv>
  <rv s="0">
    <fb>27.43</fb>
    <v>1</v>
  </rv>
  <rv s="0">
    <fb>25.88</fb>
    <v>1</v>
  </rv>
  <rv s="0">
    <fb>26.35</fb>
    <v>1</v>
  </rv>
  <rv s="0">
    <fb>26.04</fb>
    <v>1</v>
  </rv>
  <rv s="0">
    <fb>25.39</fb>
    <v>1</v>
  </rv>
  <rv s="0">
    <fb>25.98</fb>
    <v>1</v>
  </rv>
  <rv s="0">
    <fb>26.87</fb>
    <v>1</v>
  </rv>
  <rv s="0">
    <fb>25.1</fb>
    <v>1</v>
  </rv>
  <rv s="0">
    <fb>25.63</fb>
    <v>1</v>
  </rv>
  <rv s="0">
    <fb>24</fb>
    <v>1</v>
  </rv>
  <rv s="0">
    <fb>24.55</fb>
    <v>1</v>
  </rv>
  <rv s="0">
    <fb>24.34</fb>
    <v>1</v>
  </rv>
  <rv s="0">
    <fb>24.24</fb>
    <v>1</v>
  </rv>
  <rv s="0">
    <fb>25.34</fb>
    <v>1</v>
  </rv>
  <rv s="0">
    <fb>25.02</fb>
    <v>1</v>
  </rv>
  <rv s="0">
    <fb>26.59</fb>
    <v>1</v>
  </rv>
  <rv s="0">
    <fb>23.89</fb>
    <v>1</v>
  </rv>
  <rv s="0">
    <fb>22.37</fb>
    <v>1</v>
  </rv>
  <rv s="0">
    <fb>22.52</fb>
    <v>1</v>
  </rv>
  <rv s="0">
    <fb>23.73</fb>
    <v>1</v>
  </rv>
  <rv s="0">
    <fb>26.22</fb>
    <v>1</v>
  </rv>
  <rv s="0">
    <fb>23.18</fb>
    <v>1</v>
  </rv>
  <rv s="0">
    <fb>24.05</fb>
    <v>1</v>
  </rv>
  <rv s="0">
    <fb>25.18</fb>
    <v>1</v>
  </rv>
  <rv s="0">
    <fb>24.12</fb>
    <v>1</v>
  </rv>
  <rv s="0">
    <fb>22.98</fb>
    <v>1</v>
  </rv>
  <rv s="0">
    <fb>22.36</fb>
    <v>1</v>
  </rv>
  <rv s="0">
    <fb>22.59</fb>
    <v>1</v>
  </rv>
  <rv s="0">
    <fb>21.28</fb>
    <v>1</v>
  </rv>
  <rv s="0">
    <fb>44889</fb>
    <v>0</v>
  </rv>
  <rv s="0">
    <fb>20.5</fb>
    <v>1</v>
  </rv>
  <rv s="0">
    <fb>20.420000000000002</fb>
    <v>1</v>
  </rv>
  <rv s="0">
    <fb>21.11</fb>
    <v>1</v>
  </rv>
  <rv s="0">
    <fb>22.5</fb>
    <v>1</v>
  </rv>
  <rv s="0">
    <fb>21.65</fb>
    <v>1</v>
  </rv>
  <rv s="0">
    <fb>22.21</fb>
    <v>1</v>
  </rv>
  <rv s="0">
    <fb>22.57</fb>
    <v>1</v>
  </rv>
  <rv s="0">
    <fb>21.83</fb>
    <v>1</v>
  </rv>
  <rv s="0">
    <fb>21.7</fb>
    <v>1</v>
  </rv>
  <rv s="0">
    <fb>20.58</fb>
    <v>1</v>
  </rv>
  <rv s="0">
    <fb>19.8</fb>
    <v>1</v>
  </rv>
  <rv s="0">
    <fb>18.95</fb>
    <v>1</v>
  </rv>
  <rv s="0">
    <fb>19.059999999999999</fb>
    <v>1</v>
  </rv>
  <rv s="0">
    <fb>20.3</fb>
    <v>1</v>
  </rv>
  <rv s="0">
    <fb>19.78</fb>
    <v>1</v>
  </rv>
  <rv s="0">
    <fb>20.69</fb>
    <v>1</v>
  </rv>
  <rv s="0">
    <fb>22.6</fb>
    <v>1</v>
  </rv>
  <rv s="0">
    <fb>20.38</fb>
    <v>1</v>
  </rv>
  <rv s="0">
    <fb>22.32</fb>
    <v>1</v>
  </rv>
  <rv s="0">
    <fb>23.01</fb>
    <v>1</v>
  </rv>
  <rv s="0">
    <fb>22.18</fb>
    <v>1</v>
  </rv>
  <rv s="0">
    <fb>22.81</fb>
    <v>1</v>
  </rv>
  <rv s="0">
    <fb>22.29</fb>
    <v>1</v>
  </rv>
  <rv s="0">
    <fb>23.21</fb>
    <v>1</v>
  </rv>
  <rv s="0">
    <fb>22.83</fb>
    <v>1</v>
  </rv>
  <rv s="0">
    <fb>25.05</fb>
    <v>1</v>
  </rv>
  <rv s="0">
    <fb>24.18</fb>
    <v>1</v>
  </rv>
  <rv s="0">
    <fb>25</fb>
    <v>1</v>
  </rv>
  <rv s="0">
    <fb>25.24</fb>
    <v>1</v>
  </rv>
  <rv s="0">
    <fb>21.46</fb>
    <v>1</v>
  </rv>
  <rv s="0">
    <fb>21.07</fb>
    <v>1</v>
  </rv>
  <rv s="0">
    <fb>21.14</fb>
    <v>1</v>
  </rv>
  <rv s="0">
    <fb>21.52</fb>
    <v>1</v>
  </rv>
  <rv s="0">
    <fb>23.83</fb>
    <v>1</v>
  </rv>
  <rv s="0">
    <fb>21.61</fb>
    <v>1</v>
  </rv>
  <rv s="0">
    <fb>22.42</fb>
    <v>1</v>
  </rv>
  <rv s="0">
    <fb>23.39</fb>
    <v>1</v>
  </rv>
  <rv s="0">
    <fb>21.35</fb>
    <v>1</v>
  </rv>
  <rv s="0">
    <fb>20.07</fb>
    <v>1</v>
  </rv>
  <rv s="0">
    <fb>24.3</fb>
    <v>1</v>
  </rv>
  <rv s="0">
    <fb>20.010000000000002</fb>
    <v>1</v>
  </rv>
  <rv s="0">
    <fb>44921</fb>
    <v>0</v>
  </rv>
  <rv s="0">
    <fb>22.8</fb>
    <v>1</v>
  </rv>
  <rv s="0">
    <fb>21.59</fb>
    <v>1</v>
  </rv>
  <rv s="0">
    <fb>21.47</fb>
    <v>1</v>
  </rv>
  <rv s="0">
    <fb>22.25</fb>
    <v>1</v>
  </rv>
  <rv s="0">
    <fb>22.31</fb>
    <v>1</v>
  </rv>
  <rv s="0">
    <fb>22.4</fb>
    <v>1</v>
  </rv>
  <rv s="0">
    <fb>44928</fb>
    <v>0</v>
  </rv>
  <rv s="0">
    <fb>23.76</fb>
    <v>1</v>
  </rv>
  <rv s="0">
    <fb>22.93</fb>
    <v>1</v>
  </rv>
  <rv s="0">
    <fb>21.94</fb>
    <v>1</v>
  </rv>
  <rv s="0">
    <fb>22.2</fb>
    <v>1</v>
  </rv>
  <rv s="0">
    <fb>22.46</fb>
    <v>1</v>
  </rv>
  <rv s="0">
    <fb>22.69</fb>
    <v>1</v>
  </rv>
  <rv s="0">
    <fb>21.75</fb>
    <v>1</v>
  </rv>
  <rv s="0">
    <fb>21.09</fb>
    <v>1</v>
  </rv>
  <rv s="0">
    <fb>21.8</fb>
    <v>1</v>
  </rv>
  <rv s="0">
    <fb>18.829999999999998</fb>
    <v>1</v>
  </rv>
  <rv s="0">
    <fb>19</fb>
    <v>1</v>
  </rv>
  <rv s="0">
    <fb>44942</fb>
    <v>0</v>
  </rv>
  <rv s="0">
    <fb>19.489999999999998</fb>
    <v>1</v>
  </rv>
  <rv s="0">
    <fb>19.89</fb>
    <v>1</v>
  </rv>
  <rv s="0">
    <fb>20.22</fb>
    <v>1</v>
  </rv>
  <rv s="0">
    <fb>19.21</fb>
    <v>1</v>
  </rv>
  <rv s="0">
    <fb>19.36</fb>
    <v>1</v>
  </rv>
  <rv s="0">
    <fb>19.28</fb>
    <v>1</v>
  </rv>
  <rv s="0">
    <fb>18.71</fb>
    <v>1</v>
  </rv>
  <rv s="0">
    <fb>20.43</fb>
    <v>1</v>
  </rv>
  <rv s="0">
    <fb>20.52</fb>
    <v>1</v>
  </rv>
  <rv s="0">
    <fb>20.329999999999998</fb>
    <v>1</v>
  </rv>
  <rv s="0">
    <fb>19.55</fb>
    <v>1</v>
  </rv>
  <rv s="0">
    <fb>18.91</fb>
    <v>1</v>
  </rv>
  <rv s="0">
    <fb>19.2</fb>
    <v>1</v>
  </rv>
  <rv s="0">
    <fb>18.989999999999998</fb>
    <v>1</v>
  </rv>
  <rv s="0">
    <fb>19.48</fb>
    <v>1</v>
  </rv>
  <rv s="0">
    <fb>17.97</fb>
    <v>1</v>
  </rv>
  <rv s="0">
    <fb>18.510000000000002</fb>
    <v>1</v>
  </rv>
  <rv s="0">
    <fb>20.25</fb>
    <v>1</v>
  </rv>
  <rv s="0">
    <fb>20.12</fb>
    <v>1</v>
  </rv>
  <rv s="0">
    <fb>19.13</fb>
    <v>1</v>
  </rv>
  <rv s="0">
    <fb>20.04</fb>
    <v>1</v>
  </rv>
  <rv s="0">
    <fb>17.87</fb>
    <v>1</v>
  </rv>
  <rv s="0">
    <fb>19.25</fb>
    <v>1</v>
  </rv>
  <rv s="0">
    <fb>18.329999999999998</fb>
    <v>1</v>
  </rv>
  <rv s="0">
    <fb>19.23</fb>
    <v>1</v>
  </rv>
  <rv s="0">
    <fb>19.989999999999998</fb>
    <v>1</v>
  </rv>
  <rv s="0">
    <fb>18.43</fb>
    <v>1</v>
  </rv>
  <rv s="0">
    <fb>18.66</fb>
    <v>1</v>
  </rv>
  <rv s="0">
    <fb>18.88</fb>
    <v>1</v>
  </rv>
  <rv s="0">
    <fb>19.239999999999998</fb>
    <v>1</v>
  </rv>
  <rv s="0">
    <fb>21.08</fb>
    <v>1</v>
  </rv>
  <rv s="0">
    <fb>20.71</fb>
    <v>1</v>
  </rv>
  <rv s="0">
    <fb>20.440000000000001</fb>
    <v>1</v>
  </rv>
  <rv s="0">
    <fb>20.53</fb>
    <v>1</v>
  </rv>
  <rv s="0">
    <fb>21.66</fb>
    <v>1</v>
  </rv>
  <rv s="0">
    <fb>21.69</fb>
    <v>1</v>
  </rv>
  <rv s="0">
    <fb>20.72</fb>
    <v>1</v>
  </rv>
  <rv s="0">
    <fb>18.48</fb>
    <v>1</v>
  </rv>
  <rv s="0">
    <fb>18.23</fb>
    <v>1</v>
  </rv>
  <rv s="0">
    <fb>18.260000000000002</fb>
    <v>1</v>
  </rv>
  <rv s="0">
    <fb>20.94</fb>
    <v>1</v>
  </rv>
  <rv s="0">
    <fb>19.82</fb>
    <v>1</v>
  </rv>
  <rv s="0">
    <fb>20.02</fb>
    <v>1</v>
  </rv>
  <rv s="0">
    <fb>44977</fb>
    <v>0</v>
  </rv>
  <rv s="0">
    <fb>21.23</fb>
    <v>1</v>
  </rv>
  <rv s="0">
    <fb>23.34</fb>
    <v>1</v>
  </rv>
  <rv s="0">
    <fb>23.63</fb>
    <v>1</v>
  </rv>
  <rv s="0">
    <fb>22.43</fb>
    <v>1</v>
  </rv>
  <rv s="0">
    <fb>20.89</fb>
    <v>1</v>
  </rv>
  <rv s="0">
    <fb>21.99</fb>
    <v>1</v>
  </rv>
  <rv s="0">
    <fb>20.68</fb>
    <v>1</v>
  </rv>
  <rv s="0">
    <fb>20.100000000000001</fb>
    <v>1</v>
  </rv>
  <rv s="0">
    <fb>21.42</fb>
    <v>1</v>
  </rv>
  <rv s="0">
    <fb>18.16</fb>
    <v>1</v>
  </rv>
  <rv s="0">
    <fb>18.489999999999998</fb>
    <v>1</v>
  </rv>
  <rv s="0">
    <fb>18.61</fb>
    <v>1</v>
  </rv>
  <rv s="0">
    <fb>19.11</fb>
    <v>1</v>
  </rv>
  <rv s="0">
    <fb>22.61</fb>
    <v>1</v>
  </rv>
  <rv s="0">
    <fb>21.79</fb>
    <v>1</v>
  </rv>
  <rv s="0">
    <fb>24.8</fb>
    <v>1</v>
  </rv>
  <rv s="0">
    <fb>30.81</fb>
    <v>1</v>
  </rv>
  <rv s="0">
    <fb>26.52</fb>
    <v>1</v>
  </rv>
  <rv s="0">
    <fb>27.24</fb>
    <v>1</v>
  </rv>
  <rv s="0">
    <fb>27.49</fb>
    <v>1</v>
  </rv>
  <rv s="0">
    <fb>22.97</fb>
    <v>1</v>
  </rv>
  <rv s="0">
    <fb>27.77</fb>
    <v>1</v>
  </rv>
  <rv s="0">
    <fb>28.91</fb>
    <v>1</v>
  </rv>
  <rv s="0">
    <fb>24.15</fb>
    <v>1</v>
  </rv>
  <rv s="0">
    <fb>24.16</fb>
    <v>1</v>
  </rv>
  <rv s="0">
    <fb>21.38</fb>
    <v>1</v>
  </rv>
  <rv s="0">
    <fb>21.54</fb>
    <v>1</v>
  </rv>
  <rv s="0">
    <fb>22.11</fb>
    <v>1</v>
  </rv>
  <rv s="0">
    <fb>25.21</fb>
    <v>1</v>
  </rv>
  <rv s="0">
    <fb>22.05</fb>
    <v>1</v>
  </rv>
  <rv s="0">
    <fb>21.4</fb>
    <v>1</v>
  </rv>
  <rv s="0">
    <fb>19.97</fb>
    <v>1</v>
  </rv>
  <rv s="0">
    <fb>19.39</fb>
    <v>1</v>
  </rv>
  <rv s="0">
    <fb>19.45</fb>
    <v>1</v>
  </rv>
  <rv s="0">
    <fb>19.09</fb>
    <v>1</v>
  </rv>
  <rv s="0">
    <fb>18.850000000000001</fb>
    <v>1</v>
  </rv>
  <rv s="0">
    <fb>18.7</fb>
    <v>1</v>
  </rv>
  <rv s="0">
    <fb>19.79</fb>
    <v>1</v>
  </rv>
  <rv s="0">
    <fb>19.829999999999998</fb>
    <v>1</v>
  </rv>
  <rv s="0">
    <fb>20.03</fb>
    <v>1</v>
  </rv>
  <rv s="0">
    <fb>19.420000000000002</fb>
    <v>1</v>
  </rv>
  <rv s="0">
    <fb>19.88</fb>
    <v>1</v>
  </rv>
  <rv s="0">
    <fb>18.399999999999999</fb>
    <v>1</v>
  </rv>
  <rv s="0">
    <fb>20.05</fb>
    <v>1</v>
  </rv>
  <rv s="0">
    <fb>19.100000000000001</fb>
    <v>1</v>
  </rv>
  <rv s="0">
    <fb>19.98</fb>
    <v>1</v>
  </rv>
  <rv s="0">
    <fb>18.25</fb>
    <v>1</v>
  </rv>
  <rv s="0">
    <fb>17.77</fb>
    <v>1</v>
  </rv>
  <rv s="0">
    <fb>17.8</fb>
    <v>1</v>
  </rv>
  <rv s="0">
    <fb>18.12</fb>
    <v>1</v>
  </rv>
  <rv s="0">
    <fb>17.579999999999998</fb>
    <v>1</v>
  </rv>
  <rv s="0">
    <fb>16.899999999999999</fb>
    <v>1</v>
  </rv>
  <rv s="0">
    <fb>17.34</fb>
    <v>1</v>
  </rv>
  <rv s="0">
    <fb>16.829999999999998</fb>
    <v>1</v>
  </rv>
  <rv s="0">
    <fb>17.72</fb>
    <v>1</v>
  </rv>
  <rv s="0">
    <fb>16.170000000000002</fb>
    <v>1</v>
  </rv>
  <rv s="0">
    <fb>16.46</fb>
    <v>1</v>
  </rv>
  <rv s="0">
    <fb>17.71</fb>
    <v>1</v>
  </rv>
  <rv s="0">
    <fb>16.77</fb>
    <v>1</v>
  </rv>
  <rv s="0">
    <fb>18.22</fb>
    <v>1</v>
  </rv>
  <rv s="0">
    <fb>18.239999999999998</fb>
    <v>1</v>
  </rv>
  <rv s="0">
    <fb>16.739999999999998</fb>
    <v>1</v>
  </rv>
  <rv s="0">
    <fb>19.86</fb>
    <v>1</v>
  </rv>
  <rv s="0">
    <fb>18.84</fb>
    <v>1</v>
  </rv>
  <rv s="0">
    <fb>16.72</fb>
    <v>1</v>
  </rv>
  <rv s="0">
    <fb>15.78</fb>
    <v>1</v>
  </rv>
  <rv s="0">
    <fb>15.53</fb>
    <v>1</v>
  </rv>
  <rv s="0">
    <fb>17.82</fb>
    <v>1</v>
  </rv>
  <rv s="0">
    <fb>20.09</fb>
    <v>1</v>
  </rv>
  <rv s="0">
    <fb>16.690000000000001</fb>
    <v>1</v>
  </rv>
  <rv s="0">
    <fb>17.73</fb>
    <v>1</v>
  </rv>
  <rv s="0">
    <fb>17.88</fb>
    <v>1</v>
  </rv>
  <rv s="0">
    <fb>17.86</fb>
    <v>1</v>
  </rv>
  <rv s="0">
    <fb>18.309999999999999</fb>
    <v>1</v>
  </rv>
  <rv s="0">
    <fb>16.63</fb>
    <v>1</v>
  </rv>
  <rv s="0">
    <fb>16.93</fb>
    <v>1</v>
  </rv>
  <rv s="0">
    <fb>17.920000000000002</fb>
    <v>1</v>
  </rv>
  <rv s="0">
    <fb>17.440000000000001</fb>
    <v>1</v>
  </rv>
  <rv s="0">
    <fb>17.12</fb>
    <v>1</v>
  </rv>
  <rv s="0">
    <fb>18.3</fb>
    <v>1</v>
  </rv>
  <rv s="0">
    <fb>17.260000000000002</fb>
    <v>1</v>
  </rv>
  <rv s="0">
    <fb>17.989999999999998</fb>
    <v>1</v>
  </rv>
  <rv s="0">
    <fb>16.68</fb>
    <v>1</v>
  </rv>
  <rv s="0">
    <fb>16.87</fb>
    <v>1</v>
  </rv>
  <rv s="0">
    <fb>16.920000000000002</fb>
    <v>1</v>
  </rv>
  <rv s="0">
    <fb>17.149999999999999</fb>
    <v>1</v>
  </rv>
  <rv s="0">
    <fb>16.05</fb>
    <v>1</v>
  </rv>
  <rv s="0">
    <fb>15.85</fb>
    <v>1</v>
  </rv>
  <rv s="0">
    <fb>18.13</fb>
    <v>1</v>
  </rv>
  <rv s="0">
    <fb>16.82</fb>
    <v>1</v>
  </rv>
  <rv s="0">
    <fb>19.309999999999999</fb>
    <v>1</v>
  </rv>
  <rv s="0">
    <fb>18.53</fb>
    <v>1</v>
  </rv>
  <rv s="0">
    <fb>19.14</fb>
    <v>1</v>
  </rv>
  <rv s="0">
    <fb>17.95</fb>
    <v>1</v>
  </rv>
  <rv s="0">
    <fb>45075</fb>
    <v>0</v>
  </rv>
  <rv s="0">
    <fb>17.53</fb>
    <v>1</v>
  </rv>
  <rv s="0">
    <fb>17.559999999999999</fb>
    <v>1</v>
  </rv>
  <rv s="0">
    <fb>18.04</fb>
    <v>1</v>
  </rv>
  <rv s="0">
    <fb>17.239999999999998</fb>
    <v>1</v>
  </rv>
  <rv s="0">
    <fb>15.58</fb>
    <v>1</v>
  </rv>
  <rv s="0">
    <fb>15.65</fb>
    <v>1</v>
  </rv>
  <rv s="0">
    <fb>14.42</fb>
    <v>1</v>
  </rv>
  <rv s="0">
    <fb>14.6</fb>
    <v>1</v>
  </rv>
  <rv s="0">
    <fb>15.28</fb>
    <v>1</v>
  </rv>
  <rv s="0">
    <fb>14.66</fb>
    <v>1</v>
  </rv>
  <rv s="0">
    <fb>14.91</fb>
    <v>1</v>
  </rv>
  <rv s="0">
    <fb>14.97</fb>
    <v>1</v>
  </rv>
  <rv s="0">
    <fb>13.95</fb>
    <v>1</v>
  </rv>
  <rv s="0">
    <fb>13.96</fb>
    <v>1</v>
  </rv>
  <rv s="0">
    <fb>14.14</fb>
    <v>1</v>
  </rv>
  <rv s="0">
    <fb>14.29</fb>
    <v>1</v>
  </rv>
  <rv s="0">
    <fb>13.77</fb>
    <v>1</v>
  </rv>
  <rv s="0">
    <fb>13.94</fb>
    <v>1</v>
  </rv>
  <rv s="0">
    <fb>14.21</fb>
    <v>1</v>
  </rv>
  <rv s="0">
    <fb>13.53</fb>
    <v>1</v>
  </rv>
  <rv s="0">
    <fb>13.65</fb>
    <v>1</v>
  </rv>
  <rv s="0">
    <fb>13.78</fb>
    <v>1</v>
  </rv>
  <rv s="0">
    <fb>13.5</fb>
    <v>1</v>
  </rv>
  <rv s="0">
    <fb>13.83</fb>
    <v>1</v>
  </rv>
  <rv s="0">
    <fb>14.44</fb>
    <v>1</v>
  </rv>
  <rv s="0">
    <fb>14.32</fb>
    <v>1</v>
  </rv>
  <rv s="0">
    <fb>14.99</fb>
    <v>1</v>
  </rv>
  <rv s="0">
    <fb>14.47</fb>
    <v>1</v>
  </rv>
  <rv s="0">
    <fb>14.61</fb>
    <v>1</v>
  </rv>
  <rv s="0">
    <fb>14.48</fb>
    <v>1</v>
  </rv>
  <rv s="0">
    <fb>13.88</fb>
    <v>1</v>
  </rv>
  <rv s="0">
    <fb>14.09</fb>
    <v>1</v>
  </rv>
  <rv s="0">
    <fb>14.52</fb>
    <v>1</v>
  </rv>
  <rv s="0">
    <fb>13.79</fb>
    <v>1</v>
  </rv>
  <rv s="0">
    <fb>14.5</fb>
    <v>1</v>
  </rv>
  <rv s="0">
    <fb>14.49</fb>
    <v>1</v>
  </rv>
  <rv s="0">
    <fb>14.54</fb>
    <v>1</v>
  </rv>
  <rv s="0">
    <fb>13.48</fb>
    <v>1</v>
  </rv>
  <rv s="0">
    <fb>13.54</fb>
    <v>1</v>
  </rv>
  <rv s="0">
    <fb>45096</fb>
    <v>0</v>
  </rv>
  <rv s="0">
    <fb>14.19</fb>
    <v>1</v>
  </rv>
  <rv s="0">
    <fb>14.01</fb>
    <v>1</v>
  </rv>
  <rv s="0">
    <fb>14.36</fb>
    <v>1</v>
  </rv>
  <rv s="0">
    <fb>14.67</fb>
    <v>1</v>
  </rv>
  <rv s="0">
    <fb>13.86</fb>
    <v>1</v>
  </rv>
  <rv s="0">
    <fb>13.89</fb>
    <v>1</v>
  </rv>
  <rv s="0">
    <fb>13.1</fb>
    <v>1</v>
  </rv>
  <rv s="0">
    <fb>13.2</fb>
    <v>1</v>
  </rv>
  <rv s="0">
    <fb>13.98</fb>
    <v>1</v>
  </rv>
  <rv s="0">
    <fb>12.73</fb>
    <v>1</v>
  </rv>
  <rv s="0">
    <fb>12.91</fb>
    <v>1</v>
  </rv>
  <rv s="0">
    <fb>13.24</fb>
    <v>1</v>
  </rv>
  <rv s="0">
    <fb>13.8</fb>
    <v>1</v>
  </rv>
  <rv s="0">
    <fb>12.88</fb>
    <v>1</v>
  </rv>
  <rv s="0">
    <fb>13.44</fb>
    <v>1</v>
  </rv>
  <rv s="0">
    <fb>14.43</fb>
    <v>1</v>
  </rv>
  <rv s="0">
    <fb>14.71</fb>
    <v>1</v>
  </rv>
  <rv s="0">
    <fb>14.25</fb>
    <v>1</v>
  </rv>
  <rv s="0">
    <fb>14.11</fb>
    <v>1</v>
  </rv>
  <rv s="0">
    <fb>14.34</fb>
    <v>1</v>
  </rv>
  <rv s="0">
    <fb>13.59</fb>
    <v>1</v>
  </rv>
  <rv s="0">
    <fb>13.74</fb>
    <v>1</v>
  </rv>
  <rv s="0">
    <fb>13.9</fb>
    <v>1</v>
  </rv>
  <rv s="0">
    <fb>13.36</fb>
    <v>1</v>
  </rv>
  <rv s="0">
    <fb>13.43</fb>
    <v>1</v>
  </rv>
  <rv s="0">
    <fb>13.64</fb>
    <v>1</v>
  </rv>
  <rv s="0">
    <fb>13.85</fb>
    <v>1</v>
  </rv>
  <rv s="0">
    <fb>13.41</fb>
    <v>1</v>
  </rv>
  <rv s="0">
    <fb>13.51</fb>
    <v>1</v>
  </rv>
  <rv s="0">
    <fb>12.96</fb>
    <v>1</v>
  </rv>
  <rv s="0">
    <fb>13.47</fb>
    <v>1</v>
  </rv>
  <rv s="0">
    <fb>13.57</fb>
    <v>1</v>
  </rv>
  <rv s="0">
    <fb>45111</fb>
    <v>0</v>
  </rv>
  <rv s="0">
    <fb>13.71</fb>
    <v>1</v>
  </rv>
  <rv s="0">
    <fb>13.52</fb>
    <v>1</v>
  </rv>
  <rv s="0">
    <fb>13.7</fb>
    <v>1</v>
  </rv>
  <rv s="0">
    <fb>14.74</fb>
    <v>1</v>
  </rv>
  <rv s="0">
    <fb>14.05</fb>
    <v>1</v>
  </rv>
  <rv s="0">
    <fb>14.18</fb>
    <v>1</v>
  </rv>
  <rv s="0">
    <fb>14.85</fb>
    <v>1</v>
  </rv>
  <rv s="0">
    <fb>14.79</fb>
    <v>1</v>
  </rv>
  <rv s="0">
    <fb>15.97</fb>
    <v>1</v>
  </rv>
  <rv s="0">
    <fb>14.33</fb>
    <v>1</v>
  </rv>
  <rv s="0">
    <fb>14.83</fb>
    <v>1</v>
  </rv>
  <rv s="0">
    <fb>16.21</fb>
    <v>1</v>
  </rv>
  <rv s="0">
    <fb>15.04</fb>
    <v>1</v>
  </rv>
  <rv s="0">
    <fb>15.07</fb>
    <v>1</v>
  </rv>
  <rv s="0">
    <fb>15.25</fb>
    <v>1</v>
  </rv>
  <rv s="0">
    <fb>14.63</fb>
    <v>1</v>
  </rv>
  <rv s="0">
    <fb>14.82</fb>
    <v>1</v>
  </rv>
  <rv s="0">
    <fb>13.61</fb>
    <v>1</v>
  </rv>
  <rv s="0">
    <fb>13.12</fb>
    <v>1</v>
  </rv>
  <rv s="0">
    <fb>13.72</fb>
    <v>1</v>
  </rv>
  <rv s="0">
    <fb>13.76</fb>
    <v>1</v>
  </rv>
  <rv s="0">
    <fb>13.22</fb>
    <v>1</v>
  </rv>
  <rv s="0">
    <fb>13.34</fb>
    <v>1</v>
  </rv>
  <rv s="0">
    <fb>14</fb>
    <v>1</v>
  </rv>
  <rv s="0">
    <fb>13.67</fb>
    <v>1</v>
  </rv>
  <rv s="0">
    <fb>13.29</fb>
    <v>1</v>
  </rv>
  <rv s="0">
    <fb>13.3</fb>
    <v>1</v>
  </rv>
  <rv s="0">
    <fb>13.32</fb>
    <v>1</v>
  </rv>
  <rv s="0">
    <fb>13.84</fb>
    <v>1</v>
  </rv>
  <rv s="0">
    <fb>14.23</fb>
    <v>1</v>
  </rv>
  <rv s="0">
    <fb>13.58</fb>
    <v>1</v>
  </rv>
  <rv s="0">
    <fb>13.99</fb>
    <v>1</v>
  </rv>
  <rv s="0">
    <fb>13.87</fb>
    <v>1</v>
  </rv>
  <rv s="0">
    <fb>13.37</fb>
    <v>1</v>
  </rv>
  <rv s="0">
    <fb>13.6</fb>
    <v>1</v>
  </rv>
  <rv s="0">
    <fb>14.3</fb>
    <v>1</v>
  </rv>
  <rv s="0">
    <fb>13.73</fb>
    <v>1</v>
  </rv>
  <rv s="0">
    <fb>13.91</fb>
    <v>1</v>
  </rv>
  <rv s="0">
    <fb>14.02</fb>
    <v>1</v>
  </rv>
  <rv s="0">
    <fb>13.82</fb>
    <v>1</v>
  </rv>
  <rv s="0">
    <fb>14.16</fb>
    <v>1</v>
  </rv>
  <rv s="0">
    <fb>13.15</fb>
    <v>1</v>
  </rv>
  <rv s="0">
    <fb>13.19</fb>
    <v>1</v>
  </rv>
  <rv s="0">
    <fb>13.14</fb>
    <v>1</v>
  </rv>
  <rv s="0">
    <fb>12.74</fb>
    <v>1</v>
  </rv>
  <rv s="0">
    <fb>14.41</fb>
    <v>1</v>
  </rv>
  <rv s="0">
    <fb>14.03</fb>
    <v>1</v>
  </rv>
  <rv s="0">
    <fb>13.27</fb>
    <v>1</v>
  </rv>
  <rv s="0">
    <fb>13.33</fb>
    <v>1</v>
  </rv>
  <rv s="0">
    <fb>13.63</fb>
    <v>1</v>
  </rv>
  <rv s="0">
    <fb>13.75</fb>
    <v>1</v>
  </rv>
  <rv s="0">
    <fb>13.93</fb>
    <v>1</v>
  </rv>
  <rv s="0">
    <fb>17.420000000000002</fb>
    <v>1</v>
  </rv>
  <rv s="0">
    <fb>15.92</fb>
    <v>1</v>
  </rv>
  <rv s="0">
    <fb>16.010000000000002</fb>
    <v>1</v>
  </rv>
  <rv s="0">
    <fb>17.39</fb>
    <v>1</v>
  </rv>
  <rv s="0">
    <fb>14.57</fb>
    <v>1</v>
  </rv>
  <rv s="0">
    <fb>17.100000000000001</fb>
    <v>1</v>
  </rv>
  <rv s="0">
    <fb>15.77</fb>
    <v>1</v>
  </rv>
  <rv s="0">
    <fb>15.96</fb>
    <v>1</v>
  </rv>
  <rv s="0">
    <fb>15.99</fb>
    <v>1</v>
  </rv>
  <rv s="0">
    <fb>15.81</fb>
    <v>1</v>
  </rv>
  <rv s="0">
    <fb>15.38</fb>
    <v>1</v>
  </rv>
  <rv s="0">
    <fb>16.510000000000002</fb>
    <v>1</v>
  </rv>
  <rv s="0">
    <fb>15.88</fb>
    <v>1</v>
  </rv>
  <rv s="0">
    <fb>14.77</fb>
    <v>1</v>
  </rv>
  <rv s="0">
    <fb>15.8</fb>
    <v>1</v>
  </rv>
  <rv s="0">
    <fb>16.78</fb>
    <v>1</v>
  </rv>
  <rv s="0">
    <fb>16.96</fb>
    <v>1</v>
  </rv>
  <rv s="0">
    <fb>16.399999999999999</fb>
    <v>1</v>
  </rv>
  <rv s="0">
    <fb>17.89</fb>
    <v>1</v>
  </rv>
  <rv s="0">
    <fb>17.14</fb>
    <v>1</v>
  </rv>
  <rv s="0">
    <fb>18.03</fb>
    <v>1</v>
  </rv>
  <rv s="0">
    <fb>16.88</fb>
    <v>1</v>
  </rv>
  <rv s="0">
    <fb>17.13</fb>
    <v>1</v>
  </rv>
  <rv s="0">
    <fb>16.61</fb>
    <v>1</v>
  </rv>
  <rv s="0">
    <fb>16.97</fb>
    <v>1</v>
  </rv>
  <rv s="0">
    <fb>17.32</fb>
    <v>1</v>
  </rv>
  <rv s="0">
    <fb>15.48</fb>
    <v>1</v>
  </rv>
  <rv s="0">
    <fb>17.2</fb>
    <v>1</v>
  </rv>
  <rv s="0">
    <fb>15.45</fb>
    <v>1</v>
  </rv>
  <rv s="0">
    <fb>16.239999999999998</fb>
    <v>1</v>
  </rv>
  <rv s="0">
    <fb>15</fb>
    <v>1</v>
  </rv>
  <rv s="0">
    <fb>15.08</fb>
    <v>1</v>
  </rv>
  <rv s="0">
    <fb>15.3</fb>
    <v>1</v>
  </rv>
  <rv s="0">
    <fb>14.45</fb>
    <v>1</v>
  </rv>
  <rv s="0">
    <fb>14.53</fb>
    <v>1</v>
  </rv>
  <rv s="0">
    <fb>14.7</fb>
    <v>1</v>
  </rv>
  <rv s="0">
    <fb>13.56</fb>
    <v>1</v>
  </rv>
  <rv s="0">
    <fb>13.02</fb>
    <v>1</v>
  </rv>
  <rv s="0">
    <fb>13.09</fb>
    <v>1</v>
  </rv>
  <rv s="0">
    <fb>45173</fb>
    <v>0</v>
  </rv>
  <rv s="0">
    <fb>13.62</fb>
    <v>1</v>
  </rv>
  <rv s="0">
    <fb>14.15</fb>
    <v>1</v>
  </rv>
  <rv s="0">
    <fb>14.27</fb>
    <v>1</v>
  </rv>
  <rv s="0">
    <fb>14.13</fb>
    <v>1</v>
  </rv>
  <rv s="0">
    <fb>14.81</fb>
    <v>1</v>
  </rv>
  <rv s="0">
    <fb>15.69</fb>
    <v>1</v>
  </rv>
  <rv s="0">
    <fb>14.4</fb>
    <v>1</v>
  </rv>
  <rv s="0">
    <fb>14.22</fb>
    <v>1</v>
  </rv>
  <rv s="0">
    <fb>14.87</fb>
    <v>1</v>
  </rv>
  <rv s="0">
    <fb>14.17</fb>
    <v>1</v>
  </rv>
  <rv s="0">
    <fb>14.68</fb>
    <v>1</v>
  </rv>
  <rv s="0">
    <fb>13.39</fb>
    <v>1</v>
  </rv>
  <rv s="0">
    <fb>13.46</fb>
    <v>1</v>
  </rv>
  <rv s="0">
    <fb>12.79</fb>
    <v>1</v>
  </rv>
  <rv s="0">
    <fb>12.82</fb>
    <v>1</v>
  </rv>
  <rv s="0">
    <fb>12.7</fb>
    <v>1</v>
  </rv>
  <rv s="0">
    <fb>12.68</fb>
    <v>1</v>
  </rv>
  <rv s="0">
    <fb>14.75</fb>
    <v>1</v>
  </rv>
  <rv s="0">
    <fb>14.88</fb>
    <v>1</v>
  </rv>
  <rv s="0">
    <fb>15.15</fb>
    <v>1</v>
  </rv>
  <rv s="0">
    <fb>15.14</fb>
    <v>1</v>
  </rv>
  <rv s="0">
    <fb>17.309999999999999</fb>
    <v>1</v>
  </rv>
  <rv s="0">
    <fb>17.41</fb>
    <v>1</v>
  </rv>
  <rv s="0">
    <fb>15.93</fb>
    <v>1</v>
  </rv>
  <rv s="0">
    <fb>17.25</fb>
    <v>1</v>
  </rv>
  <rv s="0">
    <fb>16.79</fb>
    <v>1</v>
  </rv>
  <rv s="0">
    <fb>18.940000000000001</fb>
    <v>1</v>
  </rv>
  <rv s="0">
    <fb>18.29</fb>
    <v>1</v>
  </rv>
  <rv s="0">
    <fb>15.83</fb>
    <v>1</v>
  </rv>
  <rv s="0">
    <fb>17.52</fb>
    <v>1</v>
  </rv>
  <rv s="0">
    <fb>17.61</fb>
    <v>1</v>
  </rv>
  <rv s="0">
    <fb>20.48</fb>
    <v>1</v>
  </rv>
  <rv s="0">
    <fb>20.88</fb>
    <v>1</v>
  </rv>
  <rv s="0">
    <fb>19.600000000000001</fb>
    <v>1</v>
  </rv>
  <rv s="0">
    <fb>16.5</fb>
    <v>1</v>
  </rv>
  <rv s="0">
    <fb>19.57</fb>
    <v>1</v>
  </rv>
  <rv s="0">
    <fb>18.36</fb>
    <v>1</v>
  </rv>
  <rv s="0">
    <fb>20.149999999999999</fb>
    <v>1</v>
  </rv>
  <rv s="0">
    <fb>19.22</fb>
    <v>1</v>
  </rv>
  <rv s="0">
    <fb>23.08</fb>
    <v>1</v>
  </rv>
  <rv s="0">
    <fb>18.649999999999999</fb>
    <v>1</v>
  </rv>
  <rv s="0">
    <fb>18.86</fb>
    <v>1</v>
  </rv>
  <rv s="0">
    <fb>20.190000000000001</fb>
    <v>1</v>
  </rv>
  <rv s="0">
    <fb>19.72</fb>
    <v>1</v>
  </rv>
  <rv s="0">
    <fb>18.02</fb>
    <v>1</v>
  </rv>
  <rv s="0">
    <fb>16.59</fb>
    <v>1</v>
  </rv>
  <rv s="0">
    <fb>15.66</fb>
    <v>1</v>
  </rv>
  <rv s="0">
    <fb>15.39</fb>
    <v>1</v>
  </rv>
  <rv s="0">
    <fb>14.89</fb>
    <v>1</v>
  </rv>
  <rv s="0">
    <fb>15.17</fb>
    <v>1</v>
  </rv>
  <rv s="0">
    <fb>15.09</fb>
    <v>1</v>
  </rv>
  <rv s="0">
    <fb>15.16</fb>
    <v>1</v>
  </rv>
  <rv s="0">
    <fb>15.19</fb>
    <v>1</v>
  </rv>
  <rv s="0">
    <fb>14.58</fb>
    <v>1</v>
  </rv>
  <rv s="0">
    <fb>14.76</fb>
    <v>1</v>
  </rv>
  <rv s="0">
    <fb>14.86</fb>
    <v>1</v>
  </rv>
  <rv s="0">
    <fb>14.35</fb>
    <v>1</v>
  </rv>
  <rv s="0">
    <fb>13.97</fb>
    <v>1</v>
  </rv>
  <rv s="0">
    <fb>14.12</fb>
    <v>1</v>
  </rv>
  <rv s="0">
    <fb>13.68</fb>
    <v>1</v>
  </rv>
  <rv s="0">
    <fb>14.26</fb>
    <v>1</v>
  </rv>
  <rv s="0">
    <fb>14.31</fb>
    <v>1</v>
  </rv>
  <rv s="0">
    <fb>13.45</fb>
    <v>1</v>
  </rv>
  <rv s="0">
    <fb>13.13</fb>
    <v>1</v>
  </rv>
  <rv s="0">
    <fb>13.35</fb>
    <v>1</v>
  </rv>
  <rv s="0">
    <fb>13.08</fb>
    <v>1</v>
  </rv>
  <rv s="0">
    <fb>13.25</fb>
    <v>1</v>
  </rv>
  <rv s="0">
    <fb>12.85</fb>
    <v>1</v>
  </rv>
  <rv s="0">
    <fb>45253</fb>
    <v>0</v>
  </rv>
  <rv s="0">
    <fb>12.84</fb>
    <v>1</v>
  </rv>
  <rv s="0">
    <fb>12.87</fb>
    <v>1</v>
  </rv>
  <rv s="0">
    <fb>12.75</fb>
    <v>1</v>
  </rv>
  <rv s="0">
    <fb>12.8</fb>
    <v>1</v>
  </rv>
  <rv s="0">
    <fb>13.03</fb>
    <v>1</v>
  </rv>
  <rv s="0">
    <fb>13.17</fb>
    <v>1</v>
  </rv>
  <rv s="0">
    <fb>12.45</fb>
    <v>1</v>
  </rv>
  <rv s="0">
    <fb>12.46</fb>
    <v>1</v>
  </rv>
  <rv s="0">
    <fb>13.28</fb>
    <v>1</v>
  </rv>
  <rv s="0">
    <fb>12.64</fb>
    <v>1</v>
  </rv>
  <rv s="0">
    <fb>12.69</fb>
    <v>1</v>
  </rv>
  <rv s="0">
    <fb>12.78</fb>
    <v>1</v>
  </rv>
  <rv s="0">
    <fb>12.56</fb>
    <v>1</v>
  </rv>
  <rv s="0">
    <fb>12.71</fb>
    <v>1</v>
  </rv>
  <rv s="0">
    <fb>12.48</fb>
    <v>1</v>
  </rv>
  <rv s="0">
    <fb>12.98</fb>
    <v>1</v>
  </rv>
  <rv s="0">
    <fb>13.07</fb>
    <v>1</v>
  </rv>
  <rv s="0">
    <fb>12.92</fb>
    <v>1</v>
  </rv>
  <rv s="0">
    <fb>12.94</fb>
    <v>1</v>
  </rv>
  <rv s="0">
    <fb>12.63</fb>
    <v>1</v>
  </rv>
  <rv s="0">
    <fb>13.26</fb>
    <v>1</v>
  </rv>
  <rv s="0">
    <fb>12.81</fb>
    <v>1</v>
  </rv>
  <rv s="0">
    <fb>12.97</fb>
    <v>1</v>
  </rv>
  <rv s="0">
    <fb>12.95</fb>
    <v>1</v>
  </rv>
  <rv s="0">
    <fb>13.06</fb>
    <v>1</v>
  </rv>
  <rv s="0">
    <fb>12.35</fb>
    <v>1</v>
  </rv>
  <rv s="0">
    <fb>13.05</fb>
    <v>1</v>
  </rv>
  <rv s="0">
    <fb>12.61</fb>
    <v>1</v>
  </rv>
  <rv s="0">
    <fb>11.81</fb>
    <v>1</v>
  </rv>
  <rv s="0">
    <fb>12.07</fb>
    <v>1</v>
  </rv>
  <rv s="0">
    <fb>12.2</fb>
    <v>1</v>
  </rv>
  <rv s="0">
    <fb>11.82</fb>
    <v>1</v>
  </rv>
  <rv s="0">
    <fb>12.19</fb>
    <v>1</v>
  </rv>
  <rv s="0">
    <fb>11.96</fb>
    <v>1</v>
  </rv>
  <rv s="0">
    <fb>11.84</fb>
    <v>1</v>
  </rv>
  <rv s="0">
    <fb>12.12</fb>
    <v>1</v>
  </rv>
  <rv s="0">
    <fb>12.54</fb>
    <v>1</v>
  </rv>
  <rv s="0">
    <fb>12.01</fb>
    <v>1</v>
  </rv>
  <rv s="0">
    <fb>12.28</fb>
    <v>1</v>
  </rv>
  <rv s="0">
    <fb>12.62</fb>
    <v>1</v>
  </rv>
  <rv s="0">
    <fb>12.4</fb>
    <v>1</v>
  </rv>
  <rv s="0">
    <fb>12.6</fb>
    <v>1</v>
  </rv>
  <rv s="0">
    <fb>12.33</fb>
    <v>1</v>
  </rv>
  <rv s="0">
    <fb>12.53</fb>
    <v>1</v>
  </rv>
  <rv s="0">
    <fb>12.29</fb>
    <v>1</v>
  </rv>
  <rv s="0">
    <fb>13.4</fb>
    <v>1</v>
  </rv>
  <rv s="0">
    <fb>13</fb>
    <v>1</v>
  </rv>
  <rv s="0">
    <fb>12.99</fb>
    <v>1</v>
  </rv>
  <rv s="0">
    <fb>13.04</fb>
    <v>1</v>
  </rv>
  <rv s="0">
    <fb>12.37</fb>
    <v>1</v>
  </rv>
  <rv s="0">
    <fb>12.43</fb>
    <v>1</v>
  </rv>
  <rv s="0">
    <fb>12.44</fb>
    <v>1</v>
  </rv>
  <rv s="0">
    <fb>12.65</fb>
    <v>1</v>
  </rv>
  <rv s="0">
    <fb>12.38</fb>
    <v>1</v>
  </rv>
  <rv s="0">
    <fb>12.47</fb>
    <v>1</v>
  </rv>
  <rv s="0">
    <fb>12.55</fb>
    <v>1</v>
  </rv>
  <rv s="0">
    <fb>12.36</fb>
    <v>1</v>
  </rv>
  <rv s="0">
    <fb>14.04</fb>
    <v>1</v>
  </rv>
  <rv s="0">
    <fb>14.2</fb>
    <v>1</v>
  </rv>
  <rv s="0">
    <fb>14.24</fb>
    <v>1</v>
  </rv>
  <rv s="0">
    <fb>12.76</fb>
    <v>1</v>
  </rv>
  <rv s="0">
    <fb>12.86</fb>
    <v>1</v>
  </rv>
  <rv s="0">
    <fb>12.67</fb>
    <v>1</v>
  </rv>
  <rv s="0">
    <fb>13.31</fb>
    <v>1</v>
  </rv>
  <rv s="0">
    <fb>12.66</fb>
    <v>1</v>
  </rv>
  <rv s="0">
    <fb>45306</fb>
    <v>0</v>
  </rv>
  <rv s="0">
    <fb>13.23</fb>
    <v>1</v>
  </rv>
  <rv s="0">
    <fb>14.59</fb>
    <v>1</v>
  </rv>
  <rv s="0">
    <fb>15.4</fb>
    <v>1</v>
  </rv>
  <rv s="0">
    <fb>14.38</fb>
    <v>1</v>
  </rv>
  <rv s="0">
    <fb>13.18</fb>
    <v>1</v>
  </rv>
  <rv s="0">
    <fb>12.41</fb>
    <v>1</v>
  </rv>
  <rv s="0">
    <fb>14.1</fb>
    <v>1</v>
  </rv>
  <rv s="0">
    <fb>13.69</fb>
    <v>1</v>
  </rv>
  <rv s="0">
    <fb>13.42</fb>
    <v>1</v>
  </rv>
  <rv s="0">
    <fb>14.37</fb>
    <v>1</v>
  </rv>
  <rv s="0">
    <fb>12.83</fb>
    <v>1</v>
  </rv>
  <rv s="0">
    <fb>13.01</fb>
    <v>1</v>
  </rv>
  <rv s="0">
    <fb>12.93</fb>
    <v>1</v>
  </rv>
  <rv s="0">
    <fb>15.47</fb>
    <v>1</v>
  </rv>
  <rv s="0">
    <fb>14.64</fb>
    <v>1</v>
  </rv>
  <rv s="0">
    <fb>45341</fb>
    <v>0</v>
  </rv>
  <rv s="0">
    <fb>14.72</fb>
    <v>1</v>
  </rv>
  <rv s="0">
    <fb>14.78</fb>
    <v>1</v>
  </rv>
  <rv s="0">
    <fb>14.65</fb>
    <v>1</v>
  </rv>
  <rv s="0">
    <fb>15.42</fb>
    <v>1</v>
  </rv>
  <rv s="0">
    <fb>16.12</fb>
    <v>1</v>
  </rv>
  <rv s="0">
    <fb>15.22</fb>
    <v>1</v>
  </rv>
  <rv s="0">
    <fb>15.34</fb>
    <v>1</v>
  </rv>
  <rv s="0">
    <fb>14.28</fb>
    <v>1</v>
  </rv>
  <rv s="0">
    <fb>13.66</fb>
    <v>1</v>
  </rv>
  <rv s="0">
    <fb>13.11</fb>
    <v>1</v>
  </rv>
  <rv s="0">
    <fb>13.49</fb>
    <v>1</v>
  </rv>
  <rv s="0">
    <fb>14.46</fb>
    <v>1</v>
  </rv>
  <rv s="0">
    <fb>14.93</fb>
    <v>1</v>
  </rv>
  <rv s="0">
    <fb>14.98</fb>
    <v>1</v>
  </rv>
  <rv s="0">
    <fb>15.51</fb>
    <v>1</v>
  </rv>
  <rv s="0">
    <fb>16.04</fb>
    <v>1</v>
  </rv>
  <rv s="0">
    <fb>15.13</fb>
    <v>1</v>
  </rv>
  <rv s="0">
    <fb>15.2</fb>
    <v>1</v>
  </rv>
  <rv s="0">
    <fb>13.81</fb>
    <v>1</v>
  </rv>
  <rv s="0">
    <fb>15.33</fb>
    <v>1</v>
  </rv>
  <rv s="0">
    <fb>12.58</fb>
    <v>1</v>
  </rv>
  <rv s="0">
    <fb>13.55</fb>
    <v>1</v>
  </rv>
  <rv s="0">
    <fb>15.18</fb>
    <v>1</v>
  </rv>
  <rv s="0">
    <fb>16.350000000000001</fb>
    <v>1</v>
  </rv>
  <rv s="0">
    <fb>16.45</fb>
    <v>1</v>
  </rv>
  <rv s="0">
    <fb>16.75</fb>
    <v>1</v>
  </rv>
  <rv s="0">
    <fb>15.11</fb>
    <v>1</v>
  </rv>
  <rv s="0">
    <fb>14.94</fb>
    <v>1</v>
  </rv>
  <rv s="0">
    <fb>16.02</fb>
    <v>1</v>
  </rv>
  <rv s="0">
    <fb>17.64</fb>
    <v>1</v>
  </rv>
  <rv s="0">
    <fb>18.21</fb>
    <v>1</v>
  </rv>
  <rv s="0">
    <fb>16.760000000000002</fb>
    <v>1</v>
  </rv>
  <rv s="0">
    <fb>15.76</fb>
    <v>1</v>
  </rv>
  <rv s="0">
    <fb>16.25</fb>
    <v>1</v>
  </rv>
  <rv s="0">
    <fb>15.27</fb>
    <v>1</v>
  </rv>
  <rv s="0">
    <fb>15.37</fb>
    <v>1</v>
  </rv>
  <rv s="0">
    <fb>15.03</fb>
    <v>1</v>
  </rv>
  <rv s="0">
    <fb>15.9</fb>
    <v>1</v>
  </rv>
  <rv s="0">
    <fb>15.75</fb>
    <v>1</v>
  </rv>
  <rv s="0">
    <fb>16.22</fb>
    <v>1</v>
  </rv>
  <rv s="0">
    <fb>14.51</fb>
    <v>1</v>
  </rv>
  <rv s="0">
    <fb>13.16</fb>
    <v>1</v>
  </rv>
  <rv s="0">
    <fb>12.77</fb>
    <v>1</v>
  </rv>
  <rv s="0">
    <fb>12.5</fb>
    <v>1</v>
  </rv>
  <rv s="0">
    <fb>12.52</fb>
    <v>1</v>
  </rv>
  <rv s="0">
    <fb>12.42</fb>
    <v>1</v>
  </rv>
  <rv s="0">
    <fb>11.91</fb>
    <v>1</v>
  </rv>
  <rv s="0">
    <fb>11.99</fb>
    <v>1</v>
  </rv>
  <rv s="0">
    <fb>12.27</fb>
    <v>1</v>
  </rv>
  <rv s="0">
    <fb>12.59</fb>
    <v>1</v>
  </rv>
  <rv s="0">
    <fb>12.15</fb>
    <v>1</v>
  </rv>
  <rv s="0">
    <fb>12.3</fb>
    <v>1</v>
  </rv>
  <rv s="0">
    <fb>11.86</fb>
    <v>1</v>
  </rv>
  <rv s="0">
    <fb>12.05</fb>
    <v>1</v>
  </rv>
  <rv s="0">
    <fb>11.78</fb>
    <v>1</v>
  </rv>
  <rv s="0">
    <fb>11.53</fb>
    <v>1</v>
  </rv>
  <rv s="0">
    <fb>11.52</fb>
    <v>1</v>
  </rv>
  <rv s="0">
    <fb>12.89</fb>
    <v>1</v>
  </rv>
  <rv s="0">
    <fb>11.89</fb>
    <v>1</v>
  </rv>
  <rv s="0">
    <fb>11.93</fb>
    <v>1</v>
  </rv>
  <rv s="0">
    <fb>45439</fb>
    <v>0</v>
  </rv>
  <rv s="0">
    <fb>12.49</fb>
    <v>1</v>
  </rv>
  <rv s="0">
    <fb>12.51</fb>
    <v>1</v>
  </rv>
  <rv s="0">
    <fb>14.08</fb>
    <v>1</v>
  </rv>
  <rv s="0">
    <fb>12.11</fb>
    <v>1</v>
  </rv>
  <rv s="0">
    <fb>12.22</fb>
    <v>1</v>
  </rv>
  <rv s="0">
    <fb>11.94</fb>
    <v>1</v>
  </rv>
  <rv s="0">
    <fb>12.04</fb>
    <v>1</v>
  </rv>
  <rv s="0">
    <fb>11.88</fb>
    <v>1</v>
  </rv>
  <rv s="0">
    <fb>12.24</fb>
    <v>1</v>
  </rv>
  <rv s="0">
    <fb>45462</fb>
    <v>0</v>
  </rv>
  <rv s="0">
    <fb>12.32</fb>
    <v>1</v>
  </rv>
  <rv s="0">
    <fb>12.18</fb>
    <v>1</v>
  </rv>
  <rv s="0">
    <fb>12.21</fb>
    <v>1</v>
  </rv>
  <rv s="0">
    <fb>11.87</fb>
    <v>1</v>
  </rv>
  <rv s="0">
    <fb>12.1</fb>
    <v>1</v>
  </rv>
  <rv s="0">
    <fb>11.85</fb>
    <v>1</v>
  </rv>
  <rv s="0">
    <fb>12.03</fb>
    <v>1</v>
  </rv>
  <rv s="0">
    <fb>12.13</fb>
    <v>1</v>
  </rv>
  <rv s="0">
    <fb>12.23</fb>
    <v>1</v>
  </rv>
  <rv s="0">
    <fb>11.95</fb>
    <v>1</v>
  </rv>
  <rv s="0">
    <fb>12.09</fb>
    <v>1</v>
  </rv>
  <rv s="0">
    <fb>45477</fb>
    <v>0</v>
  </rv>
  <rv s="0">
    <fb>12.26</fb>
    <v>1</v>
  </rv>
  <rv s="0">
    <fb>12.31</fb>
    <v>1</v>
  </rv>
  <rv s="0">
    <fb>12.39</fb>
    <v>1</v>
  </rv>
  <rv s="0">
    <fb>13.38</fb>
    <v>1</v>
  </rv>
  <rv s="0">
    <fb>16.43</fb>
    <v>1</v>
  </rv>
  <rv s="0">
    <fb>10.62</fb>
    <v>1</v>
  </rv>
  <rv s="0">
    <fb>16.52</fb>
    <v>1</v>
  </rv>
  <rv s="0">
    <fb>15.21</fb>
    <v>1</v>
  </rv>
  <rv s="0">
    <fb>18.46</fb>
    <v>1</v>
  </rv>
  <rv s="0">
    <fb>16.420000000000002</fb>
    <v>1</v>
  </rv>
  <rv s="0">
    <fb>18.05</fb>
    <v>1</v>
  </rv>
  <rv s="0">
    <fb>18.32</fb>
    <v>1</v>
  </rv>
  <rv s="0">
    <fb>16.66</fb>
    <v>1</v>
  </rv>
  <rv s="0">
    <fb>15.71</fb>
    <v>1</v>
  </rv>
  <rv s="0">
    <fb>16.2</fb>
    <v>1</v>
  </rv>
  <rv s="0">
    <fb>15.95</fb>
    <v>1</v>
  </rv>
  <rv s="0">
    <fb>29.66</fb>
    <v>1</v>
  </rv>
  <rv s="0">
    <fb>65.73</fb>
    <v>1</v>
  </rv>
  <rv s="0">
    <fb>38.57</fb>
    <v>1</v>
  </rv>
  <rv s="0">
    <fb>33.71</fb>
    <v>1</v>
  </rv>
  <rv s="0">
    <fb>34.770000000000003</fb>
    <v>1</v>
  </rv>
  <rv s="0">
    <fb>27.71</fb>
    <v>1</v>
  </rv>
  <rv s="0">
    <fb>28.34</fb>
    <v>1</v>
  </rv>
  <rv s="0">
    <fb>29.47</fb>
    <v>1</v>
  </rv>
  <rv s="0">
    <fb>23.78</fb>
    <v>1</v>
  </rv>
  <rv s="0">
    <fb>20.260000000000002</fb>
    <v>1</v>
  </rv>
  <rv s="0">
    <fb>20.79</fb>
    <v>1</v>
  </rv>
  <rv s="0">
    <fb>21.19</fb>
    <v>1</v>
  </rv>
  <rv s="0">
    <fb>18.89</fb>
    <v>1</v>
  </rv>
  <rv s="0">
    <fb>20.059999999999999</fb>
    <v>1</v>
  </rv>
  <rv s="0">
    <fb>16.190000000000001</fb>
    <v>1</v>
  </rv>
  <rv s="0">
    <fb>15.23</fb>
    <v>1</v>
  </rv>
  <rv s="0">
    <fb>14.8</fb>
    <v>1</v>
  </rv>
  <rv s="0">
    <fb>15.94</fb>
    <v>1</v>
  </rv>
  <rv s="0">
    <fb>16.07</fb>
    <v>1</v>
  </rv>
  <rv s="0">
    <fb>15.61</fb>
    <v>1</v>
  </rv>
  <rv s="0">
    <fb>15.86</fb>
    <v>1</v>
  </rv>
  <rv s="0">
    <fb>16.670000000000002</fb>
    <v>1</v>
  </rv>
  <rv s="0">
    <fb>15.46</fb>
    <v>1</v>
  </rv>
  <rv s="0">
    <fb>15.67</fb>
    <v>1</v>
  </rv>
  <rv s="0">
    <fb>45537</fb>
    <v>0</v>
  </rv>
  <rv s="0">
    <fb>15.87</fb>
    <v>1</v>
  </rv>
  <rv s="0">
    <fb>15.55</fb>
    <v>1</v>
  </rv>
  <rv s="0">
    <fb>23.31</fb>
    <v>1</v>
  </rv>
  <rv s="0">
    <fb>19.34</fb>
    <v>1</v>
  </rv>
  <rv s="0">
    <fb>21.53</fb>
    <v>1</v>
  </rv>
  <rv s="0">
    <fb>17.18</fb>
    <v>1</v>
  </rv>
  <rv s="0">
    <fb>15.41</fb>
    <v>1</v>
  </rv>
  <rv s="0">
    <fb>15.64</fb>
    <v>1</v>
  </rv>
  <rv s="0">
    <fb>17.010000000000002</fb>
    <v>1</v>
  </rv>
  <rv s="0">
    <fb>16.47</fb>
    <v>1</v>
  </rv>
  <rv s="0">
    <fb>16.73</fb>
    <v>1</v>
  </rv>
  <rv s="0">
    <fb>20.73</fb>
    <v>1</v>
  </rv>
  <rv s="0">
    <fb>19.260000000000002</fb>
    <v>1</v>
  </rv>
  <rv s="0">
    <fb>19.649999999999999</fb>
    <v>1</v>
  </rv>
  <rv s="0">
    <fb>19.16</fb>
    <v>1</v>
  </rv>
  <rv s="0">
    <fb>20.65</fb>
    <v>1</v>
  </rv>
  <rv s="0">
    <fb>21.39</fb>
    <v>1</v>
  </rv>
  <rv s="0">
    <fb>20.93</fb>
    <v>1</v>
  </rv>
  <rv s="0">
    <fb>20.77</fb>
    <v>1</v>
  </rv>
  <rv s="0">
    <fb>18.78</fb>
    <v>1</v>
  </rv>
  <rv s="0">
    <fb>18.87</fb>
    <v>1</v>
  </rv>
  <rv s="0">
    <fb>23.42</fb>
    <v>1</v>
  </rv>
  <rv s="0">
    <fb>21.73</fb>
    <v>1</v>
  </rv>
  <rv s="0">
    <fb>15.56</fb>
    <v>1</v>
  </rv>
  <rv s="0">
    <fb>14.69</fb>
    <v>1</v>
  </rv>
  <rv s="0">
    <fb>15.26</fb>
    <v>1</v>
  </rv>
  <rv s="0">
    <fb>14.56</fb>
    <v>1</v>
  </rv>
  <rv s="0">
    <fb>17</fb>
    <v>1</v>
  </rv>
  <rv s="0">
    <fb>45624</fb>
    <v>0</v>
  </rv>
  <rv s="0">
    <fb>14.07</fb>
    <v>1</v>
  </rv>
  <rv s="0">
    <fb>13.92</fb>
    <v>1</v>
  </rv>
  <rv s="0">
    <fb>28.32</fb>
    <v>1</v>
  </rv>
  <rv s="0">
    <fb>27.62</fb>
    <v>1</v>
  </rv>
  <rv s="0">
    <fb>24.14</fb>
    <v>1</v>
  </rv>
  <rv s="0">
    <fb>18.09</fb>
    <v>1</v>
  </rv>
  <rv s="0">
    <fb>17.04</fb>
    <v>1</v>
  </rv>
  <rv s="0">
    <fb>14.55</fb>
    <v>1</v>
  </rv>
  <rv s="0">
    <fb>17.37</fb>
    <v>1</v>
  </rv>
  <rv s="0">
    <fb>45666</fb>
    <v>0</v>
  </rv>
  <rv s="0">
    <fb>18.07</fb>
    <v>1</v>
  </rv>
  <rv s="0">
    <fb>22.04</fb>
    <v>1</v>
  </rv>
  <rv s="0">
    <fb>19.149999999999999</fb>
    <v>1</v>
  </rv>
  <rv s="0">
    <fb>19.66</fb>
    <v>1</v>
  </rv>
  <rv s="0">
    <fb>45677</fb>
    <v>0</v>
  </rv>
  <rv s="0">
    <fb>22.51</fb>
    <v>1</v>
  </rv>
  <rv s="0">
    <fb>17.57</fb>
    <v>1</v>
  </rv>
  <rv s="0">
    <fb>17.899999999999999</fb>
    <v>1</v>
  </rv>
  <rv s="0">
    <fb>15.32</fb>
    <v>1</v>
  </rv>
  <rv s="0">
    <fb>15.84</fb>
    <v>1</v>
  </rv>
  <rv s="0">
    <fb>17.09</fb>
    <v>1</v>
  </rv>
  <rv s="0">
    <fb>18.62</fb>
    <v>1</v>
  </rv>
  <rv s="0">
    <fb>15.5</fb>
    <v>1</v>
  </rv>
  <rv s="0">
    <fb>45705</fb>
    <v>0</v>
  </rv>
  <rv s="0">
    <fb>15.05</fb>
    <v>1</v>
  </rv>
  <rv s="0">
    <fb>15.12</fb>
    <v>1</v>
  </rv>
  <rv s="0">
    <fb>15.63</fb>
    <v>1</v>
  </rv>
  <rv s="0">
    <fb>18.98</fb>
    <v>1</v>
  </rv>
  <rv s="0">
    <fb>17.829999999999998</fb>
    <v>1</v>
  </rv>
  <rv s="0">
    <fb>17.670000000000002</fb>
    <v>1</v>
  </rv>
  <rv s="0">
    <fb>24.31</fb>
    <v>1</v>
  </rv>
  <rv s="0">
    <fb>22.78</fb>
    <v>1</v>
  </rv>
  <rv s="0">
    <fb>23.51</fb>
    <v>1</v>
  </rv>
  <rv s="0">
    <fb>24.84</fb>
    <v>1</v>
  </rv>
  <rv s="0">
    <fb>21.93</fb>
    <v>1</v>
  </rv>
  <rv s="0">
    <fb>25.92</fb>
    <v>1</v>
  </rv>
  <rv s="0">
    <fb>24.87</fb>
    <v>1</v>
  </rv>
  <rv s="0">
    <fb>24.85</fb>
    <v>1</v>
  </rv>
  <rv s="0">
    <fb>26.56</fb>
    <v>1</v>
  </rv>
  <rv s="0">
    <fb>23.37</fb>
    <v>1</v>
  </rv>
  <rv s="0">
    <fb>29.56</fb>
    <v>1</v>
  </rv>
  <rv s="0">
    <fb>27.86</fb>
    <v>1</v>
  </rv>
  <rv s="0">
    <fb>27.94</fb>
    <v>1</v>
  </rv>
  <rv s="0">
    <fb>26.18</fb>
    <v>1</v>
  </rv>
  <rv s="0">
    <fb>26.92</fb>
    <v>1</v>
  </rv>
  <rv s="0">
    <fb>26.13</fb>
    <v>1</v>
  </rv>
  <rv s="0">
    <fb>24.66</fb>
    <v>1</v>
  </rv>
  <rv s="0">
    <fb>22.89</fb>
    <v>1</v>
  </rv>
  <rv s="0">
    <fb>21.84</fb>
    <v>1</v>
  </rv>
  <rv s="0">
    <fb>19.52</fb>
    <v>1</v>
  </rv>
  <rv s="0">
    <fb>21.17</fb>
    <v>1</v>
  </rv>
  <rv s="0">
    <fb>17.48</fb>
    <v>1</v>
  </rv>
  <rv s="0">
    <fb>18.920000000000002</fb>
    <v>1</v>
  </rv>
  <rv s="0">
    <fb>23.66</fb>
    <v>1</v>
  </rv>
  <rv s="0">
    <fb>30.02</fb>
    <v>1</v>
  </rv>
  <rv s="0">
    <fb>24.93</fb>
    <v>1</v>
  </rv>
  <rv s="0">
    <fb>45.61</fb>
    <v>1</v>
  </rv>
  <rv s="0">
    <fb>45.31</fb>
    <v>1</v>
  </rv>
  <rv s="0">
    <fb>60.13</fb>
    <v>1</v>
  </rv>
  <rv s="0">
    <fb>38.58</fb>
    <v>1</v>
  </rv>
  <rv s="0">
    <fb>46.98</fb>
    <v>1</v>
  </rv>
  <rv s="0">
    <fb>44.04</fb>
    <v>1</v>
  </rv>
  <rv s="0">
    <fb>57.52</fb>
    <v>1</v>
  </rv>
  <rv s="0">
    <fb>36.479999999999997</fb>
    <v>1</v>
  </rv>
  <rv s="0">
    <fb>52.33</fb>
    <v>1</v>
  </rv>
  <rv s="0">
    <fb>50.98</fb>
    <v>1</v>
  </rv>
  <rv s="0">
    <fb>57.96</fb>
    <v>1</v>
  </rv>
  <rv s="0">
    <fb>33.619999999999997</fb>
    <v>1</v>
  </rv>
  <rv s="0">
    <fb>34.44</fb>
    <v>1</v>
  </rv>
  <rv s="0">
    <fb>54.87</fb>
    <v>1</v>
  </rv>
  <rv s="0">
    <fb>40.72</fb>
    <v>1</v>
  </rv>
  <rv s="0">
    <fb>40.799999999999997</fb>
    <v>1</v>
  </rv>
  <rv s="0">
    <fb>46.12</fb>
    <v>1</v>
  </rv>
  <rv s="0">
    <fb>36.85</fb>
    <v>1</v>
  </rv>
  <rv s="0">
    <fb>37.56</fb>
    <v>1</v>
  </rv>
  <rv s="0">
    <fb>35.17</fb>
    <v>1</v>
  </rv>
  <rv s="0">
    <fb>29.75</fb>
    <v>1</v>
  </rv>
  <rv s="0">
    <fb>30.89</fb>
    <v>1</v>
  </rv>
  <rv s="0">
    <fb>33.24</fb>
    <v>1</v>
  </rv>
  <rv s="0">
    <fb>34.96</fb>
    <v>1</v>
  </rv>
  <rv s="0">
    <fb>29.48</fb>
    <v>1</v>
  </rv>
  <rv s="0">
    <fb>32.64</fb>
    <v>1</v>
  </rv>
  <rv s="0">
    <fb>30.79</fb>
    <v>1</v>
  </rv>
  <rv s="0">
    <fb>32.549999999999997</fb>
    <v>1</v>
  </rv>
  <rv s="0">
    <fb>29.65</fb>
    <v>1</v>
  </rv>
  <rv s="0">
    <fb>32.75</fb>
    <v>1</v>
  </rv>
  <rv s="0">
    <fb>35.75</fb>
    <v>1</v>
  </rv>
  <rv s="0">
    <fb>31.79</fb>
    <v>1</v>
  </rv>
  <rv s="0">
    <fb>33.82</fb>
    <v>1</v>
  </rv>
  <rv s="0">
    <fb>32.68</fb>
    <v>1</v>
  </rv>
  <rv s="0">
    <fb>30.08</fb>
    <v>1</v>
  </rv>
  <rv s="0">
    <fb>30.57</fb>
    <v>1</v>
  </rv>
  <rv s="0">
    <fb>28.75</fb>
    <v>1</v>
  </rv>
  <rv s="0">
    <fb>30.29</fb>
    <v>1</v>
  </rv>
  <rv s="0">
    <fb>28.69</fb>
    <v>1</v>
  </rv>
  <rv s="0">
    <fb>25.15</fb>
    <v>1</v>
  </rv>
  <rv s="0">
    <fb>24.17</fb>
    <v>1</v>
  </rv>
  <rv s="0">
    <fb>28.17</fb>
    <v>1</v>
  </rv>
  <rv s="0">
    <fb>23.94</fb>
    <v>1</v>
  </rv>
  <rv s="0">
    <fb>24.32</fb>
    <v>1</v>
  </rv>
  <rv s="0">
    <fb>24.63</fb>
    <v>1</v>
  </rv>
  <rv s="0">
    <fb>23.64</fb>
    <v>1</v>
  </rv>
  <rv s="0">
    <fb>23.97</fb>
    <v>1</v>
  </rv>
  <rv s="0">
    <fb>25.11</fb>
    <v>1</v>
  </rv>
  <rv s="0">
    <fb>24.56</fb>
    <v>1</v>
  </rv>
  <rv s="0">
    <fb>25.62</fb>
    <v>1</v>
  </rv>
  <rv s="0">
    <fb>23.29</fb>
    <v>1</v>
  </rv>
  <rv s="0">
    <fb>23.55</fb>
    <v>1</v>
  </rv>
  <rv s="0">
    <fb>22.48</fb>
    <v>1</v>
  </rv>
  <rv s="0">
    <fb>21.9</fb>
    <v>1</v>
  </rv>
  <rv s="0">
    <fb>18.100000000000001</fb>
    <v>1</v>
  </rv>
  <rv s="0">
    <fb>18.82</fb>
    <v>1</v>
  </rv>
  <rv s="0">
    <fb>19.920000000000002</fb>
    <v>1</v>
  </rv>
  <rv s="0">
    <fb>18.68</fb>
    <v>1</v>
  </rv>
  <rv s="0">
    <fb>21.05</fb>
    <v>1</v>
  </rv>
  <rv s="0">
    <fb>25.53</fb>
    <v>1</v>
  </rv>
  <rv s="0">
    <fb>45803</fb>
    <v>0</v>
  </rv>
  <rv s="0">
    <fb>19.18</fb>
    <v>1</v>
  </rv>
  <rv s="0">
    <fb>20.55</fb>
    <v>1</v>
  </rv>
  <rv s="0">
    <fb>17.5</fb>
    <v>1</v>
  </rv>
  <rv s="0">
    <fb>21.76</fb>
    <v>1</v>
  </rv>
  <rv s="0">
    <fb>22</fb>
    <v>1</v>
  </rv>
  <rv s="0">
    <fb>20.82</fb>
    <v>1</v>
  </rv>
  <rv s="0">
    <fb>45827</fb>
    <v>0</v>
  </rv>
  <rv s="0">
    <fb>22.75</fb>
    <v>1</v>
  </rv>
  <rv s="0">
    <fb>17.28</fb>
    <v>1</v>
  </rv>
  <rv s="0">
    <fb>16.55</fb>
    <v>1</v>
  </rv>
  <rv s="0">
    <fb>45842</fb>
    <v>0</v>
  </rv>
  <rv s="0">
    <fb>18.5</fb>
    <v>1</v>
  </rv>
  <rv s="0">
    <fb>17.850000000000001</fb>
    <v>1</v>
  </rv>
  <rv s="0">
    <fb>17.38</fb>
    <v>1</v>
  </rv>
  <rv s="0">
    <fb>15.52</fb>
    <v>1</v>
  </rv>
  <rv s="0">
    <fb>14.62</fb>
    <v>1</v>
  </rv>
  <rv s="0">
    <fb>15.36</fb>
    <v>1</v>
  </rv>
  <rv s="0">
    <fb>45901</fb>
    <v>0</v>
  </rv>
  <rv s="0">
    <fb>15.6</fb>
    <v>1</v>
  </rv>
  <rv s="0">
    <fb>16.100000000000001</fb>
    <v>1</v>
  </rv>
  <rv s="0">
    <fb>16.18</fb>
    <v>1</v>
  </rv>
  <rv s="0">
    <fb>17.05</fb>
    <v>1</v>
  </rv>
  <rv s="0">
    <fb>15.74</fb>
    <v>1</v>
  </rv>
  <rv s="0">
    <fb>16.7</fb>
    <v>1</v>
  </rv>
  <rv s="0">
    <fb>22.44</fb>
    <v>1</v>
  </rv>
  <rv s="0">
    <fb>25.43</fb>
    <v>1</v>
  </rv>
  <rv s="0">
    <fb>28.41</fb>
    <v>1</v>
  </rv>
  <rv s="0">
    <fb>21.02</fb>
    <v>1</v>
  </rv>
  <rv s="0">
    <fb>17.84</fb>
    <v>1</v>
  </rv>
  <rv s="0">
    <fb>18.600000000000001</fb>
    <v>1</v>
  </rv>
  <rv s="0">
    <fb>19.350000000000001</fb>
    <v>1</v>
  </rv>
  <rv s="0">
    <fb>15.62</fb>
    <v>1</v>
  </rv>
  <rv s="0">
    <fb>21.31</fb>
    <v>1</v>
  </rv>
  <rv s="0">
    <fb>23.44</fb>
    <v>1</v>
  </rv>
  <rv s="0">
    <fb>22.91</fb>
    <v>1</v>
  </rv>
  <rv s="0">
    <fb>22.54</fb>
    <v>1</v>
  </rv>
  <rv s="0">
    <fb>23.43</fb>
    <v>1</v>
  </rv>
  <rv s="0">
    <fb>23.68</fb>
    <v>1</v>
  </rv>
  <rv s="0">
    <fb>45988</fb>
    <v>0</v>
  </rv>
  <rv s="0">
    <fb>16.84</fb>
    <v>1</v>
  </rv>
  <rv s="0">
    <fb>46041</fb>
    <v>0</v>
  </rv>
  <rv s="0">
    <fb>18.28</fb>
    <v>1</v>
  </rv>
  <rv s="0">
    <fb>19.27</fb>
    <v>1</v>
  </rv>
  <rv s="0">
    <fb>16.16</fb>
    <v>1</v>
  </rv>
  <rv s="0">
    <fb>17.47</fb>
    <v>1</v>
  </rv>
  <rv s="0">
    <fb>23.1</fb>
    <v>1</v>
  </rv>
  <rv s="0">
    <fb>17.760000000000002</fb>
    <v>1</v>
  </rv>
  <rv s="0">
    <fb>46069</fb>
    <v>0</v>
  </rv>
  <rv s="0">
    <fb>21.62</fb>
    <v>1</v>
  </rv>
  <rv s="0">
    <fb>21.2</fb>
    <v>1</v>
  </rv>
  <rv s="0">
    <fb>22.08</fb>
    <v>1</v>
  </rv>
  <rv s="0">
    <fb>20.399999999999999</fb>
    <v>1</v>
  </rv>
  <rv s="0">
    <fb>23.75</fb>
    <v>1</v>
  </rv>
  <rv s="0">
    <fb>29.93</fb>
    <v>1</v>
  </rv>
  <rv s="0">
    <fb>29.49</fb>
    <v>1</v>
  </rv>
  <rv s="0">
    <fb>35.119999999999997</fb>
    <v>1</v>
  </rv>
  <rv s="0">
    <fb>35.299999999999997</fb>
    <v>1</v>
  </rv>
  <rv s="0">
    <fb>25.5</fb>
    <v>1</v>
  </rv>
  <rv s="0">
    <fb>26.01</fb>
    <v>1</v>
  </rv>
  <rv s="0">
    <fb>22.19</fb>
    <v>1</v>
  </rv>
  <rv s="0">
    <fb>24.9</fb>
    <v>1</v>
  </rv>
  <rv s="0">
    <fb>25.48</fb>
    <v>1</v>
  </rv>
  <rv s="0">
    <fb>27.33</fb>
    <v>1</v>
  </rv>
  <rv s="0">
    <fb>28.47</fb>
    <v>1</v>
  </rv>
  <rv s="0">
    <fb>23.23</fb>
    <v>1</v>
  </rv>
  <rv s="0">
    <fb>25.09</fb>
    <v>1</v>
  </rv>
  <rv s="0">
    <fb>27.52</fb>
    <v>1</v>
  </rv>
  <rv s="0">
    <fb>24.06</fb>
    <v>1</v>
  </rv>
  <rv s="0">
    <fb>24.46</fb>
    <v>1</v>
  </rv>
  <rv s="0">
    <fb>29.28</fb>
    <v>1</v>
  </rv>
  <rv s="0">
    <fb>26.78</fb>
    <v>1</v>
  </rv>
  <rv s="0">
    <fb>26.15</fb>
    <v>1</v>
  </rv>
  <rv s="0">
    <fb>25.64</fb>
    <v>1</v>
  </rv>
  <rv s="0">
    <fb>26.49</fb>
    <v>1</v>
  </rv>
  <rv s="0">
    <fb>28.49</fb>
    <v>1</v>
  </rv>
  <rv s="0">
    <fb>26.12</fb>
    <v>1</v>
  </rv>
  <rv s="0">
    <fb>27.44</fb>
    <v>1</v>
  </rv>
  <rv s="0">
    <fb>31.65</fb>
    <v>1</v>
  </rv>
  <rv s="0">
    <fb>31.05</fb>
    <v>1</v>
  </rv>
  <rv s="0">
    <fb>31.52</fb>
    <v>1</v>
  </rv>
  <rv s="0">
    <fb>30.61</fb>
    <v>1</v>
  </rv>
  <rv s="0">
    <fb>29.64</fb>
    <v>1</v>
  </rv>
  <rv s="0">
    <fb>25.08</fb>
    <v>1</v>
  </rv>
  <rv s="0">
    <fb>25.35</fb>
    <v>1</v>
  </rv>
  <rv s="0">
    <fb>23.5</fb>
    <v>1</v>
  </rv>
  <rv s="0">
    <fb>27.89</fb>
    <v>1</v>
  </rv>
  <rv s="0">
    <fb>20.97</fb>
    <v>1</v>
  </rv>
  <rv s="0">
    <fb>21.63</fb>
    <v>1</v>
  </rv>
  <rv s="0">
    <fb>18.75</fb>
    <v>1</v>
  </rv>
  <rv s="0">
    <fb>18.38</fb>
    <v>1</v>
  </rv>
  <rv s="0">
    <fb>17.98</fb>
    <v>1</v>
  </rv>
  <rv s="0">
    <fb>46167</fb>
    <v>0</v>
  </rv>
  <rv s="0">
    <fb>19.87</fb>
    <v>1</v>
  </rv>
  <rv s="0">
    <fb>19.510000000000002</fb>
    <v>1</v>
  </rv>
  <rv s="0">
    <fb>46192</fb>
    <v>0</v>
  </rv>
  <rv s="0">
    <fb>46206</fb>
    <v>0</v>
  </rv>
  <rv s="0">
    <fb>14.96</fb>
    <v>1</v>
  </rv>
  <rv s="0">
    <fb>20.66</fb>
    <v>1</v>
  </rv>
  <rv s="0">
    <fb>14.39</fb>
    <v>1</v>
  </rv>
  <rv s="5">
    <v>8</v>
    <v>ORCL</v>
    <v>Daily</v>
    <v>44439</v>
    <v>46279</v>
    <v>0</v>
    <v>1</v>
    <v>639240768000000000,639250171631069512,0</v>
    <v>0</v>
    <v>a1zbec</v>
    <v>XNYS:ORCL</v>
    <v>1</v>
    <v>2</v>
    <v>3</v>
    <v>4</v>
    <v>5</v>
  </rv>
  <rv s="6">
    <v>9</v>
    <v>a33pk2</v>
    <v>Daily</v>
    <v>44439</v>
    <v>46279</v>
    <v>0</v>
    <v>1</v>
    <v/>
    <v>6</v>
    <v/>
    <v/>
    <v>7</v>
    <v>8</v>
    <v>9</v>
    <v>10</v>
  </rv>
</rvData>
</file>

<file path=xl/richData/rdrichvaluestructure.xml><?xml version="1.0" encoding="utf-8"?>
<rvStructures xmlns="http://schemas.microsoft.com/office/spreadsheetml/2017/richdata" count="7">
  <s t="_formattednumber">
    <k n="_Format" t="spb"/>
  </s>
  <s t="_hyperlink">
    <k n="Address" t="s"/>
    <k n="Text" t="s"/>
  </s>
  <s t="_linkedentitycore">
    <k n="_Display" t="spb"/>
    <k n="_DisplayString" t="s"/>
    <k n="_Flags" t="spb"/>
    <k n="_Format" t="spb"/>
    <k n="_Icon" t="s"/>
    <k n="_SubLabel" t="spb"/>
    <k n="%EntityCulture" t="s"/>
    <k n="%EntityId" t="s"/>
    <k n="%EntityServiceId"/>
    <k n="%IsRefreshable" t="b"/>
    <k n="%ProviderInfo" t="s"/>
    <k n="52 week high"/>
    <k n="52 week low"/>
    <k n="Change"/>
    <k n="Change (%)"/>
    <k n="Country/region" t="s"/>
    <k n="High"/>
    <k n="Instrument type" t="s"/>
    <k n="LearnMoreOnLink" t="r"/>
    <k n="Low"/>
    <k n="Name" t="s"/>
    <k n="Open"/>
    <k n="Previous close"/>
    <k n="Price"/>
    <k n="Ticker symbol" t="s"/>
    <k n="UniqueName" t="s"/>
  </s>
  <s t="_linkedentity">
    <k n="%cvi" t="r"/>
  </s>
  <s t="_error">
    <k n="errorType" t="i"/>
    <k n="subType" t="i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  <k n="Open" t="a"/>
    <k n="High" t="a"/>
    <k n="Low" t="a"/>
    <k n="Volume" t="a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  <k n="Open" t="a"/>
    <k n="High" t="a"/>
    <k n="Low" t="a"/>
  </s>
</rvStructures>
</file>

<file path=xl/richData/rdsupportingpropertybag.xml><?xml version="1.0" encoding="utf-8"?>
<supportingPropertyBags xmlns="http://schemas.microsoft.com/office/spreadsheetml/2017/richdata2">
  <spbArrays count="1">
    <a count="26">
      <v t="s">%EntityServiceId</v>
      <v t="s">_Format</v>
      <v t="s">%IsRefreshable</v>
      <v t="s">%EntityCulture</v>
      <v t="s">%EntityId</v>
      <v t="s">_Icon</v>
      <v t="s">_Display</v>
      <v t="s">Name</v>
      <v t="s">Price</v>
      <v t="s">Ticker symbol</v>
      <v t="s">_SubLabel</v>
      <v t="s">Change</v>
      <v t="s">Change (%)</v>
      <v t="s">Country/region</v>
      <v t="s">Previous close</v>
      <v t="s">Open</v>
      <v t="s">High</v>
      <v t="s">Low</v>
      <v t="s">52 week high</v>
      <v t="s">52 week low</v>
      <v t="s">Instrument type</v>
      <v t="s">_Flags</v>
      <v t="s">UniqueName</v>
      <v t="s">_DisplayString</v>
      <v t="s">LearnMoreOnLink</v>
      <v t="s">%ProviderInfo</v>
    </a>
  </spbArrays>
  <spbData count="10">
    <spb s="0">
      <v>1</v>
    </spb>
    <spb s="0">
      <v>2</v>
    </spb>
    <spb s="0">
      <v>3</v>
    </spb>
    <spb s="1">
      <v>0</v>
      <v>Name</v>
      <v>LearnMoreOnLink</v>
    </spb>
    <spb s="2">
      <v>0</v>
      <v>0</v>
      <v>0</v>
    </spb>
    <spb s="3">
      <v>4</v>
      <v>4</v>
      <v>4</v>
    </spb>
    <spb s="4">
      <v>2</v>
      <v>2</v>
      <v>4</v>
      <v>2</v>
      <v>2</v>
      <v>2</v>
      <v>5</v>
      <v>2</v>
      <v>2</v>
      <v>2</v>
      <v>6</v>
    </spb>
    <spb s="5">
      <v>from previous close</v>
      <v>from previous close</v>
    </spb>
    <spb s="6">
      <v>2</v>
      <v>1</v>
      <v>2</v>
      <v>2</v>
      <v>2</v>
      <v>3</v>
    </spb>
    <spb s="7">
      <v>2</v>
      <v>1</v>
      <v>2</v>
      <v>2</v>
      <v>2</v>
    </spb>
  </spbData>
</supportingPropertyBags>
</file>

<file path=xl/richData/rdsupportingpropertybagstructure.xml><?xml version="1.0" encoding="utf-8"?>
<spbStructures xmlns="http://schemas.microsoft.com/office/spreadsheetml/2017/richdata2" count="8">
  <s>
    <k n="_Self" t="i"/>
  </s>
  <s>
    <k n="^Order" t="spba"/>
    <k n="TitleProperty" t="s"/>
    <k n="SubTitleProperty" t="s"/>
  </s>
  <s>
    <k n="ShowInCardView" t="b"/>
    <k n="ShowInDotNotation" t="b"/>
    <k n="ShowInAutoComplete" t="b"/>
  </s>
  <s>
    <k n="UniqueName" t="spb"/>
    <k n="`%ProviderInfo" t="spb"/>
    <k n="LearnMoreOnLink" t="spb"/>
  </s>
  <s>
    <k n="Low" t="i"/>
    <k n="High" t="i"/>
    <k n="Name" t="i"/>
    <k n="Open" t="i"/>
    <k n="Price" t="i"/>
    <k n="Change" t="i"/>
    <k n="Change (%)" t="i"/>
    <k n="52 week low" t="i"/>
    <k n="52 week high" t="i"/>
    <k n="Previous close" t="i"/>
    <k n="`%EntityServiceId" t="i"/>
  </s>
  <s>
    <k n="Change" t="s"/>
    <k n="Change (%)" t="s"/>
  </s>
  <s>
    <k n="Low" t="i"/>
    <k n="Date" t="i"/>
    <k n="High" t="i"/>
    <k n="Open" t="i"/>
    <k n="Close" t="i"/>
    <k n="Volume" t="i"/>
  </s>
  <s>
    <k n="Low" t="i"/>
    <k n="Date" t="i"/>
    <k n="High" t="i"/>
    <k n="Open" t="i"/>
    <k n="Clos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5">
    <x:dxf>
      <x:numFmt numFmtId="0" formatCode="General"/>
    </x:dxf>
    <x:dxf>
      <x:numFmt numFmtId="19" formatCode="m/d/yy"/>
    </x:dxf>
    <x:dxf>
      <x:numFmt numFmtId="3" formatCode="#,##0"/>
    </x:dxf>
    <x:dxf>
      <x:numFmt numFmtId="2" formatCode="0.00"/>
    </x:dxf>
    <x:dxf>
      <x:numFmt numFmtId="14" formatCode="0.00%"/>
    </x:dxf>
  </dxfs>
  <richProperties>
    <rPr n="NumberFormat" t="s"/>
    <rPr n="IsTitleField" t="b"/>
  </richProperties>
  <richStyles>
    <rSty dxfid="1"/>
    <rSty dxfid="0">
      <rpv i="0">_([$$-en-US]* #,##0.00_);_([$$-en-US]* (#,##0.00);_([$$-en-US]* "-"??_);_(@_)</rpv>
    </rSty>
    <rSty dxfid="2">
      <rpv i="0">#,##0</rpv>
    </rSty>
    <rSty>
      <rpv i="1">1</rpv>
    </rSty>
    <rSty dxfid="4"/>
    <rSty dxfid="3">
      <rpv i="0">0.00</rpv>
    </rSty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3B21833-0DD4-DB40-9FCA-28EDC4C65B85}">
  <we:reference id="wa200008175" version="1.0.0.0" store="en-US" storeType="OMEX"/>
  <we:alternateReferences>
    <we:reference id="WA200008175" version="1.0.0.0" store="WA200008175" storeType="OMEX"/>
  </we:alternateReferences>
  <we:properties>
    <we:property name="xlwingsSettingsWorkbook" value="&quot;{\&quot;startupBehavior\&quot;:\&quot;taskpane\&quot;,\&quot;workbookMode\&quot;:\&quot;developer\&quot;,\&quot;appModeShowOutput\&quot;:false,\&quot;usePinnedRequirements\&quot;:true,\&quot;pyodideVersion\&quot;:\&quot;314.0.1\&quot;}&quot;"/>
    <we:property name="xlwingsWorkbookId" value="&quot;8db9c956-5a8a-4ca0-b754-2a897dad225f&quot;"/>
    <we:property name="main.py" value="&quot;\&quot;\&quot;\&quot;\nTAMID lognormal returns (xlwings Lite)\n\nSetup (once): paste this whole file into main.py in the xlwings Lite pane of StockDatabase.xlsx,\nand put these lines in the pane's requirements.txt:  xlwings  pandas  numpy  scipy  matplotlib\n\nUse:\n  1. Data sheet: pick the ticker (O1) and timeframe (O4); wait for the price table to refresh.\n  2. Run \&quot;lognormal_current_ticker\&quot;  -&gt;  tab &lt;TICKER&gt;_&lt;TIMEFRAME&gt;_&lt;YYYY-MM-DD&gt; (same-day reruns replace it).\n  3. New workbook: right-click the tab -&gt; Move or Copy -&gt; (new book) -&gt; Save As in output\/\n     using the file name shown in cell A3: Analysis_&lt;TICKER&gt;_&lt;TIMEFRAME&gt;_&lt;YYYY-MM-DD&gt;.xlsx\n\&quot;\&quot;\&quot;\nimport datetime as dt\n\nimport matplotlib.pyplot as plt\nimport numpy as np\nimport pandas as pd\nimport xlwings as xw\nfrom matplotlib.ticker import PercentFormatter\nfrom scipy import stats as st\nfrom xlwings import script\n\nPERIODS_PER_YEAR = {\&quot;DAILY\&quot;: 252, \&quot;WEEKLY\&quot;: 52, \&quot;MONTHLY\&quot;: 12}\nNAVY, BLUE = \&quot;#1F3A5F\&quot;, \&quot;#2f6db5\&quot;\n\n\n# ----------------------------------------------------------------------------- data\ndef read_data_sheet(book):\n    \&quot;\&quot;\&quot;Ticker (O1), timeframe (O4) and the STOCKHISTORY table (A:F) from the Data sheet.\&quot;\&quot;\&quot;\n    sh = book.sheets[\&quot;Data\&quot;]\n    ticker = str(sh[\&quot;O1\&quot;].value).strip().upper()\n    timeframe = str(sh[\&quot;O4\&quot;].value).strip().upper()\n    raw = sh[\&quot;A1\&quot;].expand(\&quot;down\&quot;).resize(column_size=6).options(pd.DataFrame, index=False, header=True).value\n    return ticker, timeframe, raw\n\n\ndef prepare(raw):\n    df = raw.copy()\n    df.columns = [str(c).strip().title() for c in df.columns]\n    if pd.api.types.is_numeric_dtype(df[\&quot;Date\&quot;]):  # Excel serial numbers -&gt; dates\n        df[\&quot;Date\&quot;] = pd.to_datetime(df[\&quot;Date\&quot;], unit=\&quot;D\&quot;, origin=\&quot;1899-12-30\&quot;)\n    df[\&quot;Date\&quot;] = pd.to_datetime(df[\&quot;Date\&quot;], errors=\&quot;coerce\&quot;)\n    df[\&quot;Close\&quot;] = pd.to_numeric(df[\&quot;Close\&quot;], errors=\&quot;coerce\&quot;)\n    df = df.dropna(subset=[\&quot;Date\&quot;, \&quot;Close\&quot;])\n    df = df[df[\&quot;Close\&quot;] &gt; 0].sort_values(\&quot;Date\&quot;).drop_duplicates(\&quot;Date\&quot;).reset_index(drop=True)\n    df[\&quot;LogReturn\&quot;] = np.log(df[\&quot;Close\&quot;] \/ df[\&quot;Close\&quot;].shift(1))\n    df[\&quot;Z\&quot;] = (df[\&quot;LogReturn\&quot;] - df[\&quot;LogReturn\&quot;].mean()) \/ df[\&quot;LogReturn\&quot;].std()\n    return df\n\n\ndef compute(df, ticker, timeframe):\n    r = df[\&quot;LogReturn\&quot;].dropna()\n    ppy = PERIODS_PER_YEAR.get(timeframe, 252)\n    mu, sd = float(r.mean()), float(r.std(ddof=1))\n    skew, kurt = float(st.skew(r, bias=False)), float(st.kurtosis(r, bias=False))\n    n, p0 = int(len(r)), float(df[\&quot;Close\&quot;].iloc[-1])\n    summary = [  # (label, value, Excel number format)\n        (\&quot;Ticker\&quot;, ticker, None),\n        (\&quot;Timeframe\&quot;, timeframe, None),\n        (\&quot;First date\&quot;, df[\&quot;Date\&quot;].iloc[0].to_pydatetime(), \&quot;m\/d\/yyyy\&quot;),\n        (\&quot;Last date\&quot;, df[\&quot;Date\&quot;].iloc[-1].to_pydatetime(), \&quot;m\/d\/yyyy\&quot;),\n        (\&quot;Return observations\&quot;, n, \&quot;#,##0\&quot;),\n        (\&quot;Last close\&quot;, p0, \&quot;$#,##0.00\&quot;),\n        (\&quot;Mean log return (μ)\&quot;, mu, \&quot;0.000%\&quot;),\n        (\&quot;Std. deviation (σ)\&quot;, sd, \&quot;0.00%\&quot;),\n        (\&quot;Annualized drift\&quot;, mu * ppy, \&quot;0.00%\&quot;),\n        (\&quot;Annualized volatility\&quot;, sd * np.sqrt(ppy), \&quot;0.00%\&quot;),\n        (\&quot;Skewness\&quot;, skew, \&quot;0.000\&quot;),\n        (\&quot;Excess kurtosis\&quot;, kurt, \&quot;0.000\&quot;),\n        (\&quot;Jarque-Bera p-value\&quot;, float(st.chi2.sf(n \/ 6 * (skew**2 + kurt**2 \/ 4), 2)), \&quot;0.0000\&quot;),\n    ]\n    bounds = []\n    for k in (1, 2, 3):\n        lo, hi = mu - k * sd, mu + k * sd\n        bounds.append([f\&quot;±{k}σ\&quot;, float(2 * st.norm.cdf(k) - 1), float(np.exp(lo) - 1), float(np.exp(hi) - 1),\n                       float(p0 * np.exp(lo)), float(p0 * np.exp(hi)), float(((r &gt;= lo) &amp; (r &lt;= hi)).mean())])\n    return {\&quot;mu\&quot;: mu, \&quot;sd\&quot;: sd, \&quot;summary\&quot;: summary, \&quot;bounds\&quot;: bounds}\n\n\n# ----------------------------------------------------------------------------- charts\ndef hist_fig(df, mu, sd, ticker, timeframe):\n    r = df[\&quot;LogReturn\&quot;].dropna()\n    fig, ax = plt.subplots(figsize=(7.5, 4))\n    lo, hi = mu - 4.5 * sd, mu + 4.5 * sd\n    ax.hist(r.clip(lo, hi), bins=np.linspace(lo, hi, 60), density=True, color=BLUE, alpha=0.55, edgecolor=\&quot;white\&quot;)\n    x = np.linspace(lo, hi, 300)\n    ax.plot(x, st.norm.pdf(x, mu, sd), color=NAVY, lw=1.6, label=\&quot;Normal fit\&quot;)\n    for k, c in zip((1, 2, 3), (\&quot;#2e9e5b\&quot;, \&quot;#e0a800\&quot;, \&quot;#d64545\&quot;)):\n        ax.axvline(mu - k * sd, color=c, ls=\&quot;--\&quot;, lw=1, label=f\&quot;±{k}σ\&quot;)\n        ax.axvline(mu + k * sd, color=c, ls=\&quot;--\&quot;, lw=1)\n    ax.xaxis.set_major_formatter(PercentFormatter(1.0, decimals=0))\n    ax.set_title(f\&quot;{ticker} {timeframe.lower()} log returns (σ = {sd:.2%})\&quot;, loc=\&quot;left\&quot;)\n    ax.legend(frameon=False, fontsize=8)\n    fig.tight_layout()\n    return fig\n\n\ndef price_fig(df, ticker):\n    fig, ax = plt.subplots(figsize=(7.5, 3))\n    ax.plot(df[\&quot;Date\&quot;], df[\&quot;Close\&quot;], color=BLUE, lw=1.1)\n    ax.set_title(f\&quot;{ticker} close price\&quot;, loc=\&quot;left\&quot;)\n    fig.tight_layout()\n    return fig\n\n\n# ----------------------------------------------------------------------------- sheet\ndef write_analysis_sheet(book, ticker, timeframe, raw):\n    \&quot;\&quot;\&quot;Create\/replace sheet LN_&lt;TICKER&gt;_&lt;TIMEFRAME&gt; with stats, sigma bands, data table and charts.\&quot;\&quot;\&quot;\n    df = prepare(raw)\n    res = compute(df, ticker, timeframe)\n\n    run_date = f\&quot;{dt.date.today():%Y-%m-%d}\&quot;\n    name = f\&quot;{ticker}_{timeframe}_{run_date}\&quot;[:31]  # Excel tab names max 31 characters\n    if name in [s.name for s in book.sheets]:\n        book.sheets[name].delete()\n    sh = book.sheets.add(name)\n\n    sh[\&quot;A1\&quot;].value = f\&quot;{ticker}: lognormal return distribution ({timeframe.lower()})\&quot;\n    sh[\&quot;A1\&quot;].font.bold = True\n    sh[\&quot;A1\&quot;].font.size = 14\n    sh[\&quot;A2\&quot;].value = f\&quot;Generated {dt.datetime.now():%Y-%m-%d %H:%M} by xlwings Lite from the Data sheet\&quot;\n    sh[\&quot;A3\&quot;].value = f\&quot;File name: Analysis_{ticker}_{timeframe}_{run_date}.xlsx\&quot;\n\n    # Statistics (A4:B17), formats applied row by row\n    sh[\&quot;A4\&quot;].value = [[\&quot;Statistic\&quot;, \&quot;Value\&quot;]] + [[label, value] for label, value, _ in res[\&quot;summary\&quot;]]\n    sh[\&quot;A4:B4\&quot;].font.bold = True\n    for i, (_, _, fmt) in enumerate(res[\&quot;summary\&quot;]):\n        if fmt:\n            sh[f\&quot;B{5 + i}\&quot;].number_format = fmt\n\n    # Sigma bands (A19:G22)\n    sh[\&quot;A19\&quot;].value = [[\&quot;Band\&quot;, \&quot;Normal confidence\&quot;, \&quot;Lower % move\&quot;, \&quot;Upper % move\&quot;, \&quot;Lower price\&quot;,\n                        \&quot;Upper price\&quot;, \&quot;Empirical coverage\&quot;]] + res[\&quot;bounds\&quot;]\n    sh[\&quot;A19:G19\&quot;].font.bold = True\n    sh[\&quot;B20:D22\&quot;].number_format = \&quot;0.00%\&quot;\n    sh[\&quot;E20:F22\&quot;].number_format = \&quot;$#,##0.00\&quot;\n    sh[\&quot;G20:G22\&quot;].number_format = \&quot;0.00%\&quot;\n\n    # Data table (I:L)\n    rows = [[\&quot;Date\&quot;, \&quot;Close\&quot;, \&quot;Log Return\&quot;, \&quot;Z-Score\&quot;]] + [\n        [d.to_pydatetime(), float(c), None if pd.isna(lr) else float(lr), None if pd.isna(z) else float(z)]\n        for d, c, lr, z in df[[\&quot;Date\&quot;, \&quot;Close\&quot;, \&quot;LogReturn\&quot;, \&quot;Z\&quot;]].itertuples(index=False)]\n    sh[\&quot;I1\&quot;].value = rows\n    last = len(rows)\n    sh[\&quot;I1:L1\&quot;].font.bold = True\n    sh[f\&quot;I2:I{last}\&quot;].number_format = \&quot;m\/d\/yy\&quot;\n    sh[f\&quot;J2:J{last}\&quot;].number_format = \&quot;$#,##0.00\&quot;\n    sh[f\&quot;K2:K{last}\&quot;].number_format = \&quot;0.00%\&quot;\n    sh[f\&quot;L2:L{last}\&quot;].number_format = \&quot;0.00\&quot;\n\n    for fig, pic, cell in ((hist_fig(df, res[\&quot;mu\&quot;], res[\&quot;sd\&quot;], ticker, timeframe), \&quot;Distribution\&quot;, \&quot;A25\&quot;),\n                           (price_fig(df, ticker), \&quot;Price\&quot;, \&quot;A50\&quot;)):\n        sh.pictures.add(fig, name=pic, update=True, anchor=sh[cell])\n        plt.close(fig)\n    return sh\n\n\n# ----------------------------------------------------------------------------- entry point\n@script\ndef lognormal_current_ticker(book: xw.Book):\n    ticker, timeframe, raw = read_data_sheet(book)\n    sh = write_analysis_sheet(book, ticker, timeframe, raw)\n    sh.activate()\n&quot;"/>
    <we:property name="requirements.txt" value="&quot;pandas\nnumpy\nscipy\nmatplotlib\nxlwings\nseaborn&quot;"/>
    <we:property name="pyproject.toml" value="&quot;# RESTART AFTER MAKING CHANGES\n\n# Ruff: linter &amp; code formatter\n[tool.ruff]\nfix = true\npreview = true\n\n# Ty: type checker &amp; language server\n[tool.ty.rules]\n&quot;"/>
    <we:property name="requirements-pinned.txt" value="&quot;# Generated by xlwings Lite\n# source sha256: 04ff96e3d2256c2a0126ad5660677b9f5314fdbb067dd3bc6d10688ecaf1f842\ncontourpy==1.3.3\ncycler==0.12.1\nfonttools==4.62.1\nkiwisolver==1.5.0\nmatplotlib==3.10.8\nnumpy==2.4.3\npandas==3.0.2\npillow==12.2.0\npyparsing==3.3.2\npython-dateutil==2.9.0.post0\npytz==2026.1.post1\nscipy==1.17.1\nseaborn==0.13.2\nsix==1.17.0\nxlwings==0.37.3\n&quot;"/>
    <we:property name="sample.nb.py" value="&quot;# %% Imports\nimport pandas as pd\nimport seaborn as sns\nimport xlwings as xw\n\n# %% Get the book object (Async API)\nbook = await xw.books.get_active()\n\n# %% Load the penguins dataset\nurl = \&quot;https:\/\/raw.githubusercontent.com\/mwaskom\/seaborn-data\/master\/penguins.csv\&quot;\ndf = pd.read_csv(url)\ndf\n\n# %% Write df to a new sheet\nsheet = book.sheets.add()\nsheet[\&quot;A1\&quot;].value = df.dropna()\nsheet.activate()\n\n# %% Read back from Excel (Async API)\ndata = await sheet[\&quot;A1\&quot;].options(pd.DataFrame, expand=\&quot;table\&quot;).get_value()\ndata\n\n# %% Plot\nsns.jointplot(data=data, x=\&quot;flipper_length_mm\&quot;, y=\&quot;bill_length_mm\&quot;, hue=\&quot;species\&quot;)\n\n# %%\n&quot;"/>
    <we:property name="xlwings-files" value="&quot;{\&quot;version\&quot;:1,\&quot;order\&quot;:[\&quot;main.py\&quot;,\&quot;requirements.txt\&quot;,\&quot;pyproject.toml\&quot;,\&quot;requirements-pinned.txt\&quot;,\&quot;sample.nb.py\&quot;],\&quot;userFiles\&quot;:[\&quot;sample.nb.py\&quot;],\&quot;open\&quot;:[\&quot;main.py\&quot;,\&quot;sample.nb.py\&quot;,\&quot;requirements.txt\&quot;],\&quot;active\&quot;:\&quot;main.py\&quot;}&quot;"/>
    <we:property name="addinVersion" value="&quot;1.0.0.104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_xldudf_WINGMAN</we:customFunctionIds>
        <we:customFunctionIds>_xldudf_HELLO</we:customFunctionIds>
        <we:customFunctionIds>_xldudf_STANDARD_NORMAL</we:customFunctionIds>
        <we:customFunctionIds>_xldudf_CORREL2</we:customFunctionIds>
        <we:customFunctionIds>_xldudf_HEATMAP</we:customFunctionIds>
        <we:customFunctionIds>_xldudf_STREAMING_RANDOM</we:customFunctionIds>
        <we:customFunctionIds>_xldudf_GET_DF</we:customFunctionIds>
        <we:customFunctionIds>_xldudf_DF_QUERY</we:customFunctionIds>
      </we:customFunctionIdList>
    </a:ext>
    <a:ext xmlns:a="http://schemas.openxmlformats.org/drawingml/2006/main" uri="{0858819E-0033-43BF-8937-05EC82904868}">
      <we:backgroundApp state="1" runtimeId="Taskpane.Url"/>
    </a:ext>
  </we:extLst>
</we:webextension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5E3C8-91DE-49B1-9477-1D84AB11211D}">
  <dimension ref="A1:AH1427"/>
  <sheetViews>
    <sheetView tabSelected="1" topLeftCell="M1" zoomScaleNormal="100" workbookViewId="0">
      <selection activeCell="O11" sqref="O11"/>
    </sheetView>
  </sheetViews>
  <sheetFormatPr baseColWidth="10" defaultColWidth="8.83203125" defaultRowHeight="15" x14ac:dyDescent="0.2"/>
  <cols>
    <col min="1" max="1" width="11.33203125" bestFit="1" customWidth="1"/>
    <col min="6" max="6" width="15.33203125" bestFit="1" customWidth="1"/>
    <col min="12" max="12" width="11.83203125" bestFit="1" customWidth="1"/>
    <col min="13" max="13" width="12.5" bestFit="1" customWidth="1"/>
    <col min="15" max="15" width="29.5" bestFit="1" customWidth="1"/>
    <col min="18" max="18" width="15.1640625" bestFit="1" customWidth="1"/>
    <col min="19" max="21" width="9.1640625" customWidth="1"/>
    <col min="22" max="22" width="10.5" bestFit="1" customWidth="1"/>
    <col min="34" max="34" width="10.5" bestFit="1" customWidth="1"/>
  </cols>
  <sheetData>
    <row r="1" spans="1:34" x14ac:dyDescent="0.2">
      <c r="A1" t="str" cm="1">
        <f t="array" aca="1" ref="A1:F1260" ca="1">_xlfn.STOCKHISTORY(O1,O2,O3,VLOOKUP(O4,R1:S3,2,FALSE),1,0,2,3,4,1,5)</f>
        <v>Date</v>
      </c>
      <c r="B1" t="str">
        <f ca="1"/>
        <v>Open</v>
      </c>
      <c r="C1" t="str">
        <f ca="1"/>
        <v>High</v>
      </c>
      <c r="D1" t="str">
        <f ca="1"/>
        <v>Low</v>
      </c>
      <c r="E1" t="str">
        <f ca="1"/>
        <v>Close</v>
      </c>
      <c r="F1" t="str">
        <f ca="1"/>
        <v>Volume</v>
      </c>
      <c r="O1" s="3" t="s">
        <v>27</v>
      </c>
      <c r="R1" t="s">
        <v>1</v>
      </c>
      <c r="S1">
        <v>0</v>
      </c>
      <c r="T1">
        <v>-61</v>
      </c>
    </row>
    <row r="2" spans="1:34" x14ac:dyDescent="0.2">
      <c r="A2" s="1" vm="1">
        <f ca="1"/>
        <v>44439</v>
      </c>
      <c r="B2" s="2" vm="2">
        <f ca="1"/>
        <v>89.45</v>
      </c>
      <c r="C2" s="2" vm="3">
        <f ca="1"/>
        <v>89.5</v>
      </c>
      <c r="D2" s="2" vm="4">
        <f ca="1"/>
        <v>88.49</v>
      </c>
      <c r="E2" s="2" vm="5">
        <f ca="1"/>
        <v>89.13</v>
      </c>
      <c r="F2" vm="6">
        <f ca="1"/>
        <v>8113258</v>
      </c>
      <c r="H2" s="18"/>
      <c r="O2" s="4">
        <f ca="1">EOMONTH(O3,VLOOKUP(O4,R1:T3,3,FALSE))</f>
        <v>44439</v>
      </c>
      <c r="R2" t="s">
        <v>0</v>
      </c>
      <c r="S2">
        <v>1</v>
      </c>
      <c r="T2">
        <v>-121</v>
      </c>
      <c r="V2" s="1">
        <f ca="1">EOMONTH(O3,VLOOKUP(O4,R1:T3,3,FALSE))</f>
        <v>44439</v>
      </c>
    </row>
    <row r="3" spans="1:34" x14ac:dyDescent="0.2">
      <c r="A3" s="1" vm="7">
        <f ca="1"/>
        <v>44440</v>
      </c>
      <c r="B3" s="2" vm="8">
        <f ca="1"/>
        <v>89.26</v>
      </c>
      <c r="C3" s="2" vm="9">
        <f ca="1"/>
        <v>90.17</v>
      </c>
      <c r="D3" s="2" vm="10">
        <f ca="1"/>
        <v>88.87</v>
      </c>
      <c r="E3" s="2" vm="11">
        <f ca="1"/>
        <v>89.95</v>
      </c>
      <c r="F3" vm="12">
        <f ca="1"/>
        <v>8208004</v>
      </c>
      <c r="O3" s="5">
        <f ca="1">TODAY()</f>
        <v>46279</v>
      </c>
      <c r="R3" t="s">
        <v>2</v>
      </c>
      <c r="S3">
        <v>2</v>
      </c>
      <c r="T3">
        <v>-241</v>
      </c>
    </row>
    <row r="4" spans="1:34" ht="16" thickBot="1" x14ac:dyDescent="0.25">
      <c r="A4" s="1" vm="13">
        <f ca="1"/>
        <v>44441</v>
      </c>
      <c r="B4" s="2" vm="9">
        <f ca="1"/>
        <v>90.17</v>
      </c>
      <c r="C4" s="2" vm="14">
        <f ca="1"/>
        <v>90.5</v>
      </c>
      <c r="D4" s="2" vm="15">
        <f ca="1"/>
        <v>89.41</v>
      </c>
      <c r="E4" s="2" vm="16">
        <f ca="1"/>
        <v>89.8</v>
      </c>
      <c r="F4" vm="17">
        <f ca="1"/>
        <v>7717680</v>
      </c>
      <c r="O4" s="6" t="s">
        <v>1</v>
      </c>
    </row>
    <row r="5" spans="1:34" x14ac:dyDescent="0.2">
      <c r="A5" s="1" vm="18">
        <f ca="1"/>
        <v>44442</v>
      </c>
      <c r="B5" s="2" vm="19">
        <f ca="1"/>
        <v>89.34</v>
      </c>
      <c r="C5" s="2" vm="20">
        <f ca="1"/>
        <v>90.475700000000003</v>
      </c>
      <c r="D5" s="2" vm="21">
        <f ca="1"/>
        <v>89.3</v>
      </c>
      <c r="E5" s="2" vm="22">
        <f ca="1"/>
        <v>90</v>
      </c>
      <c r="F5" vm="23">
        <f ca="1"/>
        <v>8457134</v>
      </c>
      <c r="R5" t="s">
        <v>25</v>
      </c>
      <c r="S5" s="2"/>
    </row>
    <row r="6" spans="1:34" x14ac:dyDescent="0.2">
      <c r="A6" s="1" vm="24">
        <f ca="1"/>
        <v>44446</v>
      </c>
      <c r="B6" s="2" vm="25">
        <f ca="1"/>
        <v>90.04</v>
      </c>
      <c r="C6" s="2" vm="26">
        <f ca="1"/>
        <v>90.67</v>
      </c>
      <c r="D6" s="2" vm="27">
        <f ca="1"/>
        <v>88.54</v>
      </c>
      <c r="E6" s="2" vm="28">
        <f ca="1"/>
        <v>88.72</v>
      </c>
      <c r="F6" vm="29">
        <f ca="1"/>
        <v>11046158</v>
      </c>
      <c r="AH6" s="1"/>
    </row>
    <row r="7" spans="1:34" x14ac:dyDescent="0.2">
      <c r="A7" s="1" vm="30">
        <f ca="1"/>
        <v>44447</v>
      </c>
      <c r="B7" s="2" vm="31">
        <f ca="1"/>
        <v>88.14</v>
      </c>
      <c r="C7" s="2" vm="32">
        <f ca="1"/>
        <v>89.6</v>
      </c>
      <c r="D7" s="2" vm="33">
        <f ca="1"/>
        <v>87.97</v>
      </c>
      <c r="E7" s="2" vm="34">
        <f ca="1"/>
        <v>89.47</v>
      </c>
      <c r="F7" vm="35">
        <f ca="1"/>
        <v>8851215</v>
      </c>
      <c r="R7" t="s">
        <v>17</v>
      </c>
      <c r="S7" s="28" cm="1">
        <f t="array" aca="1" ref="S7" ca="1">IF(COUNTA($E$2:$E$241)&lt;200,"",_xlfn.LET(_xlpm.n,200,_xlpm.k,2/(_xlpm.n+1),_xlpm.data,INDEX($E$2:$E$241,COUNTA($E$2:$E$241)-_xlpm.n+1):INDEX($E$2:$E$241,COUNTA($E$2:$E$241)),_xlpm.seed,AVERAGE(INDEX($E$2:$E$241,COUNTA($E$2:$E$241)-_xlpm.n+1):INDEX($E$2:$E$241,COUNTA($E$2:$E$241)-_xlpm.n+1+_xlpm.n-1)),_xlfn.REDUCE(_xlpm.seed,_xlpm.data,_xlfn.LAMBDA(_xlpm.acc,_xlpm.val,_xlpm.acc*(1-_xlpm.k)+_xlpm.val*_xlpm.k))))</f>
        <v>77.23313431499281</v>
      </c>
    </row>
    <row r="8" spans="1:34" x14ac:dyDescent="0.2">
      <c r="A8" s="1" vm="36">
        <f ca="1"/>
        <v>44448</v>
      </c>
      <c r="B8" s="2" vm="32">
        <f ca="1"/>
        <v>89.6</v>
      </c>
      <c r="C8" s="2" vm="37">
        <f ca="1"/>
        <v>90.83</v>
      </c>
      <c r="D8" s="2" vm="15">
        <f ca="1"/>
        <v>89.41</v>
      </c>
      <c r="E8" s="2" vm="38">
        <f ca="1"/>
        <v>89.54</v>
      </c>
      <c r="F8" vm="39">
        <f ca="1"/>
        <v>11034731</v>
      </c>
      <c r="R8" t="s">
        <v>18</v>
      </c>
      <c r="S8" s="27">
        <f ca="1">IF(COUNTA($E$2:$E$241)&lt;200,"",AVERAGE(INDEX($E$2:$E$241,COUNTA($E$2:$E$241)-199):INDEX($E$2:$E$241,COUNTA($E$2:$E$241))))</f>
        <v>80.450800000000015</v>
      </c>
    </row>
    <row r="9" spans="1:34" x14ac:dyDescent="0.2">
      <c r="A9" s="1" vm="40">
        <f ca="1"/>
        <v>44449</v>
      </c>
      <c r="B9" s="2" vm="41">
        <f ca="1"/>
        <v>89.65</v>
      </c>
      <c r="C9" s="2" vm="42">
        <f ca="1"/>
        <v>90.55</v>
      </c>
      <c r="D9" s="2" vm="43">
        <f ca="1"/>
        <v>89.51</v>
      </c>
      <c r="E9" s="2" vm="44">
        <f ca="1"/>
        <v>89.68</v>
      </c>
      <c r="F9" vm="45">
        <f ca="1"/>
        <v>10547389</v>
      </c>
      <c r="O9" s="2"/>
      <c r="R9" t="s">
        <v>19</v>
      </c>
      <c r="S9" s="28" cm="1">
        <f t="array" aca="1" ref="S9" ca="1">IF(COUNTA($E$2:$E$241)&lt;100,"",_xlfn.LET(_xlpm.n,100,_xlpm.k,2/(_xlpm.n+1),_xlpm.data,INDEX($E$2:$E$241,COUNTA($E$2:$E$241)-_xlpm.n+1):INDEX($E$2:$E$241,COUNTA($E$2:$E$241)),_xlpm.seed,AVERAGE(INDEX($E$2:$E$241,COUNTA($E$2:$E$241)-_xlpm.n+1):INDEX($E$2:$E$241,COUNTA($E$2:$E$241)-_xlpm.n+1+_xlpm.n-1)),_xlfn.REDUCE(_xlpm.seed,_xlpm.data,_xlfn.LAMBDA(_xlpm.acc,_xlpm.val,_xlpm.acc*(1-_xlpm.k)+_xlpm.val*_xlpm.k))))</f>
        <v>73.71527829712133</v>
      </c>
    </row>
    <row r="10" spans="1:34" x14ac:dyDescent="0.2">
      <c r="A10" s="1" vm="46">
        <f ca="1"/>
        <v>44452</v>
      </c>
      <c r="B10" s="2" vm="47">
        <f ca="1"/>
        <v>90.12</v>
      </c>
      <c r="C10" s="2" vm="48">
        <f ca="1"/>
        <v>90.51</v>
      </c>
      <c r="D10" s="2" vm="49">
        <f ca="1"/>
        <v>88.23</v>
      </c>
      <c r="E10" s="2" vm="50">
        <f ca="1"/>
        <v>88.89</v>
      </c>
      <c r="F10" vm="51">
        <f ca="1"/>
        <v>18883408</v>
      </c>
      <c r="M10" s="7"/>
      <c r="O10" s="2"/>
      <c r="R10" t="s">
        <v>20</v>
      </c>
      <c r="S10" s="27">
        <f ca="1">IF(COUNTA($E$2:$E$241)&lt;100,"",AVERAGE(INDEX($E$2:$E$241,COUNTA($E$2:$E$241)-99):INDEX($E$2:$E$241,COUNTA($E$2:$E$241))))</f>
        <v>74.261899999999983</v>
      </c>
    </row>
    <row r="11" spans="1:34" x14ac:dyDescent="0.2">
      <c r="A11" s="1" vm="52">
        <f ca="1"/>
        <v>44453</v>
      </c>
      <c r="B11" s="2" vm="53">
        <f ca="1"/>
        <v>86.19</v>
      </c>
      <c r="C11" s="2" vm="54">
        <f ca="1"/>
        <v>86.95</v>
      </c>
      <c r="D11" s="2" vm="55">
        <f ca="1"/>
        <v>84.73</v>
      </c>
      <c r="E11" s="2" vm="56">
        <f ca="1"/>
        <v>86.39</v>
      </c>
      <c r="F11" vm="57">
        <f ca="1"/>
        <v>22714211</v>
      </c>
      <c r="K11" s="23"/>
      <c r="M11" s="7"/>
      <c r="R11" t="s">
        <v>21</v>
      </c>
      <c r="S11" s="28" cm="1">
        <f t="array" aca="1" ref="S11" ca="1">IF(COUNTA($E$2:$E$241)&lt;50,"",_xlfn.LET(_xlpm.n,50,_xlpm.k,2/(_xlpm.n+1),_xlpm.data,INDEX($E$2:$E$241,COUNTA($E$2:$E$241)-_xlpm.n+1):INDEX($E$2:$E$241,COUNTA($E$2:$E$241)),_xlpm.seed,AVERAGE(INDEX($E$2:$E$241,COUNTA($E$2:$E$241)-_xlpm.n+1):INDEX($E$2:$E$241,COUNTA($E$2:$E$241)-_xlpm.n+1+_xlpm.n-1)),_xlfn.REDUCE(_xlpm.seed,_xlpm.data,_xlfn.LAMBDA(_xlpm.acc,_xlpm.val,_xlpm.acc*(1-_xlpm.k)+_xlpm.val*_xlpm.k))))</f>
        <v>73.793863806576681</v>
      </c>
    </row>
    <row r="12" spans="1:34" x14ac:dyDescent="0.2">
      <c r="A12" s="1" vm="58">
        <f ca="1"/>
        <v>44454</v>
      </c>
      <c r="B12" s="2" vm="59">
        <f ca="1"/>
        <v>86.55</v>
      </c>
      <c r="C12" s="2" vm="60">
        <f ca="1"/>
        <v>88.36</v>
      </c>
      <c r="D12" s="2" vm="61">
        <f ca="1"/>
        <v>86.17</v>
      </c>
      <c r="E12" s="2" vm="62">
        <f ca="1"/>
        <v>87.73</v>
      </c>
      <c r="F12" vm="63">
        <f ca="1"/>
        <v>14951102</v>
      </c>
      <c r="O12" s="2"/>
      <c r="R12" t="s">
        <v>22</v>
      </c>
      <c r="S12" s="27">
        <f ca="1">IF(COUNTA($E$2:$E$241)&lt;50,"",AVERAGE(INDEX($E$2:$E$241,COUNTA($E$2:$E$241)-49):INDEX($E$2:$E$241,COUNTA($E$2:$E$241))))</f>
        <v>72.3476</v>
      </c>
    </row>
    <row r="13" spans="1:34" x14ac:dyDescent="0.2">
      <c r="A13" s="1" vm="64">
        <f ca="1"/>
        <v>44455</v>
      </c>
      <c r="B13" s="2" vm="65">
        <f ca="1"/>
        <v>87.67</v>
      </c>
      <c r="C13" s="2" vm="33">
        <f ca="1"/>
        <v>87.97</v>
      </c>
      <c r="D13" s="2" vm="53">
        <f ca="1"/>
        <v>86.19</v>
      </c>
      <c r="E13" s="2" vm="66">
        <f ca="1"/>
        <v>87.25</v>
      </c>
      <c r="F13" vm="67">
        <f ca="1"/>
        <v>12410530</v>
      </c>
      <c r="P13" s="2"/>
      <c r="R13" t="s">
        <v>23</v>
      </c>
      <c r="S13" s="28" cm="1">
        <f t="array" aca="1" ref="S13" ca="1">IF(COUNTA($E$2:$E$241)&lt;9,"",_xlfn.LET(_xlpm.n,9,_xlpm.k,2/(_xlpm.n+1),_xlpm.data,INDEX($E$2:$E$241,COUNTA($E$2:$E$241)-_xlpm.n+1):INDEX($E$2:$E$241,COUNTA($E$2:$E$241)),_xlpm.seed,AVERAGE(INDEX($E$2:$E$241,COUNTA($E$2:$E$241)-_xlpm.n+1):INDEX($E$2:$E$241,COUNTA($E$2:$E$241)-_xlpm.n+1+_xlpm.n-1)),_xlfn.REDUCE(_xlpm.seed,_xlpm.data,_xlfn.LAMBDA(_xlpm.acc,_xlpm.val,_xlpm.acc*(1-_xlpm.k)+_xlpm.val*_xlpm.k))))</f>
        <v>77.533545551075562</v>
      </c>
    </row>
    <row r="14" spans="1:34" x14ac:dyDescent="0.2">
      <c r="A14" s="1" vm="68">
        <f ca="1"/>
        <v>44456</v>
      </c>
      <c r="B14" s="2" vm="69">
        <f ca="1"/>
        <v>86.204999999999998</v>
      </c>
      <c r="C14" s="2" vm="70">
        <f ca="1"/>
        <v>87.57</v>
      </c>
      <c r="D14" s="2" vm="71">
        <f ca="1"/>
        <v>85.95</v>
      </c>
      <c r="E14" s="2" vm="56">
        <f ca="1"/>
        <v>86.39</v>
      </c>
      <c r="F14" vm="72">
        <f ca="1"/>
        <v>58069781</v>
      </c>
      <c r="L14" s="17"/>
      <c r="P14" s="2"/>
      <c r="R14" t="s">
        <v>24</v>
      </c>
      <c r="S14" s="27">
        <f ca="1">IF(COUNTA($E$2:$E$241)&lt;9,"",AVERAGE(INDEX($E$2:$E$241,COUNTA($E$2:$E$241)-8):INDEX($E$2:$E$241,COUNTA($E$2:$E$241))))</f>
        <v>77.284444444444432</v>
      </c>
    </row>
    <row r="15" spans="1:34" x14ac:dyDescent="0.2">
      <c r="A15" s="1" vm="73">
        <f ca="1"/>
        <v>44459</v>
      </c>
      <c r="B15" s="2" vm="74">
        <f ca="1"/>
        <v>85.03</v>
      </c>
      <c r="C15" s="2" vm="75">
        <f ca="1"/>
        <v>87.41</v>
      </c>
      <c r="D15" s="2" vm="76">
        <f ca="1"/>
        <v>84.93</v>
      </c>
      <c r="E15" s="2" vm="61">
        <f ca="1"/>
        <v>86.17</v>
      </c>
      <c r="F15" vm="77">
        <f ca="1"/>
        <v>13897724</v>
      </c>
      <c r="P15" s="2"/>
    </row>
    <row r="16" spans="1:34" x14ac:dyDescent="0.2">
      <c r="A16" s="1" vm="78">
        <f ca="1"/>
        <v>44460</v>
      </c>
      <c r="B16" s="2" vm="79">
        <f ca="1"/>
        <v>86.74</v>
      </c>
      <c r="C16" s="2" vm="80">
        <f ca="1"/>
        <v>87.66</v>
      </c>
      <c r="D16" s="2" vm="81">
        <f ca="1"/>
        <v>86.12</v>
      </c>
      <c r="E16" s="2" vm="82">
        <f ca="1"/>
        <v>86.92</v>
      </c>
      <c r="F16" vm="83">
        <f ca="1"/>
        <v>11124697</v>
      </c>
      <c r="P16" s="2"/>
    </row>
    <row r="17" spans="1:16" x14ac:dyDescent="0.2">
      <c r="A17" s="1" vm="84">
        <f ca="1"/>
        <v>44461</v>
      </c>
      <c r="B17" s="2" vm="85">
        <f ca="1"/>
        <v>87.614999999999995</v>
      </c>
      <c r="C17" s="2" vm="86">
        <f ca="1"/>
        <v>89</v>
      </c>
      <c r="D17" s="2" vm="87">
        <f ca="1"/>
        <v>87.24</v>
      </c>
      <c r="E17" s="2" vm="88">
        <f ca="1"/>
        <v>88.44</v>
      </c>
      <c r="F17" vm="89">
        <f ca="1"/>
        <v>9908007</v>
      </c>
      <c r="P17" s="2"/>
    </row>
    <row r="18" spans="1:16" x14ac:dyDescent="0.2">
      <c r="A18" s="1" vm="90">
        <f ca="1"/>
        <v>44462</v>
      </c>
      <c r="B18" s="2" vm="91">
        <f ca="1"/>
        <v>88.94</v>
      </c>
      <c r="C18" s="2" vm="92">
        <f ca="1"/>
        <v>90.06</v>
      </c>
      <c r="D18" s="2" vm="93">
        <f ca="1"/>
        <v>88.66</v>
      </c>
      <c r="E18" s="2" vm="94">
        <f ca="1"/>
        <v>89.42</v>
      </c>
      <c r="F18" vm="95">
        <f ca="1"/>
        <v>9720231</v>
      </c>
      <c r="P18" s="2"/>
    </row>
    <row r="19" spans="1:16" x14ac:dyDescent="0.2">
      <c r="A19" s="1" vm="96">
        <f ca="1"/>
        <v>44463</v>
      </c>
      <c r="B19" s="2" vm="97">
        <f ca="1"/>
        <v>89.27</v>
      </c>
      <c r="C19" s="2" vm="92">
        <f ca="1"/>
        <v>90.06</v>
      </c>
      <c r="D19" s="2" vm="91">
        <f ca="1"/>
        <v>88.94</v>
      </c>
      <c r="E19" s="2" vm="98">
        <f ca="1"/>
        <v>89.94</v>
      </c>
      <c r="F19" vm="99">
        <f ca="1"/>
        <v>7617784</v>
      </c>
      <c r="P19" s="2"/>
    </row>
    <row r="20" spans="1:16" x14ac:dyDescent="0.2">
      <c r="A20" s="1" vm="100">
        <f ca="1"/>
        <v>44466</v>
      </c>
      <c r="B20" s="2" vm="101">
        <f ca="1"/>
        <v>89.78</v>
      </c>
      <c r="C20" s="2" vm="102">
        <f ca="1"/>
        <v>91.305000000000007</v>
      </c>
      <c r="D20" s="2" vm="103">
        <f ca="1"/>
        <v>89.15</v>
      </c>
      <c r="E20" s="2" vm="104">
        <f ca="1"/>
        <v>91.04</v>
      </c>
      <c r="F20" vm="105">
        <f ca="1"/>
        <v>11532971</v>
      </c>
    </row>
    <row r="21" spans="1:16" x14ac:dyDescent="0.2">
      <c r="A21" s="1" vm="106">
        <f ca="1"/>
        <v>44467</v>
      </c>
      <c r="B21" s="2" vm="107">
        <f ca="1"/>
        <v>90.64</v>
      </c>
      <c r="C21" s="2" vm="108">
        <f ca="1"/>
        <v>92.27</v>
      </c>
      <c r="D21" s="2" vm="109">
        <f ca="1"/>
        <v>90.051400000000001</v>
      </c>
      <c r="E21" s="2" vm="110">
        <f ca="1"/>
        <v>90.49</v>
      </c>
      <c r="F21" vm="111">
        <f ca="1"/>
        <v>15041761</v>
      </c>
    </row>
    <row r="22" spans="1:16" x14ac:dyDescent="0.2">
      <c r="A22" s="1" vm="112">
        <f ca="1"/>
        <v>44468</v>
      </c>
      <c r="B22" s="2" vm="113">
        <f ca="1"/>
        <v>91.15</v>
      </c>
      <c r="C22" s="2" vm="114">
        <f ca="1"/>
        <v>92.08</v>
      </c>
      <c r="D22" s="2" vm="115">
        <f ca="1"/>
        <v>91</v>
      </c>
      <c r="E22" s="2" vm="116">
        <f ca="1"/>
        <v>91.25</v>
      </c>
      <c r="F22" vm="117">
        <f ca="1"/>
        <v>12007329</v>
      </c>
    </row>
    <row r="23" spans="1:16" x14ac:dyDescent="0.2">
      <c r="A23" s="1" vm="118">
        <f ca="1"/>
        <v>44469</v>
      </c>
      <c r="B23" s="2" vm="116">
        <f ca="1"/>
        <v>91.25</v>
      </c>
      <c r="C23" s="2" vm="119">
        <f ca="1"/>
        <v>91.58</v>
      </c>
      <c r="D23" s="2" vm="120">
        <f ca="1"/>
        <v>87.12</v>
      </c>
      <c r="E23" s="2" vm="121">
        <f ca="1"/>
        <v>87.13</v>
      </c>
      <c r="F23" vm="122">
        <f ca="1"/>
        <v>15651919</v>
      </c>
    </row>
    <row r="24" spans="1:16" x14ac:dyDescent="0.2">
      <c r="A24" s="1" vm="123">
        <f ca="1"/>
        <v>44470</v>
      </c>
      <c r="B24" s="2" vm="124">
        <f ca="1"/>
        <v>87.76</v>
      </c>
      <c r="C24" s="2" vm="125">
        <f ca="1"/>
        <v>90.265000000000001</v>
      </c>
      <c r="D24" s="2" vm="126">
        <f ca="1"/>
        <v>87.594999999999999</v>
      </c>
      <c r="E24" s="2" vm="127">
        <f ca="1"/>
        <v>89.74</v>
      </c>
      <c r="F24" vm="128">
        <f ca="1"/>
        <v>13320918</v>
      </c>
    </row>
    <row r="25" spans="1:16" x14ac:dyDescent="0.2">
      <c r="A25" s="1" vm="129">
        <f ca="1"/>
        <v>44473</v>
      </c>
      <c r="B25" s="2" vm="130">
        <f ca="1"/>
        <v>89.48</v>
      </c>
      <c r="C25" s="2" vm="131">
        <f ca="1"/>
        <v>90.433599999999998</v>
      </c>
      <c r="D25" s="2" vm="132">
        <f ca="1"/>
        <v>88.96</v>
      </c>
      <c r="E25" s="2" vm="8">
        <f ca="1"/>
        <v>89.26</v>
      </c>
      <c r="F25" vm="133">
        <f ca="1"/>
        <v>10853862</v>
      </c>
    </row>
    <row r="26" spans="1:16" x14ac:dyDescent="0.2">
      <c r="A26" s="1" vm="134">
        <f ca="1"/>
        <v>44474</v>
      </c>
      <c r="B26" s="2" vm="135">
        <f ca="1"/>
        <v>89.35</v>
      </c>
      <c r="C26" s="2" vm="136">
        <f ca="1"/>
        <v>91.97</v>
      </c>
      <c r="D26" s="2" vm="137">
        <f ca="1"/>
        <v>89.168199999999999</v>
      </c>
      <c r="E26" s="2" vm="138">
        <f ca="1"/>
        <v>91.49</v>
      </c>
      <c r="F26" vm="139">
        <f ca="1"/>
        <v>9788585</v>
      </c>
    </row>
    <row r="27" spans="1:16" x14ac:dyDescent="0.2">
      <c r="A27" s="1" vm="140">
        <f ca="1"/>
        <v>44475</v>
      </c>
      <c r="B27" s="2" vm="141">
        <f ca="1"/>
        <v>90.42</v>
      </c>
      <c r="C27" s="2" vm="142">
        <f ca="1"/>
        <v>91.5</v>
      </c>
      <c r="D27" s="2" vm="41">
        <f ca="1"/>
        <v>89.65</v>
      </c>
      <c r="E27" s="2" vm="143">
        <f ca="1"/>
        <v>91.34</v>
      </c>
      <c r="F27" vm="144">
        <f ca="1"/>
        <v>10268251</v>
      </c>
    </row>
    <row r="28" spans="1:16" x14ac:dyDescent="0.2">
      <c r="A28" s="1" vm="145">
        <f ca="1"/>
        <v>44476</v>
      </c>
      <c r="B28" s="2" vm="146">
        <f ca="1"/>
        <v>91.71</v>
      </c>
      <c r="C28" s="2" vm="147">
        <f ca="1"/>
        <v>92.88</v>
      </c>
      <c r="D28" s="2" vm="148">
        <f ca="1"/>
        <v>91.65</v>
      </c>
      <c r="E28" s="2" vm="149">
        <f ca="1"/>
        <v>92.31</v>
      </c>
      <c r="F28" vm="150">
        <f ca="1"/>
        <v>9124444</v>
      </c>
    </row>
    <row r="29" spans="1:16" x14ac:dyDescent="0.2">
      <c r="A29" s="1" vm="151">
        <f ca="1"/>
        <v>44477</v>
      </c>
      <c r="B29" s="2" vm="152">
        <f ca="1"/>
        <v>92.38</v>
      </c>
      <c r="C29" s="2" vm="153">
        <f ca="1"/>
        <v>95.02</v>
      </c>
      <c r="D29" s="2" vm="154">
        <f ca="1"/>
        <v>92.11</v>
      </c>
      <c r="E29" s="2" vm="155">
        <f ca="1"/>
        <v>94.39</v>
      </c>
      <c r="F29" vm="156">
        <f ca="1"/>
        <v>13202330</v>
      </c>
    </row>
    <row r="30" spans="1:16" x14ac:dyDescent="0.2">
      <c r="A30" s="1" vm="157">
        <f ca="1"/>
        <v>44480</v>
      </c>
      <c r="B30" s="2" vm="158">
        <f ca="1"/>
        <v>94.29</v>
      </c>
      <c r="C30" s="2" vm="159">
        <f ca="1"/>
        <v>96.8</v>
      </c>
      <c r="D30" s="2" vm="160">
        <f ca="1"/>
        <v>94.2</v>
      </c>
      <c r="E30" s="2" vm="161">
        <f ca="1"/>
        <v>95.29</v>
      </c>
      <c r="F30" vm="162">
        <f ca="1"/>
        <v>12959279</v>
      </c>
    </row>
    <row r="31" spans="1:16" x14ac:dyDescent="0.2">
      <c r="A31" s="1" vm="163">
        <f ca="1"/>
        <v>44481</v>
      </c>
      <c r="B31" s="2" vm="164">
        <f ca="1"/>
        <v>95.83</v>
      </c>
      <c r="C31" s="2" vm="165">
        <f ca="1"/>
        <v>96.52</v>
      </c>
      <c r="D31" s="2" vm="166">
        <f ca="1"/>
        <v>95.26</v>
      </c>
      <c r="E31" s="2" vm="167">
        <f ca="1"/>
        <v>95.57</v>
      </c>
      <c r="F31" vm="168">
        <f ca="1"/>
        <v>9964109</v>
      </c>
      <c r="O31" s="24"/>
    </row>
    <row r="32" spans="1:16" x14ac:dyDescent="0.2">
      <c r="A32" s="1" vm="169">
        <f ca="1"/>
        <v>44482</v>
      </c>
      <c r="B32" s="2" vm="170">
        <f ca="1"/>
        <v>96.1</v>
      </c>
      <c r="C32" s="2" vm="171">
        <f ca="1"/>
        <v>96.99</v>
      </c>
      <c r="D32" s="2" vm="172">
        <f ca="1"/>
        <v>95.95</v>
      </c>
      <c r="E32" s="2" vm="173">
        <f ca="1"/>
        <v>96.4</v>
      </c>
      <c r="F32" vm="174">
        <f ca="1"/>
        <v>9461742</v>
      </c>
    </row>
    <row r="33" spans="1:6" x14ac:dyDescent="0.2">
      <c r="A33" s="1" vm="175">
        <f ca="1"/>
        <v>44483</v>
      </c>
      <c r="B33" s="2" vm="159">
        <f ca="1"/>
        <v>96.8</v>
      </c>
      <c r="C33" s="2" vm="176">
        <f ca="1"/>
        <v>97.35</v>
      </c>
      <c r="D33" s="2" vm="177">
        <f ca="1"/>
        <v>94.37</v>
      </c>
      <c r="E33" s="2" vm="178">
        <f ca="1"/>
        <v>95.28</v>
      </c>
      <c r="F33" vm="179">
        <f ca="1"/>
        <v>7911808</v>
      </c>
    </row>
    <row r="34" spans="1:6" x14ac:dyDescent="0.2">
      <c r="A34" s="1" vm="180">
        <f ca="1"/>
        <v>44484</v>
      </c>
      <c r="B34" s="2" vm="181">
        <f ca="1"/>
        <v>95.09</v>
      </c>
      <c r="C34" s="2" vm="182">
        <f ca="1"/>
        <v>96.04</v>
      </c>
      <c r="D34" s="2" vm="183">
        <f ca="1"/>
        <v>94.73</v>
      </c>
      <c r="E34" s="2" vm="184">
        <f ca="1"/>
        <v>95.33</v>
      </c>
      <c r="F34" vm="185">
        <f ca="1"/>
        <v>7423125</v>
      </c>
    </row>
    <row r="35" spans="1:6" x14ac:dyDescent="0.2">
      <c r="A35" s="1" vm="186">
        <f ca="1"/>
        <v>44487</v>
      </c>
      <c r="B35" s="2" vm="187">
        <f ca="1"/>
        <v>95.5</v>
      </c>
      <c r="C35" s="2" vm="188">
        <f ca="1"/>
        <v>96.65</v>
      </c>
      <c r="D35" s="2" vm="189">
        <f ca="1"/>
        <v>95.1</v>
      </c>
      <c r="E35" s="2" vm="190">
        <f ca="1"/>
        <v>96.51</v>
      </c>
      <c r="F35" vm="191">
        <f ca="1"/>
        <v>7344106</v>
      </c>
    </row>
    <row r="36" spans="1:6" x14ac:dyDescent="0.2">
      <c r="A36" s="1" vm="192">
        <f ca="1"/>
        <v>44488</v>
      </c>
      <c r="B36" s="2" vm="193">
        <f ca="1"/>
        <v>97</v>
      </c>
      <c r="C36" s="2" vm="194">
        <f ca="1"/>
        <v>97.279899999999998</v>
      </c>
      <c r="D36" s="2" vm="195">
        <f ca="1"/>
        <v>96.32</v>
      </c>
      <c r="E36" s="2" vm="196">
        <f ca="1"/>
        <v>97.06</v>
      </c>
      <c r="F36" vm="197">
        <f ca="1"/>
        <v>5616545</v>
      </c>
    </row>
    <row r="37" spans="1:6" x14ac:dyDescent="0.2">
      <c r="A37" s="1" vm="198">
        <f ca="1"/>
        <v>44489</v>
      </c>
      <c r="B37" s="2" vm="199">
        <f ca="1"/>
        <v>97.27</v>
      </c>
      <c r="C37" s="2" vm="200">
        <f ca="1"/>
        <v>97.969700000000003</v>
      </c>
      <c r="D37" s="2" vm="201">
        <f ca="1"/>
        <v>96.25</v>
      </c>
      <c r="E37" s="2" vm="202">
        <f ca="1"/>
        <v>96.64</v>
      </c>
      <c r="F37" vm="203">
        <f ca="1"/>
        <v>6574073</v>
      </c>
    </row>
    <row r="38" spans="1:6" x14ac:dyDescent="0.2">
      <c r="A38" s="1" vm="204">
        <f ca="1"/>
        <v>44490</v>
      </c>
      <c r="B38" s="2" vm="205">
        <f ca="1"/>
        <v>96.57</v>
      </c>
      <c r="C38" s="2" vm="206">
        <f ca="1"/>
        <v>96.83</v>
      </c>
      <c r="D38" s="2" vm="207">
        <f ca="1"/>
        <v>95.71</v>
      </c>
      <c r="E38" s="2" vm="208">
        <f ca="1"/>
        <v>96.3</v>
      </c>
      <c r="F38" vm="209">
        <f ca="1"/>
        <v>6224679</v>
      </c>
    </row>
    <row r="39" spans="1:6" x14ac:dyDescent="0.2">
      <c r="A39" s="1" vm="210">
        <f ca="1"/>
        <v>44491</v>
      </c>
      <c r="B39" s="2" vm="211">
        <f ca="1"/>
        <v>96.29</v>
      </c>
      <c r="C39" s="2" vm="212">
        <f ca="1"/>
        <v>98.27</v>
      </c>
      <c r="D39" s="2" vm="213">
        <f ca="1"/>
        <v>96.22</v>
      </c>
      <c r="E39" s="2" vm="214">
        <f ca="1"/>
        <v>98.25</v>
      </c>
      <c r="F39" vm="215">
        <f ca="1"/>
        <v>6819582</v>
      </c>
    </row>
    <row r="40" spans="1:6" x14ac:dyDescent="0.2">
      <c r="A40" s="1" vm="216">
        <f ca="1"/>
        <v>44494</v>
      </c>
      <c r="B40" s="2" vm="217">
        <f ca="1"/>
        <v>98.44</v>
      </c>
      <c r="C40" s="2" vm="218">
        <f ca="1"/>
        <v>98.95</v>
      </c>
      <c r="D40" s="2" vm="219">
        <f ca="1"/>
        <v>97.55</v>
      </c>
      <c r="E40" s="2" vm="220">
        <f ca="1"/>
        <v>97.89</v>
      </c>
      <c r="F40" vm="221">
        <f ca="1"/>
        <v>5083106</v>
      </c>
    </row>
    <row r="41" spans="1:6" x14ac:dyDescent="0.2">
      <c r="A41" s="1" vm="222">
        <f ca="1"/>
        <v>44495</v>
      </c>
      <c r="B41" s="2" vm="223">
        <f ca="1"/>
        <v>98.3</v>
      </c>
      <c r="C41" s="2" vm="224">
        <f ca="1"/>
        <v>98.56</v>
      </c>
      <c r="D41" s="2" vm="225">
        <f ca="1"/>
        <v>96.94</v>
      </c>
      <c r="E41" s="2" vm="226">
        <f ca="1"/>
        <v>96.98</v>
      </c>
      <c r="F41" vm="227">
        <f ca="1"/>
        <v>7089655</v>
      </c>
    </row>
    <row r="42" spans="1:6" x14ac:dyDescent="0.2">
      <c r="A42" s="1" vm="228">
        <f ca="1"/>
        <v>44496</v>
      </c>
      <c r="B42" s="2" vm="229">
        <f ca="1"/>
        <v>96.81</v>
      </c>
      <c r="C42" s="2" vm="230">
        <f ca="1"/>
        <v>97.3</v>
      </c>
      <c r="D42" s="2" vm="231">
        <f ca="1"/>
        <v>96</v>
      </c>
      <c r="E42" s="2" vm="232">
        <f ca="1"/>
        <v>96.03</v>
      </c>
      <c r="F42" vm="233">
        <f ca="1"/>
        <v>5941450</v>
      </c>
    </row>
    <row r="43" spans="1:6" x14ac:dyDescent="0.2">
      <c r="A43" s="1" vm="234">
        <f ca="1"/>
        <v>44497</v>
      </c>
      <c r="B43" s="2" vm="188">
        <f ca="1"/>
        <v>96.65</v>
      </c>
      <c r="C43" s="2" vm="235">
        <f ca="1"/>
        <v>97.7</v>
      </c>
      <c r="D43" s="2" vm="236">
        <f ca="1"/>
        <v>95.93</v>
      </c>
      <c r="E43" s="2" vm="237">
        <f ca="1"/>
        <v>96.23</v>
      </c>
      <c r="F43" vm="238">
        <f ca="1"/>
        <v>5177185</v>
      </c>
    </row>
    <row r="44" spans="1:6" x14ac:dyDescent="0.2">
      <c r="A44" s="1" vm="239">
        <f ca="1"/>
        <v>44498</v>
      </c>
      <c r="B44" s="2" vm="240">
        <f ca="1"/>
        <v>95.79</v>
      </c>
      <c r="C44" s="2" vm="241">
        <f ca="1"/>
        <v>96.97</v>
      </c>
      <c r="D44" s="2" vm="242">
        <f ca="1"/>
        <v>95.46</v>
      </c>
      <c r="E44" s="2" vm="243">
        <f ca="1"/>
        <v>95.94</v>
      </c>
      <c r="F44" vm="244">
        <f ca="1"/>
        <v>7578628</v>
      </c>
    </row>
    <row r="45" spans="1:6" x14ac:dyDescent="0.2">
      <c r="A45" s="1" vm="245">
        <f ca="1"/>
        <v>44501</v>
      </c>
      <c r="B45" s="2" vm="231">
        <f ca="1"/>
        <v>96</v>
      </c>
      <c r="C45" s="2" vm="232">
        <f ca="1"/>
        <v>96.03</v>
      </c>
      <c r="D45" s="2" vm="246">
        <f ca="1"/>
        <v>93.91</v>
      </c>
      <c r="E45" s="2" vm="247">
        <f ca="1"/>
        <v>94.38</v>
      </c>
      <c r="F45" vm="248">
        <f ca="1"/>
        <v>7327599</v>
      </c>
    </row>
    <row r="46" spans="1:6" x14ac:dyDescent="0.2">
      <c r="A46" s="1" vm="249">
        <f ca="1"/>
        <v>44502</v>
      </c>
      <c r="B46" s="2" vm="250">
        <f ca="1"/>
        <v>93.73</v>
      </c>
      <c r="C46" s="2" vm="251">
        <f ca="1"/>
        <v>95.915000000000006</v>
      </c>
      <c r="D46" s="2" vm="252">
        <f ca="1"/>
        <v>93.5</v>
      </c>
      <c r="E46" s="2" vm="253">
        <f ca="1"/>
        <v>95.87</v>
      </c>
      <c r="F46" vm="254">
        <f ca="1"/>
        <v>6229796</v>
      </c>
    </row>
    <row r="47" spans="1:6" x14ac:dyDescent="0.2">
      <c r="A47" s="1" vm="255">
        <f ca="1"/>
        <v>44503</v>
      </c>
      <c r="B47" s="2" vm="256">
        <f ca="1"/>
        <v>96.5</v>
      </c>
      <c r="C47" s="2" vm="257">
        <f ca="1"/>
        <v>96.87</v>
      </c>
      <c r="D47" s="2" vm="258">
        <f ca="1"/>
        <v>94.747100000000003</v>
      </c>
      <c r="E47" s="2" vm="259">
        <f ca="1"/>
        <v>96.15</v>
      </c>
      <c r="F47" vm="260">
        <f ca="1"/>
        <v>5746432</v>
      </c>
    </row>
    <row r="48" spans="1:6" x14ac:dyDescent="0.2">
      <c r="A48" s="1" vm="261">
        <f ca="1"/>
        <v>44504</v>
      </c>
      <c r="B48" s="2" vm="237">
        <f ca="1"/>
        <v>96.23</v>
      </c>
      <c r="C48" s="2" vm="262">
        <f ca="1"/>
        <v>96.61</v>
      </c>
      <c r="D48" s="2" vm="263">
        <f ca="1"/>
        <v>95.32</v>
      </c>
      <c r="E48" s="2" vm="264">
        <f ca="1"/>
        <v>95.63</v>
      </c>
      <c r="F48" vm="265">
        <f ca="1"/>
        <v>5857745</v>
      </c>
    </row>
    <row r="49" spans="1:6" x14ac:dyDescent="0.2">
      <c r="A49" s="1" vm="266">
        <f ca="1"/>
        <v>44505</v>
      </c>
      <c r="B49" s="2" vm="267">
        <f ca="1"/>
        <v>96.2</v>
      </c>
      <c r="C49" s="2" vm="268">
        <f ca="1"/>
        <v>96.55</v>
      </c>
      <c r="D49" s="2" vm="269">
        <f ca="1"/>
        <v>94.1</v>
      </c>
      <c r="E49" s="2" vm="270">
        <f ca="1"/>
        <v>94.95</v>
      </c>
      <c r="F49" vm="271">
        <f ca="1"/>
        <v>6160237</v>
      </c>
    </row>
    <row r="50" spans="1:6" x14ac:dyDescent="0.2">
      <c r="A50" s="1" vm="272">
        <f ca="1"/>
        <v>44508</v>
      </c>
      <c r="B50" s="2" vm="273">
        <f ca="1"/>
        <v>95.25</v>
      </c>
      <c r="C50" s="2" vm="273">
        <f ca="1"/>
        <v>95.25</v>
      </c>
      <c r="D50" s="2" vm="274">
        <f ca="1"/>
        <v>94.31</v>
      </c>
      <c r="E50" s="2" vm="275">
        <f ca="1"/>
        <v>95.14</v>
      </c>
      <c r="F50" vm="276">
        <f ca="1"/>
        <v>5056415</v>
      </c>
    </row>
    <row r="51" spans="1:6" x14ac:dyDescent="0.2">
      <c r="A51" s="1" vm="277">
        <f ca="1"/>
        <v>44509</v>
      </c>
      <c r="B51" s="2" vm="278">
        <f ca="1"/>
        <v>95.11</v>
      </c>
      <c r="C51" s="2" vm="279">
        <f ca="1"/>
        <v>95.61</v>
      </c>
      <c r="D51" s="2" vm="280">
        <f ca="1"/>
        <v>94.055000000000007</v>
      </c>
      <c r="E51" s="2" vm="281">
        <f ca="1"/>
        <v>94.59</v>
      </c>
      <c r="F51" vm="282">
        <f ca="1"/>
        <v>6102570</v>
      </c>
    </row>
    <row r="52" spans="1:6" x14ac:dyDescent="0.2">
      <c r="A52" s="1" vm="283">
        <f ca="1"/>
        <v>44510</v>
      </c>
      <c r="B52" s="2" vm="269">
        <f ca="1"/>
        <v>94.1</v>
      </c>
      <c r="C52" s="2" vm="284">
        <f ca="1"/>
        <v>94.85</v>
      </c>
      <c r="D52" s="2" vm="285">
        <f ca="1"/>
        <v>93.355000000000004</v>
      </c>
      <c r="E52" s="2" vm="286">
        <f ca="1"/>
        <v>93.83</v>
      </c>
      <c r="F52" vm="287">
        <f ca="1"/>
        <v>5828755</v>
      </c>
    </row>
    <row r="53" spans="1:6" x14ac:dyDescent="0.2">
      <c r="A53" s="1" vm="288">
        <f ca="1"/>
        <v>44511</v>
      </c>
      <c r="B53" s="2" vm="289">
        <f ca="1"/>
        <v>94.11</v>
      </c>
      <c r="C53" s="2" vm="290">
        <f ca="1"/>
        <v>94.76</v>
      </c>
      <c r="D53" s="2" vm="291">
        <f ca="1"/>
        <v>93.8</v>
      </c>
      <c r="E53" s="2" vm="292">
        <f ca="1"/>
        <v>94.04</v>
      </c>
      <c r="F53" vm="293">
        <f ca="1"/>
        <v>3620667</v>
      </c>
    </row>
    <row r="54" spans="1:6" x14ac:dyDescent="0.2">
      <c r="A54" s="1" vm="294">
        <f ca="1"/>
        <v>44512</v>
      </c>
      <c r="B54" s="2" vm="158">
        <f ca="1"/>
        <v>94.29</v>
      </c>
      <c r="C54" s="2" vm="295">
        <f ca="1"/>
        <v>94.47</v>
      </c>
      <c r="D54" s="2" vm="296">
        <f ca="1"/>
        <v>93.43</v>
      </c>
      <c r="E54" s="2" vm="297">
        <f ca="1"/>
        <v>93.54</v>
      </c>
      <c r="F54" vm="298">
        <f ca="1"/>
        <v>6435453</v>
      </c>
    </row>
    <row r="55" spans="1:6" x14ac:dyDescent="0.2">
      <c r="A55" s="1" vm="299">
        <f ca="1"/>
        <v>44515</v>
      </c>
      <c r="B55" s="2" vm="300">
        <f ca="1"/>
        <v>93.82</v>
      </c>
      <c r="C55" s="2" vm="301">
        <f ca="1"/>
        <v>94.25</v>
      </c>
      <c r="D55" s="2" vm="302">
        <f ca="1"/>
        <v>92.92</v>
      </c>
      <c r="E55" s="2" vm="303">
        <f ca="1"/>
        <v>94.02</v>
      </c>
      <c r="F55" vm="304">
        <f ca="1"/>
        <v>5700925</v>
      </c>
    </row>
    <row r="56" spans="1:6" x14ac:dyDescent="0.2">
      <c r="A56" s="1" vm="305">
        <f ca="1"/>
        <v>44516</v>
      </c>
      <c r="B56" s="2" vm="306">
        <f ca="1"/>
        <v>94.14</v>
      </c>
      <c r="C56" s="2" vm="307">
        <f ca="1"/>
        <v>96.37</v>
      </c>
      <c r="D56" s="2" vm="303">
        <f ca="1"/>
        <v>94.02</v>
      </c>
      <c r="E56" s="2" vm="279">
        <f ca="1"/>
        <v>95.61</v>
      </c>
      <c r="F56" vm="308">
        <f ca="1"/>
        <v>7392924</v>
      </c>
    </row>
    <row r="57" spans="1:6" x14ac:dyDescent="0.2">
      <c r="A57" s="1" vm="309">
        <f ca="1"/>
        <v>44517</v>
      </c>
      <c r="B57" s="2" vm="310">
        <f ca="1"/>
        <v>95.76</v>
      </c>
      <c r="C57" s="2" vm="311">
        <f ca="1"/>
        <v>96.135000000000005</v>
      </c>
      <c r="D57" s="2" vm="312">
        <f ca="1"/>
        <v>94.82</v>
      </c>
      <c r="E57" s="2" vm="184">
        <f ca="1"/>
        <v>95.33</v>
      </c>
      <c r="F57" vm="313">
        <f ca="1"/>
        <v>6257596</v>
      </c>
    </row>
    <row r="58" spans="1:6" x14ac:dyDescent="0.2">
      <c r="A58" s="1" vm="314">
        <f ca="1"/>
        <v>44518</v>
      </c>
      <c r="B58" s="2" vm="315">
        <f ca="1"/>
        <v>95.15</v>
      </c>
      <c r="C58" s="2" vm="184">
        <f ca="1"/>
        <v>95.33</v>
      </c>
      <c r="D58" s="2" vm="252">
        <f ca="1"/>
        <v>93.5</v>
      </c>
      <c r="E58" s="2" vm="316">
        <f ca="1"/>
        <v>94.66</v>
      </c>
      <c r="F58" vm="317">
        <f ca="1"/>
        <v>5727254</v>
      </c>
    </row>
    <row r="59" spans="1:6" x14ac:dyDescent="0.2">
      <c r="A59" s="1" vm="318">
        <f ca="1"/>
        <v>44519</v>
      </c>
      <c r="B59" s="2" vm="319">
        <f ca="1"/>
        <v>94.81</v>
      </c>
      <c r="C59" s="2" vm="320">
        <f ca="1"/>
        <v>96.96</v>
      </c>
      <c r="D59" s="2" vm="321">
        <f ca="1"/>
        <v>93.94</v>
      </c>
      <c r="E59" s="2" vm="322">
        <f ca="1"/>
        <v>93.97</v>
      </c>
      <c r="F59" vm="323">
        <f ca="1"/>
        <v>8938025</v>
      </c>
    </row>
    <row r="60" spans="1:6" x14ac:dyDescent="0.2">
      <c r="A60" s="1" vm="324">
        <f ca="1"/>
        <v>44522</v>
      </c>
      <c r="B60" s="2" vm="250">
        <f ca="1"/>
        <v>93.73</v>
      </c>
      <c r="C60" s="2" vm="325">
        <f ca="1"/>
        <v>95.67</v>
      </c>
      <c r="D60" s="2" vm="326">
        <f ca="1"/>
        <v>93.41</v>
      </c>
      <c r="E60" s="2" vm="327">
        <f ca="1"/>
        <v>94.61</v>
      </c>
      <c r="F60" vm="328">
        <f ca="1"/>
        <v>6489341</v>
      </c>
    </row>
    <row r="61" spans="1:6" x14ac:dyDescent="0.2">
      <c r="A61" s="1" vm="329">
        <f ca="1"/>
        <v>44523</v>
      </c>
      <c r="B61" s="2" vm="330">
        <f ca="1"/>
        <v>94.16</v>
      </c>
      <c r="C61" s="2" vm="158">
        <f ca="1"/>
        <v>94.29</v>
      </c>
      <c r="D61" s="2" vm="331">
        <f ca="1"/>
        <v>92.26</v>
      </c>
      <c r="E61" s="2" vm="332">
        <f ca="1"/>
        <v>92.94</v>
      </c>
      <c r="F61" vm="333">
        <f ca="1"/>
        <v>8905642</v>
      </c>
    </row>
    <row r="62" spans="1:6" x14ac:dyDescent="0.2">
      <c r="A62" s="1" vm="334">
        <f ca="1"/>
        <v>44524</v>
      </c>
      <c r="B62" s="2" vm="335">
        <f ca="1"/>
        <v>92.23</v>
      </c>
      <c r="C62" s="2" vm="336">
        <f ca="1"/>
        <v>93.7</v>
      </c>
      <c r="D62" s="2" vm="337">
        <f ca="1"/>
        <v>92.15</v>
      </c>
      <c r="E62" s="2" vm="338">
        <f ca="1"/>
        <v>93.58</v>
      </c>
      <c r="F62" vm="339">
        <f ca="1"/>
        <v>10908548</v>
      </c>
    </row>
    <row r="63" spans="1:6" x14ac:dyDescent="0.2">
      <c r="A63" s="1" vm="340">
        <f ca="1"/>
        <v>44526</v>
      </c>
      <c r="B63" s="2" vm="341">
        <f ca="1"/>
        <v>92.89</v>
      </c>
      <c r="C63" s="2" vm="342">
        <f ca="1"/>
        <v>94.08</v>
      </c>
      <c r="D63" s="2" vm="343">
        <f ca="1"/>
        <v>92.07</v>
      </c>
      <c r="E63" s="2" vm="344">
        <f ca="1"/>
        <v>92.33</v>
      </c>
      <c r="F63" vm="345">
        <f ca="1"/>
        <v>4519322</v>
      </c>
    </row>
    <row r="64" spans="1:6" x14ac:dyDescent="0.2">
      <c r="A64" s="1" vm="346">
        <f ca="1"/>
        <v>44529</v>
      </c>
      <c r="B64" s="2" vm="347">
        <f ca="1"/>
        <v>93.17</v>
      </c>
      <c r="C64" s="2" vm="348">
        <f ca="1"/>
        <v>94.13</v>
      </c>
      <c r="D64" s="2" vm="349">
        <f ca="1"/>
        <v>92.864999999999995</v>
      </c>
      <c r="E64" s="2" vm="332">
        <f ca="1"/>
        <v>92.94</v>
      </c>
      <c r="F64" vm="350">
        <f ca="1"/>
        <v>9552635</v>
      </c>
    </row>
    <row r="65" spans="1:6" x14ac:dyDescent="0.2">
      <c r="A65" s="1" vm="351">
        <f ca="1"/>
        <v>44530</v>
      </c>
      <c r="B65" s="2" vm="352">
        <f ca="1"/>
        <v>93.02</v>
      </c>
      <c r="C65" s="2" vm="353">
        <f ca="1"/>
        <v>93.52</v>
      </c>
      <c r="D65" s="2" vm="354">
        <f ca="1"/>
        <v>90.61</v>
      </c>
      <c r="E65" s="2" vm="355">
        <f ca="1"/>
        <v>90.74</v>
      </c>
      <c r="F65" vm="356">
        <f ca="1"/>
        <v>23271206</v>
      </c>
    </row>
    <row r="66" spans="1:6" x14ac:dyDescent="0.2">
      <c r="A66" s="1" vm="357">
        <f ca="1"/>
        <v>44531</v>
      </c>
      <c r="B66" s="2" vm="358">
        <f ca="1"/>
        <v>91.69</v>
      </c>
      <c r="C66" s="2" vm="359">
        <f ca="1"/>
        <v>92.39</v>
      </c>
      <c r="D66" s="2" vm="360">
        <f ca="1"/>
        <v>89.66</v>
      </c>
      <c r="E66" s="2" vm="361">
        <f ca="1"/>
        <v>89.75</v>
      </c>
      <c r="F66" vm="362">
        <f ca="1"/>
        <v>12085340</v>
      </c>
    </row>
    <row r="67" spans="1:6" x14ac:dyDescent="0.2">
      <c r="A67" s="1" vm="363">
        <f ca="1"/>
        <v>44532</v>
      </c>
      <c r="B67" s="2" vm="364">
        <f ca="1"/>
        <v>89.4</v>
      </c>
      <c r="C67" s="2" vm="104">
        <f ca="1"/>
        <v>91.04</v>
      </c>
      <c r="D67" s="2" vm="365">
        <f ca="1"/>
        <v>89.000100000000003</v>
      </c>
      <c r="E67" s="2" vm="366">
        <f ca="1"/>
        <v>89.99</v>
      </c>
      <c r="F67" vm="367">
        <f ca="1"/>
        <v>7090016</v>
      </c>
    </row>
    <row r="68" spans="1:6" x14ac:dyDescent="0.2">
      <c r="A68" s="1" vm="368">
        <f ca="1"/>
        <v>44533</v>
      </c>
      <c r="B68" s="2" vm="369">
        <f ca="1"/>
        <v>90.35</v>
      </c>
      <c r="C68" s="2" vm="370">
        <f ca="1"/>
        <v>90.79</v>
      </c>
      <c r="D68" s="2" vm="371">
        <f ca="1"/>
        <v>87.722999999999999</v>
      </c>
      <c r="E68" s="2" vm="372">
        <f ca="1"/>
        <v>88.24</v>
      </c>
      <c r="F68" vm="373">
        <f ca="1"/>
        <v>10808740</v>
      </c>
    </row>
    <row r="69" spans="1:6" x14ac:dyDescent="0.2">
      <c r="A69" s="1" vm="374">
        <f ca="1"/>
        <v>44536</v>
      </c>
      <c r="B69" s="2" vm="375">
        <f ca="1"/>
        <v>88.34</v>
      </c>
      <c r="C69" s="2" vm="376">
        <f ca="1"/>
        <v>89.17</v>
      </c>
      <c r="D69" s="2" vm="377">
        <f ca="1"/>
        <v>87.85</v>
      </c>
      <c r="E69" s="2" vm="91">
        <f ca="1"/>
        <v>88.94</v>
      </c>
      <c r="F69" vm="378">
        <f ca="1"/>
        <v>8398492</v>
      </c>
    </row>
    <row r="70" spans="1:6" x14ac:dyDescent="0.2">
      <c r="A70" s="1" vm="379">
        <f ca="1"/>
        <v>44537</v>
      </c>
      <c r="B70" s="2" vm="380">
        <f ca="1"/>
        <v>89.98</v>
      </c>
      <c r="C70" s="2" vm="381">
        <f ca="1"/>
        <v>90.73</v>
      </c>
      <c r="D70" s="2" vm="382">
        <f ca="1"/>
        <v>89.21</v>
      </c>
      <c r="E70" s="2" vm="383">
        <f ca="1"/>
        <v>90.05</v>
      </c>
      <c r="F70" vm="384">
        <f ca="1"/>
        <v>6803903</v>
      </c>
    </row>
    <row r="71" spans="1:6" x14ac:dyDescent="0.2">
      <c r="A71" s="1" vm="385">
        <f ca="1"/>
        <v>44538</v>
      </c>
      <c r="B71" s="2" vm="383">
        <f ca="1"/>
        <v>90.05</v>
      </c>
      <c r="C71" s="2" vm="9">
        <f ca="1"/>
        <v>90.17</v>
      </c>
      <c r="D71" s="2" vm="386">
        <f ca="1"/>
        <v>87.91</v>
      </c>
      <c r="E71" s="2" vm="91">
        <f ca="1"/>
        <v>88.94</v>
      </c>
      <c r="F71" vm="387">
        <f ca="1"/>
        <v>7695809</v>
      </c>
    </row>
    <row r="72" spans="1:6" x14ac:dyDescent="0.2">
      <c r="A72" s="1" vm="388">
        <f ca="1"/>
        <v>44539</v>
      </c>
      <c r="B72" s="2" vm="389">
        <f ca="1"/>
        <v>89.12</v>
      </c>
      <c r="C72" s="2" vm="366">
        <f ca="1"/>
        <v>89.99</v>
      </c>
      <c r="D72" s="2" vm="372">
        <f ca="1"/>
        <v>88.24</v>
      </c>
      <c r="E72" s="2" vm="390">
        <f ca="1"/>
        <v>88.77</v>
      </c>
      <c r="F72" vm="391">
        <f ca="1"/>
        <v>8615780</v>
      </c>
    </row>
    <row r="73" spans="1:6" x14ac:dyDescent="0.2">
      <c r="A73" s="1" vm="392">
        <f ca="1"/>
        <v>44540</v>
      </c>
      <c r="B73" s="2" vm="393">
        <f ca="1"/>
        <v>104.29</v>
      </c>
      <c r="C73" s="2" vm="394">
        <f ca="1"/>
        <v>106.34</v>
      </c>
      <c r="D73" s="2" vm="395">
        <f ca="1"/>
        <v>100.1</v>
      </c>
      <c r="E73" s="2" vm="396">
        <f ca="1"/>
        <v>102.63</v>
      </c>
      <c r="F73" vm="397">
        <f ca="1"/>
        <v>45824639</v>
      </c>
    </row>
    <row r="74" spans="1:6" x14ac:dyDescent="0.2">
      <c r="A74" s="1" vm="398">
        <f ca="1"/>
        <v>44543</v>
      </c>
      <c r="B74" s="2" vm="399">
        <f ca="1"/>
        <v>102.44</v>
      </c>
      <c r="C74" s="2" vm="400">
        <f ca="1"/>
        <v>104.36</v>
      </c>
      <c r="D74" s="2" vm="401">
        <f ca="1"/>
        <v>100.52249999999999</v>
      </c>
      <c r="E74" s="2" vm="402">
        <f ca="1"/>
        <v>100.89</v>
      </c>
      <c r="F74" vm="403">
        <f ca="1"/>
        <v>16317620</v>
      </c>
    </row>
    <row r="75" spans="1:6" x14ac:dyDescent="0.2">
      <c r="A75" s="1" vm="404">
        <f ca="1"/>
        <v>44544</v>
      </c>
      <c r="B75" s="2" vm="405">
        <f ca="1"/>
        <v>99.995000000000005</v>
      </c>
      <c r="C75" s="2" vm="406">
        <f ca="1"/>
        <v>101.46</v>
      </c>
      <c r="D75" s="2" vm="407">
        <f ca="1"/>
        <v>99.39</v>
      </c>
      <c r="E75" s="2" vm="408">
        <f ca="1"/>
        <v>99.89</v>
      </c>
      <c r="F75" vm="409">
        <f ca="1"/>
        <v>9511569</v>
      </c>
    </row>
    <row r="76" spans="1:6" x14ac:dyDescent="0.2">
      <c r="A76" s="1" vm="410">
        <f ca="1"/>
        <v>44545</v>
      </c>
      <c r="B76" s="2" vm="411">
        <f ca="1"/>
        <v>100.58</v>
      </c>
      <c r="C76" s="2" vm="412">
        <f ca="1"/>
        <v>103.76</v>
      </c>
      <c r="D76" s="2" vm="413">
        <f ca="1"/>
        <v>100.24</v>
      </c>
      <c r="E76" s="2" vm="414">
        <f ca="1"/>
        <v>103.65</v>
      </c>
      <c r="F76" vm="415">
        <f ca="1"/>
        <v>14452216</v>
      </c>
    </row>
    <row r="77" spans="1:6" x14ac:dyDescent="0.2">
      <c r="A77" s="1" vm="416">
        <f ca="1"/>
        <v>44546</v>
      </c>
      <c r="B77" s="2" vm="417">
        <f ca="1"/>
        <v>103.95</v>
      </c>
      <c r="C77" s="2" vm="418">
        <f ca="1"/>
        <v>104</v>
      </c>
      <c r="D77" s="2" vm="419">
        <f ca="1"/>
        <v>102.28</v>
      </c>
      <c r="E77" s="2" vm="420">
        <f ca="1"/>
        <v>103.22</v>
      </c>
      <c r="F77" vm="421">
        <f ca="1"/>
        <v>9053176</v>
      </c>
    </row>
    <row r="78" spans="1:6" x14ac:dyDescent="0.2">
      <c r="A78" s="1" vm="422">
        <f ca="1"/>
        <v>44547</v>
      </c>
      <c r="B78" s="2" vm="423">
        <f ca="1"/>
        <v>97.69</v>
      </c>
      <c r="C78" s="2" vm="424">
        <f ca="1"/>
        <v>99.95</v>
      </c>
      <c r="D78" s="2" vm="425">
        <f ca="1"/>
        <v>95.81</v>
      </c>
      <c r="E78" s="2" vm="426">
        <f ca="1"/>
        <v>96.62</v>
      </c>
      <c r="F78" vm="427">
        <f ca="1"/>
        <v>28961171</v>
      </c>
    </row>
    <row r="79" spans="1:6" x14ac:dyDescent="0.2">
      <c r="A79" s="1" vm="428">
        <f ca="1"/>
        <v>44550</v>
      </c>
      <c r="B79" s="2" vm="429">
        <f ca="1"/>
        <v>96.42</v>
      </c>
      <c r="C79" s="2" vm="429">
        <f ca="1"/>
        <v>96.42</v>
      </c>
      <c r="D79" s="2" vm="430">
        <f ca="1"/>
        <v>91.52</v>
      </c>
      <c r="E79" s="2" vm="431">
        <f ca="1"/>
        <v>91.64</v>
      </c>
      <c r="F79" vm="432">
        <f ca="1"/>
        <v>17205399</v>
      </c>
    </row>
    <row r="80" spans="1:6" x14ac:dyDescent="0.2">
      <c r="A80" s="1" vm="433">
        <f ca="1"/>
        <v>44551</v>
      </c>
      <c r="B80" s="2" vm="434">
        <f ca="1"/>
        <v>91.805000000000007</v>
      </c>
      <c r="C80" s="2" vm="435">
        <f ca="1"/>
        <v>91.84</v>
      </c>
      <c r="D80" s="2" vm="436">
        <f ca="1"/>
        <v>89.71</v>
      </c>
      <c r="E80" s="2" vm="437">
        <f ca="1"/>
        <v>91.51</v>
      </c>
      <c r="F80" vm="438">
        <f ca="1"/>
        <v>15822978</v>
      </c>
    </row>
    <row r="81" spans="1:6" x14ac:dyDescent="0.2">
      <c r="A81" s="1" vm="439">
        <f ca="1"/>
        <v>44552</v>
      </c>
      <c r="B81" s="2" vm="440">
        <f ca="1"/>
        <v>91.27</v>
      </c>
      <c r="C81" s="2" vm="441">
        <f ca="1"/>
        <v>91.86</v>
      </c>
      <c r="D81" s="2" vm="43">
        <f ca="1"/>
        <v>89.51</v>
      </c>
      <c r="E81" s="2" vm="442">
        <f ca="1"/>
        <v>89.86</v>
      </c>
      <c r="F81" vm="443">
        <f ca="1"/>
        <v>10538961</v>
      </c>
    </row>
    <row r="82" spans="1:6" x14ac:dyDescent="0.2">
      <c r="A82" s="1" vm="444">
        <f ca="1"/>
        <v>44553</v>
      </c>
      <c r="B82" s="2" vm="445">
        <f ca="1"/>
        <v>90.03</v>
      </c>
      <c r="C82" s="2" vm="446">
        <f ca="1"/>
        <v>90.36</v>
      </c>
      <c r="D82" s="2" vm="447">
        <f ca="1"/>
        <v>89.06</v>
      </c>
      <c r="E82" s="2" vm="448">
        <f ca="1"/>
        <v>89.72</v>
      </c>
      <c r="F82" vm="449">
        <f ca="1"/>
        <v>9655431</v>
      </c>
    </row>
    <row r="83" spans="1:6" x14ac:dyDescent="0.2">
      <c r="A83" s="1" vm="450">
        <f ca="1"/>
        <v>44557</v>
      </c>
      <c r="B83" s="2" vm="451">
        <f ca="1"/>
        <v>89.7</v>
      </c>
      <c r="C83" s="2" vm="452">
        <f ca="1"/>
        <v>90.33</v>
      </c>
      <c r="D83" s="2" vm="453">
        <f ca="1"/>
        <v>89.02</v>
      </c>
      <c r="E83" s="2" vm="38">
        <f ca="1"/>
        <v>89.54</v>
      </c>
      <c r="F83" vm="454">
        <f ca="1"/>
        <v>7668988</v>
      </c>
    </row>
    <row r="84" spans="1:6" x14ac:dyDescent="0.2">
      <c r="A84" s="1" vm="455">
        <f ca="1"/>
        <v>44558</v>
      </c>
      <c r="B84" s="2" vm="451">
        <f ca="1"/>
        <v>89.7</v>
      </c>
      <c r="C84" s="2" vm="16">
        <f ca="1"/>
        <v>89.8</v>
      </c>
      <c r="D84" s="2" vm="456">
        <f ca="1"/>
        <v>88.52</v>
      </c>
      <c r="E84" s="2" vm="457">
        <f ca="1"/>
        <v>88.65</v>
      </c>
      <c r="F84" vm="458">
        <f ca="1"/>
        <v>5614472</v>
      </c>
    </row>
    <row r="85" spans="1:6" x14ac:dyDescent="0.2">
      <c r="A85" s="1" vm="459">
        <f ca="1"/>
        <v>44559</v>
      </c>
      <c r="B85" s="2" vm="460">
        <f ca="1"/>
        <v>88.5</v>
      </c>
      <c r="C85" s="2" vm="461">
        <f ca="1"/>
        <v>89.19</v>
      </c>
      <c r="D85" s="2" vm="462">
        <f ca="1"/>
        <v>87.716399999999993</v>
      </c>
      <c r="E85" s="2" vm="463">
        <f ca="1"/>
        <v>88.21</v>
      </c>
      <c r="F85" vm="464">
        <f ca="1"/>
        <v>5628531</v>
      </c>
    </row>
    <row r="86" spans="1:6" x14ac:dyDescent="0.2">
      <c r="A86" s="1" vm="465">
        <f ca="1"/>
        <v>44560</v>
      </c>
      <c r="B86" s="2" vm="457">
        <f ca="1"/>
        <v>88.65</v>
      </c>
      <c r="C86" s="2" vm="466">
        <f ca="1"/>
        <v>88.91</v>
      </c>
      <c r="D86" s="2" vm="467">
        <f ca="1"/>
        <v>87.77</v>
      </c>
      <c r="E86" s="2" vm="468">
        <f ca="1"/>
        <v>88.01</v>
      </c>
      <c r="F86" vm="469">
        <f ca="1"/>
        <v>7382356</v>
      </c>
    </row>
    <row r="87" spans="1:6" x14ac:dyDescent="0.2">
      <c r="A87" s="1" vm="470">
        <f ca="1"/>
        <v>44561</v>
      </c>
      <c r="B87" s="2" vm="471">
        <f ca="1"/>
        <v>88.05</v>
      </c>
      <c r="C87" s="2" vm="472">
        <f ca="1"/>
        <v>88.1</v>
      </c>
      <c r="D87" s="2" vm="473">
        <f ca="1"/>
        <v>87.18</v>
      </c>
      <c r="E87" s="2" vm="474">
        <f ca="1"/>
        <v>87.21</v>
      </c>
      <c r="F87" vm="475">
        <f ca="1"/>
        <v>5908158</v>
      </c>
    </row>
    <row r="88" spans="1:6" x14ac:dyDescent="0.2">
      <c r="A88" s="1" vm="476">
        <f ca="1"/>
        <v>44564</v>
      </c>
      <c r="B88" s="2" vm="477">
        <f ca="1"/>
        <v>87.33</v>
      </c>
      <c r="C88" s="2" vm="478">
        <f ca="1"/>
        <v>87.94</v>
      </c>
      <c r="D88" s="2" vm="479">
        <f ca="1"/>
        <v>85.76</v>
      </c>
      <c r="E88" s="2" vm="480">
        <f ca="1"/>
        <v>87.9</v>
      </c>
      <c r="F88" vm="481">
        <f ca="1"/>
        <v>10653484</v>
      </c>
    </row>
    <row r="89" spans="1:6" x14ac:dyDescent="0.2">
      <c r="A89" s="1" vm="482">
        <f ca="1"/>
        <v>44565</v>
      </c>
      <c r="B89" s="2" vm="480">
        <f ca="1"/>
        <v>87.9</v>
      </c>
      <c r="C89" s="2" vm="483">
        <f ca="1"/>
        <v>89.584299999999999</v>
      </c>
      <c r="D89" s="2" vm="62">
        <f ca="1"/>
        <v>87.73</v>
      </c>
      <c r="E89" s="2" vm="484">
        <f ca="1"/>
        <v>88.84</v>
      </c>
      <c r="F89" vm="485">
        <f ca="1"/>
        <v>11958975</v>
      </c>
    </row>
    <row r="90" spans="1:6" x14ac:dyDescent="0.2">
      <c r="A90" s="1" vm="486">
        <f ca="1"/>
        <v>44566</v>
      </c>
      <c r="B90" s="2" vm="4">
        <f ca="1"/>
        <v>88.49</v>
      </c>
      <c r="C90" s="2" vm="487">
        <f ca="1"/>
        <v>88.6</v>
      </c>
      <c r="D90" s="2" vm="488">
        <f ca="1"/>
        <v>86.22</v>
      </c>
      <c r="E90" s="2" vm="489">
        <f ca="1"/>
        <v>86.46</v>
      </c>
      <c r="F90" vm="490">
        <f ca="1"/>
        <v>11236680</v>
      </c>
    </row>
    <row r="91" spans="1:6" x14ac:dyDescent="0.2">
      <c r="A91" s="1" vm="491">
        <f ca="1"/>
        <v>44567</v>
      </c>
      <c r="B91" s="2" vm="492">
        <f ca="1"/>
        <v>86</v>
      </c>
      <c r="C91" s="2" vm="493">
        <f ca="1"/>
        <v>87.418899999999994</v>
      </c>
      <c r="D91" s="2" vm="494">
        <f ca="1"/>
        <v>85.55</v>
      </c>
      <c r="E91" s="2" vm="495">
        <f ca="1"/>
        <v>86.34</v>
      </c>
      <c r="F91" vm="496">
        <f ca="1"/>
        <v>7918392</v>
      </c>
    </row>
    <row r="92" spans="1:6" x14ac:dyDescent="0.2">
      <c r="A92" s="1" vm="497">
        <f ca="1"/>
        <v>44568</v>
      </c>
      <c r="B92" s="2" vm="498">
        <f ca="1"/>
        <v>86.45</v>
      </c>
      <c r="C92" s="2" vm="499">
        <f ca="1"/>
        <v>88</v>
      </c>
      <c r="D92" s="2" vm="500">
        <f ca="1"/>
        <v>86.280100000000004</v>
      </c>
      <c r="E92" s="2" vm="501">
        <f ca="1"/>
        <v>87.51</v>
      </c>
      <c r="F92" vm="502">
        <f ca="1"/>
        <v>9836795</v>
      </c>
    </row>
    <row r="93" spans="1:6" x14ac:dyDescent="0.2">
      <c r="A93" s="1" vm="503">
        <f ca="1"/>
        <v>44571</v>
      </c>
      <c r="B93" s="2" vm="504">
        <f ca="1"/>
        <v>87.38</v>
      </c>
      <c r="C93" s="2" vm="505">
        <f ca="1"/>
        <v>89.38</v>
      </c>
      <c r="D93" s="2" vm="506">
        <f ca="1"/>
        <v>86.951999999999998</v>
      </c>
      <c r="E93" s="2" vm="507">
        <f ca="1"/>
        <v>89.28</v>
      </c>
      <c r="F93" vm="508">
        <f ca="1"/>
        <v>11025508</v>
      </c>
    </row>
    <row r="94" spans="1:6" x14ac:dyDescent="0.2">
      <c r="A94" s="1" vm="509">
        <f ca="1"/>
        <v>44572</v>
      </c>
      <c r="B94" s="2" vm="510">
        <f ca="1"/>
        <v>88.64</v>
      </c>
      <c r="C94" s="2" vm="86">
        <f ca="1"/>
        <v>89</v>
      </c>
      <c r="D94" s="2" vm="511">
        <f ca="1"/>
        <v>87.4101</v>
      </c>
      <c r="E94" s="2" vm="512">
        <f ca="1"/>
        <v>88.48</v>
      </c>
      <c r="F94" vm="513">
        <f ca="1"/>
        <v>7249777</v>
      </c>
    </row>
    <row r="95" spans="1:6" x14ac:dyDescent="0.2">
      <c r="A95" s="1" vm="514">
        <f ca="1"/>
        <v>44573</v>
      </c>
      <c r="B95" s="2" vm="50">
        <f ca="1"/>
        <v>88.89</v>
      </c>
      <c r="C95" s="2" vm="515">
        <f ca="1"/>
        <v>89.52</v>
      </c>
      <c r="D95" s="2" vm="65">
        <f ca="1"/>
        <v>87.67</v>
      </c>
      <c r="E95" s="2" vm="516">
        <f ca="1"/>
        <v>88.31</v>
      </c>
      <c r="F95" vm="517">
        <f ca="1"/>
        <v>5840337</v>
      </c>
    </row>
    <row r="96" spans="1:6" x14ac:dyDescent="0.2">
      <c r="A96" s="1" vm="518">
        <f ca="1"/>
        <v>44574</v>
      </c>
      <c r="B96" s="2" vm="519">
        <f ca="1"/>
        <v>88.73</v>
      </c>
      <c r="C96" s="2" vm="520">
        <f ca="1"/>
        <v>88.92</v>
      </c>
      <c r="D96" s="2" vm="521">
        <f ca="1"/>
        <v>87.55</v>
      </c>
      <c r="E96" s="2" vm="522">
        <f ca="1"/>
        <v>87.79</v>
      </c>
      <c r="F96" vm="523">
        <f ca="1"/>
        <v>6044282</v>
      </c>
    </row>
    <row r="97" spans="1:6" x14ac:dyDescent="0.2">
      <c r="A97" s="1" vm="524">
        <f ca="1"/>
        <v>44575</v>
      </c>
      <c r="B97" s="2" vm="525">
        <f ca="1"/>
        <v>87.48</v>
      </c>
      <c r="C97" s="2" vm="472">
        <f ca="1"/>
        <v>88.1</v>
      </c>
      <c r="D97" s="2" vm="526">
        <f ca="1"/>
        <v>86.66</v>
      </c>
      <c r="E97" s="2" vm="527">
        <f ca="1"/>
        <v>87.69</v>
      </c>
      <c r="F97" vm="528">
        <f ca="1"/>
        <v>6054842</v>
      </c>
    </row>
    <row r="98" spans="1:6" x14ac:dyDescent="0.2">
      <c r="A98" s="1" vm="529">
        <f ca="1"/>
        <v>44579</v>
      </c>
      <c r="B98" s="2" vm="530">
        <f ca="1"/>
        <v>86.87</v>
      </c>
      <c r="C98" s="2" vm="531">
        <f ca="1"/>
        <v>86.97</v>
      </c>
      <c r="D98" s="2" vm="532">
        <f ca="1"/>
        <v>85.34</v>
      </c>
      <c r="E98" s="2" vm="494">
        <f ca="1"/>
        <v>85.55</v>
      </c>
      <c r="F98" vm="533">
        <f ca="1"/>
        <v>6827937</v>
      </c>
    </row>
    <row r="99" spans="1:6" x14ac:dyDescent="0.2">
      <c r="A99" s="1" vm="534">
        <f ca="1"/>
        <v>44580</v>
      </c>
      <c r="B99" s="2" vm="535">
        <f ca="1"/>
        <v>85.77</v>
      </c>
      <c r="C99" s="2" vm="536">
        <f ca="1"/>
        <v>86.69</v>
      </c>
      <c r="D99" s="2" vm="537">
        <f ca="1"/>
        <v>83.23</v>
      </c>
      <c r="E99" s="2" vm="538">
        <f ca="1"/>
        <v>83.38</v>
      </c>
      <c r="F99" vm="539">
        <f ca="1"/>
        <v>10501777</v>
      </c>
    </row>
    <row r="100" spans="1:6" x14ac:dyDescent="0.2">
      <c r="A100" s="1" vm="540">
        <f ca="1"/>
        <v>44581</v>
      </c>
      <c r="B100" s="2" vm="541">
        <f ca="1"/>
        <v>83.92</v>
      </c>
      <c r="C100" s="2" vm="542">
        <f ca="1"/>
        <v>85</v>
      </c>
      <c r="D100" s="2" vm="543">
        <f ca="1"/>
        <v>82.52</v>
      </c>
      <c r="E100" s="2" vm="544">
        <f ca="1"/>
        <v>82.72</v>
      </c>
      <c r="F100" vm="545">
        <f ca="1"/>
        <v>10836879</v>
      </c>
    </row>
    <row r="101" spans="1:6" x14ac:dyDescent="0.2">
      <c r="A101" s="1" vm="546">
        <f ca="1"/>
        <v>44582</v>
      </c>
      <c r="B101" s="2" vm="547">
        <f ca="1"/>
        <v>83.36</v>
      </c>
      <c r="C101" s="2" vm="548">
        <f ca="1"/>
        <v>83.39</v>
      </c>
      <c r="D101" s="2" vm="549">
        <f ca="1"/>
        <v>82.03</v>
      </c>
      <c r="E101" s="2" vm="550">
        <f ca="1"/>
        <v>82.22</v>
      </c>
      <c r="F101" vm="551">
        <f ca="1"/>
        <v>11608986</v>
      </c>
    </row>
    <row r="102" spans="1:6" x14ac:dyDescent="0.2">
      <c r="A102" s="1" vm="552">
        <f ca="1"/>
        <v>44585</v>
      </c>
      <c r="B102" s="2" vm="553">
        <f ca="1"/>
        <v>81.22</v>
      </c>
      <c r="C102" s="2" vm="554">
        <f ca="1"/>
        <v>82.42</v>
      </c>
      <c r="D102" s="2" vm="555">
        <f ca="1"/>
        <v>79.59</v>
      </c>
      <c r="E102" s="2" vm="554">
        <f ca="1"/>
        <v>82.42</v>
      </c>
      <c r="F102" vm="556">
        <f ca="1"/>
        <v>16771776</v>
      </c>
    </row>
    <row r="103" spans="1:6" x14ac:dyDescent="0.2">
      <c r="A103" s="1" vm="557">
        <f ca="1"/>
        <v>44586</v>
      </c>
      <c r="B103" s="2" vm="558">
        <f ca="1"/>
        <v>81.33</v>
      </c>
      <c r="C103" s="2" vm="559">
        <f ca="1"/>
        <v>82.1</v>
      </c>
      <c r="D103" s="2" vm="560">
        <f ca="1"/>
        <v>80.2</v>
      </c>
      <c r="E103" s="2" vm="561">
        <f ca="1"/>
        <v>81.069999999999993</v>
      </c>
      <c r="F103" vm="562">
        <f ca="1"/>
        <v>13469908</v>
      </c>
    </row>
    <row r="104" spans="1:6" x14ac:dyDescent="0.2">
      <c r="A104" s="1" vm="563">
        <f ca="1"/>
        <v>44587</v>
      </c>
      <c r="B104" s="2" vm="564">
        <f ca="1"/>
        <v>81.91</v>
      </c>
      <c r="C104" s="2" vm="549">
        <f ca="1"/>
        <v>82.03</v>
      </c>
      <c r="D104" s="2" vm="565">
        <f ca="1"/>
        <v>79.275000000000006</v>
      </c>
      <c r="E104" s="2" vm="555">
        <f ca="1"/>
        <v>79.59</v>
      </c>
      <c r="F104" vm="566">
        <f ca="1"/>
        <v>13971284</v>
      </c>
    </row>
    <row r="105" spans="1:6" x14ac:dyDescent="0.2">
      <c r="A105" s="1" vm="567">
        <f ca="1"/>
        <v>44588</v>
      </c>
      <c r="B105" s="2" vm="568">
        <f ca="1"/>
        <v>80.11</v>
      </c>
      <c r="C105" s="2" vm="569">
        <f ca="1"/>
        <v>81.150000000000006</v>
      </c>
      <c r="D105" s="2" vm="570">
        <f ca="1"/>
        <v>79.2</v>
      </c>
      <c r="E105" s="2" vm="571">
        <f ca="1"/>
        <v>79.78</v>
      </c>
      <c r="F105" vm="572">
        <f ca="1"/>
        <v>10333982</v>
      </c>
    </row>
    <row r="106" spans="1:6" x14ac:dyDescent="0.2">
      <c r="A106" s="1" vm="573">
        <f ca="1"/>
        <v>44589</v>
      </c>
      <c r="B106" s="2" vm="574">
        <f ca="1"/>
        <v>79.989999999999995</v>
      </c>
      <c r="C106" s="2" vm="575">
        <f ca="1"/>
        <v>80.5</v>
      </c>
      <c r="D106" s="2" vm="576">
        <f ca="1"/>
        <v>78.569999999999993</v>
      </c>
      <c r="E106" s="2" vm="577">
        <f ca="1"/>
        <v>80.48</v>
      </c>
      <c r="F106" vm="578">
        <f ca="1"/>
        <v>7854679</v>
      </c>
    </row>
    <row r="107" spans="1:6" x14ac:dyDescent="0.2">
      <c r="A107" s="1" vm="579">
        <f ca="1"/>
        <v>44592</v>
      </c>
      <c r="B107" s="2" vm="580">
        <f ca="1"/>
        <v>80.489999999999995</v>
      </c>
      <c r="C107" s="2" vm="581">
        <f ca="1"/>
        <v>81.64</v>
      </c>
      <c r="D107" s="2" vm="582">
        <f ca="1"/>
        <v>80.12</v>
      </c>
      <c r="E107" s="2" vm="583">
        <f ca="1"/>
        <v>81.16</v>
      </c>
      <c r="F107" vm="584">
        <f ca="1"/>
        <v>10594228</v>
      </c>
    </row>
    <row r="108" spans="1:6" x14ac:dyDescent="0.2">
      <c r="A108" s="1" vm="585">
        <f ca="1"/>
        <v>44593</v>
      </c>
      <c r="B108" s="2" vm="586">
        <f ca="1"/>
        <v>81.400000000000006</v>
      </c>
      <c r="C108" s="2" vm="586">
        <f ca="1"/>
        <v>81.400000000000006</v>
      </c>
      <c r="D108" s="2" vm="587">
        <f ca="1"/>
        <v>79.644999999999996</v>
      </c>
      <c r="E108" s="2" vm="588">
        <f ca="1"/>
        <v>81.040000000000006</v>
      </c>
      <c r="F108" vm="589">
        <f ca="1"/>
        <v>8016863</v>
      </c>
    </row>
    <row r="109" spans="1:6" x14ac:dyDescent="0.2">
      <c r="A109" s="1" vm="590">
        <f ca="1"/>
        <v>44594</v>
      </c>
      <c r="B109" s="2" vm="583">
        <f ca="1"/>
        <v>81.16</v>
      </c>
      <c r="C109" s="2" vm="591">
        <f ca="1"/>
        <v>82.88</v>
      </c>
      <c r="D109" s="2" vm="592">
        <f ca="1"/>
        <v>80.84</v>
      </c>
      <c r="E109" s="2" vm="593">
        <f ca="1"/>
        <v>82.5</v>
      </c>
      <c r="F109" vm="594">
        <f ca="1"/>
        <v>9287553</v>
      </c>
    </row>
    <row r="110" spans="1:6" x14ac:dyDescent="0.2">
      <c r="A110" s="1" vm="595">
        <f ca="1"/>
        <v>44595</v>
      </c>
      <c r="B110" s="2" vm="596">
        <f ca="1"/>
        <v>81.63</v>
      </c>
      <c r="C110" s="2" vm="597">
        <f ca="1"/>
        <v>82.759</v>
      </c>
      <c r="D110" s="2" vm="596">
        <f ca="1"/>
        <v>81.63</v>
      </c>
      <c r="E110" s="2" vm="598">
        <f ca="1"/>
        <v>81.94</v>
      </c>
      <c r="F110" vm="599">
        <f ca="1"/>
        <v>8207183</v>
      </c>
    </row>
    <row r="111" spans="1:6" x14ac:dyDescent="0.2">
      <c r="A111" s="1" vm="600">
        <f ca="1"/>
        <v>44596</v>
      </c>
      <c r="B111" s="2" vm="549">
        <f ca="1"/>
        <v>82.03</v>
      </c>
      <c r="C111" s="2" vm="601">
        <f ca="1"/>
        <v>82.91</v>
      </c>
      <c r="D111" s="2" vm="602">
        <f ca="1"/>
        <v>81.474999999999994</v>
      </c>
      <c r="E111" s="2" vm="603">
        <f ca="1"/>
        <v>82.11</v>
      </c>
      <c r="F111" vm="604">
        <f ca="1"/>
        <v>5570209</v>
      </c>
    </row>
    <row r="112" spans="1:6" x14ac:dyDescent="0.2">
      <c r="A112" s="1" vm="605">
        <f ca="1"/>
        <v>44599</v>
      </c>
      <c r="B112" s="2" vm="606">
        <f ca="1"/>
        <v>82.14</v>
      </c>
      <c r="C112" s="2" vm="607">
        <f ca="1"/>
        <v>82.25</v>
      </c>
      <c r="D112" s="2" vm="608">
        <f ca="1"/>
        <v>80.66</v>
      </c>
      <c r="E112" s="2" vm="609">
        <f ca="1"/>
        <v>80.739999999999995</v>
      </c>
      <c r="F112" vm="610">
        <f ca="1"/>
        <v>6292225</v>
      </c>
    </row>
    <row r="113" spans="1:6" x14ac:dyDescent="0.2">
      <c r="A113" s="1" vm="611">
        <f ca="1"/>
        <v>44600</v>
      </c>
      <c r="B113" s="2" vm="612">
        <f ca="1"/>
        <v>80.290000000000006</v>
      </c>
      <c r="C113" s="2" vm="613">
        <f ca="1"/>
        <v>80.86</v>
      </c>
      <c r="D113" s="2" vm="614">
        <f ca="1"/>
        <v>79.8001</v>
      </c>
      <c r="E113" s="2" vm="615">
        <f ca="1"/>
        <v>80.790000000000006</v>
      </c>
      <c r="F113" vm="616">
        <f ca="1"/>
        <v>6585399</v>
      </c>
    </row>
    <row r="114" spans="1:6" x14ac:dyDescent="0.2">
      <c r="A114" s="1" vm="617">
        <f ca="1"/>
        <v>44601</v>
      </c>
      <c r="B114" s="2" vm="618">
        <f ca="1"/>
        <v>81.745000000000005</v>
      </c>
      <c r="C114" s="2" vm="619">
        <f ca="1"/>
        <v>83.65</v>
      </c>
      <c r="D114" s="2" vm="620">
        <f ca="1"/>
        <v>81.650000000000006</v>
      </c>
      <c r="E114" s="2" vm="621">
        <f ca="1"/>
        <v>83.45</v>
      </c>
      <c r="F114" vm="622">
        <f ca="1"/>
        <v>8755857</v>
      </c>
    </row>
    <row r="115" spans="1:6" x14ac:dyDescent="0.2">
      <c r="A115" s="1" vm="623">
        <f ca="1"/>
        <v>44602</v>
      </c>
      <c r="B115" s="2" vm="624">
        <f ca="1"/>
        <v>82.75</v>
      </c>
      <c r="C115" s="2" vm="625">
        <f ca="1"/>
        <v>83.78</v>
      </c>
      <c r="D115" s="2" vm="626">
        <f ca="1"/>
        <v>81.62</v>
      </c>
      <c r="E115" s="2" vm="627">
        <f ca="1"/>
        <v>81.849999999999994</v>
      </c>
      <c r="F115" vm="628">
        <f ca="1"/>
        <v>6336287</v>
      </c>
    </row>
    <row r="116" spans="1:6" x14ac:dyDescent="0.2">
      <c r="A116" s="1" vm="629">
        <f ca="1"/>
        <v>44603</v>
      </c>
      <c r="B116" s="2" vm="630">
        <f ca="1"/>
        <v>81.84</v>
      </c>
      <c r="C116" s="2" vm="631">
        <f ca="1"/>
        <v>82.43</v>
      </c>
      <c r="D116" s="2" vm="632">
        <f ca="1"/>
        <v>79.533799999999999</v>
      </c>
      <c r="E116" s="2" vm="633">
        <f ca="1"/>
        <v>79.75</v>
      </c>
      <c r="F116" vm="634">
        <f ca="1"/>
        <v>7670453</v>
      </c>
    </row>
    <row r="117" spans="1:6" x14ac:dyDescent="0.2">
      <c r="A117" s="1" vm="635">
        <f ca="1"/>
        <v>44606</v>
      </c>
      <c r="B117" s="2" vm="636">
        <f ca="1"/>
        <v>79.58</v>
      </c>
      <c r="C117" s="2" vm="637">
        <f ca="1"/>
        <v>79.73</v>
      </c>
      <c r="D117" s="2" vm="638">
        <f ca="1"/>
        <v>78.44</v>
      </c>
      <c r="E117" s="2" vm="639">
        <f ca="1"/>
        <v>78.95</v>
      </c>
      <c r="F117" vm="640">
        <f ca="1"/>
        <v>5389794</v>
      </c>
    </row>
    <row r="118" spans="1:6" x14ac:dyDescent="0.2">
      <c r="A118" s="1" vm="641">
        <f ca="1"/>
        <v>44607</v>
      </c>
      <c r="B118" s="2" vm="642">
        <f ca="1"/>
        <v>79.39</v>
      </c>
      <c r="C118" s="2" vm="643">
        <f ca="1"/>
        <v>79.924999999999997</v>
      </c>
      <c r="D118" s="2" vm="644">
        <f ca="1"/>
        <v>79.209999999999994</v>
      </c>
      <c r="E118" s="2" vm="645">
        <f ca="1"/>
        <v>79.77</v>
      </c>
      <c r="F118" vm="646">
        <f ca="1"/>
        <v>5713602</v>
      </c>
    </row>
    <row r="119" spans="1:6" x14ac:dyDescent="0.2">
      <c r="A119" s="1" vm="647">
        <f ca="1"/>
        <v>44608</v>
      </c>
      <c r="B119" s="2" vm="648">
        <f ca="1"/>
        <v>79.47</v>
      </c>
      <c r="C119" s="2" vm="649">
        <f ca="1"/>
        <v>79.781700000000001</v>
      </c>
      <c r="D119" s="2" vm="650">
        <f ca="1"/>
        <v>78.22</v>
      </c>
      <c r="E119" s="2" vm="651">
        <f ca="1"/>
        <v>79.19</v>
      </c>
      <c r="F119" vm="652">
        <f ca="1"/>
        <v>6227096</v>
      </c>
    </row>
    <row r="120" spans="1:6" x14ac:dyDescent="0.2">
      <c r="A120" s="1" vm="653">
        <f ca="1"/>
        <v>44609</v>
      </c>
      <c r="B120" s="2" vm="654">
        <f ca="1"/>
        <v>78.760000000000005</v>
      </c>
      <c r="C120" s="2" vm="655">
        <f ca="1"/>
        <v>78.98</v>
      </c>
      <c r="D120" s="2" vm="656">
        <f ca="1"/>
        <v>75.33</v>
      </c>
      <c r="E120" s="2" vm="657">
        <f ca="1"/>
        <v>75.53</v>
      </c>
      <c r="F120" vm="658">
        <f ca="1"/>
        <v>9247133</v>
      </c>
    </row>
    <row r="121" spans="1:6" x14ac:dyDescent="0.2">
      <c r="A121" s="1" vm="659">
        <f ca="1"/>
        <v>44610</v>
      </c>
      <c r="B121" s="2" vm="660">
        <f ca="1"/>
        <v>75.5</v>
      </c>
      <c r="C121" s="2" vm="661">
        <f ca="1"/>
        <v>75.73</v>
      </c>
      <c r="D121" s="2" vm="662">
        <f ca="1"/>
        <v>74.28</v>
      </c>
      <c r="E121" s="2" vm="663">
        <f ca="1"/>
        <v>74.569999999999993</v>
      </c>
      <c r="F121" vm="664">
        <f ca="1"/>
        <v>7790102</v>
      </c>
    </row>
    <row r="122" spans="1:6" x14ac:dyDescent="0.2">
      <c r="A122" s="1" vm="665">
        <f ca="1"/>
        <v>44614</v>
      </c>
      <c r="B122" s="2" vm="666">
        <f ca="1"/>
        <v>73.819999999999993</v>
      </c>
      <c r="C122" s="2" vm="667">
        <f ca="1"/>
        <v>74.91</v>
      </c>
      <c r="D122" s="2" vm="668">
        <f ca="1"/>
        <v>73.62</v>
      </c>
      <c r="E122" s="2" vm="669">
        <f ca="1"/>
        <v>74.12</v>
      </c>
      <c r="F122" vm="670">
        <f ca="1"/>
        <v>8039023</v>
      </c>
    </row>
    <row r="123" spans="1:6" x14ac:dyDescent="0.2">
      <c r="A123" s="1" vm="671">
        <f ca="1"/>
        <v>44615</v>
      </c>
      <c r="B123" s="2" vm="672">
        <f ca="1"/>
        <v>74.069999999999993</v>
      </c>
      <c r="C123" s="2" vm="673">
        <f ca="1"/>
        <v>74.38</v>
      </c>
      <c r="D123" s="2" vm="674">
        <f ca="1"/>
        <v>72.349999999999994</v>
      </c>
      <c r="E123" s="2" vm="675">
        <f ca="1"/>
        <v>72.47</v>
      </c>
      <c r="F123" vm="676">
        <f ca="1"/>
        <v>6807081</v>
      </c>
    </row>
    <row r="124" spans="1:6" x14ac:dyDescent="0.2">
      <c r="A124" s="1" vm="677">
        <f ca="1"/>
        <v>44616</v>
      </c>
      <c r="B124" s="2" vm="678">
        <f ca="1"/>
        <v>70.94</v>
      </c>
      <c r="C124" s="2" vm="679">
        <f ca="1"/>
        <v>74.944999999999993</v>
      </c>
      <c r="D124" s="2" vm="680">
        <f ca="1"/>
        <v>70.23</v>
      </c>
      <c r="E124" s="2" vm="681">
        <f ca="1"/>
        <v>74.81</v>
      </c>
      <c r="F124" vm="682">
        <f ca="1"/>
        <v>11240472</v>
      </c>
    </row>
    <row r="125" spans="1:6" x14ac:dyDescent="0.2">
      <c r="A125" s="1" vm="683">
        <f ca="1"/>
        <v>44617</v>
      </c>
      <c r="B125" s="2" vm="684">
        <f ca="1"/>
        <v>74.650000000000006</v>
      </c>
      <c r="C125" s="2" vm="685">
        <f ca="1"/>
        <v>76.834999999999994</v>
      </c>
      <c r="D125" s="2" vm="686">
        <f ca="1"/>
        <v>74.319999999999993</v>
      </c>
      <c r="E125" s="2" vm="687">
        <f ca="1"/>
        <v>76.349999999999994</v>
      </c>
      <c r="F125" vm="688">
        <f ca="1"/>
        <v>8291803</v>
      </c>
    </row>
    <row r="126" spans="1:6" x14ac:dyDescent="0.2">
      <c r="A126" s="1" vm="689">
        <f ca="1"/>
        <v>44620</v>
      </c>
      <c r="B126" s="2" vm="690">
        <f ca="1"/>
        <v>75.569999999999993</v>
      </c>
      <c r="C126" s="2" vm="691">
        <f ca="1"/>
        <v>76.699799999999996</v>
      </c>
      <c r="D126" s="2" vm="692">
        <f ca="1"/>
        <v>75.02</v>
      </c>
      <c r="E126" s="2" vm="693">
        <f ca="1"/>
        <v>75.97</v>
      </c>
      <c r="F126" vm="694">
        <f ca="1"/>
        <v>9234369</v>
      </c>
    </row>
    <row r="127" spans="1:6" x14ac:dyDescent="0.2">
      <c r="A127" s="1" vm="695">
        <f ca="1"/>
        <v>44621</v>
      </c>
      <c r="B127" s="2" vm="696">
        <f ca="1"/>
        <v>75.98</v>
      </c>
      <c r="C127" s="2" vm="697">
        <f ca="1"/>
        <v>76.499899999999997</v>
      </c>
      <c r="D127" s="2" vm="698">
        <f ca="1"/>
        <v>75.62</v>
      </c>
      <c r="E127" s="2" vm="699">
        <f ca="1"/>
        <v>76.010000000000005</v>
      </c>
      <c r="F127" vm="700">
        <f ca="1"/>
        <v>8752131</v>
      </c>
    </row>
    <row r="128" spans="1:6" x14ac:dyDescent="0.2">
      <c r="A128" s="1" vm="701">
        <f ca="1"/>
        <v>44622</v>
      </c>
      <c r="B128" s="2" vm="702">
        <f ca="1"/>
        <v>76.45</v>
      </c>
      <c r="C128" s="2" vm="703">
        <f ca="1"/>
        <v>78.86</v>
      </c>
      <c r="D128" s="2" vm="704">
        <f ca="1"/>
        <v>76.25</v>
      </c>
      <c r="E128" s="2" vm="705">
        <f ca="1"/>
        <v>78.28</v>
      </c>
      <c r="F128" vm="706">
        <f ca="1"/>
        <v>8527165</v>
      </c>
    </row>
    <row r="129" spans="1:6" x14ac:dyDescent="0.2">
      <c r="A129" s="1" vm="707">
        <f ca="1"/>
        <v>44623</v>
      </c>
      <c r="B129" s="2" vm="708">
        <f ca="1"/>
        <v>78.959999999999994</v>
      </c>
      <c r="C129" s="2" vm="709">
        <f ca="1"/>
        <v>79.040000000000006</v>
      </c>
      <c r="D129" s="2" vm="710">
        <f ca="1"/>
        <v>77.430000000000007</v>
      </c>
      <c r="E129" s="2" vm="711">
        <f ca="1"/>
        <v>78.25</v>
      </c>
      <c r="F129" vm="712">
        <f ca="1"/>
        <v>8203025</v>
      </c>
    </row>
    <row r="130" spans="1:6" x14ac:dyDescent="0.2">
      <c r="A130" s="1" vm="713">
        <f ca="1"/>
        <v>44624</v>
      </c>
      <c r="B130" s="2" vm="714">
        <f ca="1"/>
        <v>77.67</v>
      </c>
      <c r="C130" s="2" vm="715">
        <f ca="1"/>
        <v>77.91</v>
      </c>
      <c r="D130" s="2" vm="716">
        <f ca="1"/>
        <v>75.78</v>
      </c>
      <c r="E130" s="2" vm="717">
        <f ca="1"/>
        <v>76.489999999999995</v>
      </c>
      <c r="F130" vm="718">
        <f ca="1"/>
        <v>8841964</v>
      </c>
    </row>
    <row r="131" spans="1:6" x14ac:dyDescent="0.2">
      <c r="A131" s="1" vm="719">
        <f ca="1"/>
        <v>44627</v>
      </c>
      <c r="B131" s="2" vm="720">
        <f ca="1"/>
        <v>76.290000000000006</v>
      </c>
      <c r="C131" s="2" vm="721">
        <f ca="1"/>
        <v>76.39</v>
      </c>
      <c r="D131" s="2" vm="722">
        <f ca="1"/>
        <v>73.444999999999993</v>
      </c>
      <c r="E131" s="2" vm="686">
        <f ca="1"/>
        <v>74.319999999999993</v>
      </c>
      <c r="F131" vm="723">
        <f ca="1"/>
        <v>11110149</v>
      </c>
    </row>
    <row r="132" spans="1:6" x14ac:dyDescent="0.2">
      <c r="A132" s="1" vm="724">
        <f ca="1"/>
        <v>44628</v>
      </c>
      <c r="B132" s="2" vm="725">
        <f ca="1"/>
        <v>73.84</v>
      </c>
      <c r="C132" s="2" vm="726">
        <f ca="1"/>
        <v>75.23</v>
      </c>
      <c r="D132" s="2" vm="727">
        <f ca="1"/>
        <v>73.114999999999995</v>
      </c>
      <c r="E132" s="2" vm="728">
        <f ca="1"/>
        <v>73.33</v>
      </c>
      <c r="F132" vm="729">
        <f ca="1"/>
        <v>9134057</v>
      </c>
    </row>
    <row r="133" spans="1:6" x14ac:dyDescent="0.2">
      <c r="A133" s="1" vm="730">
        <f ca="1"/>
        <v>44629</v>
      </c>
      <c r="B133" s="2" vm="731">
        <f ca="1"/>
        <v>74.92</v>
      </c>
      <c r="C133" s="2" vm="732">
        <f ca="1"/>
        <v>76.95</v>
      </c>
      <c r="D133" s="2" vm="733">
        <f ca="1"/>
        <v>74.69</v>
      </c>
      <c r="E133" s="2" vm="734">
        <f ca="1"/>
        <v>76.099999999999994</v>
      </c>
      <c r="F133" vm="735">
        <f ca="1"/>
        <v>8959496</v>
      </c>
    </row>
    <row r="134" spans="1:6" x14ac:dyDescent="0.2">
      <c r="A134" s="1" vm="736">
        <f ca="1"/>
        <v>44630</v>
      </c>
      <c r="B134" s="2" vm="737">
        <f ca="1"/>
        <v>75.099999999999994</v>
      </c>
      <c r="C134" s="2" vm="738">
        <f ca="1"/>
        <v>76.849999999999994</v>
      </c>
      <c r="D134" s="2" vm="739">
        <f ca="1"/>
        <v>75.03</v>
      </c>
      <c r="E134" s="2" vm="740">
        <f ca="1"/>
        <v>76.650000000000006</v>
      </c>
      <c r="F134" vm="741">
        <f ca="1"/>
        <v>13812596</v>
      </c>
    </row>
    <row r="135" spans="1:6" x14ac:dyDescent="0.2">
      <c r="A135" s="1" vm="742">
        <f ca="1"/>
        <v>44631</v>
      </c>
      <c r="B135" s="2" vm="743">
        <f ca="1"/>
        <v>76.7</v>
      </c>
      <c r="C135" s="2" vm="744">
        <f ca="1"/>
        <v>79.900000000000006</v>
      </c>
      <c r="D135" s="2" vm="745">
        <f ca="1"/>
        <v>74</v>
      </c>
      <c r="E135" s="2" vm="746">
        <f ca="1"/>
        <v>77.819999999999993</v>
      </c>
      <c r="F135" vm="747">
        <f ca="1"/>
        <v>22795849</v>
      </c>
    </row>
    <row r="136" spans="1:6" x14ac:dyDescent="0.2">
      <c r="A136" s="1" vm="748">
        <f ca="1"/>
        <v>44634</v>
      </c>
      <c r="B136" s="2" vm="749">
        <f ca="1"/>
        <v>77.92</v>
      </c>
      <c r="C136" s="2" vm="750">
        <f ca="1"/>
        <v>78.599999999999994</v>
      </c>
      <c r="D136" s="2" vm="751">
        <f ca="1"/>
        <v>75.44</v>
      </c>
      <c r="E136" s="2" vm="752">
        <f ca="1"/>
        <v>77.069999999999993</v>
      </c>
      <c r="F136" vm="753">
        <f ca="1"/>
        <v>13306302</v>
      </c>
    </row>
    <row r="137" spans="1:6" x14ac:dyDescent="0.2">
      <c r="A137" s="1" vm="754">
        <f ca="1"/>
        <v>44635</v>
      </c>
      <c r="B137" s="2" vm="755">
        <f ca="1"/>
        <v>78.05</v>
      </c>
      <c r="C137" s="2" vm="756">
        <f ca="1"/>
        <v>81.540000000000006</v>
      </c>
      <c r="D137" s="2" vm="752">
        <f ca="1"/>
        <v>77.069999999999993</v>
      </c>
      <c r="E137" s="2" vm="757">
        <f ca="1"/>
        <v>80.599999999999994</v>
      </c>
      <c r="F137" vm="758">
        <f ca="1"/>
        <v>16847194</v>
      </c>
    </row>
    <row r="138" spans="1:6" x14ac:dyDescent="0.2">
      <c r="A138" s="1" vm="759">
        <f ca="1"/>
        <v>44636</v>
      </c>
      <c r="B138" s="2" vm="760">
        <f ca="1"/>
        <v>81</v>
      </c>
      <c r="C138" s="2" vm="761">
        <f ca="1"/>
        <v>81.23</v>
      </c>
      <c r="D138" s="2" vm="762">
        <f ca="1"/>
        <v>77.75</v>
      </c>
      <c r="E138" s="2" vm="763">
        <f ca="1"/>
        <v>79.959999999999994</v>
      </c>
      <c r="F138" vm="764">
        <f ca="1"/>
        <v>14071329</v>
      </c>
    </row>
    <row r="139" spans="1:6" x14ac:dyDescent="0.2">
      <c r="A139" s="1" vm="765">
        <f ca="1"/>
        <v>44637</v>
      </c>
      <c r="B139" s="2" vm="571">
        <f ca="1"/>
        <v>79.78</v>
      </c>
      <c r="C139" s="2" vm="766">
        <f ca="1"/>
        <v>81.290000000000006</v>
      </c>
      <c r="D139" s="2" vm="767">
        <f ca="1"/>
        <v>79.260000000000005</v>
      </c>
      <c r="E139" s="2" vm="757">
        <f ca="1"/>
        <v>80.599999999999994</v>
      </c>
      <c r="F139" vm="768">
        <f ca="1"/>
        <v>10462536</v>
      </c>
    </row>
    <row r="140" spans="1:6" x14ac:dyDescent="0.2">
      <c r="A140" s="1" vm="769">
        <f ca="1"/>
        <v>44638</v>
      </c>
      <c r="B140" s="2" vm="770">
        <f ca="1"/>
        <v>79.63</v>
      </c>
      <c r="C140" s="2" vm="771">
        <f ca="1"/>
        <v>81.99</v>
      </c>
      <c r="D140" s="2" vm="772">
        <f ca="1"/>
        <v>78.84</v>
      </c>
      <c r="E140" s="2" vm="773">
        <f ca="1"/>
        <v>81.680000000000007</v>
      </c>
      <c r="F140" vm="774">
        <f ca="1"/>
        <v>24176035</v>
      </c>
    </row>
    <row r="141" spans="1:6" x14ac:dyDescent="0.2">
      <c r="A141" s="1" vm="775">
        <f ca="1"/>
        <v>44641</v>
      </c>
      <c r="B141" s="2" vm="776">
        <f ca="1"/>
        <v>81.28</v>
      </c>
      <c r="C141" s="2" vm="777">
        <f ca="1"/>
        <v>81.98</v>
      </c>
      <c r="D141" s="2" vm="778">
        <f ca="1"/>
        <v>80.27</v>
      </c>
      <c r="E141" s="2" vm="779">
        <f ca="1"/>
        <v>80.959999999999994</v>
      </c>
      <c r="F141" vm="780">
        <f ca="1"/>
        <v>8131283</v>
      </c>
    </row>
    <row r="142" spans="1:6" x14ac:dyDescent="0.2">
      <c r="A142" s="1" vm="781">
        <f ca="1"/>
        <v>44642</v>
      </c>
      <c r="B142" s="2" vm="782">
        <f ca="1"/>
        <v>81.459999999999994</v>
      </c>
      <c r="C142" s="2" vm="783">
        <f ca="1"/>
        <v>82.23</v>
      </c>
      <c r="D142" s="2" vm="784">
        <f ca="1"/>
        <v>80.83</v>
      </c>
      <c r="E142" s="2" vm="785">
        <f ca="1"/>
        <v>81.8</v>
      </c>
      <c r="F142" vm="786">
        <f ca="1"/>
        <v>9292304</v>
      </c>
    </row>
    <row r="143" spans="1:6" x14ac:dyDescent="0.2">
      <c r="A143" s="1" vm="787">
        <f ca="1"/>
        <v>44643</v>
      </c>
      <c r="B143" s="2" vm="788">
        <f ca="1"/>
        <v>81.25</v>
      </c>
      <c r="C143" s="2" vm="789">
        <f ca="1"/>
        <v>81.41</v>
      </c>
      <c r="D143" s="2" vm="790">
        <f ca="1"/>
        <v>80.22</v>
      </c>
      <c r="E143" s="2" vm="791">
        <f ca="1"/>
        <v>80.39</v>
      </c>
      <c r="F143" vm="792">
        <f ca="1"/>
        <v>7451282</v>
      </c>
    </row>
    <row r="144" spans="1:6" x14ac:dyDescent="0.2">
      <c r="A144" s="1" vm="793">
        <f ca="1"/>
        <v>44644</v>
      </c>
      <c r="B144" s="2" vm="794">
        <f ca="1"/>
        <v>80.650000000000006</v>
      </c>
      <c r="C144" s="2" vm="795">
        <f ca="1"/>
        <v>82.814999999999998</v>
      </c>
      <c r="D144" s="2" vm="580">
        <f ca="1"/>
        <v>80.489999999999995</v>
      </c>
      <c r="E144" s="2" vm="796">
        <f ca="1"/>
        <v>82.24</v>
      </c>
      <c r="F144" vm="797">
        <f ca="1"/>
        <v>7025694</v>
      </c>
    </row>
    <row r="145" spans="1:6" x14ac:dyDescent="0.2">
      <c r="A145" s="1" vm="798">
        <f ca="1"/>
        <v>44645</v>
      </c>
      <c r="B145" s="2" vm="799">
        <f ca="1"/>
        <v>82.04</v>
      </c>
      <c r="C145" s="2" vm="800">
        <f ca="1"/>
        <v>82.84</v>
      </c>
      <c r="D145" s="2" vm="761">
        <f ca="1"/>
        <v>81.23</v>
      </c>
      <c r="E145" s="2" vm="801">
        <f ca="1"/>
        <v>81.73</v>
      </c>
      <c r="F145" vm="802">
        <f ca="1"/>
        <v>5685003</v>
      </c>
    </row>
    <row r="146" spans="1:6" x14ac:dyDescent="0.2">
      <c r="A146" s="1" vm="803">
        <f ca="1"/>
        <v>44648</v>
      </c>
      <c r="B146" s="2" vm="804">
        <f ca="1"/>
        <v>81.739999999999995</v>
      </c>
      <c r="C146" s="2" vm="805">
        <f ca="1"/>
        <v>83.706800000000001</v>
      </c>
      <c r="D146" s="2" vm="804">
        <f ca="1"/>
        <v>81.739999999999995</v>
      </c>
      <c r="E146" s="2" vm="806">
        <f ca="1"/>
        <v>83.6</v>
      </c>
      <c r="F146" vm="807">
        <f ca="1"/>
        <v>6626753</v>
      </c>
    </row>
    <row r="147" spans="1:6" x14ac:dyDescent="0.2">
      <c r="A147" s="1" vm="808">
        <f ca="1"/>
        <v>44649</v>
      </c>
      <c r="B147" s="2" vm="809">
        <f ca="1"/>
        <v>84.49</v>
      </c>
      <c r="C147" s="2" vm="810">
        <f ca="1"/>
        <v>84.51</v>
      </c>
      <c r="D147" s="2" vm="811">
        <f ca="1"/>
        <v>83.113</v>
      </c>
      <c r="E147" s="2" vm="812">
        <f ca="1"/>
        <v>84.29</v>
      </c>
      <c r="F147" vm="813">
        <f ca="1"/>
        <v>5762029</v>
      </c>
    </row>
    <row r="148" spans="1:6" x14ac:dyDescent="0.2">
      <c r="A148" s="1" vm="814">
        <f ca="1"/>
        <v>44650</v>
      </c>
      <c r="B148" s="2" vm="815">
        <f ca="1"/>
        <v>83.96</v>
      </c>
      <c r="C148" s="2" vm="816">
        <f ca="1"/>
        <v>84.36</v>
      </c>
      <c r="D148" s="2" vm="817">
        <f ca="1"/>
        <v>83.12</v>
      </c>
      <c r="E148" s="2" vm="547">
        <f ca="1"/>
        <v>83.36</v>
      </c>
      <c r="F148" vm="818">
        <f ca="1"/>
        <v>5533157</v>
      </c>
    </row>
    <row r="149" spans="1:6" x14ac:dyDescent="0.2">
      <c r="A149" s="1" vm="819">
        <f ca="1"/>
        <v>44651</v>
      </c>
      <c r="B149" s="2" vm="820">
        <f ca="1"/>
        <v>83.11</v>
      </c>
      <c r="C149" s="2" vm="821">
        <f ca="1"/>
        <v>83.91</v>
      </c>
      <c r="D149" s="2" vm="822">
        <f ca="1"/>
        <v>82.59</v>
      </c>
      <c r="E149" s="2" vm="823">
        <f ca="1"/>
        <v>82.73</v>
      </c>
      <c r="F149" vm="824">
        <f ca="1"/>
        <v>9433347</v>
      </c>
    </row>
    <row r="150" spans="1:6" x14ac:dyDescent="0.2">
      <c r="A150" s="1" vm="825">
        <f ca="1"/>
        <v>44652</v>
      </c>
      <c r="B150" s="2" vm="826">
        <f ca="1"/>
        <v>83.04</v>
      </c>
      <c r="C150" s="2" vm="547">
        <f ca="1"/>
        <v>83.36</v>
      </c>
      <c r="D150" s="2" vm="827">
        <f ca="1"/>
        <v>81.47</v>
      </c>
      <c r="E150" s="2" vm="828">
        <f ca="1"/>
        <v>82.01</v>
      </c>
      <c r="F150" vm="829">
        <f ca="1"/>
        <v>6147478</v>
      </c>
    </row>
    <row r="151" spans="1:6" x14ac:dyDescent="0.2">
      <c r="A151" s="1" vm="830">
        <f ca="1"/>
        <v>44655</v>
      </c>
      <c r="B151" s="2" vm="607">
        <f ca="1"/>
        <v>82.25</v>
      </c>
      <c r="C151" s="2" vm="831">
        <f ca="1"/>
        <v>84.295000000000002</v>
      </c>
      <c r="D151" s="2" vm="832">
        <f ca="1"/>
        <v>82</v>
      </c>
      <c r="E151" s="2" vm="833">
        <f ca="1"/>
        <v>84.07</v>
      </c>
      <c r="F151" vm="834">
        <f ca="1"/>
        <v>7884320</v>
      </c>
    </row>
    <row r="152" spans="1:6" x14ac:dyDescent="0.2">
      <c r="A152" s="1" vm="835">
        <f ca="1"/>
        <v>44656</v>
      </c>
      <c r="B152" s="2" vm="836">
        <f ca="1"/>
        <v>83.4</v>
      </c>
      <c r="C152" s="2" vm="837">
        <f ca="1"/>
        <v>84.52</v>
      </c>
      <c r="D152" s="2" vm="838">
        <f ca="1"/>
        <v>82.67</v>
      </c>
      <c r="E152" s="2" vm="839">
        <f ca="1"/>
        <v>82.94</v>
      </c>
      <c r="F152" vm="840">
        <f ca="1"/>
        <v>5143421</v>
      </c>
    </row>
    <row r="153" spans="1:6" x14ac:dyDescent="0.2">
      <c r="A153" s="1" vm="841">
        <f ca="1"/>
        <v>44657</v>
      </c>
      <c r="B153" s="2" vm="842">
        <f ca="1"/>
        <v>81.92</v>
      </c>
      <c r="C153" s="2" vm="843">
        <f ca="1"/>
        <v>82.47</v>
      </c>
      <c r="D153" s="2" vm="844">
        <f ca="1"/>
        <v>81.370099999999994</v>
      </c>
      <c r="E153" s="2" vm="845">
        <f ca="1"/>
        <v>82.12</v>
      </c>
      <c r="F153" vm="846">
        <f ca="1"/>
        <v>5492353</v>
      </c>
    </row>
    <row r="154" spans="1:6" x14ac:dyDescent="0.2">
      <c r="A154" s="1" vm="847">
        <f ca="1"/>
        <v>44658</v>
      </c>
      <c r="B154" s="2" vm="788">
        <f ca="1"/>
        <v>81.25</v>
      </c>
      <c r="C154" s="2" vm="828">
        <f ca="1"/>
        <v>82.01</v>
      </c>
      <c r="D154" s="2" vm="848">
        <f ca="1"/>
        <v>80.78</v>
      </c>
      <c r="E154" s="2" vm="756">
        <f ca="1"/>
        <v>81.540000000000006</v>
      </c>
      <c r="F154" vm="849">
        <f ca="1"/>
        <v>7112164</v>
      </c>
    </row>
    <row r="155" spans="1:6" x14ac:dyDescent="0.2">
      <c r="A155" s="1" vm="850">
        <f ca="1"/>
        <v>44659</v>
      </c>
      <c r="B155" s="2" vm="851">
        <f ca="1"/>
        <v>81.709999999999994</v>
      </c>
      <c r="C155" s="2" vm="852">
        <f ca="1"/>
        <v>81.83</v>
      </c>
      <c r="D155" s="2" vm="853">
        <f ca="1"/>
        <v>80.260000000000005</v>
      </c>
      <c r="E155" s="2" vm="854">
        <f ca="1"/>
        <v>80.94</v>
      </c>
      <c r="F155" vm="855">
        <f ca="1"/>
        <v>6182460</v>
      </c>
    </row>
    <row r="156" spans="1:6" x14ac:dyDescent="0.2">
      <c r="A156" s="1" vm="856">
        <f ca="1"/>
        <v>44662</v>
      </c>
      <c r="B156" s="2" vm="857">
        <f ca="1"/>
        <v>80.63</v>
      </c>
      <c r="C156" s="2" vm="858">
        <f ca="1"/>
        <v>81.13</v>
      </c>
      <c r="D156" s="2" vm="859">
        <f ca="1"/>
        <v>79.7</v>
      </c>
      <c r="E156" s="2" vm="860">
        <f ca="1"/>
        <v>79.760000000000005</v>
      </c>
      <c r="F156" vm="861">
        <f ca="1"/>
        <v>5738411</v>
      </c>
    </row>
    <row r="157" spans="1:6" x14ac:dyDescent="0.2">
      <c r="A157" s="1" vm="862">
        <f ca="1"/>
        <v>44663</v>
      </c>
      <c r="B157" s="2" vm="863">
        <f ca="1"/>
        <v>79.95</v>
      </c>
      <c r="C157" s="2" vm="864">
        <f ca="1"/>
        <v>80.989999999999995</v>
      </c>
      <c r="D157" s="2" vm="865">
        <f ca="1"/>
        <v>79.02</v>
      </c>
      <c r="E157" s="2" vm="866">
        <f ca="1"/>
        <v>79.33</v>
      </c>
      <c r="F157" vm="867">
        <f ca="1"/>
        <v>6174735</v>
      </c>
    </row>
    <row r="158" spans="1:6" x14ac:dyDescent="0.2">
      <c r="A158" s="1" vm="868">
        <f ca="1"/>
        <v>44664</v>
      </c>
      <c r="B158" s="2" vm="767">
        <f ca="1"/>
        <v>79.260000000000005</v>
      </c>
      <c r="C158" s="2" vm="763">
        <f ca="1"/>
        <v>79.959999999999994</v>
      </c>
      <c r="D158" s="2" vm="869">
        <f ca="1"/>
        <v>78.63</v>
      </c>
      <c r="E158" s="2" vm="633">
        <f ca="1"/>
        <v>79.75</v>
      </c>
      <c r="F158" vm="870">
        <f ca="1"/>
        <v>4728639</v>
      </c>
    </row>
    <row r="159" spans="1:6" x14ac:dyDescent="0.2">
      <c r="A159" s="1" vm="871">
        <f ca="1"/>
        <v>44665</v>
      </c>
      <c r="B159" s="2" vm="872">
        <f ca="1"/>
        <v>79.83</v>
      </c>
      <c r="C159" s="2" vm="873">
        <f ca="1"/>
        <v>80.36</v>
      </c>
      <c r="D159" s="2" vm="874">
        <f ca="1"/>
        <v>79.319999999999993</v>
      </c>
      <c r="E159" s="2" vm="875">
        <f ca="1"/>
        <v>79.45</v>
      </c>
      <c r="F159" vm="876">
        <f ca="1"/>
        <v>5590385</v>
      </c>
    </row>
    <row r="160" spans="1:6" x14ac:dyDescent="0.2">
      <c r="A160" s="1" vm="877">
        <f ca="1"/>
        <v>44669</v>
      </c>
      <c r="B160" s="2" vm="878">
        <f ca="1"/>
        <v>79.150000000000006</v>
      </c>
      <c r="C160" s="2" vm="879">
        <f ca="1"/>
        <v>79.98</v>
      </c>
      <c r="D160" s="2" vm="715">
        <f ca="1"/>
        <v>77.91</v>
      </c>
      <c r="E160" s="2" vm="650">
        <f ca="1"/>
        <v>78.22</v>
      </c>
      <c r="F160" vm="880">
        <f ca="1"/>
        <v>4955883</v>
      </c>
    </row>
    <row r="161" spans="1:6" x14ac:dyDescent="0.2">
      <c r="A161" s="1" vm="881">
        <f ca="1"/>
        <v>44670</v>
      </c>
      <c r="B161" s="2" vm="711">
        <f ca="1"/>
        <v>78.25</v>
      </c>
      <c r="C161" s="2" vm="571">
        <f ca="1"/>
        <v>79.78</v>
      </c>
      <c r="D161" s="2" vm="882">
        <f ca="1"/>
        <v>78.235500000000002</v>
      </c>
      <c r="E161" s="2" vm="883">
        <f ca="1"/>
        <v>79.56</v>
      </c>
      <c r="F161" vm="884">
        <f ca="1"/>
        <v>5412371</v>
      </c>
    </row>
    <row r="162" spans="1:6" x14ac:dyDescent="0.2">
      <c r="A162" s="1" vm="885">
        <f ca="1"/>
        <v>44671</v>
      </c>
      <c r="B162" s="2" vm="886">
        <f ca="1"/>
        <v>79.790000000000006</v>
      </c>
      <c r="C162" s="2" vm="887">
        <f ca="1"/>
        <v>81.86</v>
      </c>
      <c r="D162" s="2" vm="886">
        <f ca="1"/>
        <v>79.790000000000006</v>
      </c>
      <c r="E162" s="2" vm="612">
        <f ca="1"/>
        <v>80.290000000000006</v>
      </c>
      <c r="F162" vm="888">
        <f ca="1"/>
        <v>9472638</v>
      </c>
    </row>
    <row r="163" spans="1:6" x14ac:dyDescent="0.2">
      <c r="A163" s="1" vm="889">
        <f ca="1"/>
        <v>44672</v>
      </c>
      <c r="B163" s="2" vm="890">
        <f ca="1"/>
        <v>81.489999999999995</v>
      </c>
      <c r="C163" s="2" vm="891">
        <f ca="1"/>
        <v>81.599999999999994</v>
      </c>
      <c r="D163" s="2" vm="866">
        <f ca="1"/>
        <v>79.33</v>
      </c>
      <c r="E163" s="2" vm="892">
        <f ca="1"/>
        <v>79.48</v>
      </c>
      <c r="F163" vm="893">
        <f ca="1"/>
        <v>5616095</v>
      </c>
    </row>
    <row r="164" spans="1:6" x14ac:dyDescent="0.2">
      <c r="A164" s="1" vm="894">
        <f ca="1"/>
        <v>44673</v>
      </c>
      <c r="B164" s="2" vm="895">
        <f ca="1"/>
        <v>79.27</v>
      </c>
      <c r="C164" s="2" vm="859">
        <f ca="1"/>
        <v>79.7</v>
      </c>
      <c r="D164" s="2" vm="896">
        <f ca="1"/>
        <v>76.16</v>
      </c>
      <c r="E164" s="2" vm="897">
        <f ca="1"/>
        <v>76.209999999999994</v>
      </c>
      <c r="F164" vm="898">
        <f ca="1"/>
        <v>9357054</v>
      </c>
    </row>
    <row r="165" spans="1:6" x14ac:dyDescent="0.2">
      <c r="A165" s="1" vm="899">
        <f ca="1"/>
        <v>44676</v>
      </c>
      <c r="B165" s="2" vm="900">
        <f ca="1"/>
        <v>76.2</v>
      </c>
      <c r="C165" s="2" vm="901">
        <f ca="1"/>
        <v>77.06</v>
      </c>
      <c r="D165" s="2" vm="902">
        <f ca="1"/>
        <v>74.7</v>
      </c>
      <c r="E165" s="2" vm="903">
        <f ca="1"/>
        <v>76.98</v>
      </c>
      <c r="F165" vm="904">
        <f ca="1"/>
        <v>7305933</v>
      </c>
    </row>
    <row r="166" spans="1:6" x14ac:dyDescent="0.2">
      <c r="A166" s="1" vm="905">
        <f ca="1"/>
        <v>44677</v>
      </c>
      <c r="B166" s="2" vm="687">
        <f ca="1"/>
        <v>76.349999999999994</v>
      </c>
      <c r="C166" s="2" vm="740">
        <f ca="1"/>
        <v>76.650000000000006</v>
      </c>
      <c r="D166" s="2" vm="906">
        <f ca="1"/>
        <v>74.48</v>
      </c>
      <c r="E166" s="2" vm="907">
        <f ca="1"/>
        <v>74.510000000000005</v>
      </c>
      <c r="F166" vm="908">
        <f ca="1"/>
        <v>7555238</v>
      </c>
    </row>
    <row r="167" spans="1:6" x14ac:dyDescent="0.2">
      <c r="A167" s="1" vm="909">
        <f ca="1"/>
        <v>44678</v>
      </c>
      <c r="B167" s="2" vm="910">
        <f ca="1"/>
        <v>74.58</v>
      </c>
      <c r="C167" s="2" vm="911">
        <f ca="1"/>
        <v>76.02</v>
      </c>
      <c r="D167" s="2" vm="912">
        <f ca="1"/>
        <v>74.42</v>
      </c>
      <c r="E167" s="2" vm="913">
        <f ca="1"/>
        <v>74.760000000000005</v>
      </c>
      <c r="F167" vm="914">
        <f ca="1"/>
        <v>7279244</v>
      </c>
    </row>
    <row r="168" spans="1:6" x14ac:dyDescent="0.2">
      <c r="A168" s="1" vm="915">
        <f ca="1"/>
        <v>44679</v>
      </c>
      <c r="B168" s="2" vm="916">
        <f ca="1"/>
        <v>75.52</v>
      </c>
      <c r="C168" s="2" vm="917">
        <f ca="1"/>
        <v>76.63</v>
      </c>
      <c r="D168" s="2" vm="918">
        <f ca="1"/>
        <v>74.599999999999994</v>
      </c>
      <c r="E168" s="2" vm="919">
        <f ca="1"/>
        <v>76.14</v>
      </c>
      <c r="F168" vm="920">
        <f ca="1"/>
        <v>6178748</v>
      </c>
    </row>
    <row r="169" spans="1:6" x14ac:dyDescent="0.2">
      <c r="A169" s="1" vm="921">
        <f ca="1"/>
        <v>44680</v>
      </c>
      <c r="B169" s="2" vm="922">
        <f ca="1"/>
        <v>75.34</v>
      </c>
      <c r="C169" s="2" vm="923">
        <f ca="1"/>
        <v>75.87</v>
      </c>
      <c r="D169" s="2" vm="924">
        <f ca="1"/>
        <v>73.150000000000006</v>
      </c>
      <c r="E169" s="2" vm="925">
        <f ca="1"/>
        <v>73.400000000000006</v>
      </c>
      <c r="F169" vm="926">
        <f ca="1"/>
        <v>7946947</v>
      </c>
    </row>
    <row r="170" spans="1:6" x14ac:dyDescent="0.2">
      <c r="A170" s="1" vm="927">
        <f ca="1"/>
        <v>44683</v>
      </c>
      <c r="B170" s="2" vm="928">
        <f ca="1"/>
        <v>73.930000000000007</v>
      </c>
      <c r="C170" s="2" vm="918">
        <f ca="1"/>
        <v>74.599999999999994</v>
      </c>
      <c r="D170" s="2" vm="929">
        <f ca="1"/>
        <v>72.525000000000006</v>
      </c>
      <c r="E170" s="2" vm="745">
        <f ca="1"/>
        <v>74</v>
      </c>
      <c r="F170" vm="930">
        <f ca="1"/>
        <v>7379947</v>
      </c>
    </row>
    <row r="171" spans="1:6" x14ac:dyDescent="0.2">
      <c r="A171" s="1" vm="931">
        <f ca="1"/>
        <v>44684</v>
      </c>
      <c r="B171" s="2" vm="932">
        <f ca="1"/>
        <v>73.849999999999994</v>
      </c>
      <c r="C171" s="2" vm="933">
        <f ca="1"/>
        <v>74.209999999999994</v>
      </c>
      <c r="D171" s="2" vm="934">
        <f ca="1"/>
        <v>72.805000000000007</v>
      </c>
      <c r="E171" s="2" vm="935">
        <f ca="1"/>
        <v>73.290000000000006</v>
      </c>
      <c r="F171" vm="936">
        <f ca="1"/>
        <v>5211626</v>
      </c>
    </row>
    <row r="172" spans="1:6" x14ac:dyDescent="0.2">
      <c r="A172" s="1" vm="937">
        <f ca="1"/>
        <v>44685</v>
      </c>
      <c r="B172" s="2" vm="938">
        <f ca="1"/>
        <v>73.38</v>
      </c>
      <c r="C172" s="2" vm="939">
        <f ca="1"/>
        <v>75.349999999999994</v>
      </c>
      <c r="D172" s="2" vm="940">
        <f ca="1"/>
        <v>72.790000000000006</v>
      </c>
      <c r="E172" s="2" vm="941">
        <f ca="1"/>
        <v>75.209999999999994</v>
      </c>
      <c r="F172" vm="942">
        <f ca="1"/>
        <v>6760142</v>
      </c>
    </row>
    <row r="173" spans="1:6" x14ac:dyDescent="0.2">
      <c r="A173" s="1" vm="943">
        <f ca="1"/>
        <v>44686</v>
      </c>
      <c r="B173" s="2" vm="745">
        <f ca="1"/>
        <v>74</v>
      </c>
      <c r="C173" s="2" vm="944">
        <f ca="1"/>
        <v>74.72</v>
      </c>
      <c r="D173" s="2" vm="945">
        <f ca="1"/>
        <v>71.989999999999995</v>
      </c>
      <c r="E173" s="2" vm="946">
        <f ca="1"/>
        <v>72.8</v>
      </c>
      <c r="F173" vm="947">
        <f ca="1"/>
        <v>7197207</v>
      </c>
    </row>
    <row r="174" spans="1:6" x14ac:dyDescent="0.2">
      <c r="A174" s="1" vm="948">
        <f ca="1"/>
        <v>44687</v>
      </c>
      <c r="B174" s="2" vm="949">
        <f ca="1"/>
        <v>72.13</v>
      </c>
      <c r="C174" s="2" vm="950">
        <f ca="1"/>
        <v>72.94</v>
      </c>
      <c r="D174" s="2" vm="951">
        <f ca="1"/>
        <v>71.63</v>
      </c>
      <c r="E174" s="2" vm="952">
        <f ca="1"/>
        <v>72.489999999999995</v>
      </c>
      <c r="F174" vm="953">
        <f ca="1"/>
        <v>6222457</v>
      </c>
    </row>
    <row r="175" spans="1:6" x14ac:dyDescent="0.2">
      <c r="A175" s="1" vm="954">
        <f ca="1"/>
        <v>44690</v>
      </c>
      <c r="B175" s="2" vm="955">
        <f ca="1"/>
        <v>71.64</v>
      </c>
      <c r="C175" s="2" vm="956">
        <f ca="1"/>
        <v>72.59</v>
      </c>
      <c r="D175" s="2" vm="957">
        <f ca="1"/>
        <v>71.17</v>
      </c>
      <c r="E175" s="2" vm="958">
        <f ca="1"/>
        <v>71.540000000000006</v>
      </c>
      <c r="F175" vm="959">
        <f ca="1"/>
        <v>7019736</v>
      </c>
    </row>
    <row r="176" spans="1:6" x14ac:dyDescent="0.2">
      <c r="A176" s="1" vm="960">
        <f ca="1"/>
        <v>44691</v>
      </c>
      <c r="B176" s="2" vm="961">
        <f ca="1"/>
        <v>72.5</v>
      </c>
      <c r="C176" s="2" vm="668">
        <f ca="1"/>
        <v>73.62</v>
      </c>
      <c r="D176" s="2" vm="962">
        <f ca="1"/>
        <v>71.27</v>
      </c>
      <c r="E176" s="2" vm="963">
        <f ca="1"/>
        <v>72.53</v>
      </c>
      <c r="F176" vm="964">
        <f ca="1"/>
        <v>8129032</v>
      </c>
    </row>
    <row r="177" spans="1:6" x14ac:dyDescent="0.2">
      <c r="A177" s="1" vm="965">
        <f ca="1"/>
        <v>44692</v>
      </c>
      <c r="B177" s="2" vm="966">
        <f ca="1"/>
        <v>72.31</v>
      </c>
      <c r="C177" s="2" vm="967">
        <f ca="1"/>
        <v>73.459999999999994</v>
      </c>
      <c r="D177" s="2" vm="968">
        <f ca="1"/>
        <v>70.87</v>
      </c>
      <c r="E177" s="2" vm="969">
        <f ca="1"/>
        <v>71.03</v>
      </c>
      <c r="F177" vm="970">
        <f ca="1"/>
        <v>6932051</v>
      </c>
    </row>
    <row r="178" spans="1:6" x14ac:dyDescent="0.2">
      <c r="A178" s="1" vm="971">
        <f ca="1"/>
        <v>44693</v>
      </c>
      <c r="B178" s="2" vm="972">
        <f ca="1"/>
        <v>70.88</v>
      </c>
      <c r="C178" s="2" vm="973">
        <f ca="1"/>
        <v>70.930000000000007</v>
      </c>
      <c r="D178" s="2" vm="974">
        <f ca="1"/>
        <v>68.97</v>
      </c>
      <c r="E178" s="2" vm="975">
        <f ca="1"/>
        <v>70.73</v>
      </c>
      <c r="F178" vm="976">
        <f ca="1"/>
        <v>11698892</v>
      </c>
    </row>
    <row r="179" spans="1:6" x14ac:dyDescent="0.2">
      <c r="A179" s="1" vm="977">
        <f ca="1"/>
        <v>44694</v>
      </c>
      <c r="B179" s="2" vm="978">
        <f ca="1"/>
        <v>70.959999999999994</v>
      </c>
      <c r="C179" s="2" vm="979">
        <f ca="1"/>
        <v>71.98</v>
      </c>
      <c r="D179" s="2" vm="980">
        <f ca="1"/>
        <v>70.53</v>
      </c>
      <c r="E179" s="2" vm="957">
        <f ca="1"/>
        <v>71.17</v>
      </c>
      <c r="F179" vm="981">
        <f ca="1"/>
        <v>6700124</v>
      </c>
    </row>
    <row r="180" spans="1:6" x14ac:dyDescent="0.2">
      <c r="A180" s="1" vm="982">
        <f ca="1"/>
        <v>44697</v>
      </c>
      <c r="B180" s="2" vm="983">
        <f ca="1"/>
        <v>70.69</v>
      </c>
      <c r="C180" s="2" vm="984">
        <f ca="1"/>
        <v>70.91</v>
      </c>
      <c r="D180" s="2" vm="985">
        <f ca="1"/>
        <v>69.39</v>
      </c>
      <c r="E180" s="2" vm="986">
        <f ca="1"/>
        <v>69.709999999999994</v>
      </c>
      <c r="F180" vm="987">
        <f ca="1"/>
        <v>6942287</v>
      </c>
    </row>
    <row r="181" spans="1:6" x14ac:dyDescent="0.2">
      <c r="A181" s="1" vm="988">
        <f ca="1"/>
        <v>44698</v>
      </c>
      <c r="B181" s="2" vm="989">
        <f ca="1"/>
        <v>71.045000000000002</v>
      </c>
      <c r="C181" s="2" vm="990">
        <f ca="1"/>
        <v>71.900000000000006</v>
      </c>
      <c r="D181" s="2" vm="991">
        <f ca="1"/>
        <v>70.7</v>
      </c>
      <c r="E181" s="2" vm="992">
        <f ca="1"/>
        <v>71.88</v>
      </c>
      <c r="F181" vm="993">
        <f ca="1"/>
        <v>5952505</v>
      </c>
    </row>
    <row r="182" spans="1:6" x14ac:dyDescent="0.2">
      <c r="A182" s="1" vm="994">
        <f ca="1"/>
        <v>44699</v>
      </c>
      <c r="B182" s="2" vm="995">
        <f ca="1"/>
        <v>70.8</v>
      </c>
      <c r="C182" s="2" vm="678">
        <f ca="1"/>
        <v>70.94</v>
      </c>
      <c r="D182" s="2" vm="996">
        <f ca="1"/>
        <v>67.81</v>
      </c>
      <c r="E182" s="2" vm="997">
        <f ca="1"/>
        <v>68.3</v>
      </c>
      <c r="F182" vm="998">
        <f ca="1"/>
        <v>7977287</v>
      </c>
    </row>
    <row r="183" spans="1:6" x14ac:dyDescent="0.2">
      <c r="A183" s="1" vm="999">
        <f ca="1"/>
        <v>44700</v>
      </c>
      <c r="B183" s="2" vm="1000">
        <f ca="1"/>
        <v>67.48</v>
      </c>
      <c r="C183" s="2" vm="1001">
        <f ca="1"/>
        <v>67.900000000000006</v>
      </c>
      <c r="D183" s="2" vm="1002">
        <f ca="1"/>
        <v>66.72</v>
      </c>
      <c r="E183" s="2" vm="1003">
        <f ca="1"/>
        <v>67.040000000000006</v>
      </c>
      <c r="F183" vm="1004">
        <f ca="1"/>
        <v>9451784</v>
      </c>
    </row>
    <row r="184" spans="1:6" x14ac:dyDescent="0.2">
      <c r="A184" s="1" vm="1005">
        <f ca="1"/>
        <v>44701</v>
      </c>
      <c r="B184" s="2" vm="1006">
        <f ca="1"/>
        <v>67.88</v>
      </c>
      <c r="C184" s="2" vm="1007">
        <f ca="1"/>
        <v>68.69</v>
      </c>
      <c r="D184" s="2" vm="1008">
        <f ca="1"/>
        <v>66.849999999999994</v>
      </c>
      <c r="E184" s="2" vm="1009">
        <f ca="1"/>
        <v>68.63</v>
      </c>
      <c r="F184" vm="1010">
        <f ca="1"/>
        <v>7531062</v>
      </c>
    </row>
    <row r="185" spans="1:6" x14ac:dyDescent="0.2">
      <c r="A185" s="1" vm="1011">
        <f ca="1"/>
        <v>44704</v>
      </c>
      <c r="B185" s="2" vm="1012">
        <f ca="1"/>
        <v>69.31</v>
      </c>
      <c r="C185" s="2" vm="1013">
        <f ca="1"/>
        <v>70.47</v>
      </c>
      <c r="D185" s="2" vm="1014">
        <f ca="1"/>
        <v>68.67</v>
      </c>
      <c r="E185" s="2" vm="1015">
        <f ca="1"/>
        <v>70.040000000000006</v>
      </c>
      <c r="F185" vm="1016">
        <f ca="1"/>
        <v>7370173</v>
      </c>
    </row>
    <row r="186" spans="1:6" x14ac:dyDescent="0.2">
      <c r="A186" s="1" vm="1017">
        <f ca="1"/>
        <v>44705</v>
      </c>
      <c r="B186" s="2" vm="1018">
        <f ca="1"/>
        <v>69.67</v>
      </c>
      <c r="C186" s="2" vm="980">
        <f ca="1"/>
        <v>70.53</v>
      </c>
      <c r="D186" s="2" vm="1019">
        <f ca="1"/>
        <v>68.31</v>
      </c>
      <c r="E186" s="2" vm="1020">
        <f ca="1"/>
        <v>69.03</v>
      </c>
      <c r="F186" vm="1021">
        <f ca="1"/>
        <v>6644122</v>
      </c>
    </row>
    <row r="187" spans="1:6" x14ac:dyDescent="0.2">
      <c r="A187" s="1" vm="1022">
        <f ca="1"/>
        <v>44706</v>
      </c>
      <c r="B187" s="2" vm="1023">
        <f ca="1"/>
        <v>68.88</v>
      </c>
      <c r="C187" s="2" vm="1024">
        <f ca="1"/>
        <v>70.22</v>
      </c>
      <c r="D187" s="2" vm="1025">
        <f ca="1"/>
        <v>68.77</v>
      </c>
      <c r="E187" s="2" vm="1026">
        <f ca="1"/>
        <v>69.83</v>
      </c>
      <c r="F187" vm="1027">
        <f ca="1"/>
        <v>7103302</v>
      </c>
    </row>
    <row r="188" spans="1:6" x14ac:dyDescent="0.2">
      <c r="A188" s="1" vm="1028">
        <f ca="1"/>
        <v>44707</v>
      </c>
      <c r="B188" s="2" vm="1029">
        <f ca="1"/>
        <v>70.13</v>
      </c>
      <c r="C188" s="2" vm="1030">
        <f ca="1"/>
        <v>72.12</v>
      </c>
      <c r="D188" s="2" vm="1031">
        <f ca="1"/>
        <v>69.91</v>
      </c>
      <c r="E188" s="2" vm="1032">
        <f ca="1"/>
        <v>71.66</v>
      </c>
      <c r="F188" vm="1033">
        <f ca="1"/>
        <v>6759102</v>
      </c>
    </row>
    <row r="189" spans="1:6" x14ac:dyDescent="0.2">
      <c r="A189" s="1" vm="1034">
        <f ca="1"/>
        <v>44708</v>
      </c>
      <c r="B189" s="2" vm="1035">
        <f ca="1"/>
        <v>72.36</v>
      </c>
      <c r="C189" s="2" vm="1036">
        <f ca="1"/>
        <v>72.844999999999999</v>
      </c>
      <c r="D189" s="2" vm="1037">
        <f ca="1"/>
        <v>71.55</v>
      </c>
      <c r="E189" s="2" vm="1038">
        <f ca="1"/>
        <v>72.78</v>
      </c>
      <c r="F189" vm="1039">
        <f ca="1"/>
        <v>6566671</v>
      </c>
    </row>
    <row r="190" spans="1:6" x14ac:dyDescent="0.2">
      <c r="A190" s="1" vm="1040">
        <f ca="1"/>
        <v>44712</v>
      </c>
      <c r="B190" s="2" vm="1041">
        <f ca="1"/>
        <v>72.23</v>
      </c>
      <c r="C190" s="2" vm="1042">
        <f ca="1"/>
        <v>72.98</v>
      </c>
      <c r="D190" s="2" vm="1043">
        <f ca="1"/>
        <v>71.52</v>
      </c>
      <c r="E190" s="2" vm="1044">
        <f ca="1"/>
        <v>71.92</v>
      </c>
      <c r="F190" vm="1045">
        <f ca="1"/>
        <v>16890347</v>
      </c>
    </row>
    <row r="191" spans="1:6" x14ac:dyDescent="0.2">
      <c r="A191" s="1" vm="1046">
        <f ca="1"/>
        <v>44713</v>
      </c>
      <c r="B191" s="2" vm="1047">
        <f ca="1"/>
        <v>73.02</v>
      </c>
      <c r="C191" s="2" vm="1048">
        <f ca="1"/>
        <v>73.27</v>
      </c>
      <c r="D191" s="2" vm="1049">
        <f ca="1"/>
        <v>71.150000000000006</v>
      </c>
      <c r="E191" s="2" vm="1050">
        <f ca="1"/>
        <v>71.599999999999994</v>
      </c>
      <c r="F191" vm="1051">
        <f ca="1"/>
        <v>5804707</v>
      </c>
    </row>
    <row r="192" spans="1:6" x14ac:dyDescent="0.2">
      <c r="A192" s="1" vm="1052">
        <f ca="1"/>
        <v>44714</v>
      </c>
      <c r="B192" s="2" vm="1053">
        <f ca="1"/>
        <v>71.48</v>
      </c>
      <c r="C192" s="2" vm="1054">
        <f ca="1"/>
        <v>73.185000000000002</v>
      </c>
      <c r="D192" s="2" vm="1055">
        <f ca="1"/>
        <v>71.010000000000005</v>
      </c>
      <c r="E192" s="2" vm="1056">
        <f ca="1"/>
        <v>73.14</v>
      </c>
      <c r="F192" vm="1057">
        <f ca="1"/>
        <v>6200443</v>
      </c>
    </row>
    <row r="193" spans="1:6" x14ac:dyDescent="0.2">
      <c r="A193" s="1" vm="1058">
        <f ca="1"/>
        <v>44715</v>
      </c>
      <c r="B193" s="2" vm="1059">
        <f ca="1"/>
        <v>72.56</v>
      </c>
      <c r="C193" s="2" vm="1060">
        <f ca="1"/>
        <v>72.954999999999998</v>
      </c>
      <c r="D193" s="2" vm="1061">
        <f ca="1"/>
        <v>71.2273</v>
      </c>
      <c r="E193" s="2" vm="1062">
        <f ca="1"/>
        <v>71.790000000000006</v>
      </c>
      <c r="F193" vm="1063">
        <f ca="1"/>
        <v>8169519</v>
      </c>
    </row>
    <row r="194" spans="1:6" x14ac:dyDescent="0.2">
      <c r="A194" s="1" vm="1064">
        <f ca="1"/>
        <v>44718</v>
      </c>
      <c r="B194" s="2" vm="1065">
        <f ca="1"/>
        <v>72.63</v>
      </c>
      <c r="C194" s="2" vm="1066">
        <f ca="1"/>
        <v>74.84</v>
      </c>
      <c r="D194" s="2" vm="1065">
        <f ca="1"/>
        <v>72.63</v>
      </c>
      <c r="E194" s="2" vm="1067">
        <f ca="1"/>
        <v>72.97</v>
      </c>
      <c r="F194" vm="1068">
        <f ca="1"/>
        <v>5274706</v>
      </c>
    </row>
    <row r="195" spans="1:6" x14ac:dyDescent="0.2">
      <c r="A195" s="1" vm="1069">
        <f ca="1"/>
        <v>44719</v>
      </c>
      <c r="B195" s="2" vm="1070">
        <f ca="1"/>
        <v>71.59</v>
      </c>
      <c r="C195" s="2" vm="1071">
        <f ca="1"/>
        <v>73.13</v>
      </c>
      <c r="D195" s="2" vm="1070">
        <f ca="1"/>
        <v>71.59</v>
      </c>
      <c r="E195" s="2" vm="1072">
        <f ca="1"/>
        <v>72.69</v>
      </c>
      <c r="F195" vm="1073">
        <f ca="1"/>
        <v>5675655</v>
      </c>
    </row>
    <row r="196" spans="1:6" x14ac:dyDescent="0.2">
      <c r="A196" s="1" vm="1074">
        <f ca="1"/>
        <v>44720</v>
      </c>
      <c r="B196" s="2" vm="1075">
        <f ca="1"/>
        <v>72.010000000000005</v>
      </c>
      <c r="C196" s="2" vm="1076">
        <f ca="1"/>
        <v>72.150000000000006</v>
      </c>
      <c r="D196" s="2" vm="678">
        <f ca="1"/>
        <v>70.94</v>
      </c>
      <c r="E196" s="2" vm="1077">
        <f ca="1"/>
        <v>71.38</v>
      </c>
      <c r="F196" vm="1078">
        <f ca="1"/>
        <v>5253466</v>
      </c>
    </row>
    <row r="197" spans="1:6" x14ac:dyDescent="0.2">
      <c r="A197" s="1" vm="1079">
        <f ca="1"/>
        <v>44721</v>
      </c>
      <c r="B197" s="2" vm="1080">
        <f ca="1"/>
        <v>70.77</v>
      </c>
      <c r="C197" s="2" vm="1081">
        <f ca="1"/>
        <v>71.16</v>
      </c>
      <c r="D197" s="2" vm="1082">
        <f ca="1"/>
        <v>69.2</v>
      </c>
      <c r="E197" s="2" vm="1083">
        <f ca="1"/>
        <v>69.22</v>
      </c>
      <c r="F197" vm="1084">
        <f ca="1"/>
        <v>6828482</v>
      </c>
    </row>
    <row r="198" spans="1:6" x14ac:dyDescent="0.2">
      <c r="A198" s="1" vm="1085">
        <f ca="1"/>
        <v>44722</v>
      </c>
      <c r="B198" s="2" vm="1086">
        <f ca="1"/>
        <v>67.98</v>
      </c>
      <c r="C198" s="2" vm="1087">
        <f ca="1"/>
        <v>68.215000000000003</v>
      </c>
      <c r="D198" s="2" vm="1088">
        <f ca="1"/>
        <v>66.959999999999994</v>
      </c>
      <c r="E198" s="2" vm="1089">
        <f ca="1"/>
        <v>67.14</v>
      </c>
      <c r="F198" vm="1090">
        <f ca="1"/>
        <v>10261566</v>
      </c>
    </row>
    <row r="199" spans="1:6" x14ac:dyDescent="0.2">
      <c r="A199" s="1" vm="1091">
        <f ca="1"/>
        <v>44725</v>
      </c>
      <c r="B199" s="2" vm="1092">
        <f ca="1"/>
        <v>65.78</v>
      </c>
      <c r="C199" s="2" vm="1093">
        <f ca="1"/>
        <v>66.099999999999994</v>
      </c>
      <c r="D199" s="2" vm="1094">
        <f ca="1"/>
        <v>63.76</v>
      </c>
      <c r="E199" s="2" vm="1095">
        <f ca="1"/>
        <v>64.05</v>
      </c>
      <c r="F199" vm="1096">
        <f ca="1"/>
        <v>16547246</v>
      </c>
    </row>
    <row r="200" spans="1:6" x14ac:dyDescent="0.2">
      <c r="A200" s="1" vm="1097">
        <f ca="1"/>
        <v>44726</v>
      </c>
      <c r="B200" s="2" vm="1098">
        <f ca="1"/>
        <v>72</v>
      </c>
      <c r="C200" s="2" vm="1099">
        <f ca="1"/>
        <v>72.430000000000007</v>
      </c>
      <c r="D200" s="2" vm="1100">
        <f ca="1"/>
        <v>69.02</v>
      </c>
      <c r="E200" s="2" vm="1101">
        <f ca="1"/>
        <v>70.72</v>
      </c>
      <c r="F200" vm="1102">
        <f ca="1"/>
        <v>29661295</v>
      </c>
    </row>
    <row r="201" spans="1:6" x14ac:dyDescent="0.2">
      <c r="A201" s="1" vm="1103">
        <f ca="1"/>
        <v>44727</v>
      </c>
      <c r="B201" s="2" vm="1104">
        <f ca="1"/>
        <v>70.45</v>
      </c>
      <c r="C201" s="2" vm="1105">
        <f ca="1"/>
        <v>71.415000000000006</v>
      </c>
      <c r="D201" s="2" vm="1014">
        <f ca="1"/>
        <v>68.67</v>
      </c>
      <c r="E201" s="2" vm="1106">
        <f ca="1"/>
        <v>69.7</v>
      </c>
      <c r="F201" vm="1107">
        <f ca="1"/>
        <v>11765545</v>
      </c>
    </row>
    <row r="202" spans="1:6" x14ac:dyDescent="0.2">
      <c r="A202" s="1" vm="1108">
        <f ca="1"/>
        <v>44728</v>
      </c>
      <c r="B202" s="2" vm="1109">
        <f ca="1"/>
        <v>68.5</v>
      </c>
      <c r="C202" s="2" vm="1110">
        <f ca="1"/>
        <v>68.959999999999994</v>
      </c>
      <c r="D202" s="2" vm="1111">
        <f ca="1"/>
        <v>67.58</v>
      </c>
      <c r="E202" s="2" vm="1112">
        <f ca="1"/>
        <v>68.709999999999994</v>
      </c>
      <c r="F202" vm="1113">
        <f ca="1"/>
        <v>10685987</v>
      </c>
    </row>
    <row r="203" spans="1:6" x14ac:dyDescent="0.2">
      <c r="A203" s="1" vm="1114">
        <f ca="1"/>
        <v>44729</v>
      </c>
      <c r="B203" s="2" vm="1115">
        <f ca="1"/>
        <v>68.75</v>
      </c>
      <c r="C203" s="2" vm="1116">
        <f ca="1"/>
        <v>69.37</v>
      </c>
      <c r="D203" s="2" vm="1117">
        <f ca="1"/>
        <v>67.389899999999997</v>
      </c>
      <c r="E203" s="2" vm="1118">
        <f ca="1"/>
        <v>67.72</v>
      </c>
      <c r="F203" vm="1119">
        <f ca="1"/>
        <v>16445643</v>
      </c>
    </row>
    <row r="204" spans="1:6" x14ac:dyDescent="0.2">
      <c r="A204" s="1" vm="1120">
        <f ca="1"/>
        <v>44733</v>
      </c>
      <c r="B204" s="2" vm="1121">
        <f ca="1"/>
        <v>68.61</v>
      </c>
      <c r="C204" s="2" vm="1122">
        <f ca="1"/>
        <v>69.53</v>
      </c>
      <c r="D204" s="2" vm="1123">
        <f ca="1"/>
        <v>67.39</v>
      </c>
      <c r="E204" s="2" vm="1124">
        <f ca="1"/>
        <v>67.680000000000007</v>
      </c>
      <c r="F204" vm="1125">
        <f ca="1"/>
        <v>10047748</v>
      </c>
    </row>
    <row r="205" spans="1:6" x14ac:dyDescent="0.2">
      <c r="A205" s="1" vm="1126">
        <f ca="1"/>
        <v>44734</v>
      </c>
      <c r="B205" s="2" vm="1127">
        <f ca="1"/>
        <v>66.930000000000007</v>
      </c>
      <c r="C205" s="2" vm="1128">
        <f ca="1"/>
        <v>67.569999999999993</v>
      </c>
      <c r="D205" s="2" vm="1129">
        <f ca="1"/>
        <v>66.38</v>
      </c>
      <c r="E205" s="2" vm="1130">
        <f ca="1"/>
        <v>66.53</v>
      </c>
      <c r="F205" vm="1131">
        <f ca="1"/>
        <v>8222382</v>
      </c>
    </row>
    <row r="206" spans="1:6" x14ac:dyDescent="0.2">
      <c r="A206" s="1" vm="1132">
        <f ca="1"/>
        <v>44735</v>
      </c>
      <c r="B206" s="2" vm="1133">
        <f ca="1"/>
        <v>66.45</v>
      </c>
      <c r="C206" s="2" vm="1134">
        <f ca="1"/>
        <v>67.87</v>
      </c>
      <c r="D206" s="2" vm="1135">
        <f ca="1"/>
        <v>66.31</v>
      </c>
      <c r="E206" s="2" vm="1136">
        <f ca="1"/>
        <v>67.63</v>
      </c>
      <c r="F206" vm="1137">
        <f ca="1"/>
        <v>8775794</v>
      </c>
    </row>
    <row r="207" spans="1:6" x14ac:dyDescent="0.2">
      <c r="A207" s="1" vm="1138">
        <f ca="1"/>
        <v>44736</v>
      </c>
      <c r="B207" s="2" vm="1139">
        <f ca="1"/>
        <v>68.33</v>
      </c>
      <c r="C207" s="2" vm="1140">
        <f ca="1"/>
        <v>70.78</v>
      </c>
      <c r="D207" s="2" vm="1141">
        <f ca="1"/>
        <v>67.97</v>
      </c>
      <c r="E207" s="2" vm="991">
        <f ca="1"/>
        <v>70.7</v>
      </c>
      <c r="F207" vm="1142">
        <f ca="1"/>
        <v>20132584</v>
      </c>
    </row>
    <row r="208" spans="1:6" x14ac:dyDescent="0.2">
      <c r="A208" s="1" vm="1143">
        <f ca="1"/>
        <v>44739</v>
      </c>
      <c r="B208" s="2" vm="1116">
        <f ca="1"/>
        <v>69.37</v>
      </c>
      <c r="C208" s="2" vm="1144">
        <f ca="1"/>
        <v>70.849999999999994</v>
      </c>
      <c r="D208" s="2" vm="1145">
        <f ca="1"/>
        <v>68.94</v>
      </c>
      <c r="E208" s="2" vm="1146">
        <f ca="1"/>
        <v>70.41</v>
      </c>
      <c r="F208" vm="1147">
        <f ca="1"/>
        <v>8840843</v>
      </c>
    </row>
    <row r="209" spans="1:6" x14ac:dyDescent="0.2">
      <c r="A209" s="1" vm="1148">
        <f ca="1"/>
        <v>44740</v>
      </c>
      <c r="B209" s="2" vm="1149">
        <f ca="1"/>
        <v>70.569999999999993</v>
      </c>
      <c r="C209" s="2" vm="1150">
        <f ca="1"/>
        <v>71.069999999999993</v>
      </c>
      <c r="D209" s="2" vm="1151">
        <f ca="1"/>
        <v>68.53</v>
      </c>
      <c r="E209" s="2" vm="1152">
        <f ca="1"/>
        <v>68.58</v>
      </c>
      <c r="F209" vm="1153">
        <f ca="1"/>
        <v>7253564</v>
      </c>
    </row>
    <row r="210" spans="1:6" x14ac:dyDescent="0.2">
      <c r="A210" s="1" vm="1154">
        <f ca="1"/>
        <v>44741</v>
      </c>
      <c r="B210" s="2" vm="1020">
        <f ca="1"/>
        <v>69.03</v>
      </c>
      <c r="C210" s="2" vm="1155">
        <f ca="1"/>
        <v>70.09</v>
      </c>
      <c r="D210" s="2" vm="1156">
        <f ca="1"/>
        <v>68.78</v>
      </c>
      <c r="E210" s="2" vm="1157">
        <f ca="1"/>
        <v>69.209999999999994</v>
      </c>
      <c r="F210" vm="1158">
        <f ca="1"/>
        <v>8077928</v>
      </c>
    </row>
    <row r="211" spans="1:6" x14ac:dyDescent="0.2">
      <c r="A211" s="1" vm="1159">
        <f ca="1"/>
        <v>44742</v>
      </c>
      <c r="B211" s="2" vm="1160">
        <f ca="1"/>
        <v>68.209999999999994</v>
      </c>
      <c r="C211" s="2" vm="1161">
        <f ca="1"/>
        <v>70.25</v>
      </c>
      <c r="D211" s="2" vm="1160">
        <f ca="1"/>
        <v>68.209999999999994</v>
      </c>
      <c r="E211" s="2" vm="1162">
        <f ca="1"/>
        <v>69.87</v>
      </c>
      <c r="F211" vm="1163">
        <f ca="1"/>
        <v>9888767</v>
      </c>
    </row>
    <row r="212" spans="1:6" x14ac:dyDescent="0.2">
      <c r="A212" s="1" vm="1164">
        <f ca="1"/>
        <v>44743</v>
      </c>
      <c r="B212" s="2" vm="1165">
        <f ca="1"/>
        <v>69.849999999999994</v>
      </c>
      <c r="C212" s="2" vm="1166">
        <f ca="1"/>
        <v>70.98</v>
      </c>
      <c r="D212" s="2" vm="1167">
        <f ca="1"/>
        <v>69.81</v>
      </c>
      <c r="E212" s="2" vm="968">
        <f ca="1"/>
        <v>70.87</v>
      </c>
      <c r="F212" vm="1168">
        <f ca="1"/>
        <v>7805555</v>
      </c>
    </row>
    <row r="213" spans="1:6" x14ac:dyDescent="0.2">
      <c r="A213" s="1" vm="1169">
        <f ca="1"/>
        <v>44747</v>
      </c>
      <c r="B213" s="2" vm="1170">
        <f ca="1"/>
        <v>70.38</v>
      </c>
      <c r="C213" s="2" vm="1098">
        <f ca="1"/>
        <v>72</v>
      </c>
      <c r="D213" s="2" vm="1171">
        <f ca="1"/>
        <v>70.180000000000007</v>
      </c>
      <c r="E213" s="2" vm="945">
        <f ca="1"/>
        <v>71.989999999999995</v>
      </c>
      <c r="F213" vm="1172">
        <f ca="1"/>
        <v>9043000</v>
      </c>
    </row>
    <row r="214" spans="1:6" x14ac:dyDescent="0.2">
      <c r="A214" s="1" vm="1173">
        <f ca="1"/>
        <v>44748</v>
      </c>
      <c r="B214" s="2" vm="1174">
        <f ca="1"/>
        <v>72.319999999999993</v>
      </c>
      <c r="C214" s="2" vm="1175">
        <f ca="1"/>
        <v>72.739999999999995</v>
      </c>
      <c r="D214" s="2" vm="1176">
        <f ca="1"/>
        <v>71.31</v>
      </c>
      <c r="E214" s="2" vm="1032">
        <f ca="1"/>
        <v>71.66</v>
      </c>
      <c r="F214" vm="1177">
        <f ca="1"/>
        <v>6043679</v>
      </c>
    </row>
    <row r="215" spans="1:6" x14ac:dyDescent="0.2">
      <c r="A215" s="1" vm="1178">
        <f ca="1"/>
        <v>44749</v>
      </c>
      <c r="B215" s="2" vm="1179">
        <f ca="1"/>
        <v>71.83</v>
      </c>
      <c r="C215" s="2" vm="979">
        <f ca="1"/>
        <v>71.98</v>
      </c>
      <c r="D215" s="2" vm="1180">
        <f ca="1"/>
        <v>71.174999999999997</v>
      </c>
      <c r="E215" s="2" vm="1179">
        <f ca="1"/>
        <v>71.83</v>
      </c>
      <c r="F215" vm="1181">
        <f ca="1"/>
        <v>7814621</v>
      </c>
    </row>
    <row r="216" spans="1:6" x14ac:dyDescent="0.2">
      <c r="A216" s="1" vm="1182">
        <f ca="1"/>
        <v>44750</v>
      </c>
      <c r="B216" s="2" vm="1183">
        <f ca="1"/>
        <v>71.69</v>
      </c>
      <c r="C216" s="2" vm="1184">
        <f ca="1"/>
        <v>72.239999999999995</v>
      </c>
      <c r="D216" s="2" vm="1185">
        <f ca="1"/>
        <v>71.33</v>
      </c>
      <c r="E216" s="2" vm="1186">
        <f ca="1"/>
        <v>71.87</v>
      </c>
      <c r="F216" vm="1187">
        <f ca="1"/>
        <v>4927307</v>
      </c>
    </row>
    <row r="217" spans="1:6" x14ac:dyDescent="0.2">
      <c r="A217" s="1" vm="1188">
        <f ca="1"/>
        <v>44753</v>
      </c>
      <c r="B217" s="2" vm="1189">
        <f ca="1"/>
        <v>71</v>
      </c>
      <c r="C217" s="2" vm="1190">
        <f ca="1"/>
        <v>71.97</v>
      </c>
      <c r="D217" s="2" vm="1191">
        <f ca="1"/>
        <v>70.900000000000006</v>
      </c>
      <c r="E217" s="2" vm="1192">
        <f ca="1"/>
        <v>71.569999999999993</v>
      </c>
      <c r="F217" vm="1193">
        <f ca="1"/>
        <v>4554846</v>
      </c>
    </row>
    <row r="218" spans="1:6" x14ac:dyDescent="0.2">
      <c r="A218" s="1" vm="1194">
        <f ca="1"/>
        <v>44754</v>
      </c>
      <c r="B218" s="2" vm="1050">
        <f ca="1"/>
        <v>71.599999999999994</v>
      </c>
      <c r="C218" s="2" vm="1195">
        <f ca="1"/>
        <v>71.94</v>
      </c>
      <c r="D218" s="2" vm="1196">
        <f ca="1"/>
        <v>70.069999999999993</v>
      </c>
      <c r="E218" s="2" vm="1146">
        <f ca="1"/>
        <v>70.41</v>
      </c>
      <c r="F218" vm="1197">
        <f ca="1"/>
        <v>7140901</v>
      </c>
    </row>
    <row r="219" spans="1:6" x14ac:dyDescent="0.2">
      <c r="A219" s="1" vm="1198">
        <f ca="1"/>
        <v>44755</v>
      </c>
      <c r="B219" s="2" vm="1199">
        <f ca="1"/>
        <v>69.05</v>
      </c>
      <c r="C219" s="2" vm="980">
        <f ca="1"/>
        <v>70.53</v>
      </c>
      <c r="D219" s="2" vm="1200">
        <f ca="1"/>
        <v>68.680000000000007</v>
      </c>
      <c r="E219" s="2" vm="1201">
        <f ca="1"/>
        <v>70.03</v>
      </c>
      <c r="F219" vm="1202">
        <f ca="1"/>
        <v>6454765</v>
      </c>
    </row>
    <row r="220" spans="1:6" x14ac:dyDescent="0.2">
      <c r="A220" s="1" vm="1203">
        <f ca="1"/>
        <v>44756</v>
      </c>
      <c r="B220" s="2" vm="1204">
        <f ca="1"/>
        <v>69.16</v>
      </c>
      <c r="C220" s="2" vm="1205">
        <f ca="1"/>
        <v>69.584999999999994</v>
      </c>
      <c r="D220" s="2" vm="1206">
        <f ca="1"/>
        <v>68.23</v>
      </c>
      <c r="E220" s="2" vm="1207">
        <f ca="1"/>
        <v>69.45</v>
      </c>
      <c r="F220" vm="1208">
        <f ca="1"/>
        <v>4915580</v>
      </c>
    </row>
    <row r="221" spans="1:6" x14ac:dyDescent="0.2">
      <c r="A221" s="1" vm="1209">
        <f ca="1"/>
        <v>44757</v>
      </c>
      <c r="B221" s="2" vm="1210">
        <f ca="1"/>
        <v>70.260000000000005</v>
      </c>
      <c r="C221" s="2" vm="968">
        <f ca="1"/>
        <v>70.87</v>
      </c>
      <c r="D221" s="2" vm="1211">
        <f ca="1"/>
        <v>70</v>
      </c>
      <c r="E221" s="2" vm="1212">
        <f ca="1"/>
        <v>70.739999999999995</v>
      </c>
      <c r="F221" vm="1213">
        <f ca="1"/>
        <v>5134170</v>
      </c>
    </row>
    <row r="222" spans="1:6" x14ac:dyDescent="0.2">
      <c r="A222" s="1" vm="1214">
        <f ca="1"/>
        <v>44760</v>
      </c>
      <c r="B222" s="2" vm="1215">
        <f ca="1"/>
        <v>71.25</v>
      </c>
      <c r="C222" s="2" vm="1216">
        <f ca="1"/>
        <v>71.709999999999994</v>
      </c>
      <c r="D222" s="2" vm="1217">
        <f ca="1"/>
        <v>70.144999999999996</v>
      </c>
      <c r="E222" s="2" vm="1218">
        <f ca="1"/>
        <v>70.209999999999994</v>
      </c>
      <c r="F222" vm="1219">
        <f ca="1"/>
        <v>4642410</v>
      </c>
    </row>
    <row r="223" spans="1:6" x14ac:dyDescent="0.2">
      <c r="A223" s="1" vm="1220">
        <f ca="1"/>
        <v>44761</v>
      </c>
      <c r="B223" s="2" vm="1221">
        <f ca="1"/>
        <v>70.643000000000001</v>
      </c>
      <c r="C223" s="2" vm="1222">
        <f ca="1"/>
        <v>72.3</v>
      </c>
      <c r="D223" s="2" vm="1210">
        <f ca="1"/>
        <v>70.260000000000005</v>
      </c>
      <c r="E223" s="2" vm="1184">
        <f ca="1"/>
        <v>72.239999999999995</v>
      </c>
      <c r="F223" vm="1223">
        <f ca="1"/>
        <v>7160284</v>
      </c>
    </row>
    <row r="224" spans="1:6" x14ac:dyDescent="0.2">
      <c r="A224" s="1" vm="1224">
        <f ca="1"/>
        <v>44762</v>
      </c>
      <c r="B224" s="2" vm="1225">
        <f ca="1"/>
        <v>72.55</v>
      </c>
      <c r="C224" s="2" vm="1226">
        <f ca="1"/>
        <v>73.099999999999994</v>
      </c>
      <c r="D224" s="2" vm="1227">
        <f ca="1"/>
        <v>72.16</v>
      </c>
      <c r="E224" s="2" vm="956">
        <f ca="1"/>
        <v>72.59</v>
      </c>
      <c r="F224" vm="1228">
        <f ca="1"/>
        <v>5655726</v>
      </c>
    </row>
    <row r="225" spans="1:6" x14ac:dyDescent="0.2">
      <c r="A225" s="1" vm="1229">
        <f ca="1"/>
        <v>44763</v>
      </c>
      <c r="B225" s="2" vm="1076">
        <f ca="1"/>
        <v>72.150000000000006</v>
      </c>
      <c r="C225" s="2" vm="1230">
        <f ca="1"/>
        <v>74.63</v>
      </c>
      <c r="D225" s="2" vm="1231">
        <f ca="1"/>
        <v>72.127200000000002</v>
      </c>
      <c r="E225" s="2" vm="1232">
        <f ca="1"/>
        <v>74.540000000000006</v>
      </c>
      <c r="F225" vm="1233">
        <f ca="1"/>
        <v>7005112</v>
      </c>
    </row>
    <row r="226" spans="1:6" x14ac:dyDescent="0.2">
      <c r="A226" s="1" vm="1234">
        <f ca="1"/>
        <v>44764</v>
      </c>
      <c r="B226" s="2" vm="1235">
        <f ca="1"/>
        <v>74.819999999999993</v>
      </c>
      <c r="C226" s="2" vm="1236">
        <f ca="1"/>
        <v>75.290000000000006</v>
      </c>
      <c r="D226" s="2" vm="1237">
        <f ca="1"/>
        <v>74.260000000000005</v>
      </c>
      <c r="E226" s="2" vm="1238">
        <f ca="1"/>
        <v>74.900000000000006</v>
      </c>
      <c r="F226" vm="1239">
        <f ca="1"/>
        <v>6659961</v>
      </c>
    </row>
    <row r="227" spans="1:6" x14ac:dyDescent="0.2">
      <c r="A227" s="1" vm="1240">
        <f ca="1"/>
        <v>44767</v>
      </c>
      <c r="B227" s="2" vm="737">
        <f ca="1"/>
        <v>75.099999999999994</v>
      </c>
      <c r="C227" s="2" vm="1241">
        <f ca="1"/>
        <v>75.430000000000007</v>
      </c>
      <c r="D227" s="2" vm="1242">
        <f ca="1"/>
        <v>74.34</v>
      </c>
      <c r="E227" s="2" vm="1243">
        <f ca="1"/>
        <v>74.86</v>
      </c>
      <c r="F227" vm="1244">
        <f ca="1"/>
        <v>5721609</v>
      </c>
    </row>
    <row r="228" spans="1:6" x14ac:dyDescent="0.2">
      <c r="A228" s="1" vm="1245">
        <f ca="1"/>
        <v>44768</v>
      </c>
      <c r="B228" s="2" vm="1246">
        <f ca="1"/>
        <v>74.8</v>
      </c>
      <c r="C228" s="2" vm="1247">
        <f ca="1"/>
        <v>75.3</v>
      </c>
      <c r="D228" s="2" vm="1248">
        <f ca="1"/>
        <v>73.704999999999998</v>
      </c>
      <c r="E228" s="2" vm="1249">
        <f ca="1"/>
        <v>74.03</v>
      </c>
      <c r="F228" vm="1250">
        <f ca="1"/>
        <v>7284442</v>
      </c>
    </row>
    <row r="229" spans="1:6" x14ac:dyDescent="0.2">
      <c r="A229" s="1" vm="1251">
        <f ca="1"/>
        <v>44769</v>
      </c>
      <c r="B229" s="2" vm="673">
        <f ca="1"/>
        <v>74.38</v>
      </c>
      <c r="C229" s="2" vm="1252">
        <f ca="1"/>
        <v>76.12</v>
      </c>
      <c r="D229" s="2" vm="686">
        <f ca="1"/>
        <v>74.319999999999993</v>
      </c>
      <c r="E229" s="2" vm="923">
        <f ca="1"/>
        <v>75.87</v>
      </c>
      <c r="F229" vm="1253">
        <f ca="1"/>
        <v>6677226</v>
      </c>
    </row>
    <row r="230" spans="1:6" x14ac:dyDescent="0.2">
      <c r="A230" s="1" vm="1254">
        <f ca="1"/>
        <v>44770</v>
      </c>
      <c r="B230" s="2" vm="1255">
        <f ca="1"/>
        <v>75.64</v>
      </c>
      <c r="C230" s="2" vm="1256">
        <f ca="1"/>
        <v>77.275000000000006</v>
      </c>
      <c r="D230" s="2" vm="1257">
        <f ca="1"/>
        <v>75.31</v>
      </c>
      <c r="E230" s="2" vm="1258">
        <f ca="1"/>
        <v>77.040000000000006</v>
      </c>
      <c r="F230" vm="1259">
        <f ca="1"/>
        <v>5688062</v>
      </c>
    </row>
    <row r="231" spans="1:6" x14ac:dyDescent="0.2">
      <c r="A231" s="1" vm="1260">
        <f ca="1"/>
        <v>44771</v>
      </c>
      <c r="B231" s="2" vm="1261">
        <f ca="1"/>
        <v>77.010000000000005</v>
      </c>
      <c r="C231" s="2" vm="1262">
        <f ca="1"/>
        <v>78.16</v>
      </c>
      <c r="D231" s="2" vm="1263">
        <f ca="1"/>
        <v>77</v>
      </c>
      <c r="E231" s="2" vm="1264">
        <f ca="1"/>
        <v>77.84</v>
      </c>
      <c r="F231" vm="1265">
        <f ca="1"/>
        <v>5926562</v>
      </c>
    </row>
    <row r="232" spans="1:6" x14ac:dyDescent="0.2">
      <c r="A232" s="1" vm="1266">
        <f ca="1"/>
        <v>44774</v>
      </c>
      <c r="B232" s="2" vm="1267">
        <f ca="1"/>
        <v>77.180000000000007</v>
      </c>
      <c r="C232" s="2" vm="1268">
        <f ca="1"/>
        <v>77.808099999999996</v>
      </c>
      <c r="D232" s="2" vm="743">
        <f ca="1"/>
        <v>76.7</v>
      </c>
      <c r="E232" s="2" vm="1269">
        <f ca="1"/>
        <v>77.44</v>
      </c>
      <c r="F232" vm="1270">
        <f ca="1"/>
        <v>5227535</v>
      </c>
    </row>
    <row r="233" spans="1:6" x14ac:dyDescent="0.2">
      <c r="A233" s="1" vm="1271">
        <f ca="1"/>
        <v>44775</v>
      </c>
      <c r="B233" s="2" vm="1272">
        <f ca="1"/>
        <v>76.989999999999995</v>
      </c>
      <c r="C233" s="2" vm="1273">
        <f ca="1"/>
        <v>77.260000000000005</v>
      </c>
      <c r="D233" s="2" vm="1274">
        <f ca="1"/>
        <v>76.06</v>
      </c>
      <c r="E233" s="2" vm="687">
        <f ca="1"/>
        <v>76.349999999999994</v>
      </c>
      <c r="F233" vm="1275">
        <f ca="1"/>
        <v>6403482</v>
      </c>
    </row>
    <row r="234" spans="1:6" x14ac:dyDescent="0.2">
      <c r="A234" s="1" vm="1276">
        <f ca="1"/>
        <v>44776</v>
      </c>
      <c r="B234" s="2" vm="1277">
        <f ca="1"/>
        <v>76.72</v>
      </c>
      <c r="C234" s="2" vm="1278">
        <f ca="1"/>
        <v>77.760000000000005</v>
      </c>
      <c r="D234" s="2" vm="1279">
        <f ca="1"/>
        <v>76.3</v>
      </c>
      <c r="E234" s="2" vm="1280">
        <f ca="1"/>
        <v>77.37</v>
      </c>
      <c r="F234" vm="1281">
        <f ca="1"/>
        <v>6127778</v>
      </c>
    </row>
    <row r="235" spans="1:6" x14ac:dyDescent="0.2">
      <c r="A235" s="1" vm="1282">
        <f ca="1"/>
        <v>44777</v>
      </c>
      <c r="B235" s="2" vm="1283">
        <f ca="1"/>
        <v>77.45</v>
      </c>
      <c r="C235" s="2" vm="1284">
        <f ca="1"/>
        <v>77.849999999999994</v>
      </c>
      <c r="D235" s="2" vm="1285">
        <f ca="1"/>
        <v>77.11</v>
      </c>
      <c r="E235" s="2" vm="1286">
        <f ca="1"/>
        <v>77.400000000000006</v>
      </c>
      <c r="F235" vm="1287">
        <f ca="1"/>
        <v>3656151</v>
      </c>
    </row>
    <row r="236" spans="1:6" x14ac:dyDescent="0.2">
      <c r="A236" s="1" vm="1288">
        <f ca="1"/>
        <v>44778</v>
      </c>
      <c r="B236" s="2" vm="1289">
        <f ca="1"/>
        <v>76.27</v>
      </c>
      <c r="C236" s="2" vm="1286">
        <f ca="1"/>
        <v>77.400000000000006</v>
      </c>
      <c r="D236" s="2" vm="1290">
        <f ca="1"/>
        <v>76</v>
      </c>
      <c r="E236" s="2" vm="1291">
        <f ca="1"/>
        <v>77.349999999999994</v>
      </c>
      <c r="F236" vm="1292">
        <f ca="1"/>
        <v>4858132</v>
      </c>
    </row>
    <row r="237" spans="1:6" x14ac:dyDescent="0.2">
      <c r="A237" s="1" vm="1293">
        <f ca="1"/>
        <v>44781</v>
      </c>
      <c r="B237" s="2" vm="1294">
        <f ca="1"/>
        <v>76.92</v>
      </c>
      <c r="C237" s="2" vm="710">
        <f ca="1"/>
        <v>77.430000000000007</v>
      </c>
      <c r="D237" s="2" vm="1295">
        <f ca="1"/>
        <v>76.270799999999994</v>
      </c>
      <c r="E237" s="2" vm="1296">
        <f ca="1"/>
        <v>76.47</v>
      </c>
      <c r="F237" vm="1297">
        <f ca="1"/>
        <v>4733592</v>
      </c>
    </row>
    <row r="238" spans="1:6" x14ac:dyDescent="0.2">
      <c r="A238" s="1" vm="1298">
        <f ca="1"/>
        <v>44782</v>
      </c>
      <c r="B238" s="2" vm="897">
        <f ca="1"/>
        <v>76.209999999999994</v>
      </c>
      <c r="C238" s="2" vm="1299">
        <f ca="1"/>
        <v>76.91</v>
      </c>
      <c r="D238" s="2" vm="1300">
        <f ca="1"/>
        <v>75.84</v>
      </c>
      <c r="E238" s="2" vm="1301">
        <f ca="1"/>
        <v>76.77</v>
      </c>
      <c r="F238" vm="1302">
        <f ca="1"/>
        <v>4243763</v>
      </c>
    </row>
    <row r="239" spans="1:6" x14ac:dyDescent="0.2">
      <c r="A239" s="1" vm="1303">
        <f ca="1"/>
        <v>44783</v>
      </c>
      <c r="B239" s="2" vm="1304">
        <f ca="1"/>
        <v>77.59</v>
      </c>
      <c r="C239" s="2" vm="1305">
        <f ca="1"/>
        <v>77.98</v>
      </c>
      <c r="D239" s="2" vm="1306">
        <f ca="1"/>
        <v>77.2</v>
      </c>
      <c r="E239" s="2" vm="1307">
        <f ca="1"/>
        <v>77.540000000000006</v>
      </c>
      <c r="F239" vm="1308">
        <f ca="1"/>
        <v>5258490</v>
      </c>
    </row>
    <row r="240" spans="1:6" x14ac:dyDescent="0.2">
      <c r="A240" s="1" vm="1309">
        <f ca="1"/>
        <v>44784</v>
      </c>
      <c r="B240" s="2" vm="1310">
        <f ca="1"/>
        <v>77.95</v>
      </c>
      <c r="C240" s="2" vm="1311">
        <f ca="1"/>
        <v>78</v>
      </c>
      <c r="D240" s="2" vm="1312">
        <f ca="1"/>
        <v>77.08</v>
      </c>
      <c r="E240" s="2" vm="1313">
        <f ca="1"/>
        <v>77.16</v>
      </c>
      <c r="F240" vm="1314">
        <f ca="1"/>
        <v>5555003</v>
      </c>
    </row>
    <row r="241" spans="1:6" x14ac:dyDescent="0.2">
      <c r="A241" s="1" vm="1315">
        <f ca="1"/>
        <v>44785</v>
      </c>
      <c r="B241" s="2" vm="1311">
        <f ca="1"/>
        <v>78</v>
      </c>
      <c r="C241" s="2" vm="1316">
        <f ca="1"/>
        <v>79.42</v>
      </c>
      <c r="D241" s="2" vm="1317">
        <f ca="1"/>
        <v>77.66</v>
      </c>
      <c r="E241" s="2" vm="878">
        <f ca="1"/>
        <v>79.150000000000006</v>
      </c>
      <c r="F241" vm="1318">
        <f ca="1"/>
        <v>6692347</v>
      </c>
    </row>
    <row r="242" spans="1:6" x14ac:dyDescent="0.2">
      <c r="A242" s="1" vm="1319">
        <f ca="1"/>
        <v>44788</v>
      </c>
      <c r="B242" s="2" vm="772">
        <f ca="1"/>
        <v>78.84</v>
      </c>
      <c r="C242" s="2" vm="1320">
        <f ca="1"/>
        <v>79.415000000000006</v>
      </c>
      <c r="D242" s="2" vm="1321">
        <f ca="1"/>
        <v>78.5</v>
      </c>
      <c r="E242" s="2" vm="1322">
        <f ca="1"/>
        <v>79.11</v>
      </c>
      <c r="F242" vm="1323">
        <f ca="1"/>
        <v>3733644</v>
      </c>
    </row>
    <row r="243" spans="1:6" x14ac:dyDescent="0.2">
      <c r="A243" s="1" vm="1324">
        <f ca="1"/>
        <v>44789</v>
      </c>
      <c r="B243" s="2" vm="1325">
        <f ca="1"/>
        <v>78.900000000000006</v>
      </c>
      <c r="C243" s="2" vm="1326">
        <f ca="1"/>
        <v>79.655000000000001</v>
      </c>
      <c r="D243" s="2" vm="1327">
        <f ca="1"/>
        <v>78.849999999999994</v>
      </c>
      <c r="E243" s="2" vm="1328">
        <f ca="1"/>
        <v>79.52</v>
      </c>
      <c r="F243" vm="1329">
        <f ca="1"/>
        <v>6185088</v>
      </c>
    </row>
    <row r="244" spans="1:6" x14ac:dyDescent="0.2">
      <c r="A244" s="1" vm="1330">
        <f ca="1"/>
        <v>44790</v>
      </c>
      <c r="B244" s="2" vm="1331">
        <f ca="1"/>
        <v>79</v>
      </c>
      <c r="C244" s="2" vm="645">
        <f ca="1"/>
        <v>79.77</v>
      </c>
      <c r="D244" s="2" vm="639">
        <f ca="1"/>
        <v>78.95</v>
      </c>
      <c r="E244" s="2" vm="1332">
        <f ca="1"/>
        <v>79.25</v>
      </c>
      <c r="F244" vm="1333">
        <f ca="1"/>
        <v>5185253</v>
      </c>
    </row>
    <row r="245" spans="1:6" x14ac:dyDescent="0.2">
      <c r="A245" s="1" vm="1334">
        <f ca="1"/>
        <v>44791</v>
      </c>
      <c r="B245" s="2" vm="1335">
        <f ca="1"/>
        <v>79.28</v>
      </c>
      <c r="C245" s="2" vm="1336">
        <f ca="1"/>
        <v>79.883499999999998</v>
      </c>
      <c r="D245" s="2" vm="1337">
        <f ca="1"/>
        <v>79.010000000000005</v>
      </c>
      <c r="E245" s="2" vm="874">
        <f ca="1"/>
        <v>79.319999999999993</v>
      </c>
      <c r="F245" vm="1338">
        <f ca="1"/>
        <v>4120543</v>
      </c>
    </row>
    <row r="246" spans="1:6" x14ac:dyDescent="0.2">
      <c r="A246" s="1" vm="1339">
        <f ca="1"/>
        <v>44792</v>
      </c>
      <c r="B246" s="2" vm="1340">
        <f ca="1"/>
        <v>79.03</v>
      </c>
      <c r="C246" s="2" vm="1341">
        <f ca="1"/>
        <v>79.13</v>
      </c>
      <c r="D246" s="2" vm="1342">
        <f ca="1"/>
        <v>78.4392</v>
      </c>
      <c r="E246" s="2" vm="1343">
        <f ca="1"/>
        <v>78.66</v>
      </c>
      <c r="F246" vm="1344">
        <f ca="1"/>
        <v>4679022</v>
      </c>
    </row>
    <row r="247" spans="1:6" x14ac:dyDescent="0.2">
      <c r="A247" s="1" vm="1345">
        <f ca="1"/>
        <v>44795</v>
      </c>
      <c r="B247" s="2" vm="1346">
        <f ca="1"/>
        <v>77.930000000000007</v>
      </c>
      <c r="C247" s="2" vm="1346">
        <f ca="1"/>
        <v>77.930000000000007</v>
      </c>
      <c r="D247" s="2" vm="1347">
        <f ca="1"/>
        <v>76.17</v>
      </c>
      <c r="E247" s="2" vm="1348">
        <f ca="1"/>
        <v>76.459999999999994</v>
      </c>
      <c r="F247" vm="1349">
        <f ca="1"/>
        <v>5757837</v>
      </c>
    </row>
    <row r="248" spans="1:6" x14ac:dyDescent="0.2">
      <c r="A248" s="1" vm="1350">
        <f ca="1"/>
        <v>44796</v>
      </c>
      <c r="B248" s="2" vm="704">
        <f ca="1"/>
        <v>76.25</v>
      </c>
      <c r="C248" s="2" vm="1261">
        <f ca="1"/>
        <v>77.010000000000005</v>
      </c>
      <c r="D248" s="2" vm="704">
        <f ca="1"/>
        <v>76.25</v>
      </c>
      <c r="E248" s="2" vm="1351">
        <f ca="1"/>
        <v>76.41</v>
      </c>
      <c r="F248" vm="1352">
        <f ca="1"/>
        <v>4432266</v>
      </c>
    </row>
    <row r="249" spans="1:6" x14ac:dyDescent="0.2">
      <c r="A249" s="1" vm="1353">
        <f ca="1"/>
        <v>44797</v>
      </c>
      <c r="B249" s="2" vm="1296">
        <f ca="1"/>
        <v>76.47</v>
      </c>
      <c r="C249" s="2" vm="1354">
        <f ca="1"/>
        <v>76.56</v>
      </c>
      <c r="D249" s="2" vm="1355">
        <f ca="1"/>
        <v>76.05</v>
      </c>
      <c r="E249" s="2" vm="1347">
        <f ca="1"/>
        <v>76.17</v>
      </c>
      <c r="F249" vm="1356">
        <f ca="1"/>
        <v>3876359</v>
      </c>
    </row>
    <row r="250" spans="1:6" x14ac:dyDescent="0.2">
      <c r="A250" s="1" vm="1357">
        <f ca="1"/>
        <v>44798</v>
      </c>
      <c r="B250" s="2" vm="1358">
        <f ca="1"/>
        <v>76.34</v>
      </c>
      <c r="C250" s="2" vm="1299">
        <f ca="1"/>
        <v>76.91</v>
      </c>
      <c r="D250" s="2" vm="696">
        <f ca="1"/>
        <v>75.98</v>
      </c>
      <c r="E250" s="2" vm="1359">
        <f ca="1"/>
        <v>76.89</v>
      </c>
      <c r="F250" vm="1360">
        <f ca="1"/>
        <v>3523549</v>
      </c>
    </row>
    <row r="251" spans="1:6" x14ac:dyDescent="0.2">
      <c r="A251" s="1" vm="1361">
        <f ca="1"/>
        <v>44799</v>
      </c>
      <c r="B251" s="2" vm="903">
        <f ca="1"/>
        <v>76.98</v>
      </c>
      <c r="C251" s="2" vm="1273">
        <f ca="1"/>
        <v>77.260000000000005</v>
      </c>
      <c r="D251" s="2" vm="663">
        <f ca="1"/>
        <v>74.569999999999993</v>
      </c>
      <c r="E251" s="2" vm="684">
        <f ca="1"/>
        <v>74.650000000000006</v>
      </c>
      <c r="F251" vm="1362">
        <f ca="1"/>
        <v>4904315</v>
      </c>
    </row>
    <row r="252" spans="1:6" x14ac:dyDescent="0.2">
      <c r="A252" s="1" vm="1363">
        <f ca="1"/>
        <v>44802</v>
      </c>
      <c r="B252" s="2" vm="1364">
        <f ca="1"/>
        <v>74.11</v>
      </c>
      <c r="C252" s="2" vm="1243">
        <f ca="1"/>
        <v>74.86</v>
      </c>
      <c r="D252" s="2" vm="672">
        <f ca="1"/>
        <v>74.069999999999993</v>
      </c>
      <c r="E252" s="2" vm="1365">
        <f ca="1"/>
        <v>74.19</v>
      </c>
      <c r="F252" vm="1366">
        <f ca="1"/>
        <v>4295701</v>
      </c>
    </row>
    <row r="253" spans="1:6" x14ac:dyDescent="0.2">
      <c r="A253" s="1" vm="1367">
        <f ca="1"/>
        <v>44803</v>
      </c>
      <c r="B253" s="2" vm="912">
        <f ca="1"/>
        <v>74.42</v>
      </c>
      <c r="C253" s="2" vm="1368">
        <f ca="1"/>
        <v>74.67</v>
      </c>
      <c r="D253" s="2" vm="967">
        <f ca="1"/>
        <v>73.459999999999994</v>
      </c>
      <c r="E253" s="2" vm="1369">
        <f ca="1"/>
        <v>74.14</v>
      </c>
      <c r="F253" vm="1370">
        <f ca="1"/>
        <v>5099130</v>
      </c>
    </row>
    <row r="254" spans="1:6" x14ac:dyDescent="0.2">
      <c r="A254" s="1" vm="1371">
        <f ca="1"/>
        <v>44804</v>
      </c>
      <c r="B254" s="2" vm="1372">
        <f ca="1"/>
        <v>74.459999999999994</v>
      </c>
      <c r="C254" s="2" vm="1373">
        <f ca="1"/>
        <v>75.150000000000006</v>
      </c>
      <c r="D254" s="2" vm="1374">
        <f ca="1"/>
        <v>74.040000000000006</v>
      </c>
      <c r="E254" s="2" vm="1375">
        <f ca="1"/>
        <v>74.150000000000006</v>
      </c>
      <c r="F254" vm="1376">
        <f ca="1"/>
        <v>8612925</v>
      </c>
    </row>
    <row r="255" spans="1:6" x14ac:dyDescent="0.2">
      <c r="A255" s="1" vm="1377">
        <f ca="1"/>
        <v>44805</v>
      </c>
      <c r="B255" s="2" vm="669">
        <f ca="1"/>
        <v>74.12</v>
      </c>
      <c r="C255" s="2" vm="1378">
        <f ca="1"/>
        <v>75.37</v>
      </c>
      <c r="D255" s="2" vm="1379">
        <f ca="1"/>
        <v>73.53</v>
      </c>
      <c r="E255" s="2" vm="1247">
        <f ca="1"/>
        <v>75.3</v>
      </c>
      <c r="F255" vm="1380">
        <f ca="1"/>
        <v>8139759</v>
      </c>
    </row>
    <row r="256" spans="1:6" x14ac:dyDescent="0.2">
      <c r="A256" s="1" vm="1381">
        <f ca="1"/>
        <v>44806</v>
      </c>
      <c r="B256" s="2" vm="1382">
        <f ca="1"/>
        <v>75.739999999999995</v>
      </c>
      <c r="C256" s="2" vm="1301">
        <f ca="1"/>
        <v>76.77</v>
      </c>
      <c r="D256" s="2" vm="906">
        <f ca="1"/>
        <v>74.48</v>
      </c>
      <c r="E256" s="2" vm="1383">
        <f ca="1"/>
        <v>74.680000000000007</v>
      </c>
      <c r="F256" vm="1384">
        <f ca="1"/>
        <v>11027695</v>
      </c>
    </row>
    <row r="257" spans="1:6" x14ac:dyDescent="0.2">
      <c r="A257" s="1" vm="1385">
        <f ca="1"/>
        <v>44810</v>
      </c>
      <c r="B257" s="2" vm="902">
        <f ca="1"/>
        <v>74.7</v>
      </c>
      <c r="C257" s="2" vm="1386">
        <f ca="1"/>
        <v>75.194999999999993</v>
      </c>
      <c r="D257" s="2" vm="1387">
        <f ca="1"/>
        <v>73.55</v>
      </c>
      <c r="E257" s="2" vm="1388">
        <f ca="1"/>
        <v>73.83</v>
      </c>
      <c r="F257" vm="1389">
        <f ca="1"/>
        <v>7090148</v>
      </c>
    </row>
    <row r="258" spans="1:6" x14ac:dyDescent="0.2">
      <c r="A258" s="1" vm="1390">
        <f ca="1"/>
        <v>44811</v>
      </c>
      <c r="B258" s="2" vm="1391">
        <f ca="1"/>
        <v>73.680000000000007</v>
      </c>
      <c r="C258" s="2" vm="1368">
        <f ca="1"/>
        <v>74.67</v>
      </c>
      <c r="D258" s="2" vm="1392">
        <f ca="1"/>
        <v>73.42</v>
      </c>
      <c r="E258" s="2" vm="1393">
        <f ca="1"/>
        <v>74.489999999999995</v>
      </c>
      <c r="F258" vm="1394">
        <f ca="1"/>
        <v>5792572</v>
      </c>
    </row>
    <row r="259" spans="1:6" x14ac:dyDescent="0.2">
      <c r="A259" s="1" vm="1395">
        <f ca="1"/>
        <v>44812</v>
      </c>
      <c r="B259" s="2" vm="1249">
        <f ca="1"/>
        <v>74.03</v>
      </c>
      <c r="C259" s="2" vm="1246">
        <f ca="1"/>
        <v>74.8</v>
      </c>
      <c r="D259" s="2" vm="1396">
        <f ca="1"/>
        <v>73.61</v>
      </c>
      <c r="E259" s="2" vm="684">
        <f ca="1"/>
        <v>74.650000000000006</v>
      </c>
      <c r="F259" vm="1397">
        <f ca="1"/>
        <v>6897091</v>
      </c>
    </row>
    <row r="260" spans="1:6" x14ac:dyDescent="0.2">
      <c r="A260" s="1" vm="1398">
        <f ca="1"/>
        <v>44813</v>
      </c>
      <c r="B260" s="2" vm="684">
        <f ca="1"/>
        <v>74.650000000000006</v>
      </c>
      <c r="C260" s="2" vm="699">
        <f ca="1"/>
        <v>76.010000000000005</v>
      </c>
      <c r="D260" s="2" vm="1399">
        <f ca="1"/>
        <v>74.44</v>
      </c>
      <c r="E260" s="2" vm="1400">
        <f ca="1"/>
        <v>75.91</v>
      </c>
      <c r="F260" vm="1401">
        <f ca="1"/>
        <v>7764742</v>
      </c>
    </row>
    <row r="261" spans="1:6" x14ac:dyDescent="0.2">
      <c r="A261" s="1" vm="1402">
        <f ca="1"/>
        <v>44816</v>
      </c>
      <c r="B261" s="2" vm="917">
        <f ca="1"/>
        <v>76.63</v>
      </c>
      <c r="C261" s="2" vm="1403">
        <f ca="1"/>
        <v>77.377099999999999</v>
      </c>
      <c r="D261" s="2" vm="1289">
        <f ca="1"/>
        <v>76.27</v>
      </c>
      <c r="E261" s="2" vm="1312">
        <f ca="1"/>
        <v>77.08</v>
      </c>
      <c r="F261" vm="1404">
        <f ca="1"/>
        <v>15628850</v>
      </c>
    </row>
    <row r="262" spans="1:6" x14ac:dyDescent="0.2">
      <c r="A262" s="1" vm="1405">
        <f ca="1"/>
        <v>44817</v>
      </c>
      <c r="B262" s="2" vm="1274">
        <f ca="1"/>
        <v>76.06</v>
      </c>
      <c r="C262" s="2" vm="1406">
        <f ca="1"/>
        <v>79.4101</v>
      </c>
      <c r="D262" s="2" vm="1407">
        <f ca="1"/>
        <v>75.780100000000004</v>
      </c>
      <c r="E262" s="2" vm="1408">
        <f ca="1"/>
        <v>76.040000000000006</v>
      </c>
      <c r="F262" vm="1409">
        <f ca="1"/>
        <v>29476532</v>
      </c>
    </row>
    <row r="263" spans="1:6" x14ac:dyDescent="0.2">
      <c r="A263" s="1" vm="1410">
        <f ca="1"/>
        <v>44818</v>
      </c>
      <c r="B263" s="2" vm="1411">
        <f ca="1"/>
        <v>75.790000000000006</v>
      </c>
      <c r="C263" s="2" vm="923">
        <f ca="1"/>
        <v>75.87</v>
      </c>
      <c r="D263" s="2" vm="1412">
        <f ca="1"/>
        <v>71.77</v>
      </c>
      <c r="E263" s="2" vm="1030">
        <f ca="1"/>
        <v>72.12</v>
      </c>
      <c r="F263" vm="1413">
        <f ca="1"/>
        <v>21601363</v>
      </c>
    </row>
    <row r="264" spans="1:6" x14ac:dyDescent="0.2">
      <c r="A264" s="1" vm="1414">
        <f ca="1"/>
        <v>44819</v>
      </c>
      <c r="B264" s="2" vm="1415">
        <f ca="1"/>
        <v>71.5</v>
      </c>
      <c r="C264" s="2" vm="1416">
        <f ca="1"/>
        <v>72.09</v>
      </c>
      <c r="D264" s="2" vm="1417">
        <f ca="1"/>
        <v>69.745000000000005</v>
      </c>
      <c r="E264" s="2" vm="1418">
        <f ca="1"/>
        <v>70.239999999999995</v>
      </c>
      <c r="F264" vm="1419">
        <f ca="1"/>
        <v>12478141</v>
      </c>
    </row>
    <row r="265" spans="1:6" x14ac:dyDescent="0.2">
      <c r="A265" s="1" vm="1420">
        <f ca="1"/>
        <v>44820</v>
      </c>
      <c r="B265" s="2" vm="1421">
        <f ca="1"/>
        <v>69.58</v>
      </c>
      <c r="C265" s="2" vm="1422">
        <f ca="1"/>
        <v>69.8</v>
      </c>
      <c r="D265" s="2" vm="1423">
        <f ca="1"/>
        <v>68.245000000000005</v>
      </c>
      <c r="E265" s="2" vm="1424">
        <f ca="1"/>
        <v>68.83</v>
      </c>
      <c r="F265" vm="1425">
        <f ca="1"/>
        <v>23411963</v>
      </c>
    </row>
    <row r="266" spans="1:6" x14ac:dyDescent="0.2">
      <c r="A266" s="1" vm="1426">
        <f ca="1"/>
        <v>44823</v>
      </c>
      <c r="B266" s="2" vm="1427">
        <f ca="1"/>
        <v>68.2</v>
      </c>
      <c r="C266" s="2" vm="1428">
        <f ca="1"/>
        <v>69.13</v>
      </c>
      <c r="D266" s="2" vm="1429">
        <f ca="1"/>
        <v>67.905000000000001</v>
      </c>
      <c r="E266" s="2" vm="1430">
        <f ca="1"/>
        <v>69.069999999999993</v>
      </c>
      <c r="F266" vm="1431">
        <f ca="1"/>
        <v>8363973</v>
      </c>
    </row>
    <row r="267" spans="1:6" x14ac:dyDescent="0.2">
      <c r="A267" s="1" vm="1432">
        <f ca="1"/>
        <v>44824</v>
      </c>
      <c r="B267" s="2" vm="1433">
        <f ca="1"/>
        <v>68.27</v>
      </c>
      <c r="C267" s="2" vm="1434">
        <f ca="1"/>
        <v>68.454999999999998</v>
      </c>
      <c r="D267" s="2" vm="1435">
        <f ca="1"/>
        <v>67.448999999999998</v>
      </c>
      <c r="E267" s="2" vm="1436">
        <f ca="1"/>
        <v>68.11</v>
      </c>
      <c r="F267" vm="1437">
        <f ca="1"/>
        <v>8624496</v>
      </c>
    </row>
    <row r="268" spans="1:6" x14ac:dyDescent="0.2">
      <c r="A268" s="1" vm="1438">
        <f ca="1"/>
        <v>44825</v>
      </c>
      <c r="B268" s="2" vm="1112">
        <f ca="1"/>
        <v>68.709999999999994</v>
      </c>
      <c r="C268" s="2" vm="1023">
        <f ca="1"/>
        <v>68.88</v>
      </c>
      <c r="D268" s="2" vm="1439">
        <f ca="1"/>
        <v>66.739999999999995</v>
      </c>
      <c r="E268" s="2" vm="1440">
        <f ca="1"/>
        <v>66.75</v>
      </c>
      <c r="F268" vm="1441">
        <f ca="1"/>
        <v>6768203</v>
      </c>
    </row>
    <row r="269" spans="1:6" x14ac:dyDescent="0.2">
      <c r="A269" s="1" vm="1442">
        <f ca="1"/>
        <v>44826</v>
      </c>
      <c r="B269" s="2" vm="1008">
        <f ca="1"/>
        <v>66.849999999999994</v>
      </c>
      <c r="C269" s="2" vm="1443">
        <f ca="1"/>
        <v>66.94</v>
      </c>
      <c r="D269" s="2" vm="1444">
        <f ca="1"/>
        <v>65.84</v>
      </c>
      <c r="E269" s="2" vm="1445">
        <f ca="1"/>
        <v>66.03</v>
      </c>
      <c r="F269" vm="1446">
        <f ca="1"/>
        <v>7190884</v>
      </c>
    </row>
    <row r="270" spans="1:6" x14ac:dyDescent="0.2">
      <c r="A270" s="1" vm="1447">
        <f ca="1"/>
        <v>44827</v>
      </c>
      <c r="B270" s="2" vm="1448">
        <f ca="1"/>
        <v>65.349999999999994</v>
      </c>
      <c r="C270" s="2" vm="1449">
        <f ca="1"/>
        <v>65.44</v>
      </c>
      <c r="D270" s="2" vm="1450">
        <f ca="1"/>
        <v>63.87</v>
      </c>
      <c r="E270" s="2" vm="1451">
        <f ca="1"/>
        <v>64.55</v>
      </c>
      <c r="F270" vm="1452">
        <f ca="1"/>
        <v>9282634</v>
      </c>
    </row>
    <row r="271" spans="1:6" x14ac:dyDescent="0.2">
      <c r="A271" s="1" vm="1453">
        <f ca="1"/>
        <v>44830</v>
      </c>
      <c r="B271" s="2" vm="1454">
        <f ca="1"/>
        <v>64.33</v>
      </c>
      <c r="C271" s="2" vm="1455">
        <f ca="1"/>
        <v>64.92</v>
      </c>
      <c r="D271" s="2" vm="1456">
        <f ca="1"/>
        <v>63.39</v>
      </c>
      <c r="E271" s="2" vm="1457">
        <f ca="1"/>
        <v>63.45</v>
      </c>
      <c r="F271" vm="1458">
        <f ca="1"/>
        <v>6897757</v>
      </c>
    </row>
    <row r="272" spans="1:6" x14ac:dyDescent="0.2">
      <c r="A272" s="1" vm="1459">
        <f ca="1"/>
        <v>44831</v>
      </c>
      <c r="B272" s="2" vm="1460">
        <f ca="1"/>
        <v>64.16</v>
      </c>
      <c r="C272" s="2" vm="1461">
        <f ca="1"/>
        <v>64.400000000000006</v>
      </c>
      <c r="D272" s="2" vm="1462">
        <f ca="1"/>
        <v>62.034999999999997</v>
      </c>
      <c r="E272" s="2" vm="1463">
        <f ca="1"/>
        <v>62.42</v>
      </c>
      <c r="F272" vm="1464">
        <f ca="1"/>
        <v>9284984</v>
      </c>
    </row>
    <row r="273" spans="1:6" x14ac:dyDescent="0.2">
      <c r="A273" s="1" vm="1465">
        <f ca="1"/>
        <v>44832</v>
      </c>
      <c r="B273" s="2" vm="1466">
        <f ca="1"/>
        <v>62.62</v>
      </c>
      <c r="C273" s="2" vm="1467">
        <f ca="1"/>
        <v>63.344999999999999</v>
      </c>
      <c r="D273" s="2" vm="1468">
        <f ca="1"/>
        <v>62.25</v>
      </c>
      <c r="E273" s="2" vm="1469">
        <f ca="1"/>
        <v>63.07</v>
      </c>
      <c r="F273" vm="1470">
        <f ca="1"/>
        <v>8549898</v>
      </c>
    </row>
    <row r="274" spans="1:6" x14ac:dyDescent="0.2">
      <c r="A274" s="1" vm="1471">
        <f ca="1"/>
        <v>44833</v>
      </c>
      <c r="B274" s="2" vm="1472">
        <f ca="1"/>
        <v>62.29</v>
      </c>
      <c r="C274" s="2" vm="1473">
        <f ca="1"/>
        <v>62.6</v>
      </c>
      <c r="D274" s="2" vm="1474">
        <f ca="1"/>
        <v>60.78</v>
      </c>
      <c r="E274" s="2" vm="1475">
        <f ca="1"/>
        <v>61.4</v>
      </c>
      <c r="F274" vm="1476">
        <f ca="1"/>
        <v>8882075</v>
      </c>
    </row>
    <row r="275" spans="1:6" x14ac:dyDescent="0.2">
      <c r="A275" s="1" vm="1477">
        <f ca="1"/>
        <v>44834</v>
      </c>
      <c r="B275" s="2" vm="1478">
        <f ca="1"/>
        <v>61.26</v>
      </c>
      <c r="C275" s="2" vm="1479">
        <f ca="1"/>
        <v>62.14</v>
      </c>
      <c r="D275" s="2" vm="1480">
        <f ca="1"/>
        <v>61.06</v>
      </c>
      <c r="E275" s="2" vm="1481">
        <f ca="1"/>
        <v>61.07</v>
      </c>
      <c r="F275" vm="1482">
        <f ca="1"/>
        <v>9794421</v>
      </c>
    </row>
    <row r="276" spans="1:6" x14ac:dyDescent="0.2">
      <c r="A276" s="1" vm="1483">
        <f ca="1"/>
        <v>44837</v>
      </c>
      <c r="B276" s="2" vm="1484">
        <f ca="1"/>
        <v>60.99</v>
      </c>
      <c r="C276" s="2" vm="1485">
        <f ca="1"/>
        <v>63.234999999999999</v>
      </c>
      <c r="D276" s="2" vm="1486">
        <f ca="1"/>
        <v>60.805</v>
      </c>
      <c r="E276" s="2" vm="1487">
        <f ca="1"/>
        <v>63.08</v>
      </c>
      <c r="F276" vm="1488">
        <f ca="1"/>
        <v>9661405</v>
      </c>
    </row>
    <row r="277" spans="1:6" x14ac:dyDescent="0.2">
      <c r="A277" s="1" vm="1489">
        <f ca="1"/>
        <v>44838</v>
      </c>
      <c r="B277" s="2" vm="1490">
        <f ca="1"/>
        <v>63.8</v>
      </c>
      <c r="C277" s="2" vm="1491">
        <f ca="1"/>
        <v>65.83</v>
      </c>
      <c r="D277" s="2" vm="1490">
        <f ca="1"/>
        <v>63.8</v>
      </c>
      <c r="E277" s="2" vm="1492">
        <f ca="1"/>
        <v>65.69</v>
      </c>
      <c r="F277" vm="1493">
        <f ca="1"/>
        <v>9892607</v>
      </c>
    </row>
    <row r="278" spans="1:6" x14ac:dyDescent="0.2">
      <c r="A278" s="1" vm="1494">
        <f ca="1"/>
        <v>44839</v>
      </c>
      <c r="B278" s="2" vm="1495">
        <f ca="1"/>
        <v>65.34</v>
      </c>
      <c r="C278" s="2" vm="1496">
        <f ca="1"/>
        <v>67.19</v>
      </c>
      <c r="D278" s="2" vm="1497">
        <f ca="1"/>
        <v>64.98</v>
      </c>
      <c r="E278" s="2" vm="1498">
        <f ca="1"/>
        <v>66.64</v>
      </c>
      <c r="F278" vm="1499">
        <f ca="1"/>
        <v>9201607</v>
      </c>
    </row>
    <row r="279" spans="1:6" x14ac:dyDescent="0.2">
      <c r="A279" s="1" vm="1500">
        <f ca="1"/>
        <v>44840</v>
      </c>
      <c r="B279" s="2" vm="1501">
        <f ca="1"/>
        <v>66.33</v>
      </c>
      <c r="C279" s="2" vm="1502">
        <f ca="1"/>
        <v>66.81</v>
      </c>
      <c r="D279" s="2" vm="1503">
        <f ca="1"/>
        <v>65.224999999999994</v>
      </c>
      <c r="E279" s="2" vm="1504">
        <f ca="1"/>
        <v>65.3</v>
      </c>
      <c r="F279" vm="1505">
        <f ca="1"/>
        <v>6991998</v>
      </c>
    </row>
    <row r="280" spans="1:6" x14ac:dyDescent="0.2">
      <c r="A280" s="1" vm="1506">
        <f ca="1"/>
        <v>44841</v>
      </c>
      <c r="B280" s="2" vm="1507">
        <f ca="1"/>
        <v>64.489999999999995</v>
      </c>
      <c r="C280" s="2" vm="1508">
        <f ca="1"/>
        <v>64.62</v>
      </c>
      <c r="D280" s="2" vm="1509">
        <f ca="1"/>
        <v>62.74</v>
      </c>
      <c r="E280" s="2" vm="1510">
        <f ca="1"/>
        <v>63.29</v>
      </c>
      <c r="F280" vm="1511">
        <f ca="1"/>
        <v>7138048</v>
      </c>
    </row>
    <row r="281" spans="1:6" x14ac:dyDescent="0.2">
      <c r="A281" s="1" vm="1512">
        <f ca="1"/>
        <v>44844</v>
      </c>
      <c r="B281" s="2" vm="1513">
        <f ca="1"/>
        <v>63.61</v>
      </c>
      <c r="C281" s="2" vm="1514">
        <f ca="1"/>
        <v>63.9</v>
      </c>
      <c r="D281" s="2" vm="1515">
        <f ca="1"/>
        <v>62.02</v>
      </c>
      <c r="E281" s="2" vm="1516">
        <f ca="1"/>
        <v>62.57</v>
      </c>
      <c r="F281" vm="1517">
        <f ca="1"/>
        <v>6407213</v>
      </c>
    </row>
    <row r="282" spans="1:6" x14ac:dyDescent="0.2">
      <c r="A282" s="1" vm="1518">
        <f ca="1"/>
        <v>44845</v>
      </c>
      <c r="B282" s="2" vm="1519">
        <f ca="1"/>
        <v>61.85</v>
      </c>
      <c r="C282" s="2" vm="1520">
        <f ca="1"/>
        <v>63.1</v>
      </c>
      <c r="D282" s="2" vm="1521">
        <f ca="1"/>
        <v>61.65</v>
      </c>
      <c r="E282" s="2" vm="1522">
        <f ca="1"/>
        <v>62.41</v>
      </c>
      <c r="F282" vm="1523">
        <f ca="1"/>
        <v>7377104</v>
      </c>
    </row>
    <row r="283" spans="1:6" x14ac:dyDescent="0.2">
      <c r="A283" s="1" vm="1524">
        <f ca="1"/>
        <v>44846</v>
      </c>
      <c r="B283" s="2" vm="1466">
        <f ca="1"/>
        <v>62.62</v>
      </c>
      <c r="C283" s="2" vm="1525">
        <f ca="1"/>
        <v>64.275000000000006</v>
      </c>
      <c r="D283" s="2" vm="1526">
        <f ca="1"/>
        <v>62.17</v>
      </c>
      <c r="E283" s="2" vm="1527">
        <f ca="1"/>
        <v>63.78</v>
      </c>
      <c r="F283" vm="1528">
        <f ca="1"/>
        <v>9008662</v>
      </c>
    </row>
    <row r="284" spans="1:6" x14ac:dyDescent="0.2">
      <c r="A284" s="1" vm="1529">
        <f ca="1"/>
        <v>44847</v>
      </c>
      <c r="B284" s="2" vm="1530">
        <f ca="1"/>
        <v>62.48</v>
      </c>
      <c r="C284" s="2" vm="1531">
        <f ca="1"/>
        <v>65.704999999999998</v>
      </c>
      <c r="D284" s="2" vm="1532">
        <f ca="1"/>
        <v>62.27</v>
      </c>
      <c r="E284" s="2" vm="1533">
        <f ca="1"/>
        <v>65.2</v>
      </c>
      <c r="F284" vm="1534">
        <f ca="1"/>
        <v>10147221</v>
      </c>
    </row>
    <row r="285" spans="1:6" x14ac:dyDescent="0.2">
      <c r="A285" s="1" vm="1535">
        <f ca="1"/>
        <v>44848</v>
      </c>
      <c r="B285" s="2" vm="1536">
        <f ca="1"/>
        <v>65.72</v>
      </c>
      <c r="C285" s="2" vm="1537">
        <f ca="1"/>
        <v>66.614999999999995</v>
      </c>
      <c r="D285" s="2" vm="1538">
        <f ca="1"/>
        <v>64.209999999999994</v>
      </c>
      <c r="E285" s="2" vm="1539">
        <f ca="1"/>
        <v>64.31</v>
      </c>
      <c r="F285" vm="1540">
        <f ca="1"/>
        <v>8045062</v>
      </c>
    </row>
    <row r="286" spans="1:6" x14ac:dyDescent="0.2">
      <c r="A286" s="1" vm="1541">
        <f ca="1"/>
        <v>44851</v>
      </c>
      <c r="B286" s="2" vm="1542">
        <f ca="1"/>
        <v>65.88</v>
      </c>
      <c r="C286" s="2" vm="1543">
        <f ca="1"/>
        <v>67.564999999999998</v>
      </c>
      <c r="D286" s="2" vm="1544">
        <f ca="1"/>
        <v>65.87</v>
      </c>
      <c r="E286" s="2" vm="1545">
        <f ca="1"/>
        <v>67.02</v>
      </c>
      <c r="F286" vm="1546">
        <f ca="1"/>
        <v>11368318</v>
      </c>
    </row>
    <row r="287" spans="1:6" x14ac:dyDescent="0.2">
      <c r="A287" s="1" vm="1547">
        <f ca="1"/>
        <v>44852</v>
      </c>
      <c r="B287" s="2" vm="1548">
        <f ca="1"/>
        <v>68</v>
      </c>
      <c r="C287" s="2" vm="1152">
        <f ca="1"/>
        <v>68.58</v>
      </c>
      <c r="D287" s="2" vm="1501">
        <f ca="1"/>
        <v>66.33</v>
      </c>
      <c r="E287" s="2" vm="1549">
        <f ca="1"/>
        <v>67.03</v>
      </c>
      <c r="F287" vm="1550">
        <f ca="1"/>
        <v>6688607</v>
      </c>
    </row>
    <row r="288" spans="1:6" x14ac:dyDescent="0.2">
      <c r="A288" s="1" vm="1551">
        <f ca="1"/>
        <v>44853</v>
      </c>
      <c r="B288" s="2" vm="1552">
        <f ca="1"/>
        <v>66.489999999999995</v>
      </c>
      <c r="C288" s="2" vm="1496">
        <f ca="1"/>
        <v>67.19</v>
      </c>
      <c r="D288" s="2" vm="1553">
        <f ca="1"/>
        <v>65.775000000000006</v>
      </c>
      <c r="E288" s="2" vm="1554">
        <f ca="1"/>
        <v>66.3</v>
      </c>
      <c r="F288" vm="1555">
        <f ca="1"/>
        <v>5506033</v>
      </c>
    </row>
    <row r="289" spans="1:6" x14ac:dyDescent="0.2">
      <c r="A289" s="1" vm="1556">
        <f ca="1"/>
        <v>44854</v>
      </c>
      <c r="B289" s="2" vm="1557">
        <f ca="1"/>
        <v>67.53</v>
      </c>
      <c r="C289" s="2" vm="1558">
        <f ca="1"/>
        <v>69.92</v>
      </c>
      <c r="D289" s="2" vm="1496">
        <f ca="1"/>
        <v>67.19</v>
      </c>
      <c r="E289" s="2" vm="1559">
        <f ca="1"/>
        <v>69.25</v>
      </c>
      <c r="F289" vm="1560">
        <f ca="1"/>
        <v>17600525</v>
      </c>
    </row>
    <row r="290" spans="1:6" x14ac:dyDescent="0.2">
      <c r="A290" s="1" vm="1561">
        <f ca="1"/>
        <v>44855</v>
      </c>
      <c r="B290" s="2" vm="969">
        <f ca="1"/>
        <v>71.03</v>
      </c>
      <c r="C290" s="2" vm="940">
        <f ca="1"/>
        <v>72.790000000000006</v>
      </c>
      <c r="D290" s="2" vm="1562">
        <f ca="1"/>
        <v>70.31</v>
      </c>
      <c r="E290" s="2" vm="1563">
        <f ca="1"/>
        <v>72.7</v>
      </c>
      <c r="F290" vm="1564">
        <f ca="1"/>
        <v>15652602</v>
      </c>
    </row>
    <row r="291" spans="1:6" x14ac:dyDescent="0.2">
      <c r="A291" s="1" vm="1565">
        <f ca="1"/>
        <v>44858</v>
      </c>
      <c r="B291" s="2" vm="1566">
        <f ca="1"/>
        <v>72.930000000000007</v>
      </c>
      <c r="C291" s="2" vm="1567">
        <f ca="1"/>
        <v>73.69</v>
      </c>
      <c r="D291" s="2" vm="1568">
        <f ca="1"/>
        <v>71.78</v>
      </c>
      <c r="E291" s="2" vm="1569">
        <f ca="1"/>
        <v>72.92</v>
      </c>
      <c r="F291" vm="1570">
        <f ca="1"/>
        <v>11489360</v>
      </c>
    </row>
    <row r="292" spans="1:6" x14ac:dyDescent="0.2">
      <c r="A292" s="1" vm="1571">
        <f ca="1"/>
        <v>44859</v>
      </c>
      <c r="B292" s="2" vm="1572">
        <f ca="1"/>
        <v>73.45</v>
      </c>
      <c r="C292" s="2" vm="1364">
        <f ca="1"/>
        <v>74.11</v>
      </c>
      <c r="D292" s="2" vm="1573">
        <f ca="1"/>
        <v>72.61</v>
      </c>
      <c r="E292" s="2" vm="1056">
        <f ca="1"/>
        <v>73.14</v>
      </c>
      <c r="F292" vm="1574">
        <f ca="1"/>
        <v>9137741</v>
      </c>
    </row>
    <row r="293" spans="1:6" x14ac:dyDescent="0.2">
      <c r="A293" s="1" vm="1575">
        <f ca="1"/>
        <v>44860</v>
      </c>
      <c r="B293" s="2" vm="1573">
        <f ca="1"/>
        <v>72.61</v>
      </c>
      <c r="C293" s="2" vm="1576">
        <f ca="1"/>
        <v>75.72</v>
      </c>
      <c r="D293" s="2" vm="1225">
        <f ca="1"/>
        <v>72.55</v>
      </c>
      <c r="E293" s="2" vm="1235">
        <f ca="1"/>
        <v>74.819999999999993</v>
      </c>
      <c r="F293" vm="1577">
        <f ca="1"/>
        <v>10693739</v>
      </c>
    </row>
    <row r="294" spans="1:6" x14ac:dyDescent="0.2">
      <c r="A294" s="1" vm="1578">
        <f ca="1"/>
        <v>44861</v>
      </c>
      <c r="B294" s="2" vm="1579">
        <f ca="1"/>
        <v>74.75</v>
      </c>
      <c r="C294" s="2" vm="1580">
        <f ca="1"/>
        <v>75.879900000000006</v>
      </c>
      <c r="D294" s="2" vm="1581">
        <f ca="1"/>
        <v>74.545000000000002</v>
      </c>
      <c r="E294" s="2" vm="1373">
        <f ca="1"/>
        <v>75.150000000000006</v>
      </c>
      <c r="F294" vm="1582">
        <f ca="1"/>
        <v>7053018</v>
      </c>
    </row>
    <row r="295" spans="1:6" x14ac:dyDescent="0.2">
      <c r="A295" s="1" vm="1583">
        <f ca="1"/>
        <v>44862</v>
      </c>
      <c r="B295" s="2" vm="1247">
        <f ca="1"/>
        <v>75.3</v>
      </c>
      <c r="C295" s="2" vm="1584">
        <f ca="1"/>
        <v>77.674999999999997</v>
      </c>
      <c r="D295" s="2" vm="1247">
        <f ca="1"/>
        <v>75.3</v>
      </c>
      <c r="E295" s="2" vm="1585">
        <f ca="1"/>
        <v>77.36</v>
      </c>
      <c r="F295" vm="1586">
        <f ca="1"/>
        <v>8758344</v>
      </c>
    </row>
    <row r="296" spans="1:6" x14ac:dyDescent="0.2">
      <c r="A296" s="1" vm="1587">
        <f ca="1"/>
        <v>44865</v>
      </c>
      <c r="B296" s="2" vm="1588">
        <f ca="1"/>
        <v>76.5</v>
      </c>
      <c r="C296" s="2" vm="1589">
        <f ca="1"/>
        <v>78.33</v>
      </c>
      <c r="D296" s="2" vm="1590">
        <f ca="1"/>
        <v>76.400000000000006</v>
      </c>
      <c r="E296" s="2" vm="1591">
        <f ca="1"/>
        <v>78.069999999999993</v>
      </c>
      <c r="F296" vm="1592">
        <f ca="1"/>
        <v>12348964</v>
      </c>
    </row>
    <row r="297" spans="1:6" x14ac:dyDescent="0.2">
      <c r="A297" s="1" vm="1593">
        <f ca="1"/>
        <v>44866</v>
      </c>
      <c r="B297" s="2" vm="750">
        <f ca="1"/>
        <v>78.599999999999994</v>
      </c>
      <c r="C297" s="2" vm="1594">
        <f ca="1"/>
        <v>79.23</v>
      </c>
      <c r="D297" s="2" vm="1358">
        <f ca="1"/>
        <v>76.34</v>
      </c>
      <c r="E297" s="2" vm="1285">
        <f ca="1"/>
        <v>77.11</v>
      </c>
      <c r="F297" vm="1595">
        <f ca="1"/>
        <v>7752961</v>
      </c>
    </row>
    <row r="298" spans="1:6" x14ac:dyDescent="0.2">
      <c r="A298" s="1" vm="1596">
        <f ca="1"/>
        <v>44867</v>
      </c>
      <c r="B298" s="2" vm="740">
        <f ca="1"/>
        <v>76.650000000000006</v>
      </c>
      <c r="C298" s="2" vm="710">
        <f ca="1"/>
        <v>77.430000000000007</v>
      </c>
      <c r="D298" s="2" vm="1597">
        <f ca="1"/>
        <v>75.004999999999995</v>
      </c>
      <c r="E298" s="2" vm="1598">
        <f ca="1"/>
        <v>75.12</v>
      </c>
      <c r="F298" vm="1599">
        <f ca="1"/>
        <v>7524547</v>
      </c>
    </row>
    <row r="299" spans="1:6" x14ac:dyDescent="0.2">
      <c r="A299" s="1" vm="1600">
        <f ca="1"/>
        <v>44868</v>
      </c>
      <c r="B299" s="2" vm="944">
        <f ca="1"/>
        <v>74.72</v>
      </c>
      <c r="C299" s="2" vm="1601">
        <f ca="1"/>
        <v>75.69</v>
      </c>
      <c r="D299" s="2" vm="1602">
        <f ca="1"/>
        <v>74.05</v>
      </c>
      <c r="E299" s="2" vm="739">
        <f ca="1"/>
        <v>75.03</v>
      </c>
      <c r="F299" vm="1603">
        <f ca="1"/>
        <v>6761242</v>
      </c>
    </row>
    <row r="300" spans="1:6" x14ac:dyDescent="0.2">
      <c r="A300" s="1" vm="1604">
        <f ca="1"/>
        <v>44869</v>
      </c>
      <c r="B300" s="2" vm="1605">
        <f ca="1"/>
        <v>75.94</v>
      </c>
      <c r="C300" s="2" vm="1606">
        <f ca="1"/>
        <v>76.67</v>
      </c>
      <c r="D300" s="2" vm="1607">
        <f ca="1"/>
        <v>74.239999999999995</v>
      </c>
      <c r="E300" s="2" vm="1290">
        <f ca="1"/>
        <v>76</v>
      </c>
      <c r="F300" vm="1608">
        <f ca="1"/>
        <v>7218982</v>
      </c>
    </row>
    <row r="301" spans="1:6" x14ac:dyDescent="0.2">
      <c r="A301" s="1" vm="1609">
        <f ca="1"/>
        <v>44872</v>
      </c>
      <c r="B301" s="2" vm="1610">
        <f ca="1"/>
        <v>76.11</v>
      </c>
      <c r="C301" s="2" vm="1611">
        <f ca="1"/>
        <v>77.09</v>
      </c>
      <c r="D301" s="2" vm="1612">
        <f ca="1"/>
        <v>75.489999999999995</v>
      </c>
      <c r="E301" s="2" vm="1613">
        <f ca="1"/>
        <v>76.739999999999995</v>
      </c>
      <c r="F301" vm="1614">
        <f ca="1"/>
        <v>5394281</v>
      </c>
    </row>
    <row r="302" spans="1:6" x14ac:dyDescent="0.2">
      <c r="A302" s="1" vm="1615">
        <f ca="1"/>
        <v>44873</v>
      </c>
      <c r="B302" s="2" vm="732">
        <f ca="1"/>
        <v>76.95</v>
      </c>
      <c r="C302" s="2" vm="1616">
        <f ca="1"/>
        <v>77.14</v>
      </c>
      <c r="D302" s="2" vm="692">
        <f ca="1"/>
        <v>75.02</v>
      </c>
      <c r="E302" s="2" vm="1255">
        <f ca="1"/>
        <v>75.64</v>
      </c>
      <c r="F302" vm="1617">
        <f ca="1"/>
        <v>9104244</v>
      </c>
    </row>
    <row r="303" spans="1:6" x14ac:dyDescent="0.2">
      <c r="A303" s="1" vm="1618">
        <f ca="1"/>
        <v>44874</v>
      </c>
      <c r="B303" s="2" vm="1619">
        <f ca="1"/>
        <v>75.38</v>
      </c>
      <c r="C303" s="2" vm="1620">
        <f ca="1"/>
        <v>76.540000000000006</v>
      </c>
      <c r="D303" s="2" vm="1621">
        <f ca="1"/>
        <v>75</v>
      </c>
      <c r="E303" s="2" vm="1622">
        <f ca="1"/>
        <v>75.66</v>
      </c>
      <c r="F303" vm="1623">
        <f ca="1"/>
        <v>6013703</v>
      </c>
    </row>
    <row r="304" spans="1:6" x14ac:dyDescent="0.2">
      <c r="A304" s="1" vm="1624">
        <f ca="1"/>
        <v>44875</v>
      </c>
      <c r="B304" s="2" vm="1625">
        <f ca="1"/>
        <v>77.7</v>
      </c>
      <c r="C304" s="2" vm="1626">
        <f ca="1"/>
        <v>78.472499999999997</v>
      </c>
      <c r="D304" s="2" vm="1627">
        <f ca="1"/>
        <v>76.709999999999994</v>
      </c>
      <c r="E304" s="2" vm="1628">
        <f ca="1"/>
        <v>77.17</v>
      </c>
      <c r="F304" vm="1629">
        <f ca="1"/>
        <v>10437314</v>
      </c>
    </row>
    <row r="305" spans="1:6" x14ac:dyDescent="0.2">
      <c r="A305" s="1" vm="1630">
        <f ca="1"/>
        <v>44876</v>
      </c>
      <c r="B305" s="2" vm="1631">
        <f ca="1"/>
        <v>77.13</v>
      </c>
      <c r="C305" s="2" vm="1632">
        <f ca="1"/>
        <v>77.891099999999994</v>
      </c>
      <c r="D305" s="2" vm="1633">
        <f ca="1"/>
        <v>76.569999999999993</v>
      </c>
      <c r="E305" s="2" vm="1634">
        <f ca="1"/>
        <v>77.739999999999995</v>
      </c>
      <c r="F305" vm="1635">
        <f ca="1"/>
        <v>7712925</v>
      </c>
    </row>
    <row r="306" spans="1:6" x14ac:dyDescent="0.2">
      <c r="A306" s="1" vm="1636">
        <f ca="1"/>
        <v>44879</v>
      </c>
      <c r="B306" s="2" vm="1637">
        <f ca="1"/>
        <v>77.48</v>
      </c>
      <c r="C306" s="2" vm="1638">
        <f ca="1"/>
        <v>79.534999999999997</v>
      </c>
      <c r="D306" s="2" vm="1639">
        <f ca="1"/>
        <v>77.334999999999994</v>
      </c>
      <c r="E306" s="2" vm="1640">
        <f ca="1"/>
        <v>78.53</v>
      </c>
      <c r="F306" vm="1641">
        <f ca="1"/>
        <v>7152952</v>
      </c>
    </row>
    <row r="307" spans="1:6" x14ac:dyDescent="0.2">
      <c r="A307" s="1" vm="1642">
        <f ca="1"/>
        <v>44880</v>
      </c>
      <c r="B307" s="2" vm="1643">
        <f ca="1"/>
        <v>78.930000000000007</v>
      </c>
      <c r="C307" s="2" vm="1644">
        <f ca="1"/>
        <v>80.674999999999997</v>
      </c>
      <c r="D307" s="2" vm="1645">
        <f ca="1"/>
        <v>78.010000000000005</v>
      </c>
      <c r="E307" s="2" vm="1646">
        <f ca="1"/>
        <v>79.180000000000007</v>
      </c>
      <c r="F307" vm="1647">
        <f ca="1"/>
        <v>7618478</v>
      </c>
    </row>
    <row r="308" spans="1:6" x14ac:dyDescent="0.2">
      <c r="A308" s="1" vm="1648">
        <f ca="1"/>
        <v>44881</v>
      </c>
      <c r="B308" s="2" vm="1649">
        <f ca="1"/>
        <v>79.12</v>
      </c>
      <c r="C308" s="2" vm="1650">
        <f ca="1"/>
        <v>80.23</v>
      </c>
      <c r="D308" s="2" vm="1651">
        <f ca="1"/>
        <v>78.864999999999995</v>
      </c>
      <c r="E308" s="2" vm="1652">
        <f ca="1"/>
        <v>79.89</v>
      </c>
      <c r="F308" vm="1653">
        <f ca="1"/>
        <v>6011890</v>
      </c>
    </row>
    <row r="309" spans="1:6" x14ac:dyDescent="0.2">
      <c r="A309" s="1" vm="1654">
        <f ca="1"/>
        <v>44882</v>
      </c>
      <c r="B309" s="2" vm="1655">
        <f ca="1"/>
        <v>79.17</v>
      </c>
      <c r="C309" s="2" vm="1656">
        <f ca="1"/>
        <v>79.575000000000003</v>
      </c>
      <c r="D309" s="2" vm="1657">
        <f ca="1"/>
        <v>78.19</v>
      </c>
      <c r="E309" s="2" vm="570">
        <f ca="1"/>
        <v>79.2</v>
      </c>
      <c r="F309" vm="1658">
        <f ca="1"/>
        <v>5717402</v>
      </c>
    </row>
    <row r="310" spans="1:6" x14ac:dyDescent="0.2">
      <c r="A310" s="1" vm="1659">
        <f ca="1"/>
        <v>44883</v>
      </c>
      <c r="B310" s="2" vm="1660">
        <f ca="1"/>
        <v>80</v>
      </c>
      <c r="C310" s="2" vm="1661">
        <f ca="1"/>
        <v>80.459999999999994</v>
      </c>
      <c r="D310" s="2" vm="1327">
        <f ca="1"/>
        <v>78.849999999999994</v>
      </c>
      <c r="E310" s="2" vm="637">
        <f ca="1"/>
        <v>79.73</v>
      </c>
      <c r="F310" vm="1662">
        <f ca="1"/>
        <v>6106989</v>
      </c>
    </row>
    <row r="311" spans="1:6" x14ac:dyDescent="0.2">
      <c r="A311" s="1" vm="1663">
        <f ca="1"/>
        <v>44886</v>
      </c>
      <c r="B311" s="2" vm="1664">
        <f ca="1"/>
        <v>79.569999999999993</v>
      </c>
      <c r="C311" s="2" vm="1665">
        <f ca="1"/>
        <v>80.099999999999994</v>
      </c>
      <c r="D311" s="2" vm="1325">
        <f ca="1"/>
        <v>78.900000000000006</v>
      </c>
      <c r="E311" s="2" vm="1666">
        <f ca="1"/>
        <v>79.819999999999993</v>
      </c>
      <c r="F311" vm="1667">
        <f ca="1"/>
        <v>5235554</v>
      </c>
    </row>
    <row r="312" spans="1:6" x14ac:dyDescent="0.2">
      <c r="A312" s="1" vm="1668">
        <f ca="1"/>
        <v>44887</v>
      </c>
      <c r="B312" s="2" vm="1652">
        <f ca="1"/>
        <v>79.89</v>
      </c>
      <c r="C312" s="2" vm="1669">
        <f ca="1"/>
        <v>82.21</v>
      </c>
      <c r="D312" s="2" vm="872">
        <f ca="1"/>
        <v>79.83</v>
      </c>
      <c r="E312" s="2" vm="845">
        <f ca="1"/>
        <v>82.12</v>
      </c>
      <c r="F312" vm="1670">
        <f ca="1"/>
        <v>8796154</v>
      </c>
    </row>
    <row r="313" spans="1:6" x14ac:dyDescent="0.2">
      <c r="A313" s="1" vm="1671">
        <f ca="1"/>
        <v>44888</v>
      </c>
      <c r="B313" s="2" vm="845">
        <f ca="1"/>
        <v>82.12</v>
      </c>
      <c r="C313" s="2" vm="1672">
        <f ca="1"/>
        <v>82.92</v>
      </c>
      <c r="D313" s="2" vm="1673">
        <f ca="1"/>
        <v>81.78</v>
      </c>
      <c r="E313" s="2" vm="1674">
        <f ca="1"/>
        <v>82.56</v>
      </c>
      <c r="F313" vm="1675">
        <f ca="1"/>
        <v>6347899</v>
      </c>
    </row>
    <row r="314" spans="1:6" x14ac:dyDescent="0.2">
      <c r="A314" s="1" vm="1676">
        <f ca="1"/>
        <v>44890</v>
      </c>
      <c r="B314" s="2" vm="1677">
        <f ca="1"/>
        <v>82.85</v>
      </c>
      <c r="C314" s="2" vm="1678">
        <f ca="1"/>
        <v>83.484999999999999</v>
      </c>
      <c r="D314" s="2" vm="1679">
        <f ca="1"/>
        <v>82.534999999999997</v>
      </c>
      <c r="E314" s="2" vm="544">
        <f ca="1"/>
        <v>82.72</v>
      </c>
      <c r="F314" vm="1680">
        <f ca="1"/>
        <v>2754876</v>
      </c>
    </row>
    <row r="315" spans="1:6" x14ac:dyDescent="0.2">
      <c r="A315" s="1" vm="1681">
        <f ca="1"/>
        <v>44893</v>
      </c>
      <c r="B315" s="2" vm="603">
        <f ca="1"/>
        <v>82.11</v>
      </c>
      <c r="C315" s="2" vm="606">
        <f ca="1"/>
        <v>82.14</v>
      </c>
      <c r="D315" s="2" vm="561">
        <f ca="1"/>
        <v>81.069999999999993</v>
      </c>
      <c r="E315" s="2" vm="1682">
        <f ca="1"/>
        <v>81.39</v>
      </c>
      <c r="F315" vm="1683">
        <f ca="1"/>
        <v>5113103</v>
      </c>
    </row>
    <row r="316" spans="1:6" x14ac:dyDescent="0.2">
      <c r="A316" s="1" vm="1684">
        <f ca="1"/>
        <v>44894</v>
      </c>
      <c r="B316" s="2" vm="558">
        <f ca="1"/>
        <v>81.33</v>
      </c>
      <c r="C316" s="2" vm="1685">
        <f ca="1"/>
        <v>81.5</v>
      </c>
      <c r="D316" s="2" vm="1686">
        <f ca="1"/>
        <v>80.52</v>
      </c>
      <c r="E316" s="2" vm="1687">
        <f ca="1"/>
        <v>80.849999999999994</v>
      </c>
      <c r="F316" vm="1688">
        <f ca="1"/>
        <v>4928270</v>
      </c>
    </row>
    <row r="317" spans="1:6" x14ac:dyDescent="0.2">
      <c r="A317" s="1" vm="1689">
        <f ca="1"/>
        <v>44895</v>
      </c>
      <c r="B317" s="2" vm="1690">
        <f ca="1"/>
        <v>80.47</v>
      </c>
      <c r="C317" s="2" vm="1691">
        <f ca="1"/>
        <v>83.174999999999997</v>
      </c>
      <c r="D317" s="2" vm="1660">
        <f ca="1"/>
        <v>80</v>
      </c>
      <c r="E317" s="2" vm="1692">
        <f ca="1"/>
        <v>83.03</v>
      </c>
      <c r="F317" vm="1693">
        <f ca="1"/>
        <v>9610329</v>
      </c>
    </row>
    <row r="318" spans="1:6" x14ac:dyDescent="0.2">
      <c r="A318" s="1" vm="1694">
        <f ca="1"/>
        <v>44896</v>
      </c>
      <c r="B318" s="2" vm="1695">
        <f ca="1"/>
        <v>83.05</v>
      </c>
      <c r="C318" s="2" vm="1696">
        <f ca="1"/>
        <v>84.53</v>
      </c>
      <c r="D318" s="2" vm="1697">
        <f ca="1"/>
        <v>82.35</v>
      </c>
      <c r="E318" s="2" vm="1698">
        <f ca="1"/>
        <v>84.11</v>
      </c>
      <c r="F318" vm="1699">
        <f ca="1"/>
        <v>6127308</v>
      </c>
    </row>
    <row r="319" spans="1:6" x14ac:dyDescent="0.2">
      <c r="A319" s="1" vm="1700">
        <f ca="1"/>
        <v>44897</v>
      </c>
      <c r="B319" s="2" vm="1701">
        <f ca="1"/>
        <v>83.2</v>
      </c>
      <c r="C319" s="2" vm="1702">
        <f ca="1"/>
        <v>83.62</v>
      </c>
      <c r="D319" s="2" vm="1703">
        <f ca="1"/>
        <v>82.58</v>
      </c>
      <c r="E319" s="2" vm="1704">
        <f ca="1"/>
        <v>83.35</v>
      </c>
      <c r="F319" vm="1705">
        <f ca="1"/>
        <v>4798927</v>
      </c>
    </row>
    <row r="320" spans="1:6" x14ac:dyDescent="0.2">
      <c r="A320" s="1" vm="1706">
        <f ca="1"/>
        <v>44900</v>
      </c>
      <c r="B320" s="2" vm="1707">
        <f ca="1"/>
        <v>82.41</v>
      </c>
      <c r="C320" s="2" vm="554">
        <f ca="1"/>
        <v>82.42</v>
      </c>
      <c r="D320" s="2" vm="1708">
        <f ca="1"/>
        <v>79.41</v>
      </c>
      <c r="E320" s="2" vm="1709">
        <f ca="1"/>
        <v>79.430000000000007</v>
      </c>
      <c r="F320" vm="1710">
        <f ca="1"/>
        <v>9102943</v>
      </c>
    </row>
    <row r="321" spans="1:6" x14ac:dyDescent="0.2">
      <c r="A321" s="1" vm="1711">
        <f ca="1"/>
        <v>44901</v>
      </c>
      <c r="B321" s="2" vm="1712">
        <f ca="1"/>
        <v>79.349999999999994</v>
      </c>
      <c r="C321" s="2" vm="1666">
        <f ca="1"/>
        <v>79.819999999999993</v>
      </c>
      <c r="D321" s="2" vm="1713">
        <f ca="1"/>
        <v>78.06</v>
      </c>
      <c r="E321" s="2" vm="1714">
        <f ca="1"/>
        <v>78.91</v>
      </c>
      <c r="F321" vm="1715">
        <f ca="1"/>
        <v>7656126</v>
      </c>
    </row>
    <row r="322" spans="1:6" x14ac:dyDescent="0.2">
      <c r="A322" s="1" vm="1716">
        <f ca="1"/>
        <v>44902</v>
      </c>
      <c r="B322" s="2" vm="1717">
        <f ca="1"/>
        <v>78.67</v>
      </c>
      <c r="C322" s="2" vm="1718">
        <f ca="1"/>
        <v>79.444999999999993</v>
      </c>
      <c r="D322" s="2" vm="1719">
        <f ca="1"/>
        <v>78.58</v>
      </c>
      <c r="E322" s="2" vm="1720">
        <f ca="1"/>
        <v>78.78</v>
      </c>
      <c r="F322" vm="1721">
        <f ca="1"/>
        <v>5105512</v>
      </c>
    </row>
    <row r="323" spans="1:6" x14ac:dyDescent="0.2">
      <c r="A323" s="1" vm="1722">
        <f ca="1"/>
        <v>44903</v>
      </c>
      <c r="B323" s="2" vm="1341">
        <f ca="1"/>
        <v>79.13</v>
      </c>
      <c r="C323" s="2" vm="1723">
        <f ca="1"/>
        <v>80.209999999999994</v>
      </c>
      <c r="D323" s="2" vm="1640">
        <f ca="1"/>
        <v>78.53</v>
      </c>
      <c r="E323" s="2" vm="1724">
        <f ca="1"/>
        <v>80.069999999999993</v>
      </c>
      <c r="F323" vm="1725">
        <f ca="1"/>
        <v>5918748</v>
      </c>
    </row>
    <row r="324" spans="1:6" x14ac:dyDescent="0.2">
      <c r="A324" s="1" vm="1726">
        <f ca="1"/>
        <v>44904</v>
      </c>
      <c r="B324" s="2" vm="1727">
        <f ca="1"/>
        <v>79.650000000000006</v>
      </c>
      <c r="C324" s="2" vm="873">
        <f ca="1"/>
        <v>80.36</v>
      </c>
      <c r="D324" s="2" vm="1728">
        <f ca="1"/>
        <v>79.540000000000006</v>
      </c>
      <c r="E324" s="2" vm="1729">
        <f ca="1"/>
        <v>79.86</v>
      </c>
      <c r="F324" vm="1730">
        <f ca="1"/>
        <v>6850806</v>
      </c>
    </row>
    <row r="325" spans="1:6" x14ac:dyDescent="0.2">
      <c r="A325" s="1" vm="1731">
        <f ca="1"/>
        <v>44907</v>
      </c>
      <c r="B325" s="2" vm="1732">
        <f ca="1"/>
        <v>80.31</v>
      </c>
      <c r="C325" s="2" vm="789">
        <f ca="1"/>
        <v>81.41</v>
      </c>
      <c r="D325" s="2" vm="1733">
        <f ca="1"/>
        <v>79.935000000000002</v>
      </c>
      <c r="E325" s="2" vm="776">
        <f ca="1"/>
        <v>81.28</v>
      </c>
      <c r="F325" vm="1734">
        <f ca="1"/>
        <v>15807550</v>
      </c>
    </row>
    <row r="326" spans="1:6" x14ac:dyDescent="0.2">
      <c r="A326" s="1" vm="1735">
        <f ca="1"/>
        <v>44908</v>
      </c>
      <c r="B326" s="2" vm="1736">
        <f ca="1"/>
        <v>84.94</v>
      </c>
      <c r="C326" s="2" vm="1737">
        <f ca="1"/>
        <v>85.58</v>
      </c>
      <c r="D326" s="2" vm="859">
        <f ca="1"/>
        <v>79.7</v>
      </c>
      <c r="E326" s="2" vm="1738">
        <f ca="1"/>
        <v>80.56</v>
      </c>
      <c r="F326" vm="1739">
        <f ca="1"/>
        <v>22812160</v>
      </c>
    </row>
    <row r="327" spans="1:6" x14ac:dyDescent="0.2">
      <c r="A327" s="1" vm="1740">
        <f ca="1"/>
        <v>44909</v>
      </c>
      <c r="B327" s="2" vm="1741">
        <f ca="1"/>
        <v>80.81</v>
      </c>
      <c r="C327" s="2" vm="1742">
        <f ca="1"/>
        <v>82.89</v>
      </c>
      <c r="D327" s="2" vm="1743">
        <f ca="1"/>
        <v>80.569999999999993</v>
      </c>
      <c r="E327" s="2" vm="1744">
        <f ca="1"/>
        <v>81.819999999999993</v>
      </c>
      <c r="F327" vm="1745">
        <f ca="1"/>
        <v>11183148</v>
      </c>
    </row>
    <row r="328" spans="1:6" x14ac:dyDescent="0.2">
      <c r="A328" s="1" vm="1746">
        <f ca="1"/>
        <v>44910</v>
      </c>
      <c r="B328" s="2" vm="615">
        <f ca="1"/>
        <v>80.790000000000006</v>
      </c>
      <c r="C328" s="2" vm="1747">
        <f ca="1"/>
        <v>81.03</v>
      </c>
      <c r="D328" s="2" vm="1748">
        <f ca="1"/>
        <v>79.459999999999994</v>
      </c>
      <c r="E328" s="2" vm="1724">
        <f ca="1"/>
        <v>80.069999999999993</v>
      </c>
      <c r="F328" vm="1749">
        <f ca="1"/>
        <v>8198939</v>
      </c>
    </row>
    <row r="329" spans="1:6" x14ac:dyDescent="0.2">
      <c r="A329" s="1" vm="1750">
        <f ca="1"/>
        <v>44911</v>
      </c>
      <c r="B329" s="2" vm="763">
        <f ca="1"/>
        <v>79.959999999999994</v>
      </c>
      <c r="C329" s="2" vm="1661">
        <f ca="1"/>
        <v>80.459999999999994</v>
      </c>
      <c r="D329" s="2" vm="892">
        <f ca="1"/>
        <v>79.48</v>
      </c>
      <c r="E329" s="2" vm="636">
        <f ca="1"/>
        <v>79.58</v>
      </c>
      <c r="F329" vm="1751">
        <f ca="1"/>
        <v>19200747</v>
      </c>
    </row>
    <row r="330" spans="1:6" x14ac:dyDescent="0.2">
      <c r="A330" s="1" vm="1752">
        <f ca="1"/>
        <v>44914</v>
      </c>
      <c r="B330" s="2" vm="1753">
        <f ca="1"/>
        <v>79.92</v>
      </c>
      <c r="C330" s="2" vm="1754">
        <f ca="1"/>
        <v>81.099999999999994</v>
      </c>
      <c r="D330" s="2" vm="1755">
        <f ca="1"/>
        <v>79.680000000000007</v>
      </c>
      <c r="E330" s="2" vm="575">
        <f ca="1"/>
        <v>80.5</v>
      </c>
      <c r="F330" vm="1756">
        <f ca="1"/>
        <v>7738813</v>
      </c>
    </row>
    <row r="331" spans="1:6" x14ac:dyDescent="0.2">
      <c r="A331" s="1" vm="1757">
        <f ca="1"/>
        <v>44915</v>
      </c>
      <c r="B331" s="2" vm="575">
        <f ca="1"/>
        <v>80.5</v>
      </c>
      <c r="C331" s="2" vm="890">
        <f ca="1"/>
        <v>81.489999999999995</v>
      </c>
      <c r="D331" s="2" vm="1758">
        <f ca="1"/>
        <v>80.349999999999994</v>
      </c>
      <c r="E331" s="2" vm="854">
        <f ca="1"/>
        <v>80.94</v>
      </c>
      <c r="F331" vm="1759">
        <f ca="1"/>
        <v>6390180</v>
      </c>
    </row>
    <row r="332" spans="1:6" x14ac:dyDescent="0.2">
      <c r="A332" s="1" vm="1760">
        <f ca="1"/>
        <v>44916</v>
      </c>
      <c r="B332" s="2" vm="1761">
        <f ca="1"/>
        <v>81.349999999999994</v>
      </c>
      <c r="C332" s="2" vm="606">
        <f ca="1"/>
        <v>82.14</v>
      </c>
      <c r="D332" s="2" vm="854">
        <f ca="1"/>
        <v>80.94</v>
      </c>
      <c r="E332" s="2" vm="1685">
        <f ca="1"/>
        <v>81.5</v>
      </c>
      <c r="F332" vm="1762">
        <f ca="1"/>
        <v>5932395</v>
      </c>
    </row>
    <row r="333" spans="1:6" x14ac:dyDescent="0.2">
      <c r="A333" s="1" vm="1763">
        <f ca="1"/>
        <v>44917</v>
      </c>
      <c r="B333" s="2" vm="854">
        <f ca="1"/>
        <v>80.94</v>
      </c>
      <c r="C333" s="2" vm="1764">
        <f ca="1"/>
        <v>81.17</v>
      </c>
      <c r="D333" s="2" vm="1709">
        <f ca="1"/>
        <v>79.430000000000007</v>
      </c>
      <c r="E333" s="2" vm="580">
        <f ca="1"/>
        <v>80.489999999999995</v>
      </c>
      <c r="F333" vm="1765">
        <f ca="1"/>
        <v>8182431</v>
      </c>
    </row>
    <row r="334" spans="1:6" x14ac:dyDescent="0.2">
      <c r="A334" s="1" vm="1766">
        <f ca="1"/>
        <v>44918</v>
      </c>
      <c r="B334" s="2" vm="1767">
        <f ca="1"/>
        <v>80.510000000000005</v>
      </c>
      <c r="C334" s="2" vm="1768">
        <f ca="1"/>
        <v>80.900000000000006</v>
      </c>
      <c r="D334" s="2" vm="574">
        <f ca="1"/>
        <v>79.989999999999995</v>
      </c>
      <c r="E334" s="2" vm="1687">
        <f ca="1"/>
        <v>80.849999999999994</v>
      </c>
      <c r="F334" vm="1769">
        <f ca="1"/>
        <v>4129226</v>
      </c>
    </row>
    <row r="335" spans="1:6" x14ac:dyDescent="0.2">
      <c r="A335" s="1" vm="1770">
        <f ca="1"/>
        <v>44922</v>
      </c>
      <c r="B335" s="2" vm="1771">
        <f ca="1"/>
        <v>80.88</v>
      </c>
      <c r="C335" s="2" vm="827">
        <f ca="1"/>
        <v>81.47</v>
      </c>
      <c r="D335" s="2" vm="1772">
        <f ca="1"/>
        <v>80.605000000000004</v>
      </c>
      <c r="E335" s="2" vm="1773">
        <f ca="1"/>
        <v>80.98</v>
      </c>
      <c r="F335" vm="1774">
        <f ca="1"/>
        <v>4290843</v>
      </c>
    </row>
    <row r="336" spans="1:6" x14ac:dyDescent="0.2">
      <c r="A336" s="1" vm="1775">
        <f ca="1"/>
        <v>44923</v>
      </c>
      <c r="B336" s="2" vm="1776">
        <f ca="1"/>
        <v>81.09</v>
      </c>
      <c r="C336" s="2" vm="1777">
        <f ca="1"/>
        <v>81.639899999999997</v>
      </c>
      <c r="D336" s="2" vm="1778">
        <f ca="1"/>
        <v>80.194999999999993</v>
      </c>
      <c r="E336" s="2" vm="1779">
        <f ca="1"/>
        <v>80.33</v>
      </c>
      <c r="F336" vm="1780">
        <f ca="1"/>
        <v>3794094</v>
      </c>
    </row>
    <row r="337" spans="1:6" x14ac:dyDescent="0.2">
      <c r="A337" s="1" vm="1781">
        <f ca="1"/>
        <v>44924</v>
      </c>
      <c r="B337" s="2" vm="1782">
        <f ca="1"/>
        <v>80.97</v>
      </c>
      <c r="C337" s="2" vm="785">
        <f ca="1"/>
        <v>81.8</v>
      </c>
      <c r="D337" s="2" vm="1783">
        <f ca="1"/>
        <v>80.7</v>
      </c>
      <c r="E337" s="2" vm="586">
        <f ca="1"/>
        <v>81.400000000000006</v>
      </c>
      <c r="F337" vm="1784">
        <f ca="1"/>
        <v>3867801</v>
      </c>
    </row>
    <row r="338" spans="1:6" x14ac:dyDescent="0.2">
      <c r="A338" s="1" vm="1785">
        <f ca="1"/>
        <v>44925</v>
      </c>
      <c r="B338" s="2" vm="858">
        <f ca="1"/>
        <v>81.13</v>
      </c>
      <c r="C338" s="2" vm="1786">
        <f ca="1"/>
        <v>81.93</v>
      </c>
      <c r="D338" s="2" vm="1787">
        <f ca="1"/>
        <v>80.760000000000005</v>
      </c>
      <c r="E338" s="2" vm="804">
        <f ca="1"/>
        <v>81.739999999999995</v>
      </c>
      <c r="F338" vm="1788">
        <f ca="1"/>
        <v>5375702</v>
      </c>
    </row>
    <row r="339" spans="1:6" x14ac:dyDescent="0.2">
      <c r="A339" s="1" vm="1789">
        <f ca="1"/>
        <v>44929</v>
      </c>
      <c r="B339" s="2" vm="843">
        <f ca="1"/>
        <v>82.47</v>
      </c>
      <c r="C339" s="2" vm="1790">
        <f ca="1"/>
        <v>83.84</v>
      </c>
      <c r="D339" s="2" vm="1791">
        <f ca="1"/>
        <v>82.26</v>
      </c>
      <c r="E339" s="2" vm="1792">
        <f ca="1"/>
        <v>83.72</v>
      </c>
      <c r="F339" vm="1793">
        <f ca="1"/>
        <v>8997534</v>
      </c>
    </row>
    <row r="340" spans="1:6" x14ac:dyDescent="0.2">
      <c r="A340" s="1" vm="1794">
        <f ca="1"/>
        <v>44930</v>
      </c>
      <c r="B340" s="2" vm="1795">
        <f ca="1"/>
        <v>84.2</v>
      </c>
      <c r="C340" s="2" vm="1796">
        <f ca="1"/>
        <v>85.17</v>
      </c>
      <c r="D340" s="2" vm="1797">
        <f ca="1"/>
        <v>83.64</v>
      </c>
      <c r="E340" s="2" vm="1798">
        <f ca="1"/>
        <v>84.48</v>
      </c>
      <c r="F340" vm="1799">
        <f ca="1"/>
        <v>7836238</v>
      </c>
    </row>
    <row r="341" spans="1:6" x14ac:dyDescent="0.2">
      <c r="A341" s="1" vm="1800">
        <f ca="1"/>
        <v>44931</v>
      </c>
      <c r="B341" s="2" vm="542">
        <f ca="1"/>
        <v>85</v>
      </c>
      <c r="C341" s="2" vm="1801">
        <f ca="1"/>
        <v>85.4</v>
      </c>
      <c r="D341" s="2" vm="1802">
        <f ca="1"/>
        <v>83.22</v>
      </c>
      <c r="E341" s="2" vm="1803">
        <f ca="1"/>
        <v>84.31</v>
      </c>
      <c r="F341" vm="1804">
        <f ca="1"/>
        <v>7643784</v>
      </c>
    </row>
    <row r="342" spans="1:6" x14ac:dyDescent="0.2">
      <c r="A342" s="1" vm="1805">
        <f ca="1"/>
        <v>44932</v>
      </c>
      <c r="B342" s="2" vm="1806">
        <f ca="1"/>
        <v>84.74</v>
      </c>
      <c r="C342" s="2" vm="495">
        <f ca="1"/>
        <v>86.34</v>
      </c>
      <c r="D342" s="2" vm="1807">
        <f ca="1"/>
        <v>83.82</v>
      </c>
      <c r="E342" s="2" vm="1808">
        <f ca="1"/>
        <v>85.66</v>
      </c>
      <c r="F342" vm="1809">
        <f ca="1"/>
        <v>8641597</v>
      </c>
    </row>
    <row r="343" spans="1:6" x14ac:dyDescent="0.2">
      <c r="A343" s="1" vm="1810">
        <f ca="1"/>
        <v>44935</v>
      </c>
      <c r="B343" s="2" vm="1811">
        <f ca="1"/>
        <v>86.84</v>
      </c>
      <c r="C343" s="2" vm="1812">
        <f ca="1"/>
        <v>87.59</v>
      </c>
      <c r="D343" s="2" vm="1813">
        <f ca="1"/>
        <v>86.16</v>
      </c>
      <c r="E343" s="2" vm="1814">
        <f ca="1"/>
        <v>86.42</v>
      </c>
      <c r="F343" vm="1815">
        <f ca="1"/>
        <v>7519836</v>
      </c>
    </row>
    <row r="344" spans="1:6" x14ac:dyDescent="0.2">
      <c r="A344" s="1" vm="1816">
        <f ca="1"/>
        <v>44936</v>
      </c>
      <c r="B344" s="2" vm="1817">
        <f ca="1"/>
        <v>85.64</v>
      </c>
      <c r="C344" s="2" vm="1818">
        <f ca="1"/>
        <v>86.61</v>
      </c>
      <c r="D344" s="2" vm="1819">
        <f ca="1"/>
        <v>85.57</v>
      </c>
      <c r="E344" s="2" vm="1820">
        <f ca="1"/>
        <v>86.5</v>
      </c>
      <c r="F344" vm="1821">
        <f ca="1"/>
        <v>5703270</v>
      </c>
    </row>
    <row r="345" spans="1:6" x14ac:dyDescent="0.2">
      <c r="A345" s="1" vm="1822">
        <f ca="1"/>
        <v>44937</v>
      </c>
      <c r="B345" s="2" vm="1823">
        <f ca="1"/>
        <v>87.37</v>
      </c>
      <c r="C345" s="2" vm="93">
        <f ca="1"/>
        <v>88.66</v>
      </c>
      <c r="D345" s="2" vm="1824">
        <f ca="1"/>
        <v>87.09</v>
      </c>
      <c r="E345" s="2" vm="487">
        <f ca="1"/>
        <v>88.6</v>
      </c>
      <c r="F345" vm="1825">
        <f ca="1"/>
        <v>8359667</v>
      </c>
    </row>
    <row r="346" spans="1:6" x14ac:dyDescent="0.2">
      <c r="A346" s="1" vm="1826">
        <f ca="1"/>
        <v>44938</v>
      </c>
      <c r="B346" s="2" vm="1827">
        <f ca="1"/>
        <v>88.7</v>
      </c>
      <c r="C346" s="2" vm="1828">
        <f ca="1"/>
        <v>89.194999999999993</v>
      </c>
      <c r="D346" s="2" vm="1829">
        <f ca="1"/>
        <v>88.17</v>
      </c>
      <c r="E346" s="2" vm="1830">
        <f ca="1"/>
        <v>88.78</v>
      </c>
      <c r="F346" vm="1831">
        <f ca="1"/>
        <v>6071099</v>
      </c>
    </row>
    <row r="347" spans="1:6" x14ac:dyDescent="0.2">
      <c r="A347" s="1" vm="1832">
        <f ca="1"/>
        <v>44939</v>
      </c>
      <c r="B347" s="2" vm="1833">
        <f ca="1"/>
        <v>87.95</v>
      </c>
      <c r="C347" s="2" vm="1834">
        <f ca="1"/>
        <v>89.466200000000001</v>
      </c>
      <c r="D347" s="2" vm="80">
        <f ca="1"/>
        <v>87.66</v>
      </c>
      <c r="E347" s="2" vm="1835">
        <f ca="1"/>
        <v>89.2</v>
      </c>
      <c r="F347" vm="1836">
        <f ca="1"/>
        <v>5090938</v>
      </c>
    </row>
    <row r="348" spans="1:6" x14ac:dyDescent="0.2">
      <c r="A348" s="1" vm="1837">
        <f ca="1"/>
        <v>44943</v>
      </c>
      <c r="B348" s="2" vm="461">
        <f ca="1"/>
        <v>89.19</v>
      </c>
      <c r="C348" s="2" vm="1838">
        <f ca="1"/>
        <v>89.44</v>
      </c>
      <c r="D348" s="2" vm="1839">
        <f ca="1"/>
        <v>88.424999999999997</v>
      </c>
      <c r="E348" s="2" vm="487">
        <f ca="1"/>
        <v>88.6</v>
      </c>
      <c r="F348" vm="1840">
        <f ca="1"/>
        <v>6550412</v>
      </c>
    </row>
    <row r="349" spans="1:6" x14ac:dyDescent="0.2">
      <c r="A349" s="1" vm="1841">
        <f ca="1"/>
        <v>44944</v>
      </c>
      <c r="B349" s="2" vm="487">
        <f ca="1"/>
        <v>88.6</v>
      </c>
      <c r="C349" s="2" vm="1842">
        <f ca="1"/>
        <v>88.63</v>
      </c>
      <c r="D349" s="2" vm="1843">
        <f ca="1"/>
        <v>86.6</v>
      </c>
      <c r="E349" s="2" vm="1844">
        <f ca="1"/>
        <v>86.71</v>
      </c>
      <c r="F349" vm="1845">
        <f ca="1"/>
        <v>6397707</v>
      </c>
    </row>
    <row r="350" spans="1:6" x14ac:dyDescent="0.2">
      <c r="A350" s="1" vm="1846">
        <f ca="1"/>
        <v>44945</v>
      </c>
      <c r="B350" s="2" vm="1847">
        <f ca="1"/>
        <v>86.4</v>
      </c>
      <c r="C350" s="2" vm="1848">
        <f ca="1"/>
        <v>86.99</v>
      </c>
      <c r="D350" s="2" vm="1849">
        <f ca="1"/>
        <v>85.254999999999995</v>
      </c>
      <c r="E350" s="2" vm="1850">
        <f ca="1"/>
        <v>85.94</v>
      </c>
      <c r="F350" vm="1851">
        <f ca="1"/>
        <v>5597039</v>
      </c>
    </row>
    <row r="351" spans="1:6" x14ac:dyDescent="0.2">
      <c r="A351" s="1" vm="1852">
        <f ca="1"/>
        <v>44946</v>
      </c>
      <c r="B351" s="2" vm="1853">
        <f ca="1"/>
        <v>86.03</v>
      </c>
      <c r="C351" s="2" vm="504">
        <f ca="1"/>
        <v>87.38</v>
      </c>
      <c r="D351" s="2" vm="1854">
        <f ca="1"/>
        <v>85.495000000000005</v>
      </c>
      <c r="E351" s="2" vm="66">
        <f ca="1"/>
        <v>87.25</v>
      </c>
      <c r="F351" vm="1855">
        <f ca="1"/>
        <v>5567493</v>
      </c>
    </row>
    <row r="352" spans="1:6" x14ac:dyDescent="0.2">
      <c r="A352" s="1" vm="1856">
        <f ca="1"/>
        <v>44949</v>
      </c>
      <c r="B352" s="2" vm="1857">
        <f ca="1"/>
        <v>87.19</v>
      </c>
      <c r="C352" s="2" vm="5">
        <f ca="1"/>
        <v>89.13</v>
      </c>
      <c r="D352" s="2" vm="531">
        <f ca="1"/>
        <v>86.97</v>
      </c>
      <c r="E352" s="2" vm="1858">
        <f ca="1"/>
        <v>88.97</v>
      </c>
      <c r="F352" vm="1859">
        <f ca="1"/>
        <v>7390256</v>
      </c>
    </row>
    <row r="353" spans="1:6" x14ac:dyDescent="0.2">
      <c r="A353" s="1" vm="1860">
        <f ca="1"/>
        <v>44950</v>
      </c>
      <c r="B353" s="2" vm="1861">
        <f ca="1"/>
        <v>89.05</v>
      </c>
      <c r="C353" s="2" vm="1862">
        <f ca="1"/>
        <v>90.094999999999999</v>
      </c>
      <c r="D353" s="2" vm="499">
        <f ca="1"/>
        <v>88</v>
      </c>
      <c r="E353" s="2" vm="451">
        <f ca="1"/>
        <v>89.7</v>
      </c>
      <c r="F353" vm="1863">
        <f ca="1"/>
        <v>7004581</v>
      </c>
    </row>
    <row r="354" spans="1:6" x14ac:dyDescent="0.2">
      <c r="A354" s="1" vm="1864">
        <f ca="1"/>
        <v>44951</v>
      </c>
      <c r="B354" s="2" vm="1827">
        <f ca="1"/>
        <v>88.7</v>
      </c>
      <c r="C354" s="2" vm="442">
        <f ca="1"/>
        <v>89.86</v>
      </c>
      <c r="D354" s="2" vm="1865">
        <f ca="1"/>
        <v>87.74</v>
      </c>
      <c r="E354" s="2" vm="1866">
        <f ca="1"/>
        <v>89.64</v>
      </c>
      <c r="F354" vm="1867">
        <f ca="1"/>
        <v>5896812</v>
      </c>
    </row>
    <row r="355" spans="1:6" x14ac:dyDescent="0.2">
      <c r="A355" s="1" vm="1868">
        <f ca="1"/>
        <v>44952</v>
      </c>
      <c r="B355" s="2" vm="1869">
        <f ca="1"/>
        <v>89.89</v>
      </c>
      <c r="C355" s="2" vm="110">
        <f ca="1"/>
        <v>90.49</v>
      </c>
      <c r="D355" s="2" vm="1870">
        <f ca="1"/>
        <v>89.09</v>
      </c>
      <c r="E355" s="2" vm="1871">
        <f ca="1"/>
        <v>89.83</v>
      </c>
      <c r="F355" vm="1872">
        <f ca="1"/>
        <v>7302869</v>
      </c>
    </row>
    <row r="356" spans="1:6" x14ac:dyDescent="0.2">
      <c r="A356" s="1" vm="1873">
        <f ca="1"/>
        <v>44953</v>
      </c>
      <c r="B356" s="2" vm="3">
        <f ca="1"/>
        <v>89.5</v>
      </c>
      <c r="C356" s="2" vm="448">
        <f ca="1"/>
        <v>89.72</v>
      </c>
      <c r="D356" s="2" vm="132">
        <f ca="1"/>
        <v>88.96</v>
      </c>
      <c r="E356" s="2" vm="1874">
        <f ca="1"/>
        <v>88.99</v>
      </c>
      <c r="F356" vm="1875">
        <f ca="1"/>
        <v>5676836</v>
      </c>
    </row>
    <row r="357" spans="1:6" x14ac:dyDescent="0.2">
      <c r="A357" s="1" vm="1876">
        <f ca="1"/>
        <v>44956</v>
      </c>
      <c r="B357" s="2" vm="1877">
        <f ca="1"/>
        <v>88.47</v>
      </c>
      <c r="C357" s="2" vm="1878">
        <f ca="1"/>
        <v>88.62</v>
      </c>
      <c r="D357" s="2" vm="1848">
        <f ca="1"/>
        <v>86.99</v>
      </c>
      <c r="E357" s="2" vm="1879">
        <f ca="1"/>
        <v>87.35</v>
      </c>
      <c r="F357" vm="1880">
        <f ca="1"/>
        <v>6255306</v>
      </c>
    </row>
    <row r="358" spans="1:6" x14ac:dyDescent="0.2">
      <c r="A358" s="1" vm="1881">
        <f ca="1"/>
        <v>44957</v>
      </c>
      <c r="B358" s="2" vm="527">
        <f ca="1"/>
        <v>87.69</v>
      </c>
      <c r="C358" s="2" vm="512">
        <f ca="1"/>
        <v>88.48</v>
      </c>
      <c r="D358" s="2" vm="1879">
        <f ca="1"/>
        <v>87.35</v>
      </c>
      <c r="E358" s="2" vm="1882">
        <f ca="1"/>
        <v>88.46</v>
      </c>
      <c r="F358" vm="1883">
        <f ca="1"/>
        <v>6200413</v>
      </c>
    </row>
    <row r="359" spans="1:6" x14ac:dyDescent="0.2">
      <c r="A359" s="1" vm="1884">
        <f ca="1"/>
        <v>44958</v>
      </c>
      <c r="B359" s="2" vm="1885">
        <f ca="1"/>
        <v>88.37</v>
      </c>
      <c r="C359" s="2" vm="1886">
        <f ca="1"/>
        <v>90.644999999999996</v>
      </c>
      <c r="D359" s="2" vm="463">
        <f ca="1"/>
        <v>88.21</v>
      </c>
      <c r="E359" s="2" vm="383">
        <f ca="1"/>
        <v>90.05</v>
      </c>
      <c r="F359" vm="1887">
        <f ca="1"/>
        <v>6141252</v>
      </c>
    </row>
    <row r="360" spans="1:6" x14ac:dyDescent="0.2">
      <c r="A360" s="1" vm="1888">
        <f ca="1"/>
        <v>44959</v>
      </c>
      <c r="B360" s="2" vm="1889">
        <f ca="1"/>
        <v>90.66</v>
      </c>
      <c r="C360" s="2" vm="1890">
        <f ca="1"/>
        <v>91.22</v>
      </c>
      <c r="D360" s="2" vm="1891">
        <f ca="1"/>
        <v>88.944999999999993</v>
      </c>
      <c r="E360" s="2" vm="505">
        <f ca="1"/>
        <v>89.38</v>
      </c>
      <c r="F360" vm="1892">
        <f ca="1"/>
        <v>8269151</v>
      </c>
    </row>
    <row r="361" spans="1:6" x14ac:dyDescent="0.2">
      <c r="A361" s="1" vm="1893">
        <f ca="1"/>
        <v>44960</v>
      </c>
      <c r="B361" s="2" vm="1877">
        <f ca="1"/>
        <v>88.47</v>
      </c>
      <c r="C361" s="2" vm="1894">
        <f ca="1"/>
        <v>90.254999999999995</v>
      </c>
      <c r="D361" s="2" vm="1895">
        <f ca="1"/>
        <v>88.27</v>
      </c>
      <c r="E361" s="2" vm="1896">
        <f ca="1"/>
        <v>89.62</v>
      </c>
      <c r="F361" vm="1897">
        <f ca="1"/>
        <v>5671823</v>
      </c>
    </row>
    <row r="362" spans="1:6" x14ac:dyDescent="0.2">
      <c r="A362" s="1" vm="1898">
        <f ca="1"/>
        <v>44963</v>
      </c>
      <c r="B362" s="2" vm="43">
        <f ca="1"/>
        <v>89.51</v>
      </c>
      <c r="C362" s="2" vm="1899">
        <f ca="1"/>
        <v>89.61</v>
      </c>
      <c r="D362" s="2" vm="1900">
        <f ca="1"/>
        <v>88.4</v>
      </c>
      <c r="E362" s="2" vm="1901">
        <f ca="1"/>
        <v>88.53</v>
      </c>
      <c r="F362" vm="1902">
        <f ca="1"/>
        <v>4097311</v>
      </c>
    </row>
    <row r="363" spans="1:6" x14ac:dyDescent="0.2">
      <c r="A363" s="1" vm="1903">
        <f ca="1"/>
        <v>44964</v>
      </c>
      <c r="B363" s="2" vm="1904">
        <f ca="1"/>
        <v>87.87</v>
      </c>
      <c r="C363" s="2" vm="1905">
        <f ca="1"/>
        <v>88.02</v>
      </c>
      <c r="D363" s="2" vm="1906">
        <f ca="1"/>
        <v>86.3</v>
      </c>
      <c r="E363" s="2" vm="1865">
        <f ca="1"/>
        <v>87.74</v>
      </c>
      <c r="F363" vm="1907">
        <f ca="1"/>
        <v>9226071</v>
      </c>
    </row>
    <row r="364" spans="1:6" x14ac:dyDescent="0.2">
      <c r="A364" s="1" vm="1908">
        <f ca="1"/>
        <v>44965</v>
      </c>
      <c r="B364" s="2" vm="1909">
        <f ca="1"/>
        <v>86.93</v>
      </c>
      <c r="C364" s="2" vm="1910">
        <f ca="1"/>
        <v>87.915000000000006</v>
      </c>
      <c r="D364" s="2" vm="1911">
        <f ca="1"/>
        <v>86.51</v>
      </c>
      <c r="E364" s="2" vm="536">
        <f ca="1"/>
        <v>86.69</v>
      </c>
      <c r="F364" vm="1912">
        <f ca="1"/>
        <v>7624398</v>
      </c>
    </row>
    <row r="365" spans="1:6" x14ac:dyDescent="0.2">
      <c r="A365" s="1" vm="1913">
        <f ca="1"/>
        <v>44966</v>
      </c>
      <c r="B365" s="2" vm="1914">
        <f ca="1"/>
        <v>87.14</v>
      </c>
      <c r="C365" s="2" vm="480">
        <f ca="1"/>
        <v>87.9</v>
      </c>
      <c r="D365" s="2" vm="1915">
        <f ca="1"/>
        <v>86.325000000000003</v>
      </c>
      <c r="E365" s="2" vm="1916">
        <f ca="1"/>
        <v>86.65</v>
      </c>
      <c r="F365" vm="1917">
        <f ca="1"/>
        <v>4960391</v>
      </c>
    </row>
    <row r="366" spans="1:6" x14ac:dyDescent="0.2">
      <c r="A366" s="1" vm="1918">
        <f ca="1"/>
        <v>44967</v>
      </c>
      <c r="B366" s="2" vm="1919">
        <f ca="1"/>
        <v>86.53</v>
      </c>
      <c r="C366" s="2" vm="504">
        <f ca="1"/>
        <v>87.38</v>
      </c>
      <c r="D366" s="2" vm="1920">
        <f ca="1"/>
        <v>86.334999999999994</v>
      </c>
      <c r="E366" s="2" vm="1914">
        <f ca="1"/>
        <v>87.14</v>
      </c>
      <c r="F366" vm="1921">
        <f ca="1"/>
        <v>5318403</v>
      </c>
    </row>
    <row r="367" spans="1:6" x14ac:dyDescent="0.2">
      <c r="A367" s="1" vm="1922">
        <f ca="1"/>
        <v>44970</v>
      </c>
      <c r="B367" s="2" vm="1923">
        <f ca="1"/>
        <v>87.28</v>
      </c>
      <c r="C367" s="2" vm="2">
        <f ca="1"/>
        <v>89.45</v>
      </c>
      <c r="D367" s="2" vm="1924">
        <f ca="1"/>
        <v>87.2</v>
      </c>
      <c r="E367" s="2" vm="94">
        <f ca="1"/>
        <v>89.42</v>
      </c>
      <c r="F367" vm="1925">
        <f ca="1"/>
        <v>5560902</v>
      </c>
    </row>
    <row r="368" spans="1:6" x14ac:dyDescent="0.2">
      <c r="A368" s="1" vm="1926">
        <f ca="1"/>
        <v>44971</v>
      </c>
      <c r="B368" s="2" vm="86">
        <f ca="1"/>
        <v>89</v>
      </c>
      <c r="C368" s="2" vm="15">
        <f ca="1"/>
        <v>89.41</v>
      </c>
      <c r="D368" s="2" vm="1927">
        <f ca="1"/>
        <v>87.71</v>
      </c>
      <c r="E368" s="2" vm="1870">
        <f ca="1"/>
        <v>89.09</v>
      </c>
      <c r="F368" vm="1928">
        <f ca="1"/>
        <v>7484776</v>
      </c>
    </row>
    <row r="369" spans="1:6" x14ac:dyDescent="0.2">
      <c r="A369" s="1" vm="1929">
        <f ca="1"/>
        <v>44972</v>
      </c>
      <c r="B369" s="2" vm="1930">
        <f ca="1"/>
        <v>88.85</v>
      </c>
      <c r="C369" s="2" vm="382">
        <f ca="1"/>
        <v>89.21</v>
      </c>
      <c r="D369" s="2" vm="1931">
        <f ca="1"/>
        <v>88.03</v>
      </c>
      <c r="E369" s="2" vm="375">
        <f ca="1"/>
        <v>88.34</v>
      </c>
      <c r="F369" vm="1932">
        <f ca="1"/>
        <v>4330547</v>
      </c>
    </row>
    <row r="370" spans="1:6" x14ac:dyDescent="0.2">
      <c r="A370" s="1" vm="1933">
        <f ca="1"/>
        <v>44973</v>
      </c>
      <c r="B370" s="2" vm="1934">
        <f ca="1"/>
        <v>87.46</v>
      </c>
      <c r="C370" s="2" vm="1895">
        <f ca="1"/>
        <v>88.27</v>
      </c>
      <c r="D370" s="2" vm="1935">
        <f ca="1"/>
        <v>87.012600000000006</v>
      </c>
      <c r="E370" s="2" vm="1936">
        <f ca="1"/>
        <v>87.72</v>
      </c>
      <c r="F370" vm="1937">
        <f ca="1"/>
        <v>5942533</v>
      </c>
    </row>
    <row r="371" spans="1:6" x14ac:dyDescent="0.2">
      <c r="A371" s="1" vm="1938">
        <f ca="1"/>
        <v>44974</v>
      </c>
      <c r="B371" s="2" vm="1924">
        <f ca="1"/>
        <v>87.2</v>
      </c>
      <c r="C371" s="2" vm="1939">
        <f ca="1"/>
        <v>87.43</v>
      </c>
      <c r="D371" s="2" vm="1911">
        <f ca="1"/>
        <v>86.51</v>
      </c>
      <c r="E371" s="2" vm="1923">
        <f ca="1"/>
        <v>87.28</v>
      </c>
      <c r="F371" vm="1940">
        <f ca="1"/>
        <v>6398487</v>
      </c>
    </row>
    <row r="372" spans="1:6" x14ac:dyDescent="0.2">
      <c r="A372" s="1" vm="1941">
        <f ca="1"/>
        <v>44978</v>
      </c>
      <c r="B372" s="2" vm="1942">
        <f ca="1"/>
        <v>86.76</v>
      </c>
      <c r="C372" s="2" vm="1943">
        <f ca="1"/>
        <v>86.94</v>
      </c>
      <c r="D372" s="2" vm="1944">
        <f ca="1"/>
        <v>86.15</v>
      </c>
      <c r="E372" s="2" vm="1945">
        <f ca="1"/>
        <v>86.2</v>
      </c>
      <c r="F372" vm="1946">
        <f ca="1"/>
        <v>5260328</v>
      </c>
    </row>
    <row r="373" spans="1:6" x14ac:dyDescent="0.2">
      <c r="A373" s="1" vm="1947">
        <f ca="1"/>
        <v>44979</v>
      </c>
      <c r="B373" s="2" vm="1948">
        <f ca="1"/>
        <v>86.68</v>
      </c>
      <c r="C373" s="2" vm="473">
        <f ca="1"/>
        <v>87.18</v>
      </c>
      <c r="D373" s="2" vm="1949">
        <f ca="1"/>
        <v>85.98</v>
      </c>
      <c r="E373" s="2" vm="1950">
        <f ca="1"/>
        <v>86.32</v>
      </c>
      <c r="F373" vm="1951">
        <f ca="1"/>
        <v>5840102</v>
      </c>
    </row>
    <row r="374" spans="1:6" x14ac:dyDescent="0.2">
      <c r="A374" s="1" vm="1952">
        <f ca="1"/>
        <v>44980</v>
      </c>
      <c r="B374" s="2" vm="1953">
        <f ca="1"/>
        <v>87.15</v>
      </c>
      <c r="C374" s="2" vm="130">
        <f ca="1"/>
        <v>89.48</v>
      </c>
      <c r="D374" s="2" vm="1954">
        <f ca="1"/>
        <v>87.06</v>
      </c>
      <c r="E374" s="2" vm="1955">
        <f ca="1"/>
        <v>88.58</v>
      </c>
      <c r="F374" vm="1956">
        <f ca="1"/>
        <v>8637135</v>
      </c>
    </row>
    <row r="375" spans="1:6" x14ac:dyDescent="0.2">
      <c r="A375" s="1" vm="1957">
        <f ca="1"/>
        <v>44981</v>
      </c>
      <c r="B375" s="2" vm="1958">
        <f ca="1"/>
        <v>87.31</v>
      </c>
      <c r="C375" s="2" vm="50">
        <f ca="1"/>
        <v>88.89</v>
      </c>
      <c r="D375" s="2" vm="1914">
        <f ca="1"/>
        <v>87.14</v>
      </c>
      <c r="E375" s="2" vm="93">
        <f ca="1"/>
        <v>88.66</v>
      </c>
      <c r="F375" vm="1959">
        <f ca="1"/>
        <v>7659188</v>
      </c>
    </row>
    <row r="376" spans="1:6" x14ac:dyDescent="0.2">
      <c r="A376" s="1" vm="1960">
        <f ca="1"/>
        <v>44984</v>
      </c>
      <c r="B376" s="2" vm="1961">
        <f ca="1"/>
        <v>88.86</v>
      </c>
      <c r="C376" s="2" vm="1858">
        <f ca="1"/>
        <v>88.97</v>
      </c>
      <c r="D376" s="2" vm="1962">
        <f ca="1"/>
        <v>87.36</v>
      </c>
      <c r="E376" s="2" vm="1963">
        <f ca="1"/>
        <v>87.96</v>
      </c>
      <c r="F376" vm="1964">
        <f ca="1"/>
        <v>6748861</v>
      </c>
    </row>
    <row r="377" spans="1:6" x14ac:dyDescent="0.2">
      <c r="A377" s="1" vm="1965">
        <f ca="1"/>
        <v>44985</v>
      </c>
      <c r="B377" s="2" vm="1966">
        <f ca="1"/>
        <v>87.7</v>
      </c>
      <c r="C377" s="2" vm="468">
        <f ca="1"/>
        <v>88.01</v>
      </c>
      <c r="D377" s="2" vm="473">
        <f ca="1"/>
        <v>87.18</v>
      </c>
      <c r="E377" s="2" vm="1967">
        <f ca="1"/>
        <v>87.4</v>
      </c>
      <c r="F377" vm="1968">
        <f ca="1"/>
        <v>7468234</v>
      </c>
    </row>
    <row r="378" spans="1:6" x14ac:dyDescent="0.2">
      <c r="A378" s="1" vm="1969">
        <f ca="1"/>
        <v>44986</v>
      </c>
      <c r="B378" s="2" vm="1970">
        <f ca="1"/>
        <v>86.9</v>
      </c>
      <c r="C378" s="2" vm="474">
        <f ca="1"/>
        <v>87.21</v>
      </c>
      <c r="D378" s="2" vm="1971">
        <f ca="1"/>
        <v>85.99</v>
      </c>
      <c r="E378" s="2" vm="495">
        <f ca="1"/>
        <v>86.34</v>
      </c>
      <c r="F378" vm="1972">
        <f ca="1"/>
        <v>5119757</v>
      </c>
    </row>
    <row r="379" spans="1:6" x14ac:dyDescent="0.2">
      <c r="A379" s="1" vm="1973">
        <f ca="1"/>
        <v>44987</v>
      </c>
      <c r="B379" s="2" vm="1974">
        <f ca="1"/>
        <v>86.06</v>
      </c>
      <c r="C379" s="2" vm="1923">
        <f ca="1"/>
        <v>87.28</v>
      </c>
      <c r="D379" s="2" vm="1975">
        <f ca="1"/>
        <v>85.87</v>
      </c>
      <c r="E379" s="2" vm="531">
        <f ca="1"/>
        <v>86.97</v>
      </c>
      <c r="F379" vm="1976">
        <f ca="1"/>
        <v>5293599</v>
      </c>
    </row>
    <row r="380" spans="1:6" x14ac:dyDescent="0.2">
      <c r="A380" s="1" vm="1977">
        <f ca="1"/>
        <v>44988</v>
      </c>
      <c r="B380" s="2" vm="1978">
        <f ca="1"/>
        <v>87.32</v>
      </c>
      <c r="C380" s="2" vm="1979">
        <f ca="1"/>
        <v>89.29</v>
      </c>
      <c r="D380" s="2" vm="1980">
        <f ca="1"/>
        <v>87.08</v>
      </c>
      <c r="E380" s="2" vm="1981">
        <f ca="1"/>
        <v>89.25</v>
      </c>
      <c r="F380" vm="1982">
        <f ca="1"/>
        <v>5498531</v>
      </c>
    </row>
    <row r="381" spans="1:6" x14ac:dyDescent="0.2">
      <c r="A381" s="1" vm="1983">
        <f ca="1"/>
        <v>44991</v>
      </c>
      <c r="B381" s="2" vm="15">
        <f ca="1"/>
        <v>89.41</v>
      </c>
      <c r="C381" s="2" vm="1984">
        <f ca="1"/>
        <v>90.665000000000006</v>
      </c>
      <c r="D381" s="2" vm="103">
        <f ca="1"/>
        <v>89.15</v>
      </c>
      <c r="E381" s="2" vm="127">
        <f ca="1"/>
        <v>89.74</v>
      </c>
      <c r="F381" vm="1985">
        <f ca="1"/>
        <v>7424800</v>
      </c>
    </row>
    <row r="382" spans="1:6" x14ac:dyDescent="0.2">
      <c r="A382" s="1" vm="1986">
        <f ca="1"/>
        <v>44992</v>
      </c>
      <c r="B382" s="2" vm="1987">
        <f ca="1"/>
        <v>89.58</v>
      </c>
      <c r="C382" s="2" vm="1988">
        <f ca="1"/>
        <v>90.08</v>
      </c>
      <c r="D382" s="2" vm="471">
        <f ca="1"/>
        <v>88.05</v>
      </c>
      <c r="E382" s="2" vm="60">
        <f ca="1"/>
        <v>88.36</v>
      </c>
      <c r="F382" vm="1989">
        <f ca="1"/>
        <v>5382366</v>
      </c>
    </row>
    <row r="383" spans="1:6" x14ac:dyDescent="0.2">
      <c r="A383" s="1" vm="1990">
        <f ca="1"/>
        <v>44993</v>
      </c>
      <c r="B383" s="2" vm="1900">
        <f ca="1"/>
        <v>88.4</v>
      </c>
      <c r="C383" s="2" vm="1991">
        <f ca="1"/>
        <v>89.084999999999994</v>
      </c>
      <c r="D383" s="2" vm="1992">
        <f ca="1"/>
        <v>88.15</v>
      </c>
      <c r="E383" s="2" vm="4">
        <f ca="1"/>
        <v>88.49</v>
      </c>
      <c r="F383" vm="1993">
        <f ca="1"/>
        <v>5159208</v>
      </c>
    </row>
    <row r="384" spans="1:6" x14ac:dyDescent="0.2">
      <c r="A384" s="1" vm="1994">
        <f ca="1"/>
        <v>44994</v>
      </c>
      <c r="B384" s="2" vm="1995">
        <f ca="1"/>
        <v>88.33</v>
      </c>
      <c r="C384" s="2" vm="1866">
        <f ca="1"/>
        <v>89.64</v>
      </c>
      <c r="D384" s="2" vm="1919">
        <f ca="1"/>
        <v>86.53</v>
      </c>
      <c r="E384" s="2" vm="530">
        <f ca="1"/>
        <v>86.87</v>
      </c>
      <c r="F384" vm="1996">
        <f ca="1"/>
        <v>10572293</v>
      </c>
    </row>
    <row r="385" spans="1:6" x14ac:dyDescent="0.2">
      <c r="A385" s="1" vm="1997">
        <f ca="1"/>
        <v>44995</v>
      </c>
      <c r="B385" s="2" vm="1998">
        <f ca="1"/>
        <v>84.41</v>
      </c>
      <c r="C385" s="2" vm="1999">
        <f ca="1"/>
        <v>85.25</v>
      </c>
      <c r="D385" s="2" vm="591">
        <f ca="1"/>
        <v>82.88</v>
      </c>
      <c r="E385" s="2" vm="833">
        <f ca="1"/>
        <v>84.07</v>
      </c>
      <c r="F385" vm="2000">
        <f ca="1"/>
        <v>16029345</v>
      </c>
    </row>
    <row r="386" spans="1:6" x14ac:dyDescent="0.2">
      <c r="A386" s="1" vm="2001">
        <f ca="1"/>
        <v>44998</v>
      </c>
      <c r="B386" s="2" vm="2002">
        <f ca="1"/>
        <v>83.32</v>
      </c>
      <c r="C386" s="2" vm="2003">
        <f ca="1"/>
        <v>85.53</v>
      </c>
      <c r="D386" s="2" vm="799">
        <f ca="1"/>
        <v>82.04</v>
      </c>
      <c r="E386" s="2" vm="76">
        <f ca="1"/>
        <v>84.93</v>
      </c>
      <c r="F386" vm="2004">
        <f ca="1"/>
        <v>10299942</v>
      </c>
    </row>
    <row r="387" spans="1:6" x14ac:dyDescent="0.2">
      <c r="A387" s="1" vm="2005">
        <f ca="1"/>
        <v>44999</v>
      </c>
      <c r="B387" s="2" vm="2006">
        <f ca="1"/>
        <v>85.93</v>
      </c>
      <c r="C387" s="2" vm="2006">
        <f ca="1"/>
        <v>85.93</v>
      </c>
      <c r="D387" s="2" vm="2007">
        <f ca="1"/>
        <v>83.43</v>
      </c>
      <c r="E387" s="2" vm="2008">
        <f ca="1"/>
        <v>84.56</v>
      </c>
      <c r="F387" vm="2009">
        <f ca="1"/>
        <v>8732248</v>
      </c>
    </row>
    <row r="388" spans="1:6" x14ac:dyDescent="0.2">
      <c r="A388" s="1" vm="2010">
        <f ca="1"/>
        <v>45000</v>
      </c>
      <c r="B388" s="2" vm="2011">
        <f ca="1"/>
        <v>83.08</v>
      </c>
      <c r="C388" s="2" vm="2012">
        <f ca="1"/>
        <v>83.37</v>
      </c>
      <c r="D388" s="2" vm="845">
        <f ca="1"/>
        <v>82.12</v>
      </c>
      <c r="E388" s="2" vm="2013">
        <f ca="1"/>
        <v>82.98</v>
      </c>
      <c r="F388" vm="2014">
        <f ca="1"/>
        <v>11463010</v>
      </c>
    </row>
    <row r="389" spans="1:6" x14ac:dyDescent="0.2">
      <c r="A389" s="1" vm="2015">
        <f ca="1"/>
        <v>45001</v>
      </c>
      <c r="B389" s="2" vm="1672">
        <f ca="1"/>
        <v>82.92</v>
      </c>
      <c r="C389" s="2" vm="2016">
        <f ca="1"/>
        <v>85.11</v>
      </c>
      <c r="D389" s="2" vm="2017">
        <f ca="1"/>
        <v>82.08</v>
      </c>
      <c r="E389" s="2" vm="2018">
        <f ca="1"/>
        <v>84.82</v>
      </c>
      <c r="F389" vm="2019">
        <f ca="1"/>
        <v>10149163</v>
      </c>
    </row>
    <row r="390" spans="1:6" x14ac:dyDescent="0.2">
      <c r="A390" s="1" vm="2020">
        <f ca="1"/>
        <v>45002</v>
      </c>
      <c r="B390" s="2" vm="542">
        <f ca="1"/>
        <v>85</v>
      </c>
      <c r="C390" s="2" vm="1949">
        <f ca="1"/>
        <v>85.98</v>
      </c>
      <c r="D390" s="2" vm="2021">
        <f ca="1"/>
        <v>84.61</v>
      </c>
      <c r="E390" s="2" vm="2022">
        <f ca="1"/>
        <v>85.26</v>
      </c>
      <c r="F390" vm="2023">
        <f ca="1"/>
        <v>13066028</v>
      </c>
    </row>
    <row r="391" spans="1:6" x14ac:dyDescent="0.2">
      <c r="A391" s="1" vm="2024">
        <f ca="1"/>
        <v>45005</v>
      </c>
      <c r="B391" s="2" vm="2025">
        <f ca="1"/>
        <v>85.28</v>
      </c>
      <c r="C391" s="2" vm="501">
        <f ca="1"/>
        <v>87.51</v>
      </c>
      <c r="D391" s="2" vm="1999">
        <f ca="1"/>
        <v>85.25</v>
      </c>
      <c r="E391" s="2" vm="2026">
        <f ca="1"/>
        <v>86.96</v>
      </c>
      <c r="F391" vm="2027">
        <f ca="1"/>
        <v>9177289</v>
      </c>
    </row>
    <row r="392" spans="1:6" x14ac:dyDescent="0.2">
      <c r="A392" s="1" vm="2028">
        <f ca="1"/>
        <v>45006</v>
      </c>
      <c r="B392" s="2" vm="2029">
        <f ca="1"/>
        <v>87.49</v>
      </c>
      <c r="C392" s="2" vm="2030">
        <f ca="1"/>
        <v>87.848200000000006</v>
      </c>
      <c r="D392" s="2" vm="526">
        <f ca="1"/>
        <v>86.66</v>
      </c>
      <c r="E392" s="2" vm="2031">
        <f ca="1"/>
        <v>87.58</v>
      </c>
      <c r="F392" vm="2032">
        <f ca="1"/>
        <v>6683731</v>
      </c>
    </row>
    <row r="393" spans="1:6" x14ac:dyDescent="0.2">
      <c r="A393" s="1" vm="2033">
        <f ca="1"/>
        <v>45007</v>
      </c>
      <c r="B393" s="2" vm="2034">
        <f ca="1"/>
        <v>87.54</v>
      </c>
      <c r="C393" s="2" vm="2035">
        <f ca="1"/>
        <v>89.16</v>
      </c>
      <c r="D393" s="2" vm="2036">
        <f ca="1"/>
        <v>87.44</v>
      </c>
      <c r="E393" s="2" vm="480">
        <f ca="1"/>
        <v>87.9</v>
      </c>
      <c r="F393" vm="2037">
        <f ca="1"/>
        <v>7233663</v>
      </c>
    </row>
    <row r="394" spans="1:6" x14ac:dyDescent="0.2">
      <c r="A394" s="1" vm="2038">
        <f ca="1"/>
        <v>45008</v>
      </c>
      <c r="B394" s="2" vm="457">
        <f ca="1"/>
        <v>88.65</v>
      </c>
      <c r="C394" s="2" vm="1866">
        <f ca="1"/>
        <v>89.64</v>
      </c>
      <c r="D394" s="2" vm="2039">
        <f ca="1"/>
        <v>87.64</v>
      </c>
      <c r="E394" s="2" vm="2040">
        <f ca="1"/>
        <v>87.78</v>
      </c>
      <c r="F394" vm="2041">
        <f ca="1"/>
        <v>10747139</v>
      </c>
    </row>
    <row r="395" spans="1:6" x14ac:dyDescent="0.2">
      <c r="A395" s="1" vm="2042">
        <f ca="1"/>
        <v>45009</v>
      </c>
      <c r="B395" s="2" vm="2043">
        <f ca="1"/>
        <v>87.98</v>
      </c>
      <c r="C395" s="2" vm="512">
        <f ca="1"/>
        <v>88.48</v>
      </c>
      <c r="D395" s="2" vm="501">
        <f ca="1"/>
        <v>87.51</v>
      </c>
      <c r="E395" s="2" vm="468">
        <f ca="1"/>
        <v>88.01</v>
      </c>
      <c r="F395" vm="2044">
        <f ca="1"/>
        <v>5852248</v>
      </c>
    </row>
    <row r="396" spans="1:6" x14ac:dyDescent="0.2">
      <c r="A396" s="1" vm="2045">
        <f ca="1"/>
        <v>45012</v>
      </c>
      <c r="B396" s="2" vm="1878">
        <f ca="1"/>
        <v>88.62</v>
      </c>
      <c r="C396" s="2" vm="14">
        <f ca="1"/>
        <v>90.5</v>
      </c>
      <c r="D396" s="2" vm="2046">
        <f ca="1"/>
        <v>88.545000000000002</v>
      </c>
      <c r="E396" s="2" vm="2047">
        <f ca="1"/>
        <v>90.14</v>
      </c>
      <c r="F396" vm="2048">
        <f ca="1"/>
        <v>8170050</v>
      </c>
    </row>
    <row r="397" spans="1:6" x14ac:dyDescent="0.2">
      <c r="A397" s="1" vm="2049">
        <f ca="1"/>
        <v>45013</v>
      </c>
      <c r="B397" s="2" vm="2050">
        <f ca="1"/>
        <v>90.22</v>
      </c>
      <c r="C397" s="2" vm="2051">
        <f ca="1"/>
        <v>90.88</v>
      </c>
      <c r="D397" s="2" vm="130">
        <f ca="1"/>
        <v>89.48</v>
      </c>
      <c r="E397" s="2" vm="2052">
        <f ca="1"/>
        <v>89.85</v>
      </c>
      <c r="F397" vm="2053">
        <f ca="1"/>
        <v>6378927</v>
      </c>
    </row>
    <row r="398" spans="1:6" x14ac:dyDescent="0.2">
      <c r="A398" s="1" vm="2054">
        <f ca="1"/>
        <v>45014</v>
      </c>
      <c r="B398" s="2" vm="2055">
        <f ca="1"/>
        <v>90.13</v>
      </c>
      <c r="C398" s="2" vm="1889">
        <f ca="1"/>
        <v>90.66</v>
      </c>
      <c r="D398" s="2" vm="2056">
        <f ca="1"/>
        <v>89.81</v>
      </c>
      <c r="E398" s="2" vm="2057">
        <f ca="1"/>
        <v>90.62</v>
      </c>
      <c r="F398" vm="2058">
        <f ca="1"/>
        <v>5233647</v>
      </c>
    </row>
    <row r="399" spans="1:6" x14ac:dyDescent="0.2">
      <c r="A399" s="1" vm="2059">
        <f ca="1"/>
        <v>45015</v>
      </c>
      <c r="B399" s="2" vm="2060">
        <f ca="1"/>
        <v>90.85</v>
      </c>
      <c r="C399" s="2" vm="2061">
        <f ca="1"/>
        <v>91.18</v>
      </c>
      <c r="D399" s="2" vm="436">
        <f ca="1"/>
        <v>89.71</v>
      </c>
      <c r="E399" s="2" vm="48">
        <f ca="1"/>
        <v>90.51</v>
      </c>
      <c r="F399" vm="2062">
        <f ca="1"/>
        <v>5640690</v>
      </c>
    </row>
    <row r="400" spans="1:6" x14ac:dyDescent="0.2">
      <c r="A400" s="1" vm="2063">
        <f ca="1"/>
        <v>45016</v>
      </c>
      <c r="B400" s="2" vm="2064">
        <f ca="1"/>
        <v>90.56</v>
      </c>
      <c r="C400" s="2" vm="2065">
        <f ca="1"/>
        <v>93</v>
      </c>
      <c r="D400" s="2" vm="2066">
        <f ca="1"/>
        <v>90.41</v>
      </c>
      <c r="E400" s="2" vm="302">
        <f ca="1"/>
        <v>92.92</v>
      </c>
      <c r="F400" vm="2067">
        <f ca="1"/>
        <v>10476333</v>
      </c>
    </row>
    <row r="401" spans="1:6" x14ac:dyDescent="0.2">
      <c r="A401" s="1" vm="2068">
        <f ca="1"/>
        <v>45019</v>
      </c>
      <c r="B401" s="2" vm="152">
        <f ca="1"/>
        <v>92.38</v>
      </c>
      <c r="C401" s="2" vm="2069">
        <f ca="1"/>
        <v>94</v>
      </c>
      <c r="D401" s="2" vm="2070">
        <f ca="1"/>
        <v>92.09</v>
      </c>
      <c r="E401" s="2" vm="2071">
        <f ca="1"/>
        <v>93.92</v>
      </c>
      <c r="F401" vm="2072">
        <f ca="1"/>
        <v>8410872</v>
      </c>
    </row>
    <row r="402" spans="1:6" x14ac:dyDescent="0.2">
      <c r="A402" s="1" vm="2073">
        <f ca="1"/>
        <v>45020</v>
      </c>
      <c r="B402" s="2" vm="2074">
        <f ca="1"/>
        <v>93.85</v>
      </c>
      <c r="C402" s="2" vm="303">
        <f ca="1"/>
        <v>94.02</v>
      </c>
      <c r="D402" s="2" vm="2075">
        <f ca="1"/>
        <v>92.93</v>
      </c>
      <c r="E402" s="2" vm="2069">
        <f ca="1"/>
        <v>94</v>
      </c>
      <c r="F402" vm="2076">
        <f ca="1"/>
        <v>6651475</v>
      </c>
    </row>
    <row r="403" spans="1:6" x14ac:dyDescent="0.2">
      <c r="A403" s="1" vm="2077">
        <f ca="1"/>
        <v>45021</v>
      </c>
      <c r="B403" s="2" vm="2078">
        <f ca="1"/>
        <v>93.62</v>
      </c>
      <c r="C403" s="2" vm="2079">
        <f ca="1"/>
        <v>95.108000000000004</v>
      </c>
      <c r="D403" s="2" vm="2080">
        <f ca="1"/>
        <v>93.48</v>
      </c>
      <c r="E403" s="2" vm="2081">
        <f ca="1"/>
        <v>94.89</v>
      </c>
      <c r="F403" vm="2082">
        <f ca="1"/>
        <v>7478750</v>
      </c>
    </row>
    <row r="404" spans="1:6" x14ac:dyDescent="0.2">
      <c r="A404" s="1" vm="2083">
        <f ca="1"/>
        <v>45022</v>
      </c>
      <c r="B404" s="2" vm="2084">
        <f ca="1"/>
        <v>94.33</v>
      </c>
      <c r="C404" s="2" vm="2085">
        <f ca="1"/>
        <v>96.08</v>
      </c>
      <c r="D404" s="2" vm="2086">
        <f ca="1"/>
        <v>93.99</v>
      </c>
      <c r="E404" s="2" vm="2087">
        <f ca="1"/>
        <v>95.92</v>
      </c>
      <c r="F404" vm="2088">
        <f ca="1"/>
        <v>9146244</v>
      </c>
    </row>
    <row r="405" spans="1:6" x14ac:dyDescent="0.2">
      <c r="A405" s="1" vm="2089">
        <f ca="1"/>
        <v>45026</v>
      </c>
      <c r="B405" s="2" vm="2090">
        <f ca="1"/>
        <v>94.68</v>
      </c>
      <c r="C405" s="2" vm="278">
        <f ca="1"/>
        <v>95.11</v>
      </c>
      <c r="D405" s="2" vm="2091">
        <f ca="1"/>
        <v>93.55</v>
      </c>
      <c r="E405" s="2" vm="2092">
        <f ca="1"/>
        <v>93.76</v>
      </c>
      <c r="F405" vm="2093">
        <f ca="1"/>
        <v>8681735</v>
      </c>
    </row>
    <row r="406" spans="1:6" x14ac:dyDescent="0.2">
      <c r="A406" s="1" vm="2094">
        <f ca="1"/>
        <v>45027</v>
      </c>
      <c r="B406" s="2" vm="2095">
        <f ca="1"/>
        <v>93.46</v>
      </c>
      <c r="C406" s="2" vm="348">
        <f ca="1"/>
        <v>94.13</v>
      </c>
      <c r="D406" s="2" vm="2096">
        <f ca="1"/>
        <v>93.2</v>
      </c>
      <c r="E406" s="2" vm="322">
        <f ca="1"/>
        <v>93.97</v>
      </c>
      <c r="F406" vm="2097">
        <f ca="1"/>
        <v>8196049</v>
      </c>
    </row>
    <row r="407" spans="1:6" x14ac:dyDescent="0.2">
      <c r="A407" s="1" vm="2098">
        <f ca="1"/>
        <v>45028</v>
      </c>
      <c r="B407" s="2" vm="247">
        <f ca="1"/>
        <v>94.38</v>
      </c>
      <c r="C407" s="2" vm="263">
        <f ca="1"/>
        <v>95.32</v>
      </c>
      <c r="D407" s="2" vm="2099">
        <f ca="1"/>
        <v>93.594999999999999</v>
      </c>
      <c r="E407" s="2" vm="2100">
        <f ca="1"/>
        <v>93.9</v>
      </c>
      <c r="F407" vm="2101">
        <f ca="1"/>
        <v>8040306</v>
      </c>
    </row>
    <row r="408" spans="1:6" x14ac:dyDescent="0.2">
      <c r="A408" s="1" vm="2102">
        <f ca="1"/>
        <v>45029</v>
      </c>
      <c r="B408" s="2" vm="2103">
        <f ca="1"/>
        <v>94.18</v>
      </c>
      <c r="C408" s="2" vm="2104">
        <f ca="1"/>
        <v>95.745000000000005</v>
      </c>
      <c r="D408" s="2" vm="321">
        <f ca="1"/>
        <v>93.94</v>
      </c>
      <c r="E408" s="2" vm="2105">
        <f ca="1"/>
        <v>95.55</v>
      </c>
      <c r="F408" vm="2106">
        <f ca="1"/>
        <v>6240215</v>
      </c>
    </row>
    <row r="409" spans="1:6" x14ac:dyDescent="0.2">
      <c r="A409" s="1" vm="2107">
        <f ca="1"/>
        <v>45030</v>
      </c>
      <c r="B409" s="2" vm="187">
        <f ca="1"/>
        <v>95.5</v>
      </c>
      <c r="C409" s="2" vm="2108">
        <f ca="1"/>
        <v>95.99</v>
      </c>
      <c r="D409" s="2" vm="2090">
        <f ca="1"/>
        <v>94.68</v>
      </c>
      <c r="E409" s="2" vm="207">
        <f ca="1"/>
        <v>95.71</v>
      </c>
      <c r="F409" vm="2109">
        <f ca="1"/>
        <v>6485060</v>
      </c>
    </row>
    <row r="410" spans="1:6" x14ac:dyDescent="0.2">
      <c r="A410" s="1" vm="2110">
        <f ca="1"/>
        <v>45033</v>
      </c>
      <c r="B410" s="2" vm="2111">
        <f ca="1"/>
        <v>95.64</v>
      </c>
      <c r="C410" s="2" vm="2108">
        <f ca="1"/>
        <v>95.99</v>
      </c>
      <c r="D410" s="2" vm="2112">
        <f ca="1"/>
        <v>95.31</v>
      </c>
      <c r="E410" s="2" vm="2113">
        <f ca="1"/>
        <v>95.59</v>
      </c>
      <c r="F410" vm="2114">
        <f ca="1"/>
        <v>4772486</v>
      </c>
    </row>
    <row r="411" spans="1:6" x14ac:dyDescent="0.2">
      <c r="A411" s="1" vm="2115">
        <f ca="1"/>
        <v>45034</v>
      </c>
      <c r="B411" s="2" vm="231">
        <f ca="1"/>
        <v>96</v>
      </c>
      <c r="C411" s="2" vm="2116">
        <f ca="1"/>
        <v>96.741299999999995</v>
      </c>
      <c r="D411" s="2" vm="2117">
        <f ca="1"/>
        <v>95.774900000000002</v>
      </c>
      <c r="E411" s="2" vm="2118">
        <f ca="1"/>
        <v>96.47</v>
      </c>
      <c r="F411" vm="2119">
        <f ca="1"/>
        <v>7219366</v>
      </c>
    </row>
    <row r="412" spans="1:6" x14ac:dyDescent="0.2">
      <c r="A412" s="1" vm="2120">
        <f ca="1"/>
        <v>45035</v>
      </c>
      <c r="B412" s="2" vm="2113">
        <f ca="1"/>
        <v>95.59</v>
      </c>
      <c r="C412" s="2" vm="2118">
        <f ca="1"/>
        <v>96.47</v>
      </c>
      <c r="D412" s="2" vm="2113">
        <f ca="1"/>
        <v>95.59</v>
      </c>
      <c r="E412" s="2" vm="425">
        <f ca="1"/>
        <v>95.81</v>
      </c>
      <c r="F412" vm="2121">
        <f ca="1"/>
        <v>4766371</v>
      </c>
    </row>
    <row r="413" spans="1:6" x14ac:dyDescent="0.2">
      <c r="A413" s="1" vm="2122">
        <f ca="1"/>
        <v>45036</v>
      </c>
      <c r="B413" s="2" vm="231">
        <f ca="1"/>
        <v>96</v>
      </c>
      <c r="C413" s="2" vm="259">
        <f ca="1"/>
        <v>96.15</v>
      </c>
      <c r="D413" s="2" vm="2123">
        <f ca="1"/>
        <v>94.6</v>
      </c>
      <c r="E413" s="2" vm="2124">
        <f ca="1"/>
        <v>94.83</v>
      </c>
      <c r="F413" vm="2125">
        <f ca="1"/>
        <v>5815527</v>
      </c>
    </row>
    <row r="414" spans="1:6" x14ac:dyDescent="0.2">
      <c r="A414" s="1" vm="2126">
        <f ca="1"/>
        <v>45037</v>
      </c>
      <c r="B414" s="2" vm="2127">
        <f ca="1"/>
        <v>95.01</v>
      </c>
      <c r="C414" s="2" vm="2112">
        <f ca="1"/>
        <v>95.31</v>
      </c>
      <c r="D414" s="2" vm="2128">
        <f ca="1"/>
        <v>94.26</v>
      </c>
      <c r="E414" s="2" vm="315">
        <f ca="1"/>
        <v>95.15</v>
      </c>
      <c r="F414" vm="2129">
        <f ca="1"/>
        <v>7335787</v>
      </c>
    </row>
    <row r="415" spans="1:6" x14ac:dyDescent="0.2">
      <c r="A415" s="1" vm="2130">
        <f ca="1"/>
        <v>45040</v>
      </c>
      <c r="B415" s="2" vm="2131">
        <f ca="1"/>
        <v>95.34</v>
      </c>
      <c r="C415" s="2" vm="2132">
        <f ca="1"/>
        <v>96.075000000000003</v>
      </c>
      <c r="D415" s="2" vm="2133">
        <f ca="1"/>
        <v>94.97</v>
      </c>
      <c r="E415" s="2" vm="2134">
        <f ca="1"/>
        <v>95.44</v>
      </c>
      <c r="F415" vm="2135">
        <f ca="1"/>
        <v>4901783</v>
      </c>
    </row>
    <row r="416" spans="1:6" x14ac:dyDescent="0.2">
      <c r="A416" s="1" vm="2136">
        <f ca="1"/>
        <v>45041</v>
      </c>
      <c r="B416" s="2" vm="275">
        <f ca="1"/>
        <v>95.14</v>
      </c>
      <c r="C416" s="2" vm="2137">
        <f ca="1"/>
        <v>95.7</v>
      </c>
      <c r="D416" s="2" vm="303">
        <f ca="1"/>
        <v>94.02</v>
      </c>
      <c r="E416" s="2" vm="2138">
        <f ca="1"/>
        <v>94.06</v>
      </c>
      <c r="F416" vm="2139">
        <f ca="1"/>
        <v>5768842</v>
      </c>
    </row>
    <row r="417" spans="1:6" x14ac:dyDescent="0.2">
      <c r="A417" s="1" vm="2140">
        <f ca="1"/>
        <v>45042</v>
      </c>
      <c r="B417" s="2" vm="2141">
        <f ca="1"/>
        <v>93.75</v>
      </c>
      <c r="C417" s="2" vm="319">
        <f ca="1"/>
        <v>94.81</v>
      </c>
      <c r="D417" s="2" vm="2142">
        <f ca="1"/>
        <v>93.34</v>
      </c>
      <c r="E417" s="2" vm="2143">
        <f ca="1"/>
        <v>93.71</v>
      </c>
      <c r="F417" vm="2144">
        <f ca="1"/>
        <v>6395726</v>
      </c>
    </row>
    <row r="418" spans="1:6" x14ac:dyDescent="0.2">
      <c r="A418" s="1" vm="2145">
        <f ca="1"/>
        <v>45043</v>
      </c>
      <c r="B418" s="2" vm="274">
        <f ca="1"/>
        <v>94.31</v>
      </c>
      <c r="C418" s="2" vm="181">
        <f ca="1"/>
        <v>95.09</v>
      </c>
      <c r="D418" s="2" vm="2146">
        <f ca="1"/>
        <v>93.290599999999998</v>
      </c>
      <c r="E418" s="2" vm="2147">
        <f ca="1"/>
        <v>95.04</v>
      </c>
      <c r="F418" vm="2148">
        <f ca="1"/>
        <v>5615746</v>
      </c>
    </row>
    <row r="419" spans="1:6" x14ac:dyDescent="0.2">
      <c r="A419" s="1" vm="2149">
        <f ca="1"/>
        <v>45044</v>
      </c>
      <c r="B419" s="2" vm="2150">
        <f ca="1"/>
        <v>94.27</v>
      </c>
      <c r="C419" s="2" vm="2151">
        <f ca="1"/>
        <v>95.4</v>
      </c>
      <c r="D419" s="2" vm="2152">
        <f ca="1"/>
        <v>94.24</v>
      </c>
      <c r="E419" s="2" vm="2153">
        <f ca="1"/>
        <v>94.72</v>
      </c>
      <c r="F419" vm="2154">
        <f ca="1"/>
        <v>8498551</v>
      </c>
    </row>
    <row r="420" spans="1:6" x14ac:dyDescent="0.2">
      <c r="A420" s="1" vm="2155">
        <f ca="1"/>
        <v>45047</v>
      </c>
      <c r="B420" s="2" vm="2156">
        <f ca="1"/>
        <v>94.8</v>
      </c>
      <c r="C420" s="2" vm="2157">
        <f ca="1"/>
        <v>95.73</v>
      </c>
      <c r="D420" s="2" vm="2158">
        <f ca="1"/>
        <v>94.7</v>
      </c>
      <c r="E420" s="2" vm="2159">
        <f ca="1"/>
        <v>94.87</v>
      </c>
      <c r="F420" vm="2160">
        <f ca="1"/>
        <v>5459865</v>
      </c>
    </row>
    <row r="421" spans="1:6" x14ac:dyDescent="0.2">
      <c r="A421" s="1" vm="2161">
        <f ca="1"/>
        <v>45048</v>
      </c>
      <c r="B421" s="2" vm="2162">
        <f ca="1"/>
        <v>94.93</v>
      </c>
      <c r="C421" s="2" vm="2163">
        <f ca="1"/>
        <v>95.24</v>
      </c>
      <c r="D421" s="2" vm="2074">
        <f ca="1"/>
        <v>93.85</v>
      </c>
      <c r="E421" s="2" vm="2156">
        <f ca="1"/>
        <v>94.8</v>
      </c>
      <c r="F421" vm="2164">
        <f ca="1"/>
        <v>5995080</v>
      </c>
    </row>
    <row r="422" spans="1:6" x14ac:dyDescent="0.2">
      <c r="A422" s="1" vm="2165">
        <f ca="1"/>
        <v>45049</v>
      </c>
      <c r="B422" s="2" vm="2166">
        <f ca="1"/>
        <v>95.07</v>
      </c>
      <c r="C422" s="2" vm="2167">
        <f ca="1"/>
        <v>95.42</v>
      </c>
      <c r="D422" s="2" vm="2168">
        <f ca="1"/>
        <v>94.54</v>
      </c>
      <c r="E422" s="2" vm="2169">
        <f ca="1"/>
        <v>94.78</v>
      </c>
      <c r="F422" vm="2170">
        <f ca="1"/>
        <v>6744810</v>
      </c>
    </row>
    <row r="423" spans="1:6" x14ac:dyDescent="0.2">
      <c r="A423" s="1" vm="2171">
        <f ca="1"/>
        <v>45050</v>
      </c>
      <c r="B423" s="2" vm="2172">
        <f ca="1"/>
        <v>94.98</v>
      </c>
      <c r="C423" s="2" vm="2173">
        <f ca="1"/>
        <v>95.12</v>
      </c>
      <c r="D423" s="2" vm="2174">
        <f ca="1"/>
        <v>94.41</v>
      </c>
      <c r="E423" s="2" vm="2133">
        <f ca="1"/>
        <v>94.97</v>
      </c>
      <c r="F423" vm="2175">
        <f ca="1"/>
        <v>5038200</v>
      </c>
    </row>
    <row r="424" spans="1:6" x14ac:dyDescent="0.2">
      <c r="A424" s="1" vm="2176">
        <f ca="1"/>
        <v>45051</v>
      </c>
      <c r="B424" s="2" vm="2177">
        <f ca="1"/>
        <v>95</v>
      </c>
      <c r="C424" s="2" vm="2178">
        <f ca="1"/>
        <v>97.31</v>
      </c>
      <c r="D424" s="2" vm="2124">
        <f ca="1"/>
        <v>94.83</v>
      </c>
      <c r="E424" s="2" vm="241">
        <f ca="1"/>
        <v>96.97</v>
      </c>
      <c r="F424" vm="2179">
        <f ca="1"/>
        <v>8068571</v>
      </c>
    </row>
    <row r="425" spans="1:6" x14ac:dyDescent="0.2">
      <c r="A425" s="1" vm="2180">
        <f ca="1"/>
        <v>45054</v>
      </c>
      <c r="B425" s="2" vm="2181">
        <f ca="1"/>
        <v>97.08</v>
      </c>
      <c r="C425" s="2" vm="2182">
        <f ca="1"/>
        <v>97.28</v>
      </c>
      <c r="D425" s="2" vm="2183">
        <f ca="1"/>
        <v>96.44</v>
      </c>
      <c r="E425" s="2" vm="2184">
        <f ca="1"/>
        <v>96.79</v>
      </c>
      <c r="F425" vm="2185">
        <f ca="1"/>
        <v>5314753</v>
      </c>
    </row>
    <row r="426" spans="1:6" x14ac:dyDescent="0.2">
      <c r="A426" s="1" vm="2186">
        <f ca="1"/>
        <v>45055</v>
      </c>
      <c r="B426" s="2" vm="267">
        <f ca="1"/>
        <v>96.2</v>
      </c>
      <c r="C426" s="2" vm="2187">
        <f ca="1"/>
        <v>96.89</v>
      </c>
      <c r="D426" s="2" vm="170">
        <f ca="1"/>
        <v>96.1</v>
      </c>
      <c r="E426" s="2" vm="2188">
        <f ca="1"/>
        <v>96.14</v>
      </c>
      <c r="F426" vm="2189">
        <f ca="1"/>
        <v>6333498</v>
      </c>
    </row>
    <row r="427" spans="1:6" x14ac:dyDescent="0.2">
      <c r="A427" s="1" vm="2190">
        <f ca="1"/>
        <v>45056</v>
      </c>
      <c r="B427" s="2" vm="2184">
        <f ca="1"/>
        <v>96.79</v>
      </c>
      <c r="C427" s="2" vm="2191">
        <f ca="1"/>
        <v>97.674999999999997</v>
      </c>
      <c r="D427" s="2" vm="2192">
        <f ca="1"/>
        <v>96.256</v>
      </c>
      <c r="E427" s="2" vm="2193">
        <f ca="1"/>
        <v>97.52</v>
      </c>
      <c r="F427" vm="2194">
        <f ca="1"/>
        <v>5935280</v>
      </c>
    </row>
    <row r="428" spans="1:6" x14ac:dyDescent="0.2">
      <c r="A428" s="1" vm="2195">
        <f ca="1"/>
        <v>45057</v>
      </c>
      <c r="B428" s="2" vm="2196">
        <f ca="1"/>
        <v>97.54</v>
      </c>
      <c r="C428" s="2" vm="2197">
        <f ca="1"/>
        <v>97.63</v>
      </c>
      <c r="D428" s="2" vm="2198">
        <f ca="1"/>
        <v>96.334999999999994</v>
      </c>
      <c r="E428" s="2" vm="2199">
        <f ca="1"/>
        <v>97.44</v>
      </c>
      <c r="F428" vm="2200">
        <f ca="1"/>
        <v>5144541</v>
      </c>
    </row>
    <row r="429" spans="1:6" x14ac:dyDescent="0.2">
      <c r="A429" s="1" vm="2201">
        <f ca="1"/>
        <v>45058</v>
      </c>
      <c r="B429" s="2" vm="2202">
        <f ca="1"/>
        <v>97.61</v>
      </c>
      <c r="C429" s="2" vm="2203">
        <f ca="1"/>
        <v>97.92</v>
      </c>
      <c r="D429" s="2" vm="2204">
        <f ca="1"/>
        <v>96.93</v>
      </c>
      <c r="E429" s="2" vm="2205">
        <f ca="1"/>
        <v>97.85</v>
      </c>
      <c r="F429" vm="2206">
        <f ca="1"/>
        <v>4994703</v>
      </c>
    </row>
    <row r="430" spans="1:6" x14ac:dyDescent="0.2">
      <c r="A430" s="1" vm="2207">
        <f ca="1"/>
        <v>45061</v>
      </c>
      <c r="B430" s="2" vm="2208">
        <f ca="1"/>
        <v>97.87</v>
      </c>
      <c r="C430" s="2" vm="2209">
        <f ca="1"/>
        <v>97.96</v>
      </c>
      <c r="D430" s="2" vm="2210">
        <f ca="1"/>
        <v>97.045000000000002</v>
      </c>
      <c r="E430" s="2" vm="2211">
        <f ca="1"/>
        <v>97.26</v>
      </c>
      <c r="F430" vm="2212">
        <f ca="1"/>
        <v>4443811</v>
      </c>
    </row>
    <row r="431" spans="1:6" x14ac:dyDescent="0.2">
      <c r="A431" s="1" vm="2213">
        <f ca="1"/>
        <v>45062</v>
      </c>
      <c r="B431" s="2" vm="2214">
        <f ca="1"/>
        <v>97.17</v>
      </c>
      <c r="C431" s="2" vm="2215">
        <f ca="1"/>
        <v>98.844999999999999</v>
      </c>
      <c r="D431" s="2" vm="2216">
        <f ca="1"/>
        <v>96.92</v>
      </c>
      <c r="E431" s="2" vm="214">
        <f ca="1"/>
        <v>98.25</v>
      </c>
      <c r="F431" vm="2217">
        <f ca="1"/>
        <v>6898204</v>
      </c>
    </row>
    <row r="432" spans="1:6" x14ac:dyDescent="0.2">
      <c r="A432" s="1" vm="2218">
        <f ca="1"/>
        <v>45063</v>
      </c>
      <c r="B432" s="2" vm="2219">
        <f ca="1"/>
        <v>98.78</v>
      </c>
      <c r="C432" s="2" vm="2220">
        <f ca="1"/>
        <v>100.4</v>
      </c>
      <c r="D432" s="2" vm="2221">
        <f ca="1"/>
        <v>98.43</v>
      </c>
      <c r="E432" s="2" vm="2222">
        <f ca="1"/>
        <v>99.77</v>
      </c>
      <c r="F432" vm="2223">
        <f ca="1"/>
        <v>9436009</v>
      </c>
    </row>
    <row r="433" spans="1:6" x14ac:dyDescent="0.2">
      <c r="A433" s="1" vm="2224">
        <f ca="1"/>
        <v>45064</v>
      </c>
      <c r="B433" s="2" vm="2222">
        <f ca="1"/>
        <v>99.77</v>
      </c>
      <c r="C433" s="2" vm="2225">
        <f ca="1"/>
        <v>102.46</v>
      </c>
      <c r="D433" s="2" vm="2226">
        <f ca="1"/>
        <v>99.73</v>
      </c>
      <c r="E433" s="2" vm="2227">
        <f ca="1"/>
        <v>102.34</v>
      </c>
      <c r="F433" vm="2228">
        <f ca="1"/>
        <v>10005725</v>
      </c>
    </row>
    <row r="434" spans="1:6" x14ac:dyDescent="0.2">
      <c r="A434" s="1" vm="2229">
        <f ca="1"/>
        <v>45065</v>
      </c>
      <c r="B434" s="2" vm="2230">
        <f ca="1"/>
        <v>102.39</v>
      </c>
      <c r="C434" s="2" vm="2231">
        <f ca="1"/>
        <v>103.07</v>
      </c>
      <c r="D434" s="2" vm="2232">
        <f ca="1"/>
        <v>101.92</v>
      </c>
      <c r="E434" s="2" vm="2233">
        <f ca="1"/>
        <v>102.84</v>
      </c>
      <c r="F434" vm="2234">
        <f ca="1"/>
        <v>8560257</v>
      </c>
    </row>
    <row r="435" spans="1:6" x14ac:dyDescent="0.2">
      <c r="A435" s="1" vm="2235">
        <f ca="1"/>
        <v>45068</v>
      </c>
      <c r="B435" s="2" vm="2236">
        <f ca="1"/>
        <v>102.48</v>
      </c>
      <c r="C435" s="2" vm="2237">
        <f ca="1"/>
        <v>103.1</v>
      </c>
      <c r="D435" s="2" vm="2238">
        <f ca="1"/>
        <v>101.73</v>
      </c>
      <c r="E435" s="2" vm="2239">
        <f ca="1"/>
        <v>101.77</v>
      </c>
      <c r="F435" vm="2240">
        <f ca="1"/>
        <v>5890481</v>
      </c>
    </row>
    <row r="436" spans="1:6" x14ac:dyDescent="0.2">
      <c r="A436" s="1" vm="2241">
        <f ca="1"/>
        <v>45069</v>
      </c>
      <c r="B436" s="2" vm="2242">
        <f ca="1"/>
        <v>101.07</v>
      </c>
      <c r="C436" s="2" vm="2243">
        <f ca="1"/>
        <v>101.43</v>
      </c>
      <c r="D436" s="2" vm="2244">
        <f ca="1"/>
        <v>98.465000000000003</v>
      </c>
      <c r="E436" s="2" vm="2245">
        <f ca="1"/>
        <v>98.54</v>
      </c>
      <c r="F436" vm="2246">
        <f ca="1"/>
        <v>10047261</v>
      </c>
    </row>
    <row r="437" spans="1:6" x14ac:dyDescent="0.2">
      <c r="A437" s="1" vm="2247">
        <f ca="1"/>
        <v>45070</v>
      </c>
      <c r="B437" s="2" vm="2248">
        <f ca="1"/>
        <v>97.95</v>
      </c>
      <c r="C437" s="2" vm="2249">
        <f ca="1"/>
        <v>98.88</v>
      </c>
      <c r="D437" s="2" vm="2250">
        <f ca="1"/>
        <v>97.29</v>
      </c>
      <c r="E437" s="2" vm="2251">
        <f ca="1"/>
        <v>98.32</v>
      </c>
      <c r="F437" vm="2252">
        <f ca="1"/>
        <v>6815861</v>
      </c>
    </row>
    <row r="438" spans="1:6" x14ac:dyDescent="0.2">
      <c r="A438" s="1" vm="2253">
        <f ca="1"/>
        <v>45071</v>
      </c>
      <c r="B438" s="2" vm="2254">
        <f ca="1"/>
        <v>99.2</v>
      </c>
      <c r="C438" s="2" vm="2255">
        <f ca="1"/>
        <v>104.66</v>
      </c>
      <c r="D438" s="2" vm="2256">
        <f ca="1"/>
        <v>98.77</v>
      </c>
      <c r="E438" s="2" vm="393">
        <f ca="1"/>
        <v>104.29</v>
      </c>
      <c r="F438" vm="2257">
        <f ca="1"/>
        <v>16729608</v>
      </c>
    </row>
    <row r="439" spans="1:6" x14ac:dyDescent="0.2">
      <c r="A439" s="1" vm="2258">
        <f ca="1"/>
        <v>45072</v>
      </c>
      <c r="B439" s="2" vm="2259">
        <f ca="1"/>
        <v>104.35</v>
      </c>
      <c r="C439" s="2" vm="2260">
        <f ca="1"/>
        <v>106.23</v>
      </c>
      <c r="D439" s="2" vm="2261">
        <f ca="1"/>
        <v>104.03</v>
      </c>
      <c r="E439" s="2" vm="2262">
        <f ca="1"/>
        <v>104.08</v>
      </c>
      <c r="F439" vm="2263">
        <f ca="1"/>
        <v>13994064</v>
      </c>
    </row>
    <row r="440" spans="1:6" x14ac:dyDescent="0.2">
      <c r="A440" s="1" vm="2264">
        <f ca="1"/>
        <v>45076</v>
      </c>
      <c r="B440" s="2" vm="2265">
        <f ca="1"/>
        <v>104.9</v>
      </c>
      <c r="C440" s="2" vm="2266">
        <f ca="1"/>
        <v>105.98</v>
      </c>
      <c r="D440" s="2" vm="2267">
        <f ca="1"/>
        <v>104.19</v>
      </c>
      <c r="E440" s="2" vm="2268">
        <f ca="1"/>
        <v>105.15</v>
      </c>
      <c r="F440" vm="2269">
        <f ca="1"/>
        <v>10296707</v>
      </c>
    </row>
    <row r="441" spans="1:6" x14ac:dyDescent="0.2">
      <c r="A441" s="1" vm="2270">
        <f ca="1"/>
        <v>45077</v>
      </c>
      <c r="B441" s="2" vm="2271">
        <f ca="1"/>
        <v>104.47</v>
      </c>
      <c r="C441" s="2" vm="2272">
        <f ca="1"/>
        <v>106.49</v>
      </c>
      <c r="D441" s="2" vm="2273">
        <f ca="1"/>
        <v>104.15</v>
      </c>
      <c r="E441" s="2" vm="2274">
        <f ca="1"/>
        <v>105.94</v>
      </c>
      <c r="F441" vm="2275">
        <f ca="1"/>
        <v>13713520</v>
      </c>
    </row>
    <row r="442" spans="1:6" x14ac:dyDescent="0.2">
      <c r="A442" s="1" vm="2276">
        <f ca="1"/>
        <v>45078</v>
      </c>
      <c r="B442" s="2" vm="2277">
        <f ca="1"/>
        <v>104.88</v>
      </c>
      <c r="C442" s="2" vm="2278">
        <f ca="1"/>
        <v>106.61</v>
      </c>
      <c r="D442" s="2" vm="2279">
        <f ca="1"/>
        <v>104.78</v>
      </c>
      <c r="E442" s="2" vm="2280">
        <f ca="1"/>
        <v>105.99</v>
      </c>
      <c r="F442" vm="2281">
        <f ca="1"/>
        <v>7835885</v>
      </c>
    </row>
    <row r="443" spans="1:6" x14ac:dyDescent="0.2">
      <c r="A443" s="1" vm="2282">
        <f ca="1"/>
        <v>45079</v>
      </c>
      <c r="B443" s="2" vm="2283">
        <f ca="1"/>
        <v>106.52</v>
      </c>
      <c r="C443" s="2" vm="2284">
        <f ca="1"/>
        <v>106.77</v>
      </c>
      <c r="D443" s="2" vm="2285">
        <f ca="1"/>
        <v>105.75</v>
      </c>
      <c r="E443" s="2" vm="2286">
        <f ca="1"/>
        <v>105.89</v>
      </c>
      <c r="F443" vm="2287">
        <f ca="1"/>
        <v>8652377</v>
      </c>
    </row>
    <row r="444" spans="1:6" x14ac:dyDescent="0.2">
      <c r="A444" s="1" vm="2288">
        <f ca="1"/>
        <v>45082</v>
      </c>
      <c r="B444" s="2" vm="2286">
        <f ca="1"/>
        <v>105.89</v>
      </c>
      <c r="C444" s="2" vm="2289">
        <f ca="1"/>
        <v>107.6</v>
      </c>
      <c r="D444" s="2" vm="2290">
        <f ca="1"/>
        <v>105.51</v>
      </c>
      <c r="E444" s="2" vm="2291">
        <f ca="1"/>
        <v>106.93</v>
      </c>
      <c r="F444" vm="2292">
        <f ca="1"/>
        <v>7997782</v>
      </c>
    </row>
    <row r="445" spans="1:6" x14ac:dyDescent="0.2">
      <c r="A445" s="1" vm="2293">
        <f ca="1"/>
        <v>45083</v>
      </c>
      <c r="B445" s="2" vm="2294">
        <f ca="1"/>
        <v>106.81</v>
      </c>
      <c r="C445" s="2" vm="2295">
        <f ca="1"/>
        <v>107.49</v>
      </c>
      <c r="D445" s="2" vm="2296">
        <f ca="1"/>
        <v>106.15</v>
      </c>
      <c r="E445" s="2" vm="2297">
        <f ca="1"/>
        <v>107.1</v>
      </c>
      <c r="F445" vm="2298">
        <f ca="1"/>
        <v>7022994</v>
      </c>
    </row>
    <row r="446" spans="1:6" x14ac:dyDescent="0.2">
      <c r="A446" s="1" vm="2299">
        <f ca="1"/>
        <v>45084</v>
      </c>
      <c r="B446" s="2" vm="2300">
        <f ca="1"/>
        <v>107.14</v>
      </c>
      <c r="C446" s="2" vm="2301">
        <f ca="1"/>
        <v>108.37</v>
      </c>
      <c r="D446" s="2" vm="2302">
        <f ca="1"/>
        <v>104.83499999999999</v>
      </c>
      <c r="E446" s="2" vm="2303">
        <f ca="1"/>
        <v>105.25</v>
      </c>
      <c r="F446" vm="2304">
        <f ca="1"/>
        <v>9842484</v>
      </c>
    </row>
    <row r="447" spans="1:6" x14ac:dyDescent="0.2">
      <c r="A447" s="1" vm="2305">
        <f ca="1"/>
        <v>45085</v>
      </c>
      <c r="B447" s="2" vm="2306">
        <f ca="1"/>
        <v>105.67</v>
      </c>
      <c r="C447" s="2" vm="2307">
        <f ca="1"/>
        <v>107.785</v>
      </c>
      <c r="D447" s="2" vm="2308">
        <f ca="1"/>
        <v>105.35</v>
      </c>
      <c r="E447" s="2" vm="2309">
        <f ca="1"/>
        <v>107.48</v>
      </c>
      <c r="F447" vm="2310">
        <f ca="1"/>
        <v>9529126</v>
      </c>
    </row>
    <row r="448" spans="1:6" x14ac:dyDescent="0.2">
      <c r="A448" s="1" vm="2311">
        <f ca="1"/>
        <v>45086</v>
      </c>
      <c r="B448" s="2" vm="2312">
        <f ca="1"/>
        <v>107.7</v>
      </c>
      <c r="C448" s="2" vm="2313">
        <f ca="1"/>
        <v>110.15</v>
      </c>
      <c r="D448" s="2" vm="2314">
        <f ca="1"/>
        <v>107.41</v>
      </c>
      <c r="E448" s="2" vm="2315">
        <f ca="1"/>
        <v>109.85</v>
      </c>
      <c r="F448" vm="2316">
        <f ca="1"/>
        <v>12597073</v>
      </c>
    </row>
    <row r="449" spans="1:6" x14ac:dyDescent="0.2">
      <c r="A449" s="1" vm="2317">
        <f ca="1"/>
        <v>45089</v>
      </c>
      <c r="B449" s="2" vm="2318">
        <f ca="1"/>
        <v>114.34</v>
      </c>
      <c r="C449" s="2" vm="2319">
        <f ca="1"/>
        <v>117.51</v>
      </c>
      <c r="D449" s="2" vm="2318">
        <f ca="1"/>
        <v>114.34</v>
      </c>
      <c r="E449" s="2" vm="2320">
        <f ca="1"/>
        <v>116.43</v>
      </c>
      <c r="F449" vm="2321">
        <f ca="1"/>
        <v>39532005</v>
      </c>
    </row>
    <row r="450" spans="1:6" x14ac:dyDescent="0.2">
      <c r="A450" s="1" vm="2322">
        <f ca="1"/>
        <v>45090</v>
      </c>
      <c r="B450" s="2" vm="2323">
        <f ca="1"/>
        <v>123.32</v>
      </c>
      <c r="C450" s="2" vm="2324">
        <f ca="1"/>
        <v>123.99</v>
      </c>
      <c r="D450" s="2" vm="2325">
        <f ca="1"/>
        <v>116.02</v>
      </c>
      <c r="E450" s="2" vm="2326">
        <f ca="1"/>
        <v>116.68</v>
      </c>
      <c r="F450" vm="2327">
        <f ca="1"/>
        <v>39190916</v>
      </c>
    </row>
    <row r="451" spans="1:6" x14ac:dyDescent="0.2">
      <c r="A451" s="1" vm="2328">
        <f ca="1"/>
        <v>45091</v>
      </c>
      <c r="B451" s="2" vm="2329">
        <f ca="1"/>
        <v>116.5</v>
      </c>
      <c r="C451" s="2" vm="2330">
        <f ca="1"/>
        <v>122.51</v>
      </c>
      <c r="D451" s="2" vm="2331">
        <f ca="1"/>
        <v>115.74</v>
      </c>
      <c r="E451" s="2" vm="2332">
        <f ca="1"/>
        <v>122.27</v>
      </c>
      <c r="F451" vm="2333">
        <f ca="1"/>
        <v>26264249</v>
      </c>
    </row>
    <row r="452" spans="1:6" x14ac:dyDescent="0.2">
      <c r="A452" s="1" vm="2334">
        <f ca="1"/>
        <v>45092</v>
      </c>
      <c r="B452" s="2" vm="2335">
        <f ca="1"/>
        <v>121.95</v>
      </c>
      <c r="C452" s="2" vm="2336">
        <f ca="1"/>
        <v>127.54</v>
      </c>
      <c r="D452" s="2" vm="2337">
        <f ca="1"/>
        <v>121.66</v>
      </c>
      <c r="E452" s="2" vm="2338">
        <f ca="1"/>
        <v>126.55</v>
      </c>
      <c r="F452" vm="2339">
        <f ca="1"/>
        <v>27476726</v>
      </c>
    </row>
    <row r="453" spans="1:6" x14ac:dyDescent="0.2">
      <c r="A453" s="1" vm="2340">
        <f ca="1"/>
        <v>45093</v>
      </c>
      <c r="B453" s="2" vm="2341">
        <f ca="1"/>
        <v>127.14</v>
      </c>
      <c r="C453" s="2" vm="2342">
        <f ca="1"/>
        <v>127.4</v>
      </c>
      <c r="D453" s="2" vm="2343">
        <f ca="1"/>
        <v>125.15</v>
      </c>
      <c r="E453" s="2" vm="2344">
        <f ca="1"/>
        <v>125.46</v>
      </c>
      <c r="F453" vm="2345">
        <f ca="1"/>
        <v>19514667</v>
      </c>
    </row>
    <row r="454" spans="1:6" x14ac:dyDescent="0.2">
      <c r="A454" s="1" vm="2346">
        <f ca="1"/>
        <v>45097</v>
      </c>
      <c r="B454" s="2" vm="2347">
        <f ca="1"/>
        <v>124.45</v>
      </c>
      <c r="C454" s="2" vm="2348">
        <f ca="1"/>
        <v>125.25</v>
      </c>
      <c r="D454" s="2" vm="2349">
        <f ca="1"/>
        <v>121.96</v>
      </c>
      <c r="E454" s="2" vm="2350">
        <f ca="1"/>
        <v>122.04</v>
      </c>
      <c r="F454" vm="2351">
        <f ca="1"/>
        <v>16280340</v>
      </c>
    </row>
    <row r="455" spans="1:6" x14ac:dyDescent="0.2">
      <c r="A455" s="1" vm="2352">
        <f ca="1"/>
        <v>45098</v>
      </c>
      <c r="B455" s="2" vm="2335">
        <f ca="1"/>
        <v>121.95</v>
      </c>
      <c r="C455" s="2" vm="2353">
        <f ca="1"/>
        <v>123.36</v>
      </c>
      <c r="D455" s="2" vm="2354">
        <f ca="1"/>
        <v>120.36</v>
      </c>
      <c r="E455" s="2" vm="2355">
        <f ca="1"/>
        <v>122.1</v>
      </c>
      <c r="F455" vm="2356">
        <f ca="1"/>
        <v>17582950</v>
      </c>
    </row>
    <row r="456" spans="1:6" x14ac:dyDescent="0.2">
      <c r="A456" s="1" vm="2357">
        <f ca="1"/>
        <v>45099</v>
      </c>
      <c r="B456" s="2" vm="2358">
        <f ca="1"/>
        <v>121.61</v>
      </c>
      <c r="C456" s="2" vm="2359">
        <f ca="1"/>
        <v>122.59</v>
      </c>
      <c r="D456" s="2" vm="2360">
        <f ca="1"/>
        <v>120.07</v>
      </c>
      <c r="E456" s="2" vm="2361">
        <f ca="1"/>
        <v>120.58</v>
      </c>
      <c r="F456" vm="2362">
        <f ca="1"/>
        <v>12204559</v>
      </c>
    </row>
    <row r="457" spans="1:6" x14ac:dyDescent="0.2">
      <c r="A457" s="1" vm="2363">
        <f ca="1"/>
        <v>45100</v>
      </c>
      <c r="B457" s="2" vm="2364">
        <f ca="1"/>
        <v>119.59</v>
      </c>
      <c r="C457" s="2" vm="2365">
        <f ca="1"/>
        <v>119.9</v>
      </c>
      <c r="D457" s="2" vm="2366">
        <f ca="1"/>
        <v>118.14</v>
      </c>
      <c r="E457" s="2" vm="2367">
        <f ca="1"/>
        <v>118.64</v>
      </c>
      <c r="F457" vm="2368">
        <f ca="1"/>
        <v>19734336</v>
      </c>
    </row>
    <row r="458" spans="1:6" x14ac:dyDescent="0.2">
      <c r="A458" s="1" vm="2369">
        <f ca="1"/>
        <v>45103</v>
      </c>
      <c r="B458" s="2" vm="2370">
        <f ca="1"/>
        <v>117.99</v>
      </c>
      <c r="C458" s="2" vm="2371">
        <f ca="1"/>
        <v>119.425</v>
      </c>
      <c r="D458" s="2" vm="2372">
        <f ca="1"/>
        <v>116.7</v>
      </c>
      <c r="E458" s="2" vm="2373">
        <f ca="1"/>
        <v>116.78</v>
      </c>
      <c r="F458" vm="2374">
        <f ca="1"/>
        <v>8987034</v>
      </c>
    </row>
    <row r="459" spans="1:6" x14ac:dyDescent="0.2">
      <c r="A459" s="1" vm="2375">
        <f ca="1"/>
        <v>45104</v>
      </c>
      <c r="B459" s="2" vm="2376">
        <f ca="1"/>
        <v>116.57</v>
      </c>
      <c r="C459" s="2" vm="2377">
        <f ca="1"/>
        <v>118.46</v>
      </c>
      <c r="D459" s="2" vm="2378">
        <f ca="1"/>
        <v>116.26</v>
      </c>
      <c r="E459" s="2" vm="2379">
        <f ca="1"/>
        <v>117.84</v>
      </c>
      <c r="F459" vm="2380">
        <f ca="1"/>
        <v>6970419</v>
      </c>
    </row>
    <row r="460" spans="1:6" x14ac:dyDescent="0.2">
      <c r="A460" s="1" vm="2381">
        <f ca="1"/>
        <v>45105</v>
      </c>
      <c r="B460" s="2" vm="2373">
        <f ca="1"/>
        <v>116.78</v>
      </c>
      <c r="C460" s="2" vm="2382">
        <f ca="1"/>
        <v>118.62</v>
      </c>
      <c r="D460" s="2" vm="2383">
        <f ca="1"/>
        <v>116.39</v>
      </c>
      <c r="E460" s="2" vm="2384">
        <f ca="1"/>
        <v>116.53</v>
      </c>
      <c r="F460" vm="2385">
        <f ca="1"/>
        <v>9240450</v>
      </c>
    </row>
    <row r="461" spans="1:6" x14ac:dyDescent="0.2">
      <c r="A461" s="1" vm="2386">
        <f ca="1"/>
        <v>45106</v>
      </c>
      <c r="B461" s="2" vm="2387">
        <f ca="1"/>
        <v>115.65</v>
      </c>
      <c r="C461" s="2" vm="2388">
        <f ca="1"/>
        <v>117.8</v>
      </c>
      <c r="D461" s="2" vm="2389">
        <f ca="1"/>
        <v>114.63</v>
      </c>
      <c r="E461" s="2" vm="2390">
        <f ca="1"/>
        <v>117.78</v>
      </c>
      <c r="F461" vm="2391">
        <f ca="1"/>
        <v>9234347</v>
      </c>
    </row>
    <row r="462" spans="1:6" x14ac:dyDescent="0.2">
      <c r="A462" s="1" vm="2392">
        <f ca="1"/>
        <v>45107</v>
      </c>
      <c r="B462" s="2" vm="2393">
        <f ca="1"/>
        <v>119.84</v>
      </c>
      <c r="C462" s="2" vm="2394">
        <f ca="1"/>
        <v>121.72499999999999</v>
      </c>
      <c r="D462" s="2" vm="2395">
        <f ca="1"/>
        <v>119.0301</v>
      </c>
      <c r="E462" s="2" vm="2396">
        <f ca="1"/>
        <v>119.09</v>
      </c>
      <c r="F462" vm="2397">
        <f ca="1"/>
        <v>13703101</v>
      </c>
    </row>
    <row r="463" spans="1:6" x14ac:dyDescent="0.2">
      <c r="A463" s="1" vm="2398">
        <f ca="1"/>
        <v>45110</v>
      </c>
      <c r="B463" s="2" vm="2399">
        <f ca="1"/>
        <v>118.01</v>
      </c>
      <c r="C463" s="2" vm="2400">
        <f ca="1"/>
        <v>118.25</v>
      </c>
      <c r="D463" s="2" vm="2401">
        <f ca="1"/>
        <v>116.825</v>
      </c>
      <c r="E463" s="2" vm="2402">
        <f ca="1"/>
        <v>117.15</v>
      </c>
      <c r="F463" vm="2403">
        <f ca="1"/>
        <v>4284699</v>
      </c>
    </row>
    <row r="464" spans="1:6" x14ac:dyDescent="0.2">
      <c r="A464" s="1" vm="2404">
        <f ca="1"/>
        <v>45112</v>
      </c>
      <c r="B464" s="2" vm="2405">
        <f ca="1"/>
        <v>116.52</v>
      </c>
      <c r="C464" s="2" vm="2406">
        <f ca="1"/>
        <v>117.01</v>
      </c>
      <c r="D464" s="2" vm="2407">
        <f ca="1"/>
        <v>115.41</v>
      </c>
      <c r="E464" s="2" vm="2408">
        <f ca="1"/>
        <v>115.96</v>
      </c>
      <c r="F464" vm="2409">
        <f ca="1"/>
        <v>8471859</v>
      </c>
    </row>
    <row r="465" spans="1:6" x14ac:dyDescent="0.2">
      <c r="A465" s="1" vm="2410">
        <f ca="1"/>
        <v>45113</v>
      </c>
      <c r="B465" s="2" vm="2411">
        <f ca="1"/>
        <v>114.66500000000001</v>
      </c>
      <c r="C465" s="2" vm="2412">
        <f ca="1"/>
        <v>115.81</v>
      </c>
      <c r="D465" s="2" vm="2413">
        <f ca="1"/>
        <v>114.64</v>
      </c>
      <c r="E465" s="2" vm="2414">
        <f ca="1"/>
        <v>115.45</v>
      </c>
      <c r="F465" vm="2415">
        <f ca="1"/>
        <v>7987217</v>
      </c>
    </row>
    <row r="466" spans="1:6" x14ac:dyDescent="0.2">
      <c r="A466" s="1" vm="2416">
        <f ca="1"/>
        <v>45114</v>
      </c>
      <c r="B466" s="2" vm="2417">
        <f ca="1"/>
        <v>114.84</v>
      </c>
      <c r="C466" s="2" vm="2418">
        <f ca="1"/>
        <v>115.98</v>
      </c>
      <c r="D466" s="2" vm="2419">
        <f ca="1"/>
        <v>114.49</v>
      </c>
      <c r="E466" s="2" vm="2420">
        <f ca="1"/>
        <v>114.61</v>
      </c>
      <c r="F466" vm="2421">
        <f ca="1"/>
        <v>7001618</v>
      </c>
    </row>
    <row r="467" spans="1:6" x14ac:dyDescent="0.2">
      <c r="A467" s="1" vm="2422">
        <f ca="1"/>
        <v>45117</v>
      </c>
      <c r="B467" s="2" vm="2423">
        <f ca="1"/>
        <v>114.28</v>
      </c>
      <c r="C467" s="2" vm="2424">
        <f ca="1"/>
        <v>115.03</v>
      </c>
      <c r="D467" s="2" vm="2425">
        <f ca="1"/>
        <v>113.66</v>
      </c>
      <c r="E467" s="2" vm="2426">
        <f ca="1"/>
        <v>114.38</v>
      </c>
      <c r="F467" vm="2427">
        <f ca="1"/>
        <v>6931013</v>
      </c>
    </row>
    <row r="468" spans="1:6" x14ac:dyDescent="0.2">
      <c r="A468" s="1" vm="2428">
        <f ca="1"/>
        <v>45118</v>
      </c>
      <c r="B468" s="2" vm="2429">
        <f ca="1"/>
        <v>114.19499999999999</v>
      </c>
      <c r="C468" s="2" vm="2430">
        <f ca="1"/>
        <v>115</v>
      </c>
      <c r="D468" s="2" vm="2431">
        <f ca="1"/>
        <v>113.43</v>
      </c>
      <c r="E468" s="2" vm="2432">
        <f ca="1"/>
        <v>114.88</v>
      </c>
      <c r="F468" vm="2433">
        <f ca="1"/>
        <v>6118606</v>
      </c>
    </row>
    <row r="469" spans="1:6" x14ac:dyDescent="0.2">
      <c r="A469" s="1" vm="2434">
        <f ca="1"/>
        <v>45119</v>
      </c>
      <c r="B469" s="2" vm="2435">
        <f ca="1"/>
        <v>115.67</v>
      </c>
      <c r="C469" s="2" vm="2436">
        <f ca="1"/>
        <v>118.09</v>
      </c>
      <c r="D469" s="2" vm="2437">
        <f ca="1"/>
        <v>115.64</v>
      </c>
      <c r="E469" s="2" vm="2325">
        <f ca="1"/>
        <v>116.02</v>
      </c>
      <c r="F469" vm="2438">
        <f ca="1"/>
        <v>11011586</v>
      </c>
    </row>
    <row r="470" spans="1:6" x14ac:dyDescent="0.2">
      <c r="A470" s="1" vm="2439">
        <f ca="1"/>
        <v>45120</v>
      </c>
      <c r="B470" s="2" vm="2440">
        <f ca="1"/>
        <v>117.09</v>
      </c>
      <c r="C470" s="2" vm="2441">
        <f ca="1"/>
        <v>118.58</v>
      </c>
      <c r="D470" s="2" vm="2442">
        <f ca="1"/>
        <v>116.76</v>
      </c>
      <c r="E470" s="2" vm="2443">
        <f ca="1"/>
        <v>117.45</v>
      </c>
      <c r="F470" vm="2444">
        <f ca="1"/>
        <v>9359604</v>
      </c>
    </row>
    <row r="471" spans="1:6" x14ac:dyDescent="0.2">
      <c r="A471" s="1" vm="2445">
        <f ca="1"/>
        <v>45121</v>
      </c>
      <c r="B471" s="2" vm="2446">
        <f ca="1"/>
        <v>118.18</v>
      </c>
      <c r="C471" s="2" vm="2447">
        <f ca="1"/>
        <v>119.97</v>
      </c>
      <c r="D471" s="2" vm="2448">
        <f ca="1"/>
        <v>117.68</v>
      </c>
      <c r="E471" s="2" vm="2449">
        <f ca="1"/>
        <v>119.27</v>
      </c>
      <c r="F471" vm="2450">
        <f ca="1"/>
        <v>7723843</v>
      </c>
    </row>
    <row r="472" spans="1:6" x14ac:dyDescent="0.2">
      <c r="A472" s="1" vm="2451">
        <f ca="1"/>
        <v>45124</v>
      </c>
      <c r="B472" s="2" vm="2452">
        <f ca="1"/>
        <v>118.85</v>
      </c>
      <c r="C472" s="2" vm="2447">
        <f ca="1"/>
        <v>119.97</v>
      </c>
      <c r="D472" s="2" vm="2453">
        <f ca="1"/>
        <v>118.2533</v>
      </c>
      <c r="E472" s="2" vm="2454">
        <f ca="1"/>
        <v>118.89</v>
      </c>
      <c r="F472" vm="2455">
        <f ca="1"/>
        <v>6736825</v>
      </c>
    </row>
    <row r="473" spans="1:6" x14ac:dyDescent="0.2">
      <c r="A473" s="1" vm="2456">
        <f ca="1"/>
        <v>45125</v>
      </c>
      <c r="B473" s="2" vm="2457">
        <f ca="1"/>
        <v>118.78</v>
      </c>
      <c r="C473" s="2" vm="2458">
        <f ca="1"/>
        <v>121.29</v>
      </c>
      <c r="D473" s="2" vm="2459">
        <f ca="1"/>
        <v>117.81</v>
      </c>
      <c r="E473" s="2" vm="2460">
        <f ca="1"/>
        <v>120.77</v>
      </c>
      <c r="F473" vm="2461">
        <f ca="1"/>
        <v>8906658</v>
      </c>
    </row>
    <row r="474" spans="1:6" x14ac:dyDescent="0.2">
      <c r="A474" s="1" vm="2462">
        <f ca="1"/>
        <v>45126</v>
      </c>
      <c r="B474" s="2" vm="2463">
        <f ca="1"/>
        <v>120.82</v>
      </c>
      <c r="C474" s="2" vm="2464">
        <f ca="1"/>
        <v>121.355</v>
      </c>
      <c r="D474" s="2" vm="2465">
        <f ca="1"/>
        <v>118.42</v>
      </c>
      <c r="E474" s="2" vm="2466">
        <f ca="1"/>
        <v>118.69</v>
      </c>
      <c r="F474" vm="2467">
        <f ca="1"/>
        <v>7609014</v>
      </c>
    </row>
    <row r="475" spans="1:6" x14ac:dyDescent="0.2">
      <c r="A475" s="1" vm="2468">
        <f ca="1"/>
        <v>45127</v>
      </c>
      <c r="B475" s="2" vm="2469">
        <f ca="1"/>
        <v>117.49</v>
      </c>
      <c r="C475" s="2" vm="2470">
        <f ca="1"/>
        <v>119.05</v>
      </c>
      <c r="D475" s="2" vm="2471">
        <f ca="1"/>
        <v>115.23</v>
      </c>
      <c r="E475" s="2" vm="2472">
        <f ca="1"/>
        <v>115.88</v>
      </c>
      <c r="F475" vm="2473">
        <f ca="1"/>
        <v>12913026</v>
      </c>
    </row>
    <row r="476" spans="1:6" x14ac:dyDescent="0.2">
      <c r="A476" s="1" vm="2474">
        <f ca="1"/>
        <v>45128</v>
      </c>
      <c r="B476" s="2" vm="2475">
        <f ca="1"/>
        <v>116.49</v>
      </c>
      <c r="C476" s="2" vm="2449">
        <f ca="1"/>
        <v>119.27</v>
      </c>
      <c r="D476" s="2" vm="2476">
        <f ca="1"/>
        <v>116.21</v>
      </c>
      <c r="E476" s="2" vm="2477">
        <f ca="1"/>
        <v>117.65</v>
      </c>
      <c r="F476" vm="2478">
        <f ca="1"/>
        <v>9159643</v>
      </c>
    </row>
    <row r="477" spans="1:6" x14ac:dyDescent="0.2">
      <c r="A477" s="1" vm="2479">
        <f ca="1"/>
        <v>45131</v>
      </c>
      <c r="B477" s="2" vm="2480">
        <f ca="1"/>
        <v>117.94</v>
      </c>
      <c r="C477" s="2" vm="2481">
        <f ca="1"/>
        <v>118.54</v>
      </c>
      <c r="D477" s="2" vm="2482">
        <f ca="1"/>
        <v>116.73</v>
      </c>
      <c r="E477" s="2" vm="2483">
        <f ca="1"/>
        <v>118.07</v>
      </c>
      <c r="F477" vm="2484">
        <f ca="1"/>
        <v>6200393</v>
      </c>
    </row>
    <row r="478" spans="1:6" x14ac:dyDescent="0.2">
      <c r="A478" s="1" vm="2485">
        <f ca="1"/>
        <v>45132</v>
      </c>
      <c r="B478" s="2" vm="2486">
        <f ca="1"/>
        <v>117.98</v>
      </c>
      <c r="C478" s="2" vm="2487">
        <f ca="1"/>
        <v>118.514</v>
      </c>
      <c r="D478" s="2" vm="2488">
        <f ca="1"/>
        <v>116.81</v>
      </c>
      <c r="E478" s="2" vm="2489">
        <f ca="1"/>
        <v>117.95</v>
      </c>
      <c r="F478" vm="2490">
        <f ca="1"/>
        <v>6266278</v>
      </c>
    </row>
    <row r="479" spans="1:6" x14ac:dyDescent="0.2">
      <c r="A479" s="1" vm="2491">
        <f ca="1"/>
        <v>45133</v>
      </c>
      <c r="B479" s="2" vm="2492">
        <f ca="1"/>
        <v>117.42</v>
      </c>
      <c r="C479" s="2" vm="2493">
        <f ca="1"/>
        <v>117.62</v>
      </c>
      <c r="D479" s="2" vm="2430">
        <f ca="1"/>
        <v>115</v>
      </c>
      <c r="E479" s="2" vm="2494">
        <f ca="1"/>
        <v>115.5</v>
      </c>
      <c r="F479" vm="2495">
        <f ca="1"/>
        <v>8159988</v>
      </c>
    </row>
    <row r="480" spans="1:6" x14ac:dyDescent="0.2">
      <c r="A480" s="1" vm="2496">
        <f ca="1"/>
        <v>45134</v>
      </c>
      <c r="B480" s="2" vm="2497">
        <f ca="1"/>
        <v>117.55</v>
      </c>
      <c r="C480" s="2" vm="2498">
        <f ca="1"/>
        <v>117.6</v>
      </c>
      <c r="D480" s="2" vm="2437">
        <f ca="1"/>
        <v>115.64</v>
      </c>
      <c r="E480" s="2" vm="2499">
        <f ca="1"/>
        <v>116.4</v>
      </c>
      <c r="F480" vm="2500">
        <f ca="1"/>
        <v>7843027</v>
      </c>
    </row>
    <row r="481" spans="1:6" x14ac:dyDescent="0.2">
      <c r="A481" s="1" vm="2501">
        <f ca="1"/>
        <v>45135</v>
      </c>
      <c r="B481" s="2" vm="2326">
        <f ca="1"/>
        <v>116.68</v>
      </c>
      <c r="C481" s="2" vm="2502">
        <f ca="1"/>
        <v>117.3</v>
      </c>
      <c r="D481" s="2" vm="2387">
        <f ca="1"/>
        <v>115.65</v>
      </c>
      <c r="E481" s="2" vm="2503">
        <f ca="1"/>
        <v>115.99</v>
      </c>
      <c r="F481" vm="2504">
        <f ca="1"/>
        <v>6912012</v>
      </c>
    </row>
    <row r="482" spans="1:6" x14ac:dyDescent="0.2">
      <c r="A482" s="1" vm="2505">
        <f ca="1"/>
        <v>45138</v>
      </c>
      <c r="B482" s="2" vm="2320">
        <f ca="1"/>
        <v>116.43</v>
      </c>
      <c r="C482" s="2" vm="2506">
        <f ca="1"/>
        <v>117.24</v>
      </c>
      <c r="D482" s="2" vm="2507">
        <f ca="1"/>
        <v>115.83</v>
      </c>
      <c r="E482" s="2" vm="2508">
        <f ca="1"/>
        <v>117.23</v>
      </c>
      <c r="F482" vm="2509">
        <f ca="1"/>
        <v>6708458</v>
      </c>
    </row>
    <row r="483" spans="1:6" x14ac:dyDescent="0.2">
      <c r="A483" s="1" vm="2510">
        <f ca="1"/>
        <v>45139</v>
      </c>
      <c r="B483" s="2" vm="2511">
        <f ca="1"/>
        <v>116.92</v>
      </c>
      <c r="C483" s="2" vm="2512">
        <f ca="1"/>
        <v>118.04</v>
      </c>
      <c r="D483" s="2" vm="2513">
        <f ca="1"/>
        <v>116.47499999999999</v>
      </c>
      <c r="E483" s="2" vm="2514">
        <f ca="1"/>
        <v>117.91</v>
      </c>
      <c r="F483" vm="2515">
        <f ca="1"/>
        <v>5250652</v>
      </c>
    </row>
    <row r="484" spans="1:6" x14ac:dyDescent="0.2">
      <c r="A484" s="1" vm="2516">
        <f ca="1"/>
        <v>45140</v>
      </c>
      <c r="B484" s="2" vm="2511">
        <f ca="1"/>
        <v>116.92</v>
      </c>
      <c r="C484" s="2" vm="2517">
        <f ca="1"/>
        <v>116.98</v>
      </c>
      <c r="D484" s="2" vm="2518">
        <f ca="1"/>
        <v>114.32</v>
      </c>
      <c r="E484" s="2" vm="2519">
        <f ca="1"/>
        <v>115.71</v>
      </c>
      <c r="F484" vm="2520">
        <f ca="1"/>
        <v>6387789</v>
      </c>
    </row>
    <row r="485" spans="1:6" x14ac:dyDescent="0.2">
      <c r="A485" s="1" vm="2521">
        <f ca="1"/>
        <v>45141</v>
      </c>
      <c r="B485" s="2" vm="2522">
        <f ca="1"/>
        <v>115.24</v>
      </c>
      <c r="C485" s="2" vm="2523">
        <f ca="1"/>
        <v>116.17</v>
      </c>
      <c r="D485" s="2" vm="2524">
        <f ca="1"/>
        <v>114.26</v>
      </c>
      <c r="E485" s="2" vm="2525">
        <f ca="1"/>
        <v>114.55</v>
      </c>
      <c r="F485" vm="2526">
        <f ca="1"/>
        <v>5215848</v>
      </c>
    </row>
    <row r="486" spans="1:6" x14ac:dyDescent="0.2">
      <c r="A486" s="1" vm="2527">
        <f ca="1"/>
        <v>45142</v>
      </c>
      <c r="B486" s="2" vm="2528">
        <f ca="1"/>
        <v>115.34</v>
      </c>
      <c r="C486" s="2" vm="2499">
        <f ca="1"/>
        <v>116.4</v>
      </c>
      <c r="D486" s="2" vm="2529">
        <f ca="1"/>
        <v>114.255</v>
      </c>
      <c r="E486" s="2" vm="2530">
        <f ca="1"/>
        <v>114.44</v>
      </c>
      <c r="F486" vm="2531">
        <f ca="1"/>
        <v>5579319</v>
      </c>
    </row>
    <row r="487" spans="1:6" x14ac:dyDescent="0.2">
      <c r="A487" s="1" vm="2532">
        <f ca="1"/>
        <v>45145</v>
      </c>
      <c r="B487" s="2" vm="2533">
        <f ca="1"/>
        <v>115.47</v>
      </c>
      <c r="C487" s="2" vm="2534">
        <f ca="1"/>
        <v>116.38</v>
      </c>
      <c r="D487" s="2" vm="2535">
        <f ca="1"/>
        <v>115.07</v>
      </c>
      <c r="E487" s="2" vm="2536">
        <f ca="1"/>
        <v>116.1</v>
      </c>
      <c r="F487" vm="2537">
        <f ca="1"/>
        <v>7347041</v>
      </c>
    </row>
    <row r="488" spans="1:6" x14ac:dyDescent="0.2">
      <c r="A488" s="1" vm="2538">
        <f ca="1"/>
        <v>45146</v>
      </c>
      <c r="B488" s="2" vm="2539">
        <f ca="1"/>
        <v>115.04</v>
      </c>
      <c r="C488" s="2" vm="2540">
        <f ca="1"/>
        <v>115.61</v>
      </c>
      <c r="D488" s="2" vm="2541">
        <f ca="1"/>
        <v>114.22</v>
      </c>
      <c r="E488" s="2" vm="2471">
        <f ca="1"/>
        <v>115.23</v>
      </c>
      <c r="F488" vm="2542">
        <f ca="1"/>
        <v>4694781</v>
      </c>
    </row>
    <row r="489" spans="1:6" x14ac:dyDescent="0.2">
      <c r="A489" s="1" vm="2543">
        <f ca="1"/>
        <v>45147</v>
      </c>
      <c r="B489" s="2" vm="2528">
        <f ca="1"/>
        <v>115.34</v>
      </c>
      <c r="C489" s="2" vm="2519">
        <f ca="1"/>
        <v>115.71</v>
      </c>
      <c r="D489" s="2" vm="2544">
        <f ca="1"/>
        <v>112.33</v>
      </c>
      <c r="E489" s="2" vm="2545">
        <f ca="1"/>
        <v>113.1</v>
      </c>
      <c r="F489" vm="2546">
        <f ca="1"/>
        <v>6542427</v>
      </c>
    </row>
    <row r="490" spans="1:6" x14ac:dyDescent="0.2">
      <c r="A490" s="1" vm="2547">
        <f ca="1"/>
        <v>45148</v>
      </c>
      <c r="B490" s="2" vm="2548">
        <f ca="1"/>
        <v>113.78</v>
      </c>
      <c r="C490" s="2" vm="2549">
        <f ca="1"/>
        <v>115.09480000000001</v>
      </c>
      <c r="D490" s="2" vm="2550">
        <f ca="1"/>
        <v>112.48</v>
      </c>
      <c r="E490" s="2" vm="2551">
        <f ca="1"/>
        <v>112.99</v>
      </c>
      <c r="F490" vm="2552">
        <f ca="1"/>
        <v>6004125</v>
      </c>
    </row>
    <row r="491" spans="1:6" x14ac:dyDescent="0.2">
      <c r="A491" s="1" vm="2553">
        <f ca="1"/>
        <v>45149</v>
      </c>
      <c r="B491" s="2" vm="2554">
        <f ca="1"/>
        <v>112.39</v>
      </c>
      <c r="C491" s="2" vm="2555">
        <f ca="1"/>
        <v>113.48</v>
      </c>
      <c r="D491" s="2" vm="2556">
        <f ca="1"/>
        <v>111.13</v>
      </c>
      <c r="E491" s="2" vm="2557">
        <f ca="1"/>
        <v>113.06</v>
      </c>
      <c r="F491" vm="2558">
        <f ca="1"/>
        <v>5288879</v>
      </c>
    </row>
    <row r="492" spans="1:6" x14ac:dyDescent="0.2">
      <c r="A492" s="1" vm="2559">
        <f ca="1"/>
        <v>45152</v>
      </c>
      <c r="B492" s="2" vm="2560">
        <f ca="1"/>
        <v>113.18</v>
      </c>
      <c r="C492" s="2" vm="2561">
        <f ca="1"/>
        <v>115.8062</v>
      </c>
      <c r="D492" s="2" vm="2562">
        <f ca="1"/>
        <v>113.15</v>
      </c>
      <c r="E492" s="2" vm="2563">
        <f ca="1"/>
        <v>115.57</v>
      </c>
      <c r="F492" vm="2564">
        <f ca="1"/>
        <v>6494216</v>
      </c>
    </row>
    <row r="493" spans="1:6" x14ac:dyDescent="0.2">
      <c r="A493" s="1" vm="2565">
        <f ca="1"/>
        <v>45153</v>
      </c>
      <c r="B493" s="2" vm="2414">
        <f ca="1"/>
        <v>115.45</v>
      </c>
      <c r="C493" s="2" vm="2566">
        <f ca="1"/>
        <v>118.059</v>
      </c>
      <c r="D493" s="2" vm="2417">
        <f ca="1"/>
        <v>114.84</v>
      </c>
      <c r="E493" s="2" vm="2567">
        <f ca="1"/>
        <v>117.29</v>
      </c>
      <c r="F493" vm="2568">
        <f ca="1"/>
        <v>10412160</v>
      </c>
    </row>
    <row r="494" spans="1:6" x14ac:dyDescent="0.2">
      <c r="A494" s="1" vm="2569">
        <f ca="1"/>
        <v>45154</v>
      </c>
      <c r="B494" s="2" vm="2570">
        <f ca="1"/>
        <v>117.16</v>
      </c>
      <c r="C494" s="2" vm="2459">
        <f ca="1"/>
        <v>117.81</v>
      </c>
      <c r="D494" s="2" vm="2571">
        <f ca="1"/>
        <v>115.27</v>
      </c>
      <c r="E494" s="2" vm="2528">
        <f ca="1"/>
        <v>115.34</v>
      </c>
      <c r="F494" vm="2572">
        <f ca="1"/>
        <v>5721951</v>
      </c>
    </row>
    <row r="495" spans="1:6" x14ac:dyDescent="0.2">
      <c r="A495" s="1" vm="2573">
        <f ca="1"/>
        <v>45155</v>
      </c>
      <c r="B495" s="2" vm="2331">
        <f ca="1"/>
        <v>115.74</v>
      </c>
      <c r="C495" s="2" vm="2373">
        <f ca="1"/>
        <v>116.78</v>
      </c>
      <c r="D495" s="2" vm="2574">
        <f ca="1"/>
        <v>114.36</v>
      </c>
      <c r="E495" s="2" vm="2432">
        <f ca="1"/>
        <v>114.88</v>
      </c>
      <c r="F495" vm="2575">
        <f ca="1"/>
        <v>6183897</v>
      </c>
    </row>
    <row r="496" spans="1:6" x14ac:dyDescent="0.2">
      <c r="A496" s="1" vm="2576">
        <f ca="1"/>
        <v>45156</v>
      </c>
      <c r="B496" s="2" vm="2577">
        <f ca="1"/>
        <v>114.5</v>
      </c>
      <c r="C496" s="2" vm="2578">
        <f ca="1"/>
        <v>116.99</v>
      </c>
      <c r="D496" s="2" vm="2579">
        <f ca="1"/>
        <v>113.95</v>
      </c>
      <c r="E496" s="2" vm="2580">
        <f ca="1"/>
        <v>116.46</v>
      </c>
      <c r="F496" vm="2581">
        <f ca="1"/>
        <v>9412775</v>
      </c>
    </row>
    <row r="497" spans="1:6" x14ac:dyDescent="0.2">
      <c r="A497" s="1" vm="2582">
        <f ca="1"/>
        <v>45159</v>
      </c>
      <c r="B497" s="2" vm="2583">
        <f ca="1"/>
        <v>116.9</v>
      </c>
      <c r="C497" s="2" vm="2584">
        <f ca="1"/>
        <v>117.35</v>
      </c>
      <c r="D497" s="2" vm="2585">
        <f ca="1"/>
        <v>115.19</v>
      </c>
      <c r="E497" s="2" vm="2586">
        <f ca="1"/>
        <v>116.59</v>
      </c>
      <c r="F497" vm="2587">
        <f ca="1"/>
        <v>5811160</v>
      </c>
    </row>
    <row r="498" spans="1:6" x14ac:dyDescent="0.2">
      <c r="A498" s="1" vm="2588">
        <f ca="1"/>
        <v>45160</v>
      </c>
      <c r="B498" s="2" vm="2319">
        <f ca="1"/>
        <v>117.51</v>
      </c>
      <c r="C498" s="2" vm="2448">
        <f ca="1"/>
        <v>117.68</v>
      </c>
      <c r="D498" s="2" vm="2589">
        <f ca="1"/>
        <v>115.73</v>
      </c>
      <c r="E498" s="2" vm="2590">
        <f ca="1"/>
        <v>116.54</v>
      </c>
      <c r="F498" vm="2591">
        <f ca="1"/>
        <v>4961062</v>
      </c>
    </row>
    <row r="499" spans="1:6" x14ac:dyDescent="0.2">
      <c r="A499" s="1" vm="2592">
        <f ca="1"/>
        <v>45161</v>
      </c>
      <c r="B499" s="2" vm="2593">
        <f ca="1"/>
        <v>117.1</v>
      </c>
      <c r="C499" s="2" vm="2594">
        <f ca="1"/>
        <v>120.45</v>
      </c>
      <c r="D499" s="2" vm="2595">
        <f ca="1"/>
        <v>112.10980000000001</v>
      </c>
      <c r="E499" s="2" vm="2379">
        <f ca="1"/>
        <v>117.84</v>
      </c>
      <c r="F499" vm="2596">
        <f ca="1"/>
        <v>16517285</v>
      </c>
    </row>
    <row r="500" spans="1:6" x14ac:dyDescent="0.2">
      <c r="A500" s="1" vm="2597">
        <f ca="1"/>
        <v>45162</v>
      </c>
      <c r="B500" s="2" vm="2598">
        <f ca="1"/>
        <v>119.68</v>
      </c>
      <c r="C500" s="2" vm="2599">
        <f ca="1"/>
        <v>119.73</v>
      </c>
      <c r="D500" s="2" vm="2600">
        <f ca="1"/>
        <v>112.41</v>
      </c>
      <c r="E500" s="2" vm="2601">
        <f ca="1"/>
        <v>112.91</v>
      </c>
      <c r="F500" vm="2602">
        <f ca="1"/>
        <v>11995894</v>
      </c>
    </row>
    <row r="501" spans="1:6" x14ac:dyDescent="0.2">
      <c r="A501" s="1" vm="2603">
        <f ca="1"/>
        <v>45163</v>
      </c>
      <c r="B501" s="2" vm="2601">
        <f ca="1"/>
        <v>112.91</v>
      </c>
      <c r="C501" s="2" vm="2604">
        <f ca="1"/>
        <v>116.148</v>
      </c>
      <c r="D501" s="2" vm="2605">
        <f ca="1"/>
        <v>112.74</v>
      </c>
      <c r="E501" s="2" vm="2606">
        <f ca="1"/>
        <v>116.06</v>
      </c>
      <c r="F501" vm="2607">
        <f ca="1"/>
        <v>8758141</v>
      </c>
    </row>
    <row r="502" spans="1:6" x14ac:dyDescent="0.2">
      <c r="A502" s="1" vm="2608">
        <f ca="1"/>
        <v>45166</v>
      </c>
      <c r="B502" s="2" vm="2609">
        <f ca="1"/>
        <v>116.37</v>
      </c>
      <c r="C502" s="2" vm="2610">
        <f ca="1"/>
        <v>117.71</v>
      </c>
      <c r="D502" s="2" vm="2611">
        <f ca="1"/>
        <v>115.7</v>
      </c>
      <c r="E502" s="2" vm="2612">
        <f ca="1"/>
        <v>116.84</v>
      </c>
      <c r="F502" vm="2613">
        <f ca="1"/>
        <v>4514753</v>
      </c>
    </row>
    <row r="503" spans="1:6" x14ac:dyDescent="0.2">
      <c r="A503" s="1" vm="2614">
        <f ca="1"/>
        <v>45167</v>
      </c>
      <c r="B503" s="2" vm="2615">
        <f ca="1"/>
        <v>120.95</v>
      </c>
      <c r="C503" s="2" vm="2616">
        <f ca="1"/>
        <v>121.2099</v>
      </c>
      <c r="D503" s="2" vm="2617">
        <f ca="1"/>
        <v>118.53</v>
      </c>
      <c r="E503" s="2" vm="2618">
        <f ca="1"/>
        <v>120.65</v>
      </c>
      <c r="F503" vm="2619">
        <f ca="1"/>
        <v>11920537</v>
      </c>
    </row>
    <row r="504" spans="1:6" x14ac:dyDescent="0.2">
      <c r="A504" s="1" vm="2620">
        <f ca="1"/>
        <v>45168</v>
      </c>
      <c r="B504" s="2" vm="2621">
        <f ca="1"/>
        <v>120.72</v>
      </c>
      <c r="C504" s="2" vm="2622">
        <f ca="1"/>
        <v>121.7363</v>
      </c>
      <c r="D504" s="2" vm="2623">
        <f ca="1"/>
        <v>120.15</v>
      </c>
      <c r="E504" s="2" vm="2624">
        <f ca="1"/>
        <v>121.12</v>
      </c>
      <c r="F504" vm="2625">
        <f ca="1"/>
        <v>5601778</v>
      </c>
    </row>
    <row r="505" spans="1:6" x14ac:dyDescent="0.2">
      <c r="A505" s="1" vm="2626">
        <f ca="1"/>
        <v>45169</v>
      </c>
      <c r="B505" s="2" vm="2627">
        <f ca="1"/>
        <v>121</v>
      </c>
      <c r="C505" s="2" vm="2628">
        <f ca="1"/>
        <v>121.98</v>
      </c>
      <c r="D505" s="2" vm="2629">
        <f ca="1"/>
        <v>120.12</v>
      </c>
      <c r="E505" s="2" vm="2630">
        <f ca="1"/>
        <v>120.39</v>
      </c>
      <c r="F505" vm="2631">
        <f ca="1"/>
        <v>9109806</v>
      </c>
    </row>
    <row r="506" spans="1:6" x14ac:dyDescent="0.2">
      <c r="A506" s="1" vm="2632">
        <f ca="1"/>
        <v>45170</v>
      </c>
      <c r="B506" s="2" vm="2633">
        <f ca="1"/>
        <v>121.01</v>
      </c>
      <c r="C506" s="2" vm="2634">
        <f ca="1"/>
        <v>121.69</v>
      </c>
      <c r="D506" s="2" vm="2635">
        <f ca="1"/>
        <v>120.09</v>
      </c>
      <c r="E506" s="2" vm="2636">
        <f ca="1"/>
        <v>120.93</v>
      </c>
      <c r="F506" vm="2637">
        <f ca="1"/>
        <v>6190045</v>
      </c>
    </row>
    <row r="507" spans="1:6" x14ac:dyDescent="0.2">
      <c r="A507" s="1" vm="2638">
        <f ca="1"/>
        <v>45174</v>
      </c>
      <c r="B507" s="2" vm="2639">
        <f ca="1"/>
        <v>122.44</v>
      </c>
      <c r="C507" s="2" vm="2640">
        <f ca="1"/>
        <v>124.28</v>
      </c>
      <c r="D507" s="2" vm="2641">
        <f ca="1"/>
        <v>121.18</v>
      </c>
      <c r="E507" s="2" vm="2642">
        <f ca="1"/>
        <v>123.98</v>
      </c>
      <c r="F507" vm="2643">
        <f ca="1"/>
        <v>11089638</v>
      </c>
    </row>
    <row r="508" spans="1:6" x14ac:dyDescent="0.2">
      <c r="A508" s="1" vm="2644">
        <f ca="1"/>
        <v>45175</v>
      </c>
      <c r="B508" s="2" vm="2645">
        <f ca="1"/>
        <v>123.06</v>
      </c>
      <c r="C508" s="2" vm="2646">
        <f ca="1"/>
        <v>124.58</v>
      </c>
      <c r="D508" s="2" vm="2647">
        <f ca="1"/>
        <v>122.73</v>
      </c>
      <c r="E508" s="2" vm="2648">
        <f ca="1"/>
        <v>124.33</v>
      </c>
      <c r="F508" vm="2649">
        <f ca="1"/>
        <v>8728483</v>
      </c>
    </row>
    <row r="509" spans="1:6" x14ac:dyDescent="0.2">
      <c r="A509" s="1" vm="2650">
        <f ca="1"/>
        <v>45176</v>
      </c>
      <c r="B509" s="2" vm="2651">
        <f ca="1"/>
        <v>123.83</v>
      </c>
      <c r="C509" s="2" vm="2652">
        <f ca="1"/>
        <v>125.96</v>
      </c>
      <c r="D509" s="2" vm="2653">
        <f ca="1"/>
        <v>122.59439999999999</v>
      </c>
      <c r="E509" s="2" vm="2654">
        <f ca="1"/>
        <v>125.09</v>
      </c>
      <c r="F509" vm="2655">
        <f ca="1"/>
        <v>11864401</v>
      </c>
    </row>
    <row r="510" spans="1:6" x14ac:dyDescent="0.2">
      <c r="A510" s="1" vm="2656">
        <f ca="1"/>
        <v>45177</v>
      </c>
      <c r="B510" s="2" vm="2657">
        <f ca="1"/>
        <v>124.8</v>
      </c>
      <c r="C510" s="2" vm="2658">
        <f ca="1"/>
        <v>126.69</v>
      </c>
      <c r="D510" s="2" vm="2659">
        <f ca="1"/>
        <v>124.3475</v>
      </c>
      <c r="E510" s="2" vm="2660">
        <f ca="1"/>
        <v>126.32</v>
      </c>
      <c r="F510" vm="2661">
        <f ca="1"/>
        <v>10612971</v>
      </c>
    </row>
    <row r="511" spans="1:6" x14ac:dyDescent="0.2">
      <c r="A511" s="1" vm="2662">
        <f ca="1"/>
        <v>45180</v>
      </c>
      <c r="B511" s="2" vm="2663">
        <f ca="1"/>
        <v>127.02</v>
      </c>
      <c r="C511" s="2" vm="2664">
        <f ca="1"/>
        <v>127.41500000000001</v>
      </c>
      <c r="D511" s="2" vm="2665">
        <f ca="1"/>
        <v>124.72</v>
      </c>
      <c r="E511" s="2" vm="2666">
        <f ca="1"/>
        <v>126.71</v>
      </c>
      <c r="F511" vm="2667">
        <f ca="1"/>
        <v>22155564</v>
      </c>
    </row>
    <row r="512" spans="1:6" x14ac:dyDescent="0.2">
      <c r="A512" s="1" vm="2668">
        <f ca="1"/>
        <v>45181</v>
      </c>
      <c r="B512" s="2" vm="2669">
        <f ca="1"/>
        <v>112.08</v>
      </c>
      <c r="C512" s="2" vm="2670">
        <f ca="1"/>
        <v>113.3</v>
      </c>
      <c r="D512" s="2" vm="2671">
        <f ca="1"/>
        <v>107.3</v>
      </c>
      <c r="E512" s="2" vm="2672">
        <f ca="1"/>
        <v>109.61</v>
      </c>
      <c r="F512" vm="2673">
        <f ca="1"/>
        <v>68605745</v>
      </c>
    </row>
    <row r="513" spans="1:6" x14ac:dyDescent="0.2">
      <c r="A513" s="1" vm="2674">
        <f ca="1"/>
        <v>45182</v>
      </c>
      <c r="B513" s="2" vm="2675">
        <f ca="1"/>
        <v>108.32</v>
      </c>
      <c r="C513" s="2" vm="2676">
        <f ca="1"/>
        <v>112.94</v>
      </c>
      <c r="D513" s="2" vm="2677">
        <f ca="1"/>
        <v>108.2</v>
      </c>
      <c r="E513" s="2" vm="2678">
        <f ca="1"/>
        <v>111.84</v>
      </c>
      <c r="F513" vm="2679">
        <f ca="1"/>
        <v>27170953</v>
      </c>
    </row>
    <row r="514" spans="1:6" x14ac:dyDescent="0.2">
      <c r="A514" s="1" vm="2680">
        <f ca="1"/>
        <v>45183</v>
      </c>
      <c r="B514" s="2" vm="2681">
        <f ca="1"/>
        <v>113.5</v>
      </c>
      <c r="C514" s="2" vm="2682">
        <f ca="1"/>
        <v>115.14</v>
      </c>
      <c r="D514" s="2" vm="2683">
        <f ca="1"/>
        <v>111.95</v>
      </c>
      <c r="E514" s="2" vm="2425">
        <f ca="1"/>
        <v>113.66</v>
      </c>
      <c r="F514" vm="2684">
        <f ca="1"/>
        <v>19849654</v>
      </c>
    </row>
    <row r="515" spans="1:6" x14ac:dyDescent="0.2">
      <c r="A515" s="1" vm="2685">
        <f ca="1"/>
        <v>45184</v>
      </c>
      <c r="B515" s="2" vm="2686">
        <f ca="1"/>
        <v>114.19</v>
      </c>
      <c r="C515" s="2" vm="2687">
        <f ca="1"/>
        <v>115.2</v>
      </c>
      <c r="D515" s="2" vm="2688">
        <f ca="1"/>
        <v>112.5</v>
      </c>
      <c r="E515" s="2" vm="2689">
        <f ca="1"/>
        <v>113.91</v>
      </c>
      <c r="F515" vm="2690">
        <f ca="1"/>
        <v>23215012</v>
      </c>
    </row>
    <row r="516" spans="1:6" x14ac:dyDescent="0.2">
      <c r="A516" s="1" vm="2691">
        <f ca="1"/>
        <v>45187</v>
      </c>
      <c r="B516" s="2" vm="2692">
        <f ca="1"/>
        <v>113.42</v>
      </c>
      <c r="C516" s="2" vm="2693">
        <f ca="1"/>
        <v>114.465</v>
      </c>
      <c r="D516" s="2" vm="2694">
        <f ca="1"/>
        <v>111.58</v>
      </c>
      <c r="E516" s="2" vm="2695">
        <f ca="1"/>
        <v>112.21</v>
      </c>
      <c r="F516" vm="2696">
        <f ca="1"/>
        <v>11744057</v>
      </c>
    </row>
    <row r="517" spans="1:6" x14ac:dyDescent="0.2">
      <c r="A517" s="1" vm="2697">
        <f ca="1"/>
        <v>45188</v>
      </c>
      <c r="B517" s="2" vm="2698">
        <f ca="1"/>
        <v>112.47499999999999</v>
      </c>
      <c r="C517" s="2" vm="2699">
        <f ca="1"/>
        <v>113.74</v>
      </c>
      <c r="D517" s="2" vm="2700">
        <f ca="1"/>
        <v>111.71</v>
      </c>
      <c r="E517" s="2" vm="2701">
        <f ca="1"/>
        <v>112.77</v>
      </c>
      <c r="F517" vm="2702">
        <f ca="1"/>
        <v>9536119</v>
      </c>
    </row>
    <row r="518" spans="1:6" x14ac:dyDescent="0.2">
      <c r="A518" s="1" vm="2703">
        <f ca="1"/>
        <v>45189</v>
      </c>
      <c r="B518" s="2" vm="2704">
        <f ca="1"/>
        <v>112.81</v>
      </c>
      <c r="C518" s="2" vm="2705">
        <f ca="1"/>
        <v>114.6953</v>
      </c>
      <c r="D518" s="2" vm="2706">
        <f ca="1"/>
        <v>112.46</v>
      </c>
      <c r="E518" s="2" vm="2707">
        <f ca="1"/>
        <v>112.87</v>
      </c>
      <c r="F518" vm="2708">
        <f ca="1"/>
        <v>8779955</v>
      </c>
    </row>
    <row r="519" spans="1:6" x14ac:dyDescent="0.2">
      <c r="A519" s="1" vm="2709">
        <f ca="1"/>
        <v>45190</v>
      </c>
      <c r="B519" s="2" vm="2710">
        <f ca="1"/>
        <v>111.51</v>
      </c>
      <c r="C519" s="2" vm="2688">
        <f ca="1"/>
        <v>112.5</v>
      </c>
      <c r="D519" s="2" vm="2711">
        <f ca="1"/>
        <v>109.331</v>
      </c>
      <c r="E519" s="2" vm="2712">
        <f ca="1"/>
        <v>109.43</v>
      </c>
      <c r="F519" vm="2713">
        <f ca="1"/>
        <v>12653515</v>
      </c>
    </row>
    <row r="520" spans="1:6" x14ac:dyDescent="0.2">
      <c r="A520" s="1" vm="2714">
        <f ca="1"/>
        <v>45191</v>
      </c>
      <c r="B520" s="2" vm="2715">
        <f ca="1"/>
        <v>109.99</v>
      </c>
      <c r="C520" s="2" vm="2716">
        <f ca="1"/>
        <v>110.6</v>
      </c>
      <c r="D520" s="2" vm="2717">
        <f ca="1"/>
        <v>108.51</v>
      </c>
      <c r="E520" s="2" vm="2718">
        <f ca="1"/>
        <v>109.03</v>
      </c>
      <c r="F520" vm="2719">
        <f ca="1"/>
        <v>11152050</v>
      </c>
    </row>
    <row r="521" spans="1:6" x14ac:dyDescent="0.2">
      <c r="A521" s="1" vm="2720">
        <f ca="1"/>
        <v>45194</v>
      </c>
      <c r="B521" s="2" vm="2721">
        <f ca="1"/>
        <v>108.45</v>
      </c>
      <c r="C521" s="2" vm="2722">
        <f ca="1"/>
        <v>108.65</v>
      </c>
      <c r="D521" s="2" vm="2723">
        <f ca="1"/>
        <v>107.5</v>
      </c>
      <c r="E521" s="2" vm="2724">
        <f ca="1"/>
        <v>108.3</v>
      </c>
      <c r="F521" vm="2725">
        <f ca="1"/>
        <v>8410012</v>
      </c>
    </row>
    <row r="522" spans="1:6" x14ac:dyDescent="0.2">
      <c r="A522" s="1" vm="2726">
        <f ca="1"/>
        <v>45195</v>
      </c>
      <c r="B522" s="2" vm="2300">
        <f ca="1"/>
        <v>107.14</v>
      </c>
      <c r="C522" s="2" vm="2727">
        <f ca="1"/>
        <v>107.4</v>
      </c>
      <c r="D522" s="2" vm="2728">
        <f ca="1"/>
        <v>104.31</v>
      </c>
      <c r="E522" s="2" vm="2277">
        <f ca="1"/>
        <v>104.88</v>
      </c>
      <c r="F522" vm="2729">
        <f ca="1"/>
        <v>13209049</v>
      </c>
    </row>
    <row r="523" spans="1:6" x14ac:dyDescent="0.2">
      <c r="A523" s="1" vm="2730">
        <f ca="1"/>
        <v>45196</v>
      </c>
      <c r="B523" s="2" vm="2731">
        <f ca="1"/>
        <v>105</v>
      </c>
      <c r="C523" s="2" vm="2732">
        <f ca="1"/>
        <v>105.27679999999999</v>
      </c>
      <c r="D523" s="2" vm="2733">
        <f ca="1"/>
        <v>103.35</v>
      </c>
      <c r="E523" s="2" vm="2734">
        <f ca="1"/>
        <v>104.62</v>
      </c>
      <c r="F523" vm="2735">
        <f ca="1"/>
        <v>8916439</v>
      </c>
    </row>
    <row r="524" spans="1:6" x14ac:dyDescent="0.2">
      <c r="A524" s="1" vm="2736">
        <f ca="1"/>
        <v>45197</v>
      </c>
      <c r="B524" s="2" vm="2261">
        <f ca="1"/>
        <v>104.03</v>
      </c>
      <c r="C524" s="2" vm="2737">
        <f ca="1"/>
        <v>106.6</v>
      </c>
      <c r="D524" s="2" vm="2738">
        <f ca="1"/>
        <v>103.27</v>
      </c>
      <c r="E524" s="2" vm="2296">
        <f ca="1"/>
        <v>106.15</v>
      </c>
      <c r="F524" vm="2739">
        <f ca="1"/>
        <v>7373621</v>
      </c>
    </row>
    <row r="525" spans="1:6" x14ac:dyDescent="0.2">
      <c r="A525" s="1" vm="2740">
        <f ca="1"/>
        <v>45198</v>
      </c>
      <c r="B525" s="2" vm="2741">
        <f ca="1"/>
        <v>107.11</v>
      </c>
      <c r="C525" s="2" vm="2742">
        <f ca="1"/>
        <v>107.36499999999999</v>
      </c>
      <c r="D525" s="2" vm="2743">
        <f ca="1"/>
        <v>105.38</v>
      </c>
      <c r="E525" s="2" vm="2744">
        <f ca="1"/>
        <v>105.92</v>
      </c>
      <c r="F525" vm="2745">
        <f ca="1"/>
        <v>7299109</v>
      </c>
    </row>
    <row r="526" spans="1:6" x14ac:dyDescent="0.2">
      <c r="A526" s="1" vm="2746">
        <f ca="1"/>
        <v>45201</v>
      </c>
      <c r="B526" s="2" vm="2747">
        <f ca="1"/>
        <v>105.81</v>
      </c>
      <c r="C526" s="2" vm="2748">
        <f ca="1"/>
        <v>106.7347</v>
      </c>
      <c r="D526" s="2" vm="2749">
        <f ca="1"/>
        <v>105.29</v>
      </c>
      <c r="E526" s="2" vm="2750">
        <f ca="1"/>
        <v>106.71</v>
      </c>
      <c r="F526" vm="2751">
        <f ca="1"/>
        <v>5963457</v>
      </c>
    </row>
    <row r="527" spans="1:6" x14ac:dyDescent="0.2">
      <c r="A527" s="1" vm="2752">
        <f ca="1"/>
        <v>45202</v>
      </c>
      <c r="B527" s="2" vm="2753">
        <f ca="1"/>
        <v>106.42</v>
      </c>
      <c r="C527" s="2" vm="2754">
        <f ca="1"/>
        <v>106.5</v>
      </c>
      <c r="D527" s="2" vm="2755">
        <f ca="1"/>
        <v>103.54</v>
      </c>
      <c r="E527" s="2" vm="2756">
        <f ca="1"/>
        <v>104.52</v>
      </c>
      <c r="F527" vm="2757">
        <f ca="1"/>
        <v>8783327</v>
      </c>
    </row>
    <row r="528" spans="1:6" x14ac:dyDescent="0.2">
      <c r="A528" s="1" vm="2758">
        <f ca="1"/>
        <v>45203</v>
      </c>
      <c r="B528" s="2" vm="2759">
        <f ca="1"/>
        <v>104.96</v>
      </c>
      <c r="C528" s="2" vm="2671">
        <f ca="1"/>
        <v>107.3</v>
      </c>
      <c r="D528" s="2" vm="2760">
        <f ca="1"/>
        <v>104.5</v>
      </c>
      <c r="E528" s="2" vm="2761">
        <f ca="1"/>
        <v>107.08</v>
      </c>
      <c r="F528" vm="2762">
        <f ca="1"/>
        <v>8842650</v>
      </c>
    </row>
    <row r="529" spans="1:6" x14ac:dyDescent="0.2">
      <c r="A529" s="1" vm="2763">
        <f ca="1"/>
        <v>45204</v>
      </c>
      <c r="B529" s="2" vm="2764">
        <f ca="1"/>
        <v>106.97</v>
      </c>
      <c r="C529" s="2" vm="2765">
        <f ca="1"/>
        <v>108.44</v>
      </c>
      <c r="D529" s="2" vm="2766">
        <f ca="1"/>
        <v>106.185</v>
      </c>
      <c r="E529" s="2" vm="2767">
        <f ca="1"/>
        <v>108.35</v>
      </c>
      <c r="F529" vm="2768">
        <f ca="1"/>
        <v>7651479</v>
      </c>
    </row>
    <row r="530" spans="1:6" x14ac:dyDescent="0.2">
      <c r="A530" s="1" vm="2769">
        <f ca="1"/>
        <v>45205</v>
      </c>
      <c r="B530" s="2" vm="2770">
        <f ca="1"/>
        <v>107.93</v>
      </c>
      <c r="C530" s="2" vm="2771">
        <f ca="1"/>
        <v>110.53</v>
      </c>
      <c r="D530" s="2" vm="2772">
        <f ca="1"/>
        <v>107.58</v>
      </c>
      <c r="E530" s="2" vm="2773">
        <f ca="1"/>
        <v>109.96</v>
      </c>
      <c r="F530" vm="2774">
        <f ca="1"/>
        <v>8246950</v>
      </c>
    </row>
    <row r="531" spans="1:6" x14ac:dyDescent="0.2">
      <c r="A531" s="1" vm="2775">
        <f ca="1"/>
        <v>45208</v>
      </c>
      <c r="B531" s="2" vm="2776">
        <f ca="1"/>
        <v>110.75</v>
      </c>
      <c r="C531" s="2" vm="2777">
        <f ca="1"/>
        <v>110.97</v>
      </c>
      <c r="D531" s="2" vm="2778">
        <f ca="1"/>
        <v>109.47</v>
      </c>
      <c r="E531" s="2" vm="2779">
        <f ca="1"/>
        <v>110.32</v>
      </c>
      <c r="F531" vm="2780">
        <f ca="1"/>
        <v>6012363</v>
      </c>
    </row>
    <row r="532" spans="1:6" x14ac:dyDescent="0.2">
      <c r="A532" s="1" vm="2781">
        <f ca="1"/>
        <v>45209</v>
      </c>
      <c r="B532" s="2" vm="2782">
        <f ca="1"/>
        <v>110.21</v>
      </c>
      <c r="C532" s="2" vm="2783">
        <f ca="1"/>
        <v>111.06</v>
      </c>
      <c r="D532" s="2" vm="2784">
        <f ca="1"/>
        <v>109.62</v>
      </c>
      <c r="E532" s="2" vm="2785">
        <f ca="1"/>
        <v>109.71</v>
      </c>
      <c r="F532" vm="2786">
        <f ca="1"/>
        <v>6910436</v>
      </c>
    </row>
    <row r="533" spans="1:6" x14ac:dyDescent="0.2">
      <c r="A533" s="1" vm="2787">
        <f ca="1"/>
        <v>45210</v>
      </c>
      <c r="B533" s="2" vm="2788">
        <f ca="1"/>
        <v>109.51</v>
      </c>
      <c r="C533" s="2" vm="2789">
        <f ca="1"/>
        <v>110.059</v>
      </c>
      <c r="D533" s="2" vm="2790">
        <f ca="1"/>
        <v>108.83</v>
      </c>
      <c r="E533" s="2" vm="2791">
        <f ca="1"/>
        <v>109.64</v>
      </c>
      <c r="F533" vm="2792">
        <f ca="1"/>
        <v>5641686</v>
      </c>
    </row>
    <row r="534" spans="1:6" x14ac:dyDescent="0.2">
      <c r="A534" s="1" vm="2793">
        <f ca="1"/>
        <v>45211</v>
      </c>
      <c r="B534" s="2" vm="2794">
        <f ca="1"/>
        <v>109.95</v>
      </c>
      <c r="C534" s="2" vm="2795">
        <f ca="1"/>
        <v>110.92</v>
      </c>
      <c r="D534" s="2" vm="2796">
        <f ca="1"/>
        <v>108.88</v>
      </c>
      <c r="E534" s="2" vm="2797">
        <f ca="1"/>
        <v>109.11</v>
      </c>
      <c r="F534" vm="2798">
        <f ca="1"/>
        <v>6598533</v>
      </c>
    </row>
    <row r="535" spans="1:6" x14ac:dyDescent="0.2">
      <c r="A535" s="1" vm="2799">
        <f ca="1"/>
        <v>45212</v>
      </c>
      <c r="B535" s="2" vm="2800">
        <f ca="1"/>
        <v>109.19</v>
      </c>
      <c r="C535" s="2" vm="2788">
        <f ca="1"/>
        <v>109.51</v>
      </c>
      <c r="D535" s="2" vm="2801">
        <f ca="1"/>
        <v>107.79</v>
      </c>
      <c r="E535" s="2" vm="2802">
        <f ca="1"/>
        <v>108.25</v>
      </c>
      <c r="F535" vm="2803">
        <f ca="1"/>
        <v>5882175</v>
      </c>
    </row>
    <row r="536" spans="1:6" x14ac:dyDescent="0.2">
      <c r="A536" s="1" vm="2804">
        <f ca="1"/>
        <v>45215</v>
      </c>
      <c r="B536" s="2" vm="2805">
        <f ca="1"/>
        <v>108.95</v>
      </c>
      <c r="C536" s="2" vm="2806">
        <f ca="1"/>
        <v>109.59</v>
      </c>
      <c r="D536" s="2" vm="2807">
        <f ca="1"/>
        <v>108.3116</v>
      </c>
      <c r="E536" s="2" vm="2808">
        <f ca="1"/>
        <v>108.71</v>
      </c>
      <c r="F536" vm="2809">
        <f ca="1"/>
        <v>5487985</v>
      </c>
    </row>
    <row r="537" spans="1:6" x14ac:dyDescent="0.2">
      <c r="A537" s="1" vm="2810">
        <f ca="1"/>
        <v>45216</v>
      </c>
      <c r="B537" s="2" vm="2772">
        <f ca="1"/>
        <v>107.58</v>
      </c>
      <c r="C537" s="2" vm="2811">
        <f ca="1"/>
        <v>109.79</v>
      </c>
      <c r="D537" s="2" vm="2812">
        <f ca="1"/>
        <v>106.902</v>
      </c>
      <c r="E537" s="2" vm="2813">
        <f ca="1"/>
        <v>109.04</v>
      </c>
      <c r="F537" vm="2814">
        <f ca="1"/>
        <v>5261788</v>
      </c>
    </row>
    <row r="538" spans="1:6" x14ac:dyDescent="0.2">
      <c r="A538" s="1" vm="2815">
        <f ca="1"/>
        <v>45217</v>
      </c>
      <c r="B538" s="2" vm="2816">
        <f ca="1"/>
        <v>108.4</v>
      </c>
      <c r="C538" s="2" vm="2817">
        <f ca="1"/>
        <v>109.73</v>
      </c>
      <c r="D538" s="2" vm="2818">
        <f ca="1"/>
        <v>107.86</v>
      </c>
      <c r="E538" s="2" vm="2802">
        <f ca="1"/>
        <v>108.25</v>
      </c>
      <c r="F538" vm="2819">
        <f ca="1"/>
        <v>5123946</v>
      </c>
    </row>
    <row r="539" spans="1:6" x14ac:dyDescent="0.2">
      <c r="A539" s="1" vm="2820">
        <f ca="1"/>
        <v>45218</v>
      </c>
      <c r="B539" s="2" vm="2821">
        <f ca="1"/>
        <v>108.63</v>
      </c>
      <c r="C539" s="2" vm="2822">
        <f ca="1"/>
        <v>110.22</v>
      </c>
      <c r="D539" s="2" vm="2823">
        <f ca="1"/>
        <v>108.19</v>
      </c>
      <c r="E539" s="2" vm="2824">
        <f ca="1"/>
        <v>108.34</v>
      </c>
      <c r="F539" vm="2825">
        <f ca="1"/>
        <v>7989244</v>
      </c>
    </row>
    <row r="540" spans="1:6" x14ac:dyDescent="0.2">
      <c r="A540" s="1" vm="2826">
        <f ca="1"/>
        <v>45219</v>
      </c>
      <c r="B540" s="2" vm="2827">
        <f ca="1"/>
        <v>106.99</v>
      </c>
      <c r="C540" s="2" vm="2828">
        <f ca="1"/>
        <v>107.035</v>
      </c>
      <c r="D540" s="2" vm="2829">
        <f ca="1"/>
        <v>100.66</v>
      </c>
      <c r="E540" s="2" vm="2830">
        <f ca="1"/>
        <v>101.85</v>
      </c>
      <c r="F540" vm="2831">
        <f ca="1"/>
        <v>21831362</v>
      </c>
    </row>
    <row r="541" spans="1:6" x14ac:dyDescent="0.2">
      <c r="A541" s="1" vm="2832">
        <f ca="1"/>
        <v>45222</v>
      </c>
      <c r="B541" s="2" vm="2833">
        <f ca="1"/>
        <v>102.04</v>
      </c>
      <c r="C541" s="2" vm="2834">
        <f ca="1"/>
        <v>104.69</v>
      </c>
      <c r="D541" s="2" vm="2835">
        <f ca="1"/>
        <v>102.01</v>
      </c>
      <c r="E541" s="2" vm="2836">
        <f ca="1"/>
        <v>103.66</v>
      </c>
      <c r="F541" vm="2837">
        <f ca="1"/>
        <v>10722584</v>
      </c>
    </row>
    <row r="542" spans="1:6" x14ac:dyDescent="0.2">
      <c r="A542" s="1" vm="2838">
        <f ca="1"/>
        <v>45223</v>
      </c>
      <c r="B542" s="2" vm="417">
        <f ca="1"/>
        <v>103.95</v>
      </c>
      <c r="C542" s="2" vm="2839">
        <f ca="1"/>
        <v>104.46</v>
      </c>
      <c r="D542" s="2" vm="2840">
        <f ca="1"/>
        <v>102.5</v>
      </c>
      <c r="E542" s="2" vm="2841">
        <f ca="1"/>
        <v>103.2</v>
      </c>
      <c r="F542" vm="2842">
        <f ca="1"/>
        <v>6173992</v>
      </c>
    </row>
    <row r="543" spans="1:6" x14ac:dyDescent="0.2">
      <c r="A543" s="1" vm="2843">
        <f ca="1"/>
        <v>45224</v>
      </c>
      <c r="B543" s="2" vm="2844">
        <f ca="1"/>
        <v>102.7</v>
      </c>
      <c r="C543" s="2" vm="2845">
        <f ca="1"/>
        <v>103.67</v>
      </c>
      <c r="D543" s="2" vm="2846">
        <f ca="1"/>
        <v>101.01</v>
      </c>
      <c r="E543" s="2" vm="2243">
        <f ca="1"/>
        <v>101.43</v>
      </c>
      <c r="F543" vm="2847">
        <f ca="1"/>
        <v>7081685</v>
      </c>
    </row>
    <row r="544" spans="1:6" x14ac:dyDescent="0.2">
      <c r="A544" s="1" vm="2848">
        <f ca="1"/>
        <v>45225</v>
      </c>
      <c r="B544" s="2" vm="2849">
        <f ca="1"/>
        <v>101.69</v>
      </c>
      <c r="C544" s="2" vm="2230">
        <f ca="1"/>
        <v>102.39</v>
      </c>
      <c r="D544" s="2" vm="2850">
        <f ca="1"/>
        <v>99.87</v>
      </c>
      <c r="E544" s="2" vm="2220">
        <f ca="1"/>
        <v>100.4</v>
      </c>
      <c r="F544" vm="2851">
        <f ca="1"/>
        <v>7565581</v>
      </c>
    </row>
    <row r="545" spans="1:6" x14ac:dyDescent="0.2">
      <c r="A545" s="1" vm="2852">
        <f ca="1"/>
        <v>45226</v>
      </c>
      <c r="B545" s="2" vm="2853">
        <f ca="1"/>
        <v>101</v>
      </c>
      <c r="C545" s="2" vm="2854">
        <f ca="1"/>
        <v>102.09</v>
      </c>
      <c r="D545" s="2" vm="2855">
        <f ca="1"/>
        <v>100.59</v>
      </c>
      <c r="E545" s="2" vm="2856">
        <f ca="1"/>
        <v>100.99</v>
      </c>
      <c r="F545" vm="2857">
        <f ca="1"/>
        <v>5207854</v>
      </c>
    </row>
    <row r="546" spans="1:6" x14ac:dyDescent="0.2">
      <c r="A546" s="1" vm="2858">
        <f ca="1"/>
        <v>45229</v>
      </c>
      <c r="B546" s="2" vm="2859">
        <f ca="1"/>
        <v>101.14</v>
      </c>
      <c r="C546" s="2" vm="2860">
        <f ca="1"/>
        <v>102.4067</v>
      </c>
      <c r="D546" s="2" vm="2861">
        <f ca="1"/>
        <v>100.82</v>
      </c>
      <c r="E546" s="2" vm="2862">
        <f ca="1"/>
        <v>101.65</v>
      </c>
      <c r="F546" vm="2863">
        <f ca="1"/>
        <v>5433719</v>
      </c>
    </row>
    <row r="547" spans="1:6" x14ac:dyDescent="0.2">
      <c r="A547" s="1" vm="2864">
        <f ca="1"/>
        <v>45230</v>
      </c>
      <c r="B547" s="2" vm="2865">
        <f ca="1"/>
        <v>102.005</v>
      </c>
      <c r="C547" s="2" vm="2866">
        <f ca="1"/>
        <v>103.52</v>
      </c>
      <c r="D547" s="2" vm="2867">
        <f ca="1"/>
        <v>101.1</v>
      </c>
      <c r="E547" s="2" vm="2868">
        <f ca="1"/>
        <v>103.4</v>
      </c>
      <c r="F547" vm="2869">
        <f ca="1"/>
        <v>6258385</v>
      </c>
    </row>
    <row r="548" spans="1:6" x14ac:dyDescent="0.2">
      <c r="A548" s="1" vm="2870">
        <f ca="1"/>
        <v>45231</v>
      </c>
      <c r="B548" s="2" vm="2871">
        <f ca="1"/>
        <v>103.8</v>
      </c>
      <c r="C548" s="2" vm="2872">
        <f ca="1"/>
        <v>106.2</v>
      </c>
      <c r="D548" s="2" vm="2871">
        <f ca="1"/>
        <v>103.8</v>
      </c>
      <c r="E548" s="2" vm="2285">
        <f ca="1"/>
        <v>105.75</v>
      </c>
      <c r="F548" vm="2873">
        <f ca="1"/>
        <v>8602440</v>
      </c>
    </row>
    <row r="549" spans="1:6" x14ac:dyDescent="0.2">
      <c r="A549" s="1" vm="2874">
        <f ca="1"/>
        <v>45232</v>
      </c>
      <c r="B549" s="2" vm="2875">
        <f ca="1"/>
        <v>106.45</v>
      </c>
      <c r="C549" s="2" vm="2876">
        <f ca="1"/>
        <v>107.22</v>
      </c>
      <c r="D549" s="2" vm="2877">
        <f ca="1"/>
        <v>105.57</v>
      </c>
      <c r="E549" s="2" vm="2878">
        <f ca="1"/>
        <v>106.87</v>
      </c>
      <c r="F549" vm="2879">
        <f ca="1"/>
        <v>5918301</v>
      </c>
    </row>
    <row r="550" spans="1:6" x14ac:dyDescent="0.2">
      <c r="A550" s="1" vm="2880">
        <f ca="1"/>
        <v>45233</v>
      </c>
      <c r="B550" s="2" vm="2881">
        <f ca="1"/>
        <v>107.17</v>
      </c>
      <c r="C550" s="2" vm="2882">
        <f ca="1"/>
        <v>109.07</v>
      </c>
      <c r="D550" s="2" vm="2883">
        <f ca="1"/>
        <v>106.62</v>
      </c>
      <c r="E550" s="2" vm="2884">
        <f ca="1"/>
        <v>108.05</v>
      </c>
      <c r="F550" vm="2885">
        <f ca="1"/>
        <v>7280025</v>
      </c>
    </row>
    <row r="551" spans="1:6" x14ac:dyDescent="0.2">
      <c r="A551" s="1" vm="2886">
        <f ca="1"/>
        <v>45236</v>
      </c>
      <c r="B551" s="2" vm="2887">
        <f ca="1"/>
        <v>108.06</v>
      </c>
      <c r="C551" s="2" vm="2888">
        <f ca="1"/>
        <v>109.21</v>
      </c>
      <c r="D551" s="2" vm="2889">
        <f ca="1"/>
        <v>107.44</v>
      </c>
      <c r="E551" s="2" vm="2797">
        <f ca="1"/>
        <v>109.11</v>
      </c>
      <c r="F551" vm="2890">
        <f ca="1"/>
        <v>6062799</v>
      </c>
    </row>
    <row r="552" spans="1:6" x14ac:dyDescent="0.2">
      <c r="A552" s="1" vm="2891">
        <f ca="1"/>
        <v>45237</v>
      </c>
      <c r="B552" s="2" vm="2715">
        <f ca="1"/>
        <v>109.99</v>
      </c>
      <c r="C552" s="2" vm="2892">
        <f ca="1"/>
        <v>110.37990000000001</v>
      </c>
      <c r="D552" s="2" vm="2893">
        <f ca="1"/>
        <v>108.58</v>
      </c>
      <c r="E552" s="2" vm="2894">
        <f ca="1"/>
        <v>108.99</v>
      </c>
      <c r="F552" vm="2895">
        <f ca="1"/>
        <v>7412638</v>
      </c>
    </row>
    <row r="553" spans="1:6" x14ac:dyDescent="0.2">
      <c r="A553" s="1" vm="2896">
        <f ca="1"/>
        <v>45238</v>
      </c>
      <c r="B553" s="2" vm="2897">
        <f ca="1"/>
        <v>109.23</v>
      </c>
      <c r="C553" s="2" vm="2898">
        <f ca="1"/>
        <v>112.56</v>
      </c>
      <c r="D553" s="2" vm="2800">
        <f ca="1"/>
        <v>109.19</v>
      </c>
      <c r="E553" s="2" vm="2544">
        <f ca="1"/>
        <v>112.33</v>
      </c>
      <c r="F553" vm="2899">
        <f ca="1"/>
        <v>10994910</v>
      </c>
    </row>
    <row r="554" spans="1:6" x14ac:dyDescent="0.2">
      <c r="A554" s="1" vm="2900">
        <f ca="1"/>
        <v>45239</v>
      </c>
      <c r="B554" s="2" vm="2901">
        <f ca="1"/>
        <v>112.4</v>
      </c>
      <c r="C554" s="2" vm="2902">
        <f ca="1"/>
        <v>113.3091</v>
      </c>
      <c r="D554" s="2" vm="2903">
        <f ca="1"/>
        <v>111.61</v>
      </c>
      <c r="E554" s="2" vm="2904">
        <f ca="1"/>
        <v>112.18</v>
      </c>
      <c r="F554" vm="2905">
        <f ca="1"/>
        <v>6853941</v>
      </c>
    </row>
    <row r="555" spans="1:6" x14ac:dyDescent="0.2">
      <c r="A555" s="1" vm="2906">
        <f ca="1"/>
        <v>45240</v>
      </c>
      <c r="B555" s="2" vm="2907">
        <f ca="1"/>
        <v>112.09</v>
      </c>
      <c r="C555" s="2" vm="2560">
        <f ca="1"/>
        <v>113.18</v>
      </c>
      <c r="D555" s="2" vm="2908">
        <f ca="1"/>
        <v>111.14</v>
      </c>
      <c r="E555" s="2" vm="2909">
        <f ca="1"/>
        <v>113.07</v>
      </c>
      <c r="F555" vm="2910">
        <f ca="1"/>
        <v>5243795</v>
      </c>
    </row>
    <row r="556" spans="1:6" x14ac:dyDescent="0.2">
      <c r="A556" s="1" vm="2911">
        <f ca="1"/>
        <v>45243</v>
      </c>
      <c r="B556" s="2" vm="2909">
        <f ca="1"/>
        <v>113.07</v>
      </c>
      <c r="C556" s="2" vm="2419">
        <f ca="1"/>
        <v>114.49</v>
      </c>
      <c r="D556" s="2" vm="2912">
        <f ca="1"/>
        <v>112.78</v>
      </c>
      <c r="E556" s="2" vm="2913">
        <f ca="1"/>
        <v>114.15</v>
      </c>
      <c r="F556" vm="2914">
        <f ca="1"/>
        <v>5740466</v>
      </c>
    </row>
    <row r="557" spans="1:6" x14ac:dyDescent="0.2">
      <c r="A557" s="1" vm="2915">
        <f ca="1"/>
        <v>45244</v>
      </c>
      <c r="B557" s="2" vm="2916">
        <f ca="1"/>
        <v>114.86</v>
      </c>
      <c r="C557" s="2" vm="2580">
        <f ca="1"/>
        <v>116.46</v>
      </c>
      <c r="D557" s="2" vm="2917">
        <f ca="1"/>
        <v>114.45</v>
      </c>
      <c r="E557" s="2" vm="2536">
        <f ca="1"/>
        <v>116.1</v>
      </c>
      <c r="F557" vm="2918">
        <f ca="1"/>
        <v>6733655</v>
      </c>
    </row>
    <row r="558" spans="1:6" x14ac:dyDescent="0.2">
      <c r="A558" s="1" vm="2919">
        <f ca="1"/>
        <v>45245</v>
      </c>
      <c r="B558" s="2" vm="2920">
        <f ca="1"/>
        <v>116.15</v>
      </c>
      <c r="C558" s="2" vm="2921">
        <f ca="1"/>
        <v>116.31</v>
      </c>
      <c r="D558" s="2" vm="2922">
        <f ca="1"/>
        <v>113.925</v>
      </c>
      <c r="E558" s="2" vm="2923">
        <f ca="1"/>
        <v>114.06</v>
      </c>
      <c r="F558" vm="2924">
        <f ca="1"/>
        <v>7386240</v>
      </c>
    </row>
    <row r="559" spans="1:6" x14ac:dyDescent="0.2">
      <c r="A559" s="1" vm="2925">
        <f ca="1"/>
        <v>45246</v>
      </c>
      <c r="B559" s="2" vm="2926">
        <f ca="1"/>
        <v>113.76</v>
      </c>
      <c r="C559" s="2" vm="2927">
        <f ca="1"/>
        <v>115.87</v>
      </c>
      <c r="D559" s="2" vm="2928">
        <f ca="1"/>
        <v>113.47</v>
      </c>
      <c r="E559" s="2" vm="2929">
        <f ca="1"/>
        <v>114.67</v>
      </c>
      <c r="F559" vm="2930">
        <f ca="1"/>
        <v>7476084</v>
      </c>
    </row>
    <row r="560" spans="1:6" x14ac:dyDescent="0.2">
      <c r="A560" s="1" vm="2931">
        <f ca="1"/>
        <v>45247</v>
      </c>
      <c r="B560" s="2" vm="2420">
        <f ca="1"/>
        <v>114.61</v>
      </c>
      <c r="C560" s="2" vm="2437">
        <f ca="1"/>
        <v>115.64</v>
      </c>
      <c r="D560" s="2" vm="2932">
        <f ca="1"/>
        <v>114.16</v>
      </c>
      <c r="E560" s="2" vm="2933">
        <f ca="1"/>
        <v>115.36</v>
      </c>
      <c r="F560" vm="2934">
        <f ca="1"/>
        <v>4793121</v>
      </c>
    </row>
    <row r="561" spans="1:6" x14ac:dyDescent="0.2">
      <c r="A561" s="1" vm="2935">
        <f ca="1"/>
        <v>45250</v>
      </c>
      <c r="B561" s="2" vm="2387">
        <f ca="1"/>
        <v>115.65</v>
      </c>
      <c r="C561" s="2" vm="2936">
        <f ca="1"/>
        <v>117.149</v>
      </c>
      <c r="D561" s="2" vm="2937">
        <f ca="1"/>
        <v>115.51</v>
      </c>
      <c r="E561" s="2" vm="2511">
        <f ca="1"/>
        <v>116.92</v>
      </c>
      <c r="F561" vm="2938">
        <f ca="1"/>
        <v>5729247</v>
      </c>
    </row>
    <row r="562" spans="1:6" x14ac:dyDescent="0.2">
      <c r="A562" s="1" vm="2939">
        <f ca="1"/>
        <v>45251</v>
      </c>
      <c r="B562" s="2" vm="2940">
        <f ca="1"/>
        <v>117.21</v>
      </c>
      <c r="C562" s="2" vm="2941">
        <f ca="1"/>
        <v>117.67</v>
      </c>
      <c r="D562" s="2" vm="2942">
        <f ca="1"/>
        <v>115.68</v>
      </c>
      <c r="E562" s="2" vm="2943">
        <f ca="1"/>
        <v>116.08</v>
      </c>
      <c r="F562" vm="2944">
        <f ca="1"/>
        <v>5995308</v>
      </c>
    </row>
    <row r="563" spans="1:6" x14ac:dyDescent="0.2">
      <c r="A563" s="1" vm="2945">
        <f ca="1"/>
        <v>45252</v>
      </c>
      <c r="B563" s="2" vm="2372">
        <f ca="1"/>
        <v>116.7</v>
      </c>
      <c r="C563" s="2" vm="2567">
        <f ca="1"/>
        <v>117.29</v>
      </c>
      <c r="D563" s="2" vm="2937">
        <f ca="1"/>
        <v>115.51</v>
      </c>
      <c r="E563" s="2" vm="2946">
        <f ca="1"/>
        <v>116.24</v>
      </c>
      <c r="F563" vm="2947">
        <f ca="1"/>
        <v>4344743</v>
      </c>
    </row>
    <row r="564" spans="1:6" x14ac:dyDescent="0.2">
      <c r="A564" s="1" vm="2948">
        <f ca="1"/>
        <v>45254</v>
      </c>
      <c r="B564" s="2" vm="2475">
        <f ca="1"/>
        <v>116.49</v>
      </c>
      <c r="C564" s="2" vm="2586">
        <f ca="1"/>
        <v>116.59</v>
      </c>
      <c r="D564" s="2" vm="2528">
        <f ca="1"/>
        <v>115.34</v>
      </c>
      <c r="E564" s="2" vm="2949">
        <f ca="1"/>
        <v>116.25</v>
      </c>
      <c r="F564" vm="2950">
        <f ca="1"/>
        <v>2168187</v>
      </c>
    </row>
    <row r="565" spans="1:6" x14ac:dyDescent="0.2">
      <c r="A565" s="1" vm="2951">
        <f ca="1"/>
        <v>45257</v>
      </c>
      <c r="B565" s="2" vm="2952">
        <f ca="1"/>
        <v>116.005</v>
      </c>
      <c r="C565" s="2" vm="2953">
        <f ca="1"/>
        <v>116.77</v>
      </c>
      <c r="D565" s="2" vm="2414">
        <f ca="1"/>
        <v>115.45</v>
      </c>
      <c r="E565" s="2" vm="2954">
        <f ca="1"/>
        <v>116.47</v>
      </c>
      <c r="F565" vm="2955">
        <f ca="1"/>
        <v>5165309</v>
      </c>
    </row>
    <row r="566" spans="1:6" x14ac:dyDescent="0.2">
      <c r="A566" s="1" vm="2956">
        <f ca="1"/>
        <v>45258</v>
      </c>
      <c r="B566" s="2" vm="2957">
        <f ca="1"/>
        <v>116</v>
      </c>
      <c r="C566" s="2" vm="2958">
        <f ca="1"/>
        <v>116.8</v>
      </c>
      <c r="D566" s="2" vm="2927">
        <f ca="1"/>
        <v>115.87</v>
      </c>
      <c r="E566" s="2" vm="2946">
        <f ca="1"/>
        <v>116.24</v>
      </c>
      <c r="F566" vm="2959">
        <f ca="1"/>
        <v>4892619</v>
      </c>
    </row>
    <row r="567" spans="1:6" x14ac:dyDescent="0.2">
      <c r="A567" s="1" vm="2960">
        <f ca="1"/>
        <v>45259</v>
      </c>
      <c r="B567" s="2" vm="2961">
        <f ca="1"/>
        <v>117.34</v>
      </c>
      <c r="C567" s="2" vm="2962">
        <f ca="1"/>
        <v>117.58</v>
      </c>
      <c r="D567" s="2" vm="2408">
        <f ca="1"/>
        <v>115.96</v>
      </c>
      <c r="E567" s="2" vm="2476">
        <f ca="1"/>
        <v>116.21</v>
      </c>
      <c r="F567" vm="2963">
        <f ca="1"/>
        <v>6127312</v>
      </c>
    </row>
    <row r="568" spans="1:6" x14ac:dyDescent="0.2">
      <c r="A568" s="1" vm="2964">
        <f ca="1"/>
        <v>45260</v>
      </c>
      <c r="B568" s="2" vm="2965">
        <f ca="1"/>
        <v>116.86</v>
      </c>
      <c r="C568" s="2" vm="2508">
        <f ca="1"/>
        <v>117.23</v>
      </c>
      <c r="D568" s="2" vm="2966">
        <f ca="1"/>
        <v>115.18</v>
      </c>
      <c r="E568" s="2" vm="2476">
        <f ca="1"/>
        <v>116.21</v>
      </c>
      <c r="F568" vm="2967">
        <f ca="1"/>
        <v>11075593</v>
      </c>
    </row>
    <row r="569" spans="1:6" x14ac:dyDescent="0.2">
      <c r="A569" s="1" vm="2968">
        <f ca="1"/>
        <v>45261</v>
      </c>
      <c r="B569" s="2" vm="2969">
        <f ca="1"/>
        <v>116.07</v>
      </c>
      <c r="C569" s="2" vm="2584">
        <f ca="1"/>
        <v>117.35</v>
      </c>
      <c r="D569" s="2" vm="2970">
        <f ca="1"/>
        <v>115.26</v>
      </c>
      <c r="E569" s="2" vm="2570">
        <f ca="1"/>
        <v>117.16</v>
      </c>
      <c r="F569" vm="2971">
        <f ca="1"/>
        <v>5739833</v>
      </c>
    </row>
    <row r="570" spans="1:6" x14ac:dyDescent="0.2">
      <c r="A570" s="1" vm="2972">
        <f ca="1"/>
        <v>45264</v>
      </c>
      <c r="B570" s="2" vm="2973">
        <f ca="1"/>
        <v>116.27</v>
      </c>
      <c r="C570" s="2" vm="2326">
        <f ca="1"/>
        <v>116.68</v>
      </c>
      <c r="D570" s="2" vm="2525">
        <f ca="1"/>
        <v>114.55</v>
      </c>
      <c r="E570" s="2" vm="2974">
        <f ca="1"/>
        <v>115.78</v>
      </c>
      <c r="F570" vm="2975">
        <f ca="1"/>
        <v>5587538</v>
      </c>
    </row>
    <row r="571" spans="1:6" x14ac:dyDescent="0.2">
      <c r="A571" s="1" vm="2976">
        <f ca="1"/>
        <v>45265</v>
      </c>
      <c r="B571" s="2" vm="2977">
        <f ca="1"/>
        <v>114.57</v>
      </c>
      <c r="C571" s="2" vm="2571">
        <f ca="1"/>
        <v>115.27</v>
      </c>
      <c r="D571" s="2" vm="2978">
        <f ca="1"/>
        <v>113.81</v>
      </c>
      <c r="E571" s="2" vm="2979">
        <f ca="1"/>
        <v>114.53</v>
      </c>
      <c r="F571" vm="2980">
        <f ca="1"/>
        <v>5913562</v>
      </c>
    </row>
    <row r="572" spans="1:6" x14ac:dyDescent="0.2">
      <c r="A572" s="1" vm="2981">
        <f ca="1"/>
        <v>45266</v>
      </c>
      <c r="B572" s="2" vm="2982">
        <f ca="1"/>
        <v>114.94</v>
      </c>
      <c r="C572" s="2" vm="2983">
        <f ca="1"/>
        <v>114.99</v>
      </c>
      <c r="D572" s="2" vm="2984">
        <f ca="1"/>
        <v>111.93</v>
      </c>
      <c r="E572" s="2" vm="2985">
        <f ca="1"/>
        <v>112.03</v>
      </c>
      <c r="F572" vm="2986">
        <f ca="1"/>
        <v>7815722</v>
      </c>
    </row>
    <row r="573" spans="1:6" x14ac:dyDescent="0.2">
      <c r="A573" s="1" vm="2987">
        <f ca="1"/>
        <v>45267</v>
      </c>
      <c r="B573" s="2" vm="2600">
        <f ca="1"/>
        <v>112.41</v>
      </c>
      <c r="C573" s="2" vm="2988">
        <f ca="1"/>
        <v>113.03</v>
      </c>
      <c r="D573" s="2" vm="2989">
        <f ca="1"/>
        <v>111.81</v>
      </c>
      <c r="E573" s="2" vm="2707">
        <f ca="1"/>
        <v>112.87</v>
      </c>
      <c r="F573" vm="2990">
        <f ca="1"/>
        <v>6772848</v>
      </c>
    </row>
    <row r="574" spans="1:6" x14ac:dyDescent="0.2">
      <c r="A574" s="1" vm="2991">
        <f ca="1"/>
        <v>45268</v>
      </c>
      <c r="B574" s="2" vm="2992">
        <f ca="1"/>
        <v>112.01</v>
      </c>
      <c r="C574" s="2" vm="2993">
        <f ca="1"/>
        <v>113.64</v>
      </c>
      <c r="D574" s="2" vm="2994">
        <f ca="1"/>
        <v>111.59</v>
      </c>
      <c r="E574" s="2" vm="2995">
        <f ca="1"/>
        <v>113.61</v>
      </c>
      <c r="F574" vm="2996">
        <f ca="1"/>
        <v>7765999</v>
      </c>
    </row>
    <row r="575" spans="1:6" x14ac:dyDescent="0.2">
      <c r="A575" s="1" vm="2997">
        <f ca="1"/>
        <v>45271</v>
      </c>
      <c r="B575" s="2" vm="2998">
        <f ca="1"/>
        <v>113.77</v>
      </c>
      <c r="C575" s="2" vm="2999">
        <f ca="1"/>
        <v>115.35</v>
      </c>
      <c r="D575" s="2" vm="2995">
        <f ca="1"/>
        <v>113.61</v>
      </c>
      <c r="E575" s="2" vm="3000">
        <f ca="1"/>
        <v>115.13</v>
      </c>
      <c r="F575" vm="3001">
        <f ca="1"/>
        <v>19544239</v>
      </c>
    </row>
    <row r="576" spans="1:6" x14ac:dyDescent="0.2">
      <c r="A576" s="1" vm="3002">
        <f ca="1"/>
        <v>45272</v>
      </c>
      <c r="B576" s="2" vm="2844">
        <f ca="1"/>
        <v>102.7</v>
      </c>
      <c r="C576" s="2" vm="3003">
        <f ca="1"/>
        <v>104.95</v>
      </c>
      <c r="D576" s="2" vm="3004">
        <f ca="1"/>
        <v>100.69</v>
      </c>
      <c r="E576" s="2" vm="3005">
        <f ca="1"/>
        <v>100.81</v>
      </c>
      <c r="F576" vm="3006">
        <f ca="1"/>
        <v>57666473</v>
      </c>
    </row>
    <row r="577" spans="1:6" x14ac:dyDescent="0.2">
      <c r="A577" s="1" vm="3007">
        <f ca="1"/>
        <v>45273</v>
      </c>
      <c r="B577" s="2" vm="3008">
        <f ca="1"/>
        <v>101.08</v>
      </c>
      <c r="C577" s="2" vm="2237">
        <f ca="1"/>
        <v>103.1</v>
      </c>
      <c r="D577" s="2" vm="3009">
        <f ca="1"/>
        <v>99.26</v>
      </c>
      <c r="E577" s="2" vm="3010">
        <f ca="1"/>
        <v>102.99</v>
      </c>
      <c r="F577" vm="3011">
        <f ca="1"/>
        <v>29392208</v>
      </c>
    </row>
    <row r="578" spans="1:6" x14ac:dyDescent="0.2">
      <c r="A578" s="1" vm="3012">
        <f ca="1"/>
        <v>45274</v>
      </c>
      <c r="B578" s="2" vm="3013">
        <f ca="1"/>
        <v>101.87</v>
      </c>
      <c r="C578" s="2" vm="3014">
        <f ca="1"/>
        <v>102.24939999999999</v>
      </c>
      <c r="D578" s="2" vm="2850">
        <f ca="1"/>
        <v>99.87</v>
      </c>
      <c r="E578" s="2" vm="3015">
        <f ca="1"/>
        <v>100.31</v>
      </c>
      <c r="F578" vm="3016">
        <f ca="1"/>
        <v>22865164</v>
      </c>
    </row>
    <row r="579" spans="1:6" x14ac:dyDescent="0.2">
      <c r="A579" s="1" vm="3017">
        <f ca="1"/>
        <v>45275</v>
      </c>
      <c r="B579" s="2" vm="3018">
        <f ca="1"/>
        <v>99.69</v>
      </c>
      <c r="C579" s="2" vm="3019">
        <f ca="1"/>
        <v>103.99</v>
      </c>
      <c r="D579" s="2" vm="3020">
        <f ca="1"/>
        <v>99.36</v>
      </c>
      <c r="E579" s="2" vm="3021">
        <f ca="1"/>
        <v>103.32</v>
      </c>
      <c r="F579" vm="3022">
        <f ca="1"/>
        <v>30212316</v>
      </c>
    </row>
    <row r="580" spans="1:6" x14ac:dyDescent="0.2">
      <c r="A580" s="1" vm="3023">
        <f ca="1"/>
        <v>45278</v>
      </c>
      <c r="B580" s="2" vm="3024">
        <f ca="1"/>
        <v>103.41</v>
      </c>
      <c r="C580" s="2" vm="3025">
        <f ca="1"/>
        <v>106.15600000000001</v>
      </c>
      <c r="D580" s="2" vm="3026">
        <f ca="1"/>
        <v>102.91</v>
      </c>
      <c r="E580" s="2" vm="2731">
        <f ca="1"/>
        <v>105</v>
      </c>
      <c r="F580" vm="3027">
        <f ca="1"/>
        <v>13473124</v>
      </c>
    </row>
    <row r="581" spans="1:6" x14ac:dyDescent="0.2">
      <c r="A581" s="1" vm="3028">
        <f ca="1"/>
        <v>45279</v>
      </c>
      <c r="B581" s="2" vm="3029">
        <f ca="1"/>
        <v>104.98</v>
      </c>
      <c r="C581" s="2" vm="394">
        <f ca="1"/>
        <v>106.34</v>
      </c>
      <c r="D581" s="2" vm="3030">
        <f ca="1"/>
        <v>104.8</v>
      </c>
      <c r="E581" s="2" vm="3031">
        <f ca="1"/>
        <v>106.25</v>
      </c>
      <c r="F581" vm="3032">
        <f ca="1"/>
        <v>10108507</v>
      </c>
    </row>
    <row r="582" spans="1:6" x14ac:dyDescent="0.2">
      <c r="A582" s="1" vm="3033">
        <f ca="1"/>
        <v>45280</v>
      </c>
      <c r="B582" s="2" vm="3034">
        <f ca="1"/>
        <v>105.95</v>
      </c>
      <c r="C582" s="2" vm="3035">
        <f ca="1"/>
        <v>106.09</v>
      </c>
      <c r="D582" s="2" vm="3036">
        <f ca="1"/>
        <v>104.05</v>
      </c>
      <c r="E582" s="2" vm="2273">
        <f ca="1"/>
        <v>104.15</v>
      </c>
      <c r="F582" vm="3037">
        <f ca="1"/>
        <v>9241956</v>
      </c>
    </row>
    <row r="583" spans="1:6" x14ac:dyDescent="0.2">
      <c r="A583" s="1" vm="3038">
        <f ca="1"/>
        <v>45281</v>
      </c>
      <c r="B583" s="2" vm="3039">
        <f ca="1"/>
        <v>104.7</v>
      </c>
      <c r="C583" s="2" vm="3040">
        <f ca="1"/>
        <v>105.925</v>
      </c>
      <c r="D583" s="2" vm="2756">
        <f ca="1"/>
        <v>104.52</v>
      </c>
      <c r="E583" s="2" vm="3041">
        <f ca="1"/>
        <v>105.86</v>
      </c>
      <c r="F583" vm="3042">
        <f ca="1"/>
        <v>8168010</v>
      </c>
    </row>
    <row r="584" spans="1:6" x14ac:dyDescent="0.2">
      <c r="A584" s="1" vm="3043">
        <f ca="1"/>
        <v>45282</v>
      </c>
      <c r="B584" s="2" vm="3044">
        <f ca="1"/>
        <v>105.7</v>
      </c>
      <c r="C584" s="2" vm="2272">
        <f ca="1"/>
        <v>106.49</v>
      </c>
      <c r="D584" s="2" vm="3045">
        <f ca="1"/>
        <v>105.46</v>
      </c>
      <c r="E584" s="2" vm="2872">
        <f ca="1"/>
        <v>106.2</v>
      </c>
      <c r="F584" vm="3046">
        <f ca="1"/>
        <v>5680031</v>
      </c>
    </row>
    <row r="585" spans="1:6" x14ac:dyDescent="0.2">
      <c r="A585" s="1" vm="3047">
        <f ca="1"/>
        <v>45286</v>
      </c>
      <c r="B585" s="2" vm="2283">
        <f ca="1"/>
        <v>106.52</v>
      </c>
      <c r="C585" s="2" vm="3048">
        <f ca="1"/>
        <v>106.65</v>
      </c>
      <c r="D585" s="2" vm="3049">
        <f ca="1"/>
        <v>105.34</v>
      </c>
      <c r="E585" s="2" vm="3050">
        <f ca="1"/>
        <v>106.19</v>
      </c>
      <c r="F585" vm="3051">
        <f ca="1"/>
        <v>5767415</v>
      </c>
    </row>
    <row r="586" spans="1:6" x14ac:dyDescent="0.2">
      <c r="A586" s="1" vm="3052">
        <f ca="1"/>
        <v>45287</v>
      </c>
      <c r="B586" s="2" vm="3053">
        <f ca="1"/>
        <v>106.32</v>
      </c>
      <c r="C586" s="2" vm="3054">
        <f ca="1"/>
        <v>106.33</v>
      </c>
      <c r="D586" s="2" vm="3055">
        <f ca="1"/>
        <v>105.56</v>
      </c>
      <c r="E586" s="2" vm="2274">
        <f ca="1"/>
        <v>105.94</v>
      </c>
      <c r="F586" vm="3056">
        <f ca="1"/>
        <v>5627364</v>
      </c>
    </row>
    <row r="587" spans="1:6" x14ac:dyDescent="0.2">
      <c r="A587" s="1" vm="3057">
        <f ca="1"/>
        <v>45288</v>
      </c>
      <c r="B587" s="2" vm="3058">
        <f ca="1"/>
        <v>106.01</v>
      </c>
      <c r="C587" s="2" vm="3059">
        <f ca="1"/>
        <v>106.605</v>
      </c>
      <c r="D587" s="2" vm="3060">
        <f ca="1"/>
        <v>105.58</v>
      </c>
      <c r="E587" s="2" vm="3031">
        <f ca="1"/>
        <v>106.25</v>
      </c>
      <c r="F587" vm="3061">
        <f ca="1"/>
        <v>5689057</v>
      </c>
    </row>
    <row r="588" spans="1:6" x14ac:dyDescent="0.2">
      <c r="A588" s="1" vm="3062">
        <f ca="1"/>
        <v>45289</v>
      </c>
      <c r="B588" s="2" vm="2737">
        <f ca="1"/>
        <v>106.6</v>
      </c>
      <c r="C588" s="2" vm="3063">
        <f ca="1"/>
        <v>106.91800000000001</v>
      </c>
      <c r="D588" s="2" vm="2279">
        <f ca="1"/>
        <v>104.78</v>
      </c>
      <c r="E588" s="2" vm="3064">
        <f ca="1"/>
        <v>105.43</v>
      </c>
      <c r="F588" vm="3065">
        <f ca="1"/>
        <v>6899695</v>
      </c>
    </row>
    <row r="589" spans="1:6" x14ac:dyDescent="0.2">
      <c r="A589" s="1" vm="3066">
        <f ca="1"/>
        <v>45293</v>
      </c>
      <c r="B589" s="2" vm="2756">
        <f ca="1"/>
        <v>104.52</v>
      </c>
      <c r="C589" s="2" vm="3067">
        <f ca="1"/>
        <v>104.68</v>
      </c>
      <c r="D589" s="2" vm="399">
        <f ca="1"/>
        <v>102.44</v>
      </c>
      <c r="E589" s="2" vm="3068">
        <f ca="1"/>
        <v>104.06</v>
      </c>
      <c r="F589" vm="3069">
        <f ca="1"/>
        <v>9597500</v>
      </c>
    </row>
    <row r="590" spans="1:6" x14ac:dyDescent="0.2">
      <c r="A590" s="1" vm="3070">
        <f ca="1"/>
        <v>45294</v>
      </c>
      <c r="B590" s="2" vm="3071">
        <f ca="1"/>
        <v>103.3</v>
      </c>
      <c r="C590" s="2" vm="3072">
        <f ca="1"/>
        <v>103.38</v>
      </c>
      <c r="D590" s="2" vm="3073">
        <f ca="1"/>
        <v>101.74</v>
      </c>
      <c r="E590" s="2" vm="2225">
        <f ca="1"/>
        <v>102.46</v>
      </c>
      <c r="F590" vm="3074">
        <f ca="1"/>
        <v>9455569</v>
      </c>
    </row>
    <row r="591" spans="1:6" x14ac:dyDescent="0.2">
      <c r="A591" s="1" vm="3075">
        <f ca="1"/>
        <v>45295</v>
      </c>
      <c r="B591" s="2" vm="3076">
        <f ca="1"/>
        <v>102.77</v>
      </c>
      <c r="C591" s="2" vm="3077">
        <f ca="1"/>
        <v>103.36</v>
      </c>
      <c r="D591" s="2" vm="3078">
        <f ca="1"/>
        <v>102.4</v>
      </c>
      <c r="E591" s="2" vm="3079">
        <f ca="1"/>
        <v>102.59</v>
      </c>
      <c r="F591" vm="3080">
        <f ca="1"/>
        <v>6822299</v>
      </c>
    </row>
    <row r="592" spans="1:6" x14ac:dyDescent="0.2">
      <c r="A592" s="1" vm="3081">
        <f ca="1"/>
        <v>45296</v>
      </c>
      <c r="B592" s="2" vm="3082">
        <f ca="1"/>
        <v>102.53</v>
      </c>
      <c r="C592" s="2" vm="3083">
        <f ca="1"/>
        <v>103.72</v>
      </c>
      <c r="D592" s="2" vm="3084">
        <f ca="1"/>
        <v>102.29</v>
      </c>
      <c r="E592" s="2" vm="3085">
        <f ca="1"/>
        <v>102.73</v>
      </c>
      <c r="F592" vm="3086">
        <f ca="1"/>
        <v>6133770</v>
      </c>
    </row>
    <row r="593" spans="1:6" x14ac:dyDescent="0.2">
      <c r="A593" s="1" vm="3087">
        <f ca="1"/>
        <v>45299</v>
      </c>
      <c r="B593" s="2" vm="3088">
        <f ca="1"/>
        <v>102.94</v>
      </c>
      <c r="C593" s="2" vm="3089">
        <f ca="1"/>
        <v>104.77</v>
      </c>
      <c r="D593" s="2" vm="3090">
        <f ca="1"/>
        <v>102.13</v>
      </c>
      <c r="E593" s="2" vm="2255">
        <f ca="1"/>
        <v>104.66</v>
      </c>
      <c r="F593" vm="3091">
        <f ca="1"/>
        <v>7038658</v>
      </c>
    </row>
    <row r="594" spans="1:6" x14ac:dyDescent="0.2">
      <c r="A594" s="1" vm="3092">
        <f ca="1"/>
        <v>45300</v>
      </c>
      <c r="B594" s="2" vm="3093">
        <f ca="1"/>
        <v>103.85</v>
      </c>
      <c r="C594" s="2" vm="3094">
        <f ca="1"/>
        <v>104.48</v>
      </c>
      <c r="D594" s="2" vm="3095">
        <f ca="1"/>
        <v>103.29</v>
      </c>
      <c r="E594" s="2" vm="3096">
        <f ca="1"/>
        <v>103.63</v>
      </c>
      <c r="F594" vm="3097">
        <f ca="1"/>
        <v>6725200</v>
      </c>
    </row>
    <row r="595" spans="1:6" x14ac:dyDescent="0.2">
      <c r="A595" s="1" vm="3098">
        <f ca="1"/>
        <v>45301</v>
      </c>
      <c r="B595" s="2" vm="3099">
        <f ca="1"/>
        <v>103.09</v>
      </c>
      <c r="C595" s="2" vm="3100">
        <f ca="1"/>
        <v>104.07</v>
      </c>
      <c r="D595" s="2" vm="3101">
        <f ca="1"/>
        <v>102.72</v>
      </c>
      <c r="E595" s="2" vm="3102">
        <f ca="1"/>
        <v>103.92</v>
      </c>
      <c r="F595" vm="3103">
        <f ca="1"/>
        <v>7270545</v>
      </c>
    </row>
    <row r="596" spans="1:6" x14ac:dyDescent="0.2">
      <c r="A596" s="1" vm="3104">
        <f ca="1"/>
        <v>45302</v>
      </c>
      <c r="B596" s="2" vm="2259">
        <f ca="1"/>
        <v>104.35</v>
      </c>
      <c r="C596" s="2" vm="3105">
        <f ca="1"/>
        <v>104.84</v>
      </c>
      <c r="D596" s="2" vm="2755">
        <f ca="1"/>
        <v>103.54</v>
      </c>
      <c r="E596" s="2" vm="3089">
        <f ca="1"/>
        <v>104.77</v>
      </c>
      <c r="F596" vm="3106">
        <f ca="1"/>
        <v>6118998</v>
      </c>
    </row>
    <row r="597" spans="1:6" x14ac:dyDescent="0.2">
      <c r="A597" s="1" vm="3107">
        <f ca="1"/>
        <v>45303</v>
      </c>
      <c r="B597" s="2" vm="3108">
        <f ca="1"/>
        <v>105.1</v>
      </c>
      <c r="C597" s="2" vm="3109">
        <f ca="1"/>
        <v>106.7</v>
      </c>
      <c r="D597" s="2" vm="3110">
        <f ca="1"/>
        <v>104.965</v>
      </c>
      <c r="E597" s="2" vm="2737">
        <f ca="1"/>
        <v>106.6</v>
      </c>
      <c r="F597" vm="3111">
        <f ca="1"/>
        <v>9703848</v>
      </c>
    </row>
    <row r="598" spans="1:6" x14ac:dyDescent="0.2">
      <c r="A598" s="1" vm="3112">
        <f ca="1"/>
        <v>45307</v>
      </c>
      <c r="B598" s="2" vm="3113">
        <f ca="1"/>
        <v>106.41</v>
      </c>
      <c r="C598" s="2" vm="3114">
        <f ca="1"/>
        <v>106.66</v>
      </c>
      <c r="D598" s="2" vm="3115">
        <f ca="1"/>
        <v>105.42</v>
      </c>
      <c r="E598" s="2" vm="3116">
        <f ca="1"/>
        <v>106.57</v>
      </c>
      <c r="F598" vm="3117">
        <f ca="1"/>
        <v>7547241</v>
      </c>
    </row>
    <row r="599" spans="1:6" x14ac:dyDescent="0.2">
      <c r="A599" s="1" vm="3118">
        <f ca="1"/>
        <v>45308</v>
      </c>
      <c r="B599" s="2" vm="3119">
        <f ca="1"/>
        <v>106.46</v>
      </c>
      <c r="C599" s="2" vm="2723">
        <f ca="1"/>
        <v>107.5</v>
      </c>
      <c r="D599" s="2" vm="3120">
        <f ca="1"/>
        <v>105.68</v>
      </c>
      <c r="E599" s="2" vm="3121">
        <f ca="1"/>
        <v>106.43</v>
      </c>
      <c r="F599" vm="3122">
        <f ca="1"/>
        <v>7771460</v>
      </c>
    </row>
    <row r="600" spans="1:6" x14ac:dyDescent="0.2">
      <c r="A600" s="1" vm="3123">
        <f ca="1"/>
        <v>45309</v>
      </c>
      <c r="B600" s="2" vm="2827">
        <f ca="1"/>
        <v>106.99</v>
      </c>
      <c r="C600" s="2" vm="2796">
        <f ca="1"/>
        <v>108.88</v>
      </c>
      <c r="D600" s="2" vm="2883">
        <f ca="1"/>
        <v>106.62</v>
      </c>
      <c r="E600" s="2" vm="3124">
        <f ca="1"/>
        <v>108.7</v>
      </c>
      <c r="F600" vm="3125">
        <f ca="1"/>
        <v>10362279</v>
      </c>
    </row>
    <row r="601" spans="1:6" x14ac:dyDescent="0.2">
      <c r="A601" s="1" vm="3126">
        <f ca="1"/>
        <v>45310</v>
      </c>
      <c r="B601" s="2" vm="3127">
        <f ca="1"/>
        <v>109.32</v>
      </c>
      <c r="C601" s="2" vm="2822">
        <f ca="1"/>
        <v>110.22</v>
      </c>
      <c r="D601" s="2" vm="3128">
        <f ca="1"/>
        <v>109.02</v>
      </c>
      <c r="E601" s="2" vm="3129">
        <f ca="1"/>
        <v>109.67</v>
      </c>
      <c r="F601" vm="3130">
        <f ca="1"/>
        <v>11163772</v>
      </c>
    </row>
    <row r="602" spans="1:6" x14ac:dyDescent="0.2">
      <c r="A602" s="1" vm="3131">
        <f ca="1"/>
        <v>45313</v>
      </c>
      <c r="B602" s="2" vm="3132">
        <f ca="1"/>
        <v>110.06</v>
      </c>
      <c r="C602" s="2" vm="3133">
        <f ca="1"/>
        <v>110.69</v>
      </c>
      <c r="D602" s="2" vm="3134">
        <f ca="1"/>
        <v>109.27</v>
      </c>
      <c r="E602" s="2" vm="3135">
        <f ca="1"/>
        <v>110.1</v>
      </c>
      <c r="F602" vm="3136">
        <f ca="1"/>
        <v>7485307</v>
      </c>
    </row>
    <row r="603" spans="1:6" x14ac:dyDescent="0.2">
      <c r="A603" s="1" vm="3137">
        <f ca="1"/>
        <v>45314</v>
      </c>
      <c r="B603" s="2" vm="3138">
        <f ca="1"/>
        <v>110.29</v>
      </c>
      <c r="C603" s="2" vm="3139">
        <f ca="1"/>
        <v>112.68</v>
      </c>
      <c r="D603" s="2" vm="3140">
        <f ca="1"/>
        <v>109.56</v>
      </c>
      <c r="E603" s="2" vm="3141">
        <f ca="1"/>
        <v>111.83</v>
      </c>
      <c r="F603" vm="3142">
        <f ca="1"/>
        <v>9185921</v>
      </c>
    </row>
    <row r="604" spans="1:6" x14ac:dyDescent="0.2">
      <c r="A604" s="1" vm="3143">
        <f ca="1"/>
        <v>45315</v>
      </c>
      <c r="B604" s="2" vm="2692">
        <f ca="1"/>
        <v>113.42</v>
      </c>
      <c r="C604" s="2" vm="3144">
        <f ca="1"/>
        <v>115.42</v>
      </c>
      <c r="D604" s="2" vm="3145">
        <f ca="1"/>
        <v>113.33</v>
      </c>
      <c r="E604" s="2" vm="3146">
        <f ca="1"/>
        <v>114.31</v>
      </c>
      <c r="F604" vm="3147">
        <f ca="1"/>
        <v>11702698</v>
      </c>
    </row>
    <row r="605" spans="1:6" x14ac:dyDescent="0.2">
      <c r="A605" s="1" vm="3148">
        <f ca="1"/>
        <v>45316</v>
      </c>
      <c r="B605" s="2" vm="3149">
        <f ca="1"/>
        <v>114.89</v>
      </c>
      <c r="C605" s="2" vm="3150">
        <f ca="1"/>
        <v>116.18</v>
      </c>
      <c r="D605" s="2" vm="3151">
        <f ca="1"/>
        <v>114.35</v>
      </c>
      <c r="E605" s="2" vm="2430">
        <f ca="1"/>
        <v>115</v>
      </c>
      <c r="F605" vm="3152">
        <f ca="1"/>
        <v>8877205</v>
      </c>
    </row>
    <row r="606" spans="1:6" x14ac:dyDescent="0.2">
      <c r="A606" s="1" vm="3153">
        <f ca="1"/>
        <v>45317</v>
      </c>
      <c r="B606" s="2" vm="2413">
        <f ca="1"/>
        <v>114.64</v>
      </c>
      <c r="C606" s="2" vm="3154">
        <f ca="1"/>
        <v>115.48</v>
      </c>
      <c r="D606" s="2" vm="3155">
        <f ca="1"/>
        <v>114.27460000000001</v>
      </c>
      <c r="E606" s="2" vm="2413">
        <f ca="1"/>
        <v>114.64</v>
      </c>
      <c r="F606" vm="3156">
        <f ca="1"/>
        <v>5541900</v>
      </c>
    </row>
    <row r="607" spans="1:6" x14ac:dyDescent="0.2">
      <c r="A607" s="1" vm="3157">
        <f ca="1"/>
        <v>45320</v>
      </c>
      <c r="B607" s="2" vm="2686">
        <f ca="1"/>
        <v>114.19</v>
      </c>
      <c r="C607" s="2" vm="3158">
        <f ca="1"/>
        <v>114.59</v>
      </c>
      <c r="D607" s="2" vm="3159">
        <f ca="1"/>
        <v>113.01</v>
      </c>
      <c r="E607" s="2" vm="3160">
        <f ca="1"/>
        <v>113.75</v>
      </c>
      <c r="F607" vm="3161">
        <f ca="1"/>
        <v>7014424</v>
      </c>
    </row>
    <row r="608" spans="1:6" x14ac:dyDescent="0.2">
      <c r="A608" s="1" vm="3162">
        <f ca="1"/>
        <v>45321</v>
      </c>
      <c r="B608" s="2" vm="3163">
        <f ca="1"/>
        <v>113.36</v>
      </c>
      <c r="C608" s="2" vm="3164">
        <f ca="1"/>
        <v>114.4</v>
      </c>
      <c r="D608" s="2" vm="3165">
        <f ca="1"/>
        <v>112.63</v>
      </c>
      <c r="E608" s="2" vm="2932">
        <f ca="1"/>
        <v>114.16</v>
      </c>
      <c r="F608" vm="3166">
        <f ca="1"/>
        <v>8231882</v>
      </c>
    </row>
    <row r="609" spans="1:6" x14ac:dyDescent="0.2">
      <c r="A609" s="1" vm="3167">
        <f ca="1"/>
        <v>45322</v>
      </c>
      <c r="B609" s="2" vm="2978">
        <f ca="1"/>
        <v>113.81</v>
      </c>
      <c r="C609" s="2" vm="3168">
        <f ca="1"/>
        <v>114.27</v>
      </c>
      <c r="D609" s="2" vm="3169">
        <f ca="1"/>
        <v>111.67</v>
      </c>
      <c r="E609" s="2" vm="3170">
        <f ca="1"/>
        <v>111.7</v>
      </c>
      <c r="F609" vm="3171">
        <f ca="1"/>
        <v>7386705</v>
      </c>
    </row>
    <row r="610" spans="1:6" x14ac:dyDescent="0.2">
      <c r="A610" s="1" vm="3172">
        <f ca="1"/>
        <v>45323</v>
      </c>
      <c r="B610" s="2" vm="2601">
        <f ca="1"/>
        <v>112.91</v>
      </c>
      <c r="C610" s="2" vm="2974">
        <f ca="1"/>
        <v>115.78</v>
      </c>
      <c r="D610" s="2" vm="3173">
        <f ca="1"/>
        <v>112.55</v>
      </c>
      <c r="E610" s="2" vm="3174">
        <f ca="1"/>
        <v>115.53</v>
      </c>
      <c r="F610" vm="3175">
        <f ca="1"/>
        <v>7882168</v>
      </c>
    </row>
    <row r="611" spans="1:6" x14ac:dyDescent="0.2">
      <c r="A611" s="1" vm="3176">
        <f ca="1"/>
        <v>45324</v>
      </c>
      <c r="B611" s="2" vm="3177">
        <f ca="1"/>
        <v>115.82</v>
      </c>
      <c r="C611" s="2" vm="2475">
        <f ca="1"/>
        <v>116.49</v>
      </c>
      <c r="D611" s="2" vm="3178">
        <f ca="1"/>
        <v>115.1575</v>
      </c>
      <c r="E611" s="2" vm="3179">
        <f ca="1"/>
        <v>115.79</v>
      </c>
      <c r="F611" vm="3180">
        <f ca="1"/>
        <v>6499594</v>
      </c>
    </row>
    <row r="612" spans="1:6" x14ac:dyDescent="0.2">
      <c r="A612" s="1" vm="3181">
        <f ca="1"/>
        <v>45327</v>
      </c>
      <c r="B612" s="2" vm="3174">
        <f ca="1"/>
        <v>115.53</v>
      </c>
      <c r="C612" s="2" vm="3182">
        <f ca="1"/>
        <v>116.715</v>
      </c>
      <c r="D612" s="2" vm="3183">
        <f ca="1"/>
        <v>114.77</v>
      </c>
      <c r="E612" s="2" vm="2383">
        <f ca="1"/>
        <v>116.39</v>
      </c>
      <c r="F612" vm="3184">
        <f ca="1"/>
        <v>8084508</v>
      </c>
    </row>
    <row r="613" spans="1:6" x14ac:dyDescent="0.2">
      <c r="A613" s="1" vm="3185">
        <f ca="1"/>
        <v>45328</v>
      </c>
      <c r="B613" s="2" vm="3186">
        <f ca="1"/>
        <v>116.74</v>
      </c>
      <c r="C613" s="2" vm="3187">
        <f ca="1"/>
        <v>116.95</v>
      </c>
      <c r="D613" s="2" vm="3188">
        <f ca="1"/>
        <v>114.98</v>
      </c>
      <c r="E613" s="2" vm="3189">
        <f ca="1"/>
        <v>115.3</v>
      </c>
      <c r="F613" vm="3190">
        <f ca="1"/>
        <v>4639268</v>
      </c>
    </row>
    <row r="614" spans="1:6" x14ac:dyDescent="0.2">
      <c r="A614" s="1" vm="3191">
        <f ca="1"/>
        <v>45329</v>
      </c>
      <c r="B614" s="2" vm="3192">
        <f ca="1"/>
        <v>115.8</v>
      </c>
      <c r="C614" s="2" vm="3193">
        <f ca="1"/>
        <v>117.59</v>
      </c>
      <c r="D614" s="2" vm="3189">
        <f ca="1"/>
        <v>115.3</v>
      </c>
      <c r="E614" s="2" vm="3194">
        <f ca="1"/>
        <v>117.27</v>
      </c>
      <c r="F614" vm="3195">
        <f ca="1"/>
        <v>7672882</v>
      </c>
    </row>
    <row r="615" spans="1:6" x14ac:dyDescent="0.2">
      <c r="A615" s="1" vm="3196">
        <f ca="1"/>
        <v>45330</v>
      </c>
      <c r="B615" s="2" vm="2440">
        <f ca="1"/>
        <v>117.09</v>
      </c>
      <c r="C615" s="2" vm="3197">
        <f ca="1"/>
        <v>117.7872</v>
      </c>
      <c r="D615" s="2" vm="3198">
        <f ca="1"/>
        <v>115.97</v>
      </c>
      <c r="E615" s="2" vm="2326">
        <f ca="1"/>
        <v>116.68</v>
      </c>
      <c r="F615" vm="3199">
        <f ca="1"/>
        <v>4472770</v>
      </c>
    </row>
    <row r="616" spans="1:6" x14ac:dyDescent="0.2">
      <c r="A616" s="1" vm="3200">
        <f ca="1"/>
        <v>45331</v>
      </c>
      <c r="B616" s="2" vm="3201">
        <f ca="1"/>
        <v>117.06</v>
      </c>
      <c r="C616" s="2" vm="2961">
        <f ca="1"/>
        <v>117.34</v>
      </c>
      <c r="D616" s="2" vm="2589">
        <f ca="1"/>
        <v>115.73</v>
      </c>
      <c r="E616" s="2" vm="3202">
        <f ca="1"/>
        <v>116.64</v>
      </c>
      <c r="F616" vm="3203">
        <f ca="1"/>
        <v>5787142</v>
      </c>
    </row>
    <row r="617" spans="1:6" x14ac:dyDescent="0.2">
      <c r="A617" s="1" vm="3204">
        <f ca="1"/>
        <v>45334</v>
      </c>
      <c r="B617" s="2" vm="2378">
        <f ca="1"/>
        <v>116.26</v>
      </c>
      <c r="C617" s="2" vm="2593">
        <f ca="1"/>
        <v>117.1</v>
      </c>
      <c r="D617" s="2" vm="3205">
        <f ca="1"/>
        <v>115.38</v>
      </c>
      <c r="E617" s="2" vm="3206">
        <f ca="1"/>
        <v>115.84</v>
      </c>
      <c r="F617" vm="3207">
        <f ca="1"/>
        <v>5439629</v>
      </c>
    </row>
    <row r="618" spans="1:6" x14ac:dyDescent="0.2">
      <c r="A618" s="1" vm="3208">
        <f ca="1"/>
        <v>45335</v>
      </c>
      <c r="B618" s="2" vm="3209">
        <f ca="1"/>
        <v>113.79</v>
      </c>
      <c r="C618" s="2" vm="3210">
        <f ca="1"/>
        <v>114.21</v>
      </c>
      <c r="D618" s="2" vm="3211">
        <f ca="1"/>
        <v>113</v>
      </c>
      <c r="E618" s="2" vm="3212">
        <f ca="1"/>
        <v>113.68</v>
      </c>
      <c r="F618" vm="3213">
        <f ca="1"/>
        <v>8171722</v>
      </c>
    </row>
    <row r="619" spans="1:6" x14ac:dyDescent="0.2">
      <c r="A619" s="1" vm="3214">
        <f ca="1"/>
        <v>45336</v>
      </c>
      <c r="B619" s="2" vm="2518">
        <f ca="1"/>
        <v>114.32</v>
      </c>
      <c r="C619" s="2" vm="3215">
        <f ca="1"/>
        <v>114.72</v>
      </c>
      <c r="D619" s="2" vm="3216">
        <f ca="1"/>
        <v>113.53</v>
      </c>
      <c r="E619" s="2" vm="2524">
        <f ca="1"/>
        <v>114.26</v>
      </c>
      <c r="F619" vm="3217">
        <f ca="1"/>
        <v>5946116</v>
      </c>
    </row>
    <row r="620" spans="1:6" x14ac:dyDescent="0.2">
      <c r="A620" s="1" vm="3218">
        <f ca="1"/>
        <v>45337</v>
      </c>
      <c r="B620" s="2" vm="3219">
        <f ca="1"/>
        <v>114.25</v>
      </c>
      <c r="C620" s="2" vm="3146">
        <f ca="1"/>
        <v>114.31</v>
      </c>
      <c r="D620" s="2" vm="3220">
        <f ca="1"/>
        <v>112.57</v>
      </c>
      <c r="E620" s="2" vm="2912">
        <f ca="1"/>
        <v>112.78</v>
      </c>
      <c r="F620" vm="3221">
        <f ca="1"/>
        <v>8455623</v>
      </c>
    </row>
    <row r="621" spans="1:6" x14ac:dyDescent="0.2">
      <c r="A621" s="1" vm="3222">
        <f ca="1"/>
        <v>45338</v>
      </c>
      <c r="B621" s="2" vm="3223">
        <f ca="1"/>
        <v>113.02</v>
      </c>
      <c r="C621" s="2" vm="3224">
        <f ca="1"/>
        <v>113.11</v>
      </c>
      <c r="D621" s="2" vm="3225">
        <f ca="1"/>
        <v>111.245</v>
      </c>
      <c r="E621" s="2" vm="3226">
        <f ca="1"/>
        <v>111.31</v>
      </c>
      <c r="F621" vm="3227">
        <f ca="1"/>
        <v>8936016</v>
      </c>
    </row>
    <row r="622" spans="1:6" x14ac:dyDescent="0.2">
      <c r="A622" s="1" vm="3228">
        <f ca="1"/>
        <v>45342</v>
      </c>
      <c r="B622" s="2" vm="3229">
        <f ca="1"/>
        <v>110.54</v>
      </c>
      <c r="C622" s="2" vm="3230">
        <f ca="1"/>
        <v>110.765</v>
      </c>
      <c r="D622" s="2" vm="3231">
        <f ca="1"/>
        <v>107.68</v>
      </c>
      <c r="E622" s="2" vm="2721">
        <f ca="1"/>
        <v>108.45</v>
      </c>
      <c r="F622" vm="3232">
        <f ca="1"/>
        <v>10975638</v>
      </c>
    </row>
    <row r="623" spans="1:6" x14ac:dyDescent="0.2">
      <c r="A623" s="1" vm="3233">
        <f ca="1"/>
        <v>45343</v>
      </c>
      <c r="B623" s="2" vm="3234">
        <f ca="1"/>
        <v>106.76</v>
      </c>
      <c r="C623" s="2" vm="3235">
        <f ca="1"/>
        <v>108.375</v>
      </c>
      <c r="D623" s="2" vm="3236">
        <f ca="1"/>
        <v>106.51</v>
      </c>
      <c r="E623" s="2" vm="3237">
        <f ca="1"/>
        <v>108.16</v>
      </c>
      <c r="F623" vm="3238">
        <f ca="1"/>
        <v>7867610</v>
      </c>
    </row>
    <row r="624" spans="1:6" x14ac:dyDescent="0.2">
      <c r="A624" s="1" vm="3239">
        <f ca="1"/>
        <v>45344</v>
      </c>
      <c r="B624" s="2" vm="3240">
        <f ca="1"/>
        <v>111.49</v>
      </c>
      <c r="C624" s="2" vm="3241">
        <f ca="1"/>
        <v>111.88500000000001</v>
      </c>
      <c r="D624" s="2" vm="3242">
        <f ca="1"/>
        <v>109.66</v>
      </c>
      <c r="E624" s="2" vm="3243">
        <f ca="1"/>
        <v>111.01</v>
      </c>
      <c r="F624" vm="3244">
        <f ca="1"/>
        <v>8957789</v>
      </c>
    </row>
    <row r="625" spans="1:6" x14ac:dyDescent="0.2">
      <c r="A625" s="1" vm="3245">
        <f ca="1"/>
        <v>45345</v>
      </c>
      <c r="B625" s="2" vm="3246">
        <f ca="1"/>
        <v>112</v>
      </c>
      <c r="C625" s="2" vm="3247">
        <f ca="1"/>
        <v>113.37</v>
      </c>
      <c r="D625" s="2" vm="2700">
        <f ca="1"/>
        <v>111.71</v>
      </c>
      <c r="E625" s="2" vm="2683">
        <f ca="1"/>
        <v>111.95</v>
      </c>
      <c r="F625" vm="3248">
        <f ca="1"/>
        <v>7504506</v>
      </c>
    </row>
    <row r="626" spans="1:6" x14ac:dyDescent="0.2">
      <c r="A626" s="1" vm="3249">
        <f ca="1"/>
        <v>45348</v>
      </c>
      <c r="B626" s="2" vm="3246">
        <f ca="1"/>
        <v>112</v>
      </c>
      <c r="C626" s="2" vm="3250">
        <f ca="1"/>
        <v>112.54</v>
      </c>
      <c r="D626" s="2" vm="3251">
        <f ca="1"/>
        <v>110.93</v>
      </c>
      <c r="E626" s="2" vm="2777">
        <f ca="1"/>
        <v>110.97</v>
      </c>
      <c r="F626" vm="3252">
        <f ca="1"/>
        <v>6342943</v>
      </c>
    </row>
    <row r="627" spans="1:6" x14ac:dyDescent="0.2">
      <c r="A627" s="1" vm="3253">
        <f ca="1"/>
        <v>45349</v>
      </c>
      <c r="B627" s="2" vm="3254">
        <f ca="1"/>
        <v>110.62</v>
      </c>
      <c r="C627" s="2" vm="2710">
        <f ca="1"/>
        <v>111.51</v>
      </c>
      <c r="D627" s="2" vm="2811">
        <f ca="1"/>
        <v>109.79</v>
      </c>
      <c r="E627" s="2" vm="3255">
        <f ca="1"/>
        <v>111.38</v>
      </c>
      <c r="F627" vm="3256">
        <f ca="1"/>
        <v>6593144</v>
      </c>
    </row>
    <row r="628" spans="1:6" x14ac:dyDescent="0.2">
      <c r="A628" s="1" vm="3257">
        <f ca="1"/>
        <v>45350</v>
      </c>
      <c r="B628" s="2" vm="3258">
        <f ca="1"/>
        <v>111.26</v>
      </c>
      <c r="C628" s="2" vm="3259">
        <f ca="1"/>
        <v>112.02</v>
      </c>
      <c r="D628" s="2" vm="3260">
        <f ca="1"/>
        <v>111.1</v>
      </c>
      <c r="E628" s="2" vm="3261">
        <f ca="1"/>
        <v>111.68</v>
      </c>
      <c r="F628" vm="3262">
        <f ca="1"/>
        <v>5278179</v>
      </c>
    </row>
    <row r="629" spans="1:6" x14ac:dyDescent="0.2">
      <c r="A629" s="1" vm="3263">
        <f ca="1"/>
        <v>45351</v>
      </c>
      <c r="B629" s="2" vm="3261">
        <f ca="1"/>
        <v>111.68</v>
      </c>
      <c r="C629" s="2" vm="3264">
        <f ca="1"/>
        <v>112.4423</v>
      </c>
      <c r="D629" s="2" vm="3265">
        <f ca="1"/>
        <v>110.63500000000001</v>
      </c>
      <c r="E629" s="2" vm="3261">
        <f ca="1"/>
        <v>111.68</v>
      </c>
      <c r="F629" vm="3266">
        <f ca="1"/>
        <v>12193860</v>
      </c>
    </row>
    <row r="630" spans="1:6" x14ac:dyDescent="0.2">
      <c r="A630" s="1" vm="3267">
        <f ca="1"/>
        <v>45352</v>
      </c>
      <c r="B630" s="2" vm="3261">
        <f ca="1"/>
        <v>111.68</v>
      </c>
      <c r="C630" s="2" vm="3268">
        <f ca="1"/>
        <v>113.94</v>
      </c>
      <c r="D630" s="2" vm="3269">
        <f ca="1"/>
        <v>111.52</v>
      </c>
      <c r="E630" s="2" vm="2548">
        <f ca="1"/>
        <v>113.78</v>
      </c>
      <c r="F630" vm="3270">
        <f ca="1"/>
        <v>7605145</v>
      </c>
    </row>
    <row r="631" spans="1:6" x14ac:dyDescent="0.2">
      <c r="A631" s="1" vm="3271">
        <f ca="1"/>
        <v>45355</v>
      </c>
      <c r="B631" s="2" vm="3272">
        <f ca="1"/>
        <v>113.58</v>
      </c>
      <c r="C631" s="2" vm="3273">
        <f ca="1"/>
        <v>114.6</v>
      </c>
      <c r="D631" s="2" vm="3274">
        <f ca="1"/>
        <v>113.39</v>
      </c>
      <c r="E631" s="2" vm="2923">
        <f ca="1"/>
        <v>114.06</v>
      </c>
      <c r="F631" vm="3275">
        <f ca="1"/>
        <v>6588062</v>
      </c>
    </row>
    <row r="632" spans="1:6" x14ac:dyDescent="0.2">
      <c r="A632" s="1" vm="3276">
        <f ca="1"/>
        <v>45356</v>
      </c>
      <c r="B632" s="2" vm="3277">
        <f ca="1"/>
        <v>112.82</v>
      </c>
      <c r="C632" s="2" vm="3278">
        <f ca="1"/>
        <v>113.2</v>
      </c>
      <c r="D632" s="2" vm="3279">
        <f ca="1"/>
        <v>110.36499999999999</v>
      </c>
      <c r="E632" s="2" vm="3280">
        <f ca="1"/>
        <v>110.94</v>
      </c>
      <c r="F632" vm="3281">
        <f ca="1"/>
        <v>8241978</v>
      </c>
    </row>
    <row r="633" spans="1:6" x14ac:dyDescent="0.2">
      <c r="A633" s="1" vm="3282">
        <f ca="1"/>
        <v>45357</v>
      </c>
      <c r="B633" s="2" vm="3283">
        <f ca="1"/>
        <v>111.5</v>
      </c>
      <c r="C633" s="2" vm="3284">
        <f ca="1"/>
        <v>113.05</v>
      </c>
      <c r="D633" s="2" vm="3285">
        <f ca="1"/>
        <v>110.67</v>
      </c>
      <c r="E633" s="2" vm="3286">
        <f ca="1"/>
        <v>112.27</v>
      </c>
      <c r="F633" vm="3287">
        <f ca="1"/>
        <v>6706372</v>
      </c>
    </row>
    <row r="634" spans="1:6" x14ac:dyDescent="0.2">
      <c r="A634" s="1" vm="3288">
        <f ca="1"/>
        <v>45358</v>
      </c>
      <c r="B634" s="2" vm="3268">
        <f ca="1"/>
        <v>113.94</v>
      </c>
      <c r="C634" s="2" vm="3289">
        <f ca="1"/>
        <v>114.8</v>
      </c>
      <c r="D634" s="2" vm="3290">
        <f ca="1"/>
        <v>112.29</v>
      </c>
      <c r="E634" s="2" vm="3291">
        <f ca="1"/>
        <v>114.54</v>
      </c>
      <c r="F634" vm="3292">
        <f ca="1"/>
        <v>7670135</v>
      </c>
    </row>
    <row r="635" spans="1:6" x14ac:dyDescent="0.2">
      <c r="A635" s="1" vm="3293">
        <f ca="1"/>
        <v>45359</v>
      </c>
      <c r="B635" s="2" vm="3294">
        <f ca="1"/>
        <v>114.07</v>
      </c>
      <c r="C635" s="2" vm="3295">
        <f ca="1"/>
        <v>114.33</v>
      </c>
      <c r="D635" s="2" vm="3296">
        <f ca="1"/>
        <v>111.54</v>
      </c>
      <c r="E635" s="2" vm="3297">
        <f ca="1"/>
        <v>112.42</v>
      </c>
      <c r="F635" vm="3298">
        <f ca="1"/>
        <v>8312943</v>
      </c>
    </row>
    <row r="636" spans="1:6" x14ac:dyDescent="0.2">
      <c r="A636" s="1" vm="3299">
        <f ca="1"/>
        <v>45362</v>
      </c>
      <c r="B636" s="2" vm="2903">
        <f ca="1"/>
        <v>111.61</v>
      </c>
      <c r="C636" s="2" vm="3300">
        <f ca="1"/>
        <v>114.75</v>
      </c>
      <c r="D636" s="2" vm="3301">
        <f ca="1"/>
        <v>111.18</v>
      </c>
      <c r="E636" s="2" vm="3302">
        <f ca="1"/>
        <v>114.13</v>
      </c>
      <c r="F636" vm="3303">
        <f ca="1"/>
        <v>20438335</v>
      </c>
    </row>
    <row r="637" spans="1:6" x14ac:dyDescent="0.2">
      <c r="A637" s="1" vm="3304">
        <f ca="1"/>
        <v>45363</v>
      </c>
      <c r="B637" s="2" vm="3305">
        <f ca="1"/>
        <v>126.26</v>
      </c>
      <c r="C637" s="2" vm="3306">
        <f ca="1"/>
        <v>129.37</v>
      </c>
      <c r="D637" s="2" vm="3307">
        <f ca="1"/>
        <v>124.6</v>
      </c>
      <c r="E637" s="2" vm="2336">
        <f ca="1"/>
        <v>127.54</v>
      </c>
      <c r="F637" vm="3308">
        <f ca="1"/>
        <v>48536077</v>
      </c>
    </row>
    <row r="638" spans="1:6" x14ac:dyDescent="0.2">
      <c r="A638" s="1" vm="3309">
        <f ca="1"/>
        <v>45364</v>
      </c>
      <c r="B638" s="2" vm="3310">
        <f ca="1"/>
        <v>128</v>
      </c>
      <c r="C638" s="2" vm="3311">
        <f ca="1"/>
        <v>128.80000000000001</v>
      </c>
      <c r="D638" s="2" vm="3312">
        <f ca="1"/>
        <v>124.83</v>
      </c>
      <c r="E638" s="2" vm="3313">
        <f ca="1"/>
        <v>125.52</v>
      </c>
      <c r="F638" vm="3314">
        <f ca="1"/>
        <v>15870346</v>
      </c>
    </row>
    <row r="639" spans="1:6" x14ac:dyDescent="0.2">
      <c r="A639" s="1" vm="3315">
        <f ca="1"/>
        <v>45365</v>
      </c>
      <c r="B639" s="2" vm="3316">
        <f ca="1"/>
        <v>127.23</v>
      </c>
      <c r="C639" s="2" vm="3317">
        <f ca="1"/>
        <v>127.8</v>
      </c>
      <c r="D639" s="2" vm="3318">
        <f ca="1"/>
        <v>124.94</v>
      </c>
      <c r="E639" s="2" vm="3319">
        <f ca="1"/>
        <v>125.53</v>
      </c>
      <c r="F639" vm="3320">
        <f ca="1"/>
        <v>10965902</v>
      </c>
    </row>
    <row r="640" spans="1:6" x14ac:dyDescent="0.2">
      <c r="A640" s="1" vm="3321">
        <f ca="1"/>
        <v>45366</v>
      </c>
      <c r="B640" s="2" vm="3322">
        <f ca="1"/>
        <v>124.04</v>
      </c>
      <c r="C640" s="2" vm="3323">
        <f ca="1"/>
        <v>126.01</v>
      </c>
      <c r="D640" s="2" vm="3324">
        <f ca="1"/>
        <v>123.5586</v>
      </c>
      <c r="E640" s="2" vm="3325">
        <f ca="1"/>
        <v>125.54</v>
      </c>
      <c r="F640" vm="3326">
        <f ca="1"/>
        <v>17844884</v>
      </c>
    </row>
    <row r="641" spans="1:6" x14ac:dyDescent="0.2">
      <c r="A641" s="1" vm="3327">
        <f ca="1"/>
        <v>45369</v>
      </c>
      <c r="B641" s="2" vm="3328">
        <f ca="1"/>
        <v>127.2</v>
      </c>
      <c r="C641" s="2" vm="3329">
        <f ca="1"/>
        <v>128.94999999999999</v>
      </c>
      <c r="D641" s="2" vm="3330">
        <f ca="1"/>
        <v>126.88</v>
      </c>
      <c r="E641" s="2" vm="3317">
        <f ca="1"/>
        <v>127.8</v>
      </c>
      <c r="F641" vm="3331">
        <f ca="1"/>
        <v>12231423</v>
      </c>
    </row>
    <row r="642" spans="1:6" x14ac:dyDescent="0.2">
      <c r="A642" s="1" vm="3332">
        <f ca="1"/>
        <v>45370</v>
      </c>
      <c r="B642" s="2" vm="3333">
        <f ca="1"/>
        <v>127.745</v>
      </c>
      <c r="C642" s="2" vm="3334">
        <f ca="1"/>
        <v>129.21</v>
      </c>
      <c r="D642" s="2" vm="3335">
        <f ca="1"/>
        <v>126.49</v>
      </c>
      <c r="E642" s="2" vm="3336">
        <f ca="1"/>
        <v>129.19</v>
      </c>
      <c r="F642" vm="3337">
        <f ca="1"/>
        <v>10220950</v>
      </c>
    </row>
    <row r="643" spans="1:6" x14ac:dyDescent="0.2">
      <c r="A643" s="1" vm="3338">
        <f ca="1"/>
        <v>45371</v>
      </c>
      <c r="B643" s="2" vm="3339">
        <f ca="1"/>
        <v>129.97999999999999</v>
      </c>
      <c r="C643" s="2" vm="3340">
        <f ca="1"/>
        <v>130.69</v>
      </c>
      <c r="D643" s="2" vm="3341">
        <f ca="1"/>
        <v>128.27000000000001</v>
      </c>
      <c r="E643" s="2" vm="3342">
        <f ca="1"/>
        <v>129.24</v>
      </c>
      <c r="F643" vm="3343">
        <f ca="1"/>
        <v>8373330</v>
      </c>
    </row>
    <row r="644" spans="1:6" x14ac:dyDescent="0.2">
      <c r="A644" s="1" vm="3344">
        <f ca="1"/>
        <v>45372</v>
      </c>
      <c r="B644" s="2" vm="3345">
        <f ca="1"/>
        <v>130.52000000000001</v>
      </c>
      <c r="C644" s="2" vm="3346">
        <f ca="1"/>
        <v>132.77369999999999</v>
      </c>
      <c r="D644" s="2" vm="3329">
        <f ca="1"/>
        <v>128.94999999999999</v>
      </c>
      <c r="E644" s="2" vm="3347">
        <f ca="1"/>
        <v>129.01</v>
      </c>
      <c r="F644" vm="3348">
        <f ca="1"/>
        <v>17842357</v>
      </c>
    </row>
    <row r="645" spans="1:6" x14ac:dyDescent="0.2">
      <c r="A645" s="1" vm="3349">
        <f ca="1"/>
        <v>45373</v>
      </c>
      <c r="B645" s="2" vm="3347">
        <f ca="1"/>
        <v>129.01</v>
      </c>
      <c r="C645" s="2" vm="3350">
        <f ca="1"/>
        <v>129.20500000000001</v>
      </c>
      <c r="D645" s="2" vm="3351">
        <f ca="1"/>
        <v>127.55</v>
      </c>
      <c r="E645" s="2" vm="3352">
        <f ca="1"/>
        <v>127.79</v>
      </c>
      <c r="F645" vm="3353">
        <f ca="1"/>
        <v>6659950</v>
      </c>
    </row>
    <row r="646" spans="1:6" x14ac:dyDescent="0.2">
      <c r="A646" s="1" vm="3354">
        <f ca="1"/>
        <v>45376</v>
      </c>
      <c r="B646" s="2" vm="3355">
        <f ca="1"/>
        <v>127.67</v>
      </c>
      <c r="C646" s="2" vm="3355">
        <f ca="1"/>
        <v>127.67</v>
      </c>
      <c r="D646" s="2" vm="3356">
        <f ca="1"/>
        <v>126.05</v>
      </c>
      <c r="E646" s="2" vm="3357">
        <f ca="1"/>
        <v>126.08</v>
      </c>
      <c r="F646" vm="3358">
        <f ca="1"/>
        <v>7446068</v>
      </c>
    </row>
    <row r="647" spans="1:6" x14ac:dyDescent="0.2">
      <c r="A647" s="1" vm="3359">
        <f ca="1"/>
        <v>45377</v>
      </c>
      <c r="B647" s="2" vm="3360">
        <f ca="1"/>
        <v>126.75</v>
      </c>
      <c r="C647" s="2" vm="3361">
        <f ca="1"/>
        <v>126.935</v>
      </c>
      <c r="D647" s="2" vm="3362">
        <f ca="1"/>
        <v>125.84</v>
      </c>
      <c r="E647" s="2" vm="3363">
        <f ca="1"/>
        <v>126.47</v>
      </c>
      <c r="F647" vm="3364">
        <f ca="1"/>
        <v>7063930</v>
      </c>
    </row>
    <row r="648" spans="1:6" x14ac:dyDescent="0.2">
      <c r="A648" s="1" vm="3365">
        <f ca="1"/>
        <v>45378</v>
      </c>
      <c r="B648" s="2" vm="3366">
        <f ca="1"/>
        <v>127.33</v>
      </c>
      <c r="C648" s="2" vm="3367">
        <f ca="1"/>
        <v>127.82</v>
      </c>
      <c r="D648" s="2" vm="3368">
        <f ca="1"/>
        <v>124.47</v>
      </c>
      <c r="E648" s="2" vm="3369">
        <f ca="1"/>
        <v>125.27</v>
      </c>
      <c r="F648" vm="3370">
        <f ca="1"/>
        <v>8115884</v>
      </c>
    </row>
    <row r="649" spans="1:6" x14ac:dyDescent="0.2">
      <c r="A649" s="1" vm="3371">
        <f ca="1"/>
        <v>45379</v>
      </c>
      <c r="B649" s="2" vm="3372">
        <f ca="1"/>
        <v>125.39</v>
      </c>
      <c r="C649" s="2" vm="3373">
        <f ca="1"/>
        <v>126.17</v>
      </c>
      <c r="D649" s="2" vm="3374">
        <f ca="1"/>
        <v>125.2</v>
      </c>
      <c r="E649" s="2" vm="3375">
        <f ca="1"/>
        <v>125.61</v>
      </c>
      <c r="F649" vm="3376">
        <f ca="1"/>
        <v>6587431</v>
      </c>
    </row>
    <row r="650" spans="1:6" x14ac:dyDescent="0.2">
      <c r="A650" s="1" vm="3377">
        <f ca="1"/>
        <v>45383</v>
      </c>
      <c r="B650" s="2" vm="3325">
        <f ca="1"/>
        <v>125.54</v>
      </c>
      <c r="C650" s="2" vm="3378">
        <f ca="1"/>
        <v>126.27200000000001</v>
      </c>
      <c r="D650" s="2" vm="3379">
        <f ca="1"/>
        <v>124.56</v>
      </c>
      <c r="E650" s="2" vm="3380">
        <f ca="1"/>
        <v>125.48</v>
      </c>
      <c r="F650" vm="3381">
        <f ca="1"/>
        <v>4133571</v>
      </c>
    </row>
    <row r="651" spans="1:6" x14ac:dyDescent="0.2">
      <c r="A651" s="1" vm="3382">
        <f ca="1"/>
        <v>45384</v>
      </c>
      <c r="B651" s="2" vm="3383">
        <f ca="1"/>
        <v>124.51</v>
      </c>
      <c r="C651" s="2" vm="3384">
        <f ca="1"/>
        <v>124.93</v>
      </c>
      <c r="D651" s="2" vm="3385">
        <f ca="1"/>
        <v>123.43</v>
      </c>
      <c r="E651" s="2" vm="3386">
        <f ca="1"/>
        <v>124.34</v>
      </c>
      <c r="F651" vm="3387">
        <f ca="1"/>
        <v>4862415</v>
      </c>
    </row>
    <row r="652" spans="1:6" x14ac:dyDescent="0.2">
      <c r="A652" s="1" vm="3388">
        <f ca="1"/>
        <v>45385</v>
      </c>
      <c r="B652" s="2" vm="3389">
        <f ca="1"/>
        <v>124.26</v>
      </c>
      <c r="C652" s="2" vm="3390">
        <f ca="1"/>
        <v>126.405</v>
      </c>
      <c r="D652" s="2" vm="3391">
        <f ca="1"/>
        <v>124.06</v>
      </c>
      <c r="E652" s="2" vm="3392">
        <f ca="1"/>
        <v>126.24</v>
      </c>
      <c r="F652" vm="3393">
        <f ca="1"/>
        <v>7429977</v>
      </c>
    </row>
    <row r="653" spans="1:6" x14ac:dyDescent="0.2">
      <c r="A653" s="1" vm="3394">
        <f ca="1"/>
        <v>45386</v>
      </c>
      <c r="B653" s="2" vm="3395">
        <f ca="1"/>
        <v>127.6</v>
      </c>
      <c r="C653" s="2" vm="3396">
        <f ca="1"/>
        <v>127.99</v>
      </c>
      <c r="D653" s="2" vm="3397">
        <f ca="1"/>
        <v>124.03</v>
      </c>
      <c r="E653" s="2" vm="3398">
        <f ca="1"/>
        <v>124.19</v>
      </c>
      <c r="F653" vm="3399">
        <f ca="1"/>
        <v>7588298</v>
      </c>
    </row>
    <row r="654" spans="1:6" x14ac:dyDescent="0.2">
      <c r="A654" s="1" vm="3400">
        <f ca="1"/>
        <v>45387</v>
      </c>
      <c r="B654" s="2" vm="3401">
        <f ca="1"/>
        <v>124.42</v>
      </c>
      <c r="C654" s="2" vm="3402">
        <f ca="1"/>
        <v>125.995</v>
      </c>
      <c r="D654" s="2" vm="3403">
        <f ca="1"/>
        <v>124.14</v>
      </c>
      <c r="E654" s="2" vm="3404">
        <f ca="1"/>
        <v>124.9</v>
      </c>
      <c r="F654" vm="3405">
        <f ca="1"/>
        <v>4899499</v>
      </c>
    </row>
    <row r="655" spans="1:6" x14ac:dyDescent="0.2">
      <c r="A655" s="1" vm="3406">
        <f ca="1"/>
        <v>45390</v>
      </c>
      <c r="B655" s="2" vm="3407">
        <f ca="1"/>
        <v>125</v>
      </c>
      <c r="C655" s="2" vm="3408">
        <f ca="1"/>
        <v>125.11499999999999</v>
      </c>
      <c r="D655" s="2" vm="3409">
        <f ca="1"/>
        <v>123.76</v>
      </c>
      <c r="E655" s="2" vm="3410">
        <f ca="1"/>
        <v>124.35</v>
      </c>
      <c r="F655" vm="3411">
        <f ca="1"/>
        <v>6119225</v>
      </c>
    </row>
    <row r="656" spans="1:6" x14ac:dyDescent="0.2">
      <c r="A656" s="1" vm="3412">
        <f ca="1"/>
        <v>45391</v>
      </c>
      <c r="B656" s="2" vm="3410">
        <f ca="1"/>
        <v>124.35</v>
      </c>
      <c r="C656" s="2" vm="3413">
        <f ca="1"/>
        <v>124.75</v>
      </c>
      <c r="D656" s="2" vm="3414">
        <f ca="1"/>
        <v>121.24</v>
      </c>
      <c r="E656" s="2" vm="3415">
        <f ca="1"/>
        <v>123.23</v>
      </c>
      <c r="F656" vm="3416">
        <f ca="1"/>
        <v>5564905</v>
      </c>
    </row>
    <row r="657" spans="1:6" x14ac:dyDescent="0.2">
      <c r="A657" s="1" vm="3417">
        <f ca="1"/>
        <v>45392</v>
      </c>
      <c r="B657" s="2" vm="3418">
        <f ca="1"/>
        <v>121.35</v>
      </c>
      <c r="C657" s="2" vm="3419">
        <f ca="1"/>
        <v>123.08</v>
      </c>
      <c r="D657" s="2" vm="3420">
        <f ca="1"/>
        <v>121.32</v>
      </c>
      <c r="E657" s="2" vm="3421">
        <f ca="1"/>
        <v>121.75</v>
      </c>
      <c r="F657" vm="3422">
        <f ca="1"/>
        <v>4509869</v>
      </c>
    </row>
    <row r="658" spans="1:6" x14ac:dyDescent="0.2">
      <c r="A658" s="1" vm="3423">
        <f ca="1"/>
        <v>45393</v>
      </c>
      <c r="B658" s="2" vm="3424">
        <f ca="1"/>
        <v>121.72</v>
      </c>
      <c r="C658" s="2" vm="3425">
        <f ca="1"/>
        <v>123.82</v>
      </c>
      <c r="D658" s="2" vm="3426">
        <f ca="1"/>
        <v>121.36</v>
      </c>
      <c r="E658" s="2" vm="3427">
        <f ca="1"/>
        <v>123.24</v>
      </c>
      <c r="F658" vm="3428">
        <f ca="1"/>
        <v>7315241</v>
      </c>
    </row>
    <row r="659" spans="1:6" x14ac:dyDescent="0.2">
      <c r="A659" s="1" vm="3429">
        <f ca="1"/>
        <v>45394</v>
      </c>
      <c r="B659" s="2" vm="3430">
        <f ca="1"/>
        <v>121.74</v>
      </c>
      <c r="C659" s="2" vm="3431">
        <f ca="1"/>
        <v>121.84</v>
      </c>
      <c r="D659" s="2" vm="3432">
        <f ca="1"/>
        <v>120.41500000000001</v>
      </c>
      <c r="E659" s="2" vm="3433">
        <f ca="1"/>
        <v>121.11</v>
      </c>
      <c r="F659" vm="3434">
        <f ca="1"/>
        <v>6196877</v>
      </c>
    </row>
    <row r="660" spans="1:6" x14ac:dyDescent="0.2">
      <c r="A660" s="1" vm="3435">
        <f ca="1"/>
        <v>45397</v>
      </c>
      <c r="B660" s="2" vm="3436">
        <f ca="1"/>
        <v>122.18</v>
      </c>
      <c r="C660" s="2" vm="3437">
        <f ca="1"/>
        <v>122.47</v>
      </c>
      <c r="D660" s="2" vm="3438">
        <f ca="1"/>
        <v>119.44</v>
      </c>
      <c r="E660" s="2" vm="3439">
        <f ca="1"/>
        <v>119.88</v>
      </c>
      <c r="F660" vm="3440">
        <f ca="1"/>
        <v>5101455</v>
      </c>
    </row>
    <row r="661" spans="1:6" x14ac:dyDescent="0.2">
      <c r="A661" s="1" vm="3441">
        <f ca="1"/>
        <v>45398</v>
      </c>
      <c r="B661" s="2" vm="2635">
        <f ca="1"/>
        <v>120.09</v>
      </c>
      <c r="C661" s="2" vm="3442">
        <f ca="1"/>
        <v>121.4426</v>
      </c>
      <c r="D661" s="2" vm="3443">
        <f ca="1"/>
        <v>119.75</v>
      </c>
      <c r="E661" s="2" vm="3444">
        <f ca="1"/>
        <v>120.62</v>
      </c>
      <c r="F661" vm="3445">
        <f ca="1"/>
        <v>6999959</v>
      </c>
    </row>
    <row r="662" spans="1:6" x14ac:dyDescent="0.2">
      <c r="A662" s="1" vm="3446">
        <f ca="1"/>
        <v>45399</v>
      </c>
      <c r="B662" s="2" vm="3447">
        <f ca="1"/>
        <v>120.98</v>
      </c>
      <c r="C662" s="2" vm="3448">
        <f ca="1"/>
        <v>121.04</v>
      </c>
      <c r="D662" s="2" vm="3449">
        <f ca="1"/>
        <v>118.61</v>
      </c>
      <c r="E662" s="2" vm="3450">
        <f ca="1"/>
        <v>118.67</v>
      </c>
      <c r="F662" vm="3451">
        <f ca="1"/>
        <v>5366587</v>
      </c>
    </row>
    <row r="663" spans="1:6" x14ac:dyDescent="0.2">
      <c r="A663" s="1" vm="3452">
        <f ca="1"/>
        <v>45400</v>
      </c>
      <c r="B663" s="2" vm="3453">
        <f ca="1"/>
        <v>118.76</v>
      </c>
      <c r="C663" s="2" vm="3453">
        <f ca="1"/>
        <v>118.76</v>
      </c>
      <c r="D663" s="2" vm="2611">
        <f ca="1"/>
        <v>115.7</v>
      </c>
      <c r="E663" s="2" vm="2957">
        <f ca="1"/>
        <v>116</v>
      </c>
      <c r="F663" vm="3454">
        <f ca="1"/>
        <v>6662406</v>
      </c>
    </row>
    <row r="664" spans="1:6" x14ac:dyDescent="0.2">
      <c r="A664" s="1" vm="3455">
        <f ca="1"/>
        <v>45401</v>
      </c>
      <c r="B664" s="2" vm="3456">
        <f ca="1"/>
        <v>116.12</v>
      </c>
      <c r="C664" s="2" vm="2953">
        <f ca="1"/>
        <v>116.77</v>
      </c>
      <c r="D664" s="2" vm="3457">
        <f ca="1"/>
        <v>114.46</v>
      </c>
      <c r="E664" s="2" vm="2432">
        <f ca="1"/>
        <v>114.88</v>
      </c>
      <c r="F664" vm="3458">
        <f ca="1"/>
        <v>8251495</v>
      </c>
    </row>
    <row r="665" spans="1:6" x14ac:dyDescent="0.2">
      <c r="A665" s="1" vm="3459">
        <f ca="1"/>
        <v>45404</v>
      </c>
      <c r="B665" s="2" vm="3460">
        <f ca="1"/>
        <v>116.03</v>
      </c>
      <c r="C665" s="2" vm="3461">
        <f ca="1"/>
        <v>116.33499999999999</v>
      </c>
      <c r="D665" s="2" vm="2318">
        <f ca="1"/>
        <v>114.34</v>
      </c>
      <c r="E665" s="2" vm="2979">
        <f ca="1"/>
        <v>114.53</v>
      </c>
      <c r="F665" vm="3462">
        <f ca="1"/>
        <v>7125490</v>
      </c>
    </row>
    <row r="666" spans="1:6" x14ac:dyDescent="0.2">
      <c r="A666" s="1" vm="3463">
        <f ca="1"/>
        <v>45405</v>
      </c>
      <c r="B666" s="2" vm="3464">
        <f ca="1"/>
        <v>115.17</v>
      </c>
      <c r="C666" s="2" vm="3465">
        <f ca="1"/>
        <v>115.86</v>
      </c>
      <c r="D666" s="2" vm="3300">
        <f ca="1"/>
        <v>114.75</v>
      </c>
      <c r="E666" s="2" vm="3466">
        <f ca="1"/>
        <v>115.09</v>
      </c>
      <c r="F666" vm="3467">
        <f ca="1"/>
        <v>5494823</v>
      </c>
    </row>
    <row r="667" spans="1:6" x14ac:dyDescent="0.2">
      <c r="A667" s="1" vm="3468">
        <f ca="1"/>
        <v>45406</v>
      </c>
      <c r="B667" s="2" vm="3205">
        <f ca="1"/>
        <v>115.38</v>
      </c>
      <c r="C667" s="2" vm="2589">
        <f ca="1"/>
        <v>115.73</v>
      </c>
      <c r="D667" s="2" vm="3469">
        <f ca="1"/>
        <v>113.88</v>
      </c>
      <c r="E667" s="2" vm="2528">
        <f ca="1"/>
        <v>115.34</v>
      </c>
      <c r="F667" vm="3470">
        <f ca="1"/>
        <v>5791761</v>
      </c>
    </row>
    <row r="668" spans="1:6" x14ac:dyDescent="0.2">
      <c r="A668" s="1" vm="3471">
        <f ca="1"/>
        <v>45407</v>
      </c>
      <c r="B668" s="2" vm="3472">
        <f ca="1"/>
        <v>113.63</v>
      </c>
      <c r="C668" s="2" vm="2983">
        <f ca="1"/>
        <v>114.99</v>
      </c>
      <c r="D668" s="2" vm="2912">
        <f ca="1"/>
        <v>112.78</v>
      </c>
      <c r="E668" s="2" vm="3149">
        <f ca="1"/>
        <v>114.89</v>
      </c>
      <c r="F668" vm="3473">
        <f ca="1"/>
        <v>6796627</v>
      </c>
    </row>
    <row r="669" spans="1:6" x14ac:dyDescent="0.2">
      <c r="A669" s="1" vm="3474">
        <f ca="1"/>
        <v>45408</v>
      </c>
      <c r="B669" s="2" vm="3475">
        <f ca="1"/>
        <v>117.04</v>
      </c>
      <c r="C669" s="2" vm="3476">
        <f ca="1"/>
        <v>119.21</v>
      </c>
      <c r="D669" s="2" vm="2920">
        <f ca="1"/>
        <v>116.15</v>
      </c>
      <c r="E669" s="2" vm="2940">
        <f ca="1"/>
        <v>117.21</v>
      </c>
      <c r="F669" vm="3477">
        <f ca="1"/>
        <v>8355111</v>
      </c>
    </row>
    <row r="670" spans="1:6" x14ac:dyDescent="0.2">
      <c r="A670" s="1" vm="3478">
        <f ca="1"/>
        <v>45411</v>
      </c>
      <c r="B670" s="2" vm="2578">
        <f ca="1"/>
        <v>116.99</v>
      </c>
      <c r="C670" s="2" vm="3479">
        <f ca="1"/>
        <v>117.31</v>
      </c>
      <c r="D670" s="2" vm="3480">
        <f ca="1"/>
        <v>115.29</v>
      </c>
      <c r="E670" s="2" vm="2475">
        <f ca="1"/>
        <v>116.49</v>
      </c>
      <c r="F670" vm="3481">
        <f ca="1"/>
        <v>5190565</v>
      </c>
    </row>
    <row r="671" spans="1:6" x14ac:dyDescent="0.2">
      <c r="A671" s="1" vm="3482">
        <f ca="1"/>
        <v>45412</v>
      </c>
      <c r="B671" s="2" vm="3466">
        <f ca="1"/>
        <v>115.09</v>
      </c>
      <c r="C671" s="2" vm="3483">
        <f ca="1"/>
        <v>115.52</v>
      </c>
      <c r="D671" s="2" vm="3484">
        <f ca="1"/>
        <v>113.69</v>
      </c>
      <c r="E671" s="2" vm="3160">
        <f ca="1"/>
        <v>113.75</v>
      </c>
      <c r="F671" vm="3485">
        <f ca="1"/>
        <v>6234710</v>
      </c>
    </row>
    <row r="672" spans="1:6" x14ac:dyDescent="0.2">
      <c r="A672" s="1" vm="3486">
        <f ca="1"/>
        <v>45413</v>
      </c>
      <c r="B672" s="2" vm="2689">
        <f ca="1"/>
        <v>113.91</v>
      </c>
      <c r="C672" s="2" vm="2442">
        <f ca="1"/>
        <v>116.76</v>
      </c>
      <c r="D672" s="2" vm="3487">
        <f ca="1"/>
        <v>113.65</v>
      </c>
      <c r="E672" s="2" vm="2389">
        <f ca="1"/>
        <v>114.63</v>
      </c>
      <c r="F672" vm="3488">
        <f ca="1"/>
        <v>5583638</v>
      </c>
    </row>
    <row r="673" spans="1:6" x14ac:dyDescent="0.2">
      <c r="A673" s="1" vm="3489">
        <f ca="1"/>
        <v>45414</v>
      </c>
      <c r="B673" s="2" vm="2471">
        <f ca="1"/>
        <v>115.23</v>
      </c>
      <c r="C673" s="2" vm="2412">
        <f ca="1"/>
        <v>115.81</v>
      </c>
      <c r="D673" s="2" vm="2524">
        <f ca="1"/>
        <v>114.26</v>
      </c>
      <c r="E673" s="2" vm="3490">
        <f ca="1"/>
        <v>114.96</v>
      </c>
      <c r="F673" vm="3491">
        <f ca="1"/>
        <v>5001045</v>
      </c>
    </row>
    <row r="674" spans="1:6" x14ac:dyDescent="0.2">
      <c r="A674" s="1" vm="3492">
        <f ca="1"/>
        <v>45415</v>
      </c>
      <c r="B674" s="2" vm="2418">
        <f ca="1"/>
        <v>115.98</v>
      </c>
      <c r="C674" s="2" vm="2476">
        <f ca="1"/>
        <v>116.21</v>
      </c>
      <c r="D674" s="2" vm="2535">
        <f ca="1"/>
        <v>115.07</v>
      </c>
      <c r="E674" s="2" vm="3192">
        <f ca="1"/>
        <v>115.8</v>
      </c>
      <c r="F674" vm="3493">
        <f ca="1"/>
        <v>4484976</v>
      </c>
    </row>
    <row r="675" spans="1:6" x14ac:dyDescent="0.2">
      <c r="A675" s="1" vm="3494">
        <f ca="1"/>
        <v>45418</v>
      </c>
      <c r="B675" s="2" vm="3495">
        <f ca="1"/>
        <v>116.33</v>
      </c>
      <c r="C675" s="2" vm="3496">
        <f ca="1"/>
        <v>118.36</v>
      </c>
      <c r="D675" s="2" vm="3150">
        <f ca="1"/>
        <v>116.18</v>
      </c>
      <c r="E675" s="2" vm="3497">
        <f ca="1"/>
        <v>118.34</v>
      </c>
      <c r="F675" vm="3498">
        <f ca="1"/>
        <v>6052397</v>
      </c>
    </row>
    <row r="676" spans="1:6" x14ac:dyDescent="0.2">
      <c r="A676" s="1" vm="3499">
        <f ca="1"/>
        <v>45419</v>
      </c>
      <c r="B676" s="2" vm="3500">
        <f ca="1"/>
        <v>118</v>
      </c>
      <c r="C676" s="2" vm="3501">
        <f ca="1"/>
        <v>119.129</v>
      </c>
      <c r="D676" s="2" vm="2567">
        <f ca="1"/>
        <v>117.29</v>
      </c>
      <c r="E676" s="2" vm="3502">
        <f ca="1"/>
        <v>117.93</v>
      </c>
      <c r="F676" vm="3503">
        <f ca="1"/>
        <v>6437743</v>
      </c>
    </row>
    <row r="677" spans="1:6" x14ac:dyDescent="0.2">
      <c r="A677" s="1" vm="3504">
        <f ca="1"/>
        <v>45420</v>
      </c>
      <c r="B677" s="2" vm="2610">
        <f ca="1"/>
        <v>117.71</v>
      </c>
      <c r="C677" s="2" vm="2486">
        <f ca="1"/>
        <v>117.98</v>
      </c>
      <c r="D677" s="2" vm="3505">
        <f ca="1"/>
        <v>117.11</v>
      </c>
      <c r="E677" s="2" vm="3506">
        <f ca="1"/>
        <v>117.39</v>
      </c>
      <c r="F677" vm="3507">
        <f ca="1"/>
        <v>4635960</v>
      </c>
    </row>
    <row r="678" spans="1:6" x14ac:dyDescent="0.2">
      <c r="A678" s="1" vm="3508">
        <f ca="1"/>
        <v>45421</v>
      </c>
      <c r="B678" s="2" vm="3506">
        <f ca="1"/>
        <v>117.39</v>
      </c>
      <c r="C678" s="2" vm="3509">
        <f ca="1"/>
        <v>117.7256</v>
      </c>
      <c r="D678" s="2" vm="2329">
        <f ca="1"/>
        <v>116.5</v>
      </c>
      <c r="E678" s="2" vm="3202">
        <f ca="1"/>
        <v>116.64</v>
      </c>
      <c r="F678" vm="3510">
        <f ca="1"/>
        <v>3236316</v>
      </c>
    </row>
    <row r="679" spans="1:6" x14ac:dyDescent="0.2">
      <c r="A679" s="1" vm="3511">
        <f ca="1"/>
        <v>45422</v>
      </c>
      <c r="B679" s="2" vm="2402">
        <f ca="1"/>
        <v>117.15</v>
      </c>
      <c r="C679" s="2" vm="3512">
        <f ca="1"/>
        <v>117.63</v>
      </c>
      <c r="D679" s="2" vm="3513">
        <f ca="1"/>
        <v>115.91</v>
      </c>
      <c r="E679" s="2" vm="3514">
        <f ca="1"/>
        <v>116.67</v>
      </c>
      <c r="F679" vm="3515">
        <f ca="1"/>
        <v>4122531</v>
      </c>
    </row>
    <row r="680" spans="1:6" x14ac:dyDescent="0.2">
      <c r="A680" s="1" vm="3516">
        <f ca="1"/>
        <v>45425</v>
      </c>
      <c r="B680" s="2" vm="3517">
        <f ca="1"/>
        <v>117.13</v>
      </c>
      <c r="C680" s="2" vm="3518">
        <f ca="1"/>
        <v>117.19</v>
      </c>
      <c r="D680" s="2" vm="3519">
        <f ca="1"/>
        <v>116.19499999999999</v>
      </c>
      <c r="E680" s="2" vm="2609">
        <f ca="1"/>
        <v>116.37</v>
      </c>
      <c r="F680" vm="3520">
        <f ca="1"/>
        <v>4139953</v>
      </c>
    </row>
    <row r="681" spans="1:6" x14ac:dyDescent="0.2">
      <c r="A681" s="1" vm="3521">
        <f ca="1"/>
        <v>45426</v>
      </c>
      <c r="B681" s="2" vm="2329">
        <f ca="1"/>
        <v>116.5</v>
      </c>
      <c r="C681" s="2" vm="3522">
        <f ca="1"/>
        <v>122.55</v>
      </c>
      <c r="D681" s="2" vm="3523">
        <f ca="1"/>
        <v>116.13</v>
      </c>
      <c r="E681" s="2" vm="3524">
        <f ca="1"/>
        <v>120.87</v>
      </c>
      <c r="F681" vm="3525">
        <f ca="1"/>
        <v>17811221</v>
      </c>
    </row>
    <row r="682" spans="1:6" x14ac:dyDescent="0.2">
      <c r="A682" s="1" vm="3526">
        <f ca="1"/>
        <v>45427</v>
      </c>
      <c r="B682" s="2" vm="3527">
        <f ca="1"/>
        <v>120.17</v>
      </c>
      <c r="C682" s="2" vm="3528">
        <f ca="1"/>
        <v>122.09</v>
      </c>
      <c r="D682" s="2" vm="3529">
        <f ca="1"/>
        <v>119.67</v>
      </c>
      <c r="E682" s="2" vm="3530">
        <f ca="1"/>
        <v>121.63</v>
      </c>
      <c r="F682" vm="3531">
        <f ca="1"/>
        <v>6604632</v>
      </c>
    </row>
    <row r="683" spans="1:6" x14ac:dyDescent="0.2">
      <c r="A683" s="1" vm="3532">
        <f ca="1"/>
        <v>45428</v>
      </c>
      <c r="B683" s="2" vm="3533">
        <f ca="1"/>
        <v>121.94</v>
      </c>
      <c r="C683" s="2" vm="3534">
        <f ca="1"/>
        <v>122.45</v>
      </c>
      <c r="D683" s="2" vm="3535">
        <f ca="1"/>
        <v>121.21</v>
      </c>
      <c r="E683" s="2" vm="3536">
        <f ca="1"/>
        <v>122.16</v>
      </c>
      <c r="F683" vm="3537">
        <f ca="1"/>
        <v>5159256</v>
      </c>
    </row>
    <row r="684" spans="1:6" x14ac:dyDescent="0.2">
      <c r="A684" s="1" vm="3538">
        <f ca="1"/>
        <v>45429</v>
      </c>
      <c r="B684" s="2" vm="3539">
        <f ca="1"/>
        <v>123.18</v>
      </c>
      <c r="C684" s="2" vm="3540">
        <f ca="1"/>
        <v>123.58</v>
      </c>
      <c r="D684" s="2" vm="3541">
        <f ca="1"/>
        <v>122.08</v>
      </c>
      <c r="E684" s="2" vm="3542">
        <f ca="1"/>
        <v>123.5</v>
      </c>
      <c r="F684" vm="3543">
        <f ca="1"/>
        <v>6179367</v>
      </c>
    </row>
    <row r="685" spans="1:6" x14ac:dyDescent="0.2">
      <c r="A685" s="1" vm="3544">
        <f ca="1"/>
        <v>45432</v>
      </c>
      <c r="B685" s="2" vm="3545">
        <f ca="1"/>
        <v>123.8</v>
      </c>
      <c r="C685" s="2" vm="3546">
        <f ca="1"/>
        <v>124.68</v>
      </c>
      <c r="D685" s="2" vm="3427">
        <f ca="1"/>
        <v>123.24</v>
      </c>
      <c r="E685" s="2" vm="3547">
        <f ca="1"/>
        <v>124.52</v>
      </c>
      <c r="F685" vm="3548">
        <f ca="1"/>
        <v>5989022</v>
      </c>
    </row>
    <row r="686" spans="1:6" x14ac:dyDescent="0.2">
      <c r="A686" s="1" vm="3549">
        <f ca="1"/>
        <v>45433</v>
      </c>
      <c r="B686" s="2" vm="3550">
        <f ca="1"/>
        <v>124.46</v>
      </c>
      <c r="C686" s="2" vm="3551">
        <f ca="1"/>
        <v>125.36</v>
      </c>
      <c r="D686" s="2" vm="3552">
        <f ca="1"/>
        <v>123.92</v>
      </c>
      <c r="E686" s="2" vm="3553">
        <f ca="1"/>
        <v>124.63</v>
      </c>
      <c r="F686" vm="3554">
        <f ca="1"/>
        <v>5549456</v>
      </c>
    </row>
    <row r="687" spans="1:6" x14ac:dyDescent="0.2">
      <c r="A687" s="1" vm="3555">
        <f ca="1"/>
        <v>45434</v>
      </c>
      <c r="B687" s="2" vm="3553">
        <f ca="1"/>
        <v>124.63</v>
      </c>
      <c r="C687" s="2" vm="3556">
        <f ca="1"/>
        <v>125.16</v>
      </c>
      <c r="D687" s="2" vm="3557">
        <f ca="1"/>
        <v>123.295</v>
      </c>
      <c r="E687" s="2" vm="3307">
        <f ca="1"/>
        <v>124.6</v>
      </c>
      <c r="F687" vm="3558">
        <f ca="1"/>
        <v>5705042</v>
      </c>
    </row>
    <row r="688" spans="1:6" x14ac:dyDescent="0.2">
      <c r="A688" s="1" vm="3559">
        <f ca="1"/>
        <v>45435</v>
      </c>
      <c r="B688" s="2" vm="2338">
        <f ca="1"/>
        <v>126.55</v>
      </c>
      <c r="C688" s="2" vm="3560">
        <f ca="1"/>
        <v>126.7</v>
      </c>
      <c r="D688" s="2" vm="3561">
        <f ca="1"/>
        <v>123.16</v>
      </c>
      <c r="E688" s="2" vm="3562">
        <f ca="1"/>
        <v>124.09</v>
      </c>
      <c r="F688" vm="3563">
        <f ca="1"/>
        <v>6108584</v>
      </c>
    </row>
    <row r="689" spans="1:6" x14ac:dyDescent="0.2">
      <c r="A689" s="1" vm="3564">
        <f ca="1"/>
        <v>45436</v>
      </c>
      <c r="B689" s="2" vm="3565">
        <f ca="1"/>
        <v>123.42</v>
      </c>
      <c r="C689" s="2" vm="3566">
        <f ca="1"/>
        <v>123.51</v>
      </c>
      <c r="D689" s="2" vm="3567">
        <f ca="1"/>
        <v>121.42</v>
      </c>
      <c r="E689" s="2" vm="3568">
        <f ca="1"/>
        <v>122.91</v>
      </c>
      <c r="F689" vm="3569">
        <f ca="1"/>
        <v>7173435</v>
      </c>
    </row>
    <row r="690" spans="1:6" x14ac:dyDescent="0.2">
      <c r="A690" s="1" vm="3570">
        <f ca="1"/>
        <v>45440</v>
      </c>
      <c r="B690" s="2" vm="3427">
        <f ca="1"/>
        <v>123.24</v>
      </c>
      <c r="C690" s="2" vm="3571">
        <f ca="1"/>
        <v>124.82</v>
      </c>
      <c r="D690" s="2" vm="3572">
        <f ca="1"/>
        <v>123.011</v>
      </c>
      <c r="E690" s="2" vm="3573">
        <f ca="1"/>
        <v>124.49</v>
      </c>
      <c r="F690" vm="3574">
        <f ca="1"/>
        <v>6911394</v>
      </c>
    </row>
    <row r="691" spans="1:6" x14ac:dyDescent="0.2">
      <c r="A691" s="1" vm="3575">
        <f ca="1"/>
        <v>45441</v>
      </c>
      <c r="B691" s="2" vm="3576">
        <f ca="1"/>
        <v>122.99</v>
      </c>
      <c r="C691" s="2" vm="3552">
        <f ca="1"/>
        <v>123.92</v>
      </c>
      <c r="D691" s="2" vm="3577">
        <f ca="1"/>
        <v>122.77</v>
      </c>
      <c r="E691" s="2" vm="3578">
        <f ca="1"/>
        <v>123.74</v>
      </c>
      <c r="F691" vm="3579">
        <f ca="1"/>
        <v>4735091</v>
      </c>
    </row>
    <row r="692" spans="1:6" x14ac:dyDescent="0.2">
      <c r="A692" s="1" vm="3580">
        <f ca="1"/>
        <v>45442</v>
      </c>
      <c r="B692" s="2" vm="3527">
        <f ca="1"/>
        <v>120.17</v>
      </c>
      <c r="C692" s="2" vm="3581">
        <f ca="1"/>
        <v>121.44</v>
      </c>
      <c r="D692" s="2" vm="3582">
        <f ca="1"/>
        <v>117.03</v>
      </c>
      <c r="E692" s="2" vm="2440">
        <f ca="1"/>
        <v>117.09</v>
      </c>
      <c r="F692" vm="3583">
        <f ca="1"/>
        <v>10851552</v>
      </c>
    </row>
    <row r="693" spans="1:6" x14ac:dyDescent="0.2">
      <c r="A693" s="1" vm="3584">
        <f ca="1"/>
        <v>45443</v>
      </c>
      <c r="B693" s="2" vm="2586">
        <f ca="1"/>
        <v>116.59</v>
      </c>
      <c r="C693" s="2" vm="3585">
        <f ca="1"/>
        <v>117.4175</v>
      </c>
      <c r="D693" s="2" vm="2525">
        <f ca="1"/>
        <v>114.55</v>
      </c>
      <c r="E693" s="2" vm="3518">
        <f ca="1"/>
        <v>117.19</v>
      </c>
      <c r="F693" vm="3586">
        <f ca="1"/>
        <v>12755639</v>
      </c>
    </row>
    <row r="694" spans="1:6" x14ac:dyDescent="0.2">
      <c r="A694" s="1" vm="3587">
        <f ca="1"/>
        <v>45446</v>
      </c>
      <c r="B694" s="2" vm="3588">
        <f ca="1"/>
        <v>117.53</v>
      </c>
      <c r="C694" s="2" vm="3589">
        <f ca="1"/>
        <v>119.33</v>
      </c>
      <c r="D694" s="2" vm="2961">
        <f ca="1"/>
        <v>117.34</v>
      </c>
      <c r="E694" s="2" vm="3590">
        <f ca="1"/>
        <v>119.28</v>
      </c>
      <c r="F694" vm="3591">
        <f ca="1"/>
        <v>7256308</v>
      </c>
    </row>
    <row r="695" spans="1:6" x14ac:dyDescent="0.2">
      <c r="A695" s="1" vm="3592">
        <f ca="1"/>
        <v>45447</v>
      </c>
      <c r="B695" s="2" vm="3593">
        <f ca="1"/>
        <v>119.02</v>
      </c>
      <c r="C695" s="2" vm="3594">
        <f ca="1"/>
        <v>120.37</v>
      </c>
      <c r="D695" s="2" vm="3595">
        <f ca="1"/>
        <v>118.72</v>
      </c>
      <c r="E695" s="2" vm="2360">
        <f ca="1"/>
        <v>120.07</v>
      </c>
      <c r="F695" vm="3596">
        <f ca="1"/>
        <v>7367975</v>
      </c>
    </row>
    <row r="696" spans="1:6" x14ac:dyDescent="0.2">
      <c r="A696" s="1" vm="3597">
        <f ca="1"/>
        <v>45448</v>
      </c>
      <c r="B696" s="2" vm="3598">
        <f ca="1"/>
        <v>121.65</v>
      </c>
      <c r="C696" s="2" vm="3599">
        <f ca="1"/>
        <v>122.79</v>
      </c>
      <c r="D696" s="2" vm="3600">
        <f ca="1"/>
        <v>120.5077</v>
      </c>
      <c r="E696" s="2" vm="3601">
        <f ca="1"/>
        <v>122.63</v>
      </c>
      <c r="F696" vm="3602">
        <f ca="1"/>
        <v>5973706</v>
      </c>
    </row>
    <row r="697" spans="1:6" x14ac:dyDescent="0.2">
      <c r="A697" s="1" vm="3603">
        <f ca="1"/>
        <v>45449</v>
      </c>
      <c r="B697" s="2" vm="3604">
        <f ca="1"/>
        <v>122.88</v>
      </c>
      <c r="C697" s="2" vm="3605">
        <f ca="1"/>
        <v>124.27</v>
      </c>
      <c r="D697" s="2" vm="3606">
        <f ca="1"/>
        <v>122.25</v>
      </c>
      <c r="E697" s="2" vm="3542">
        <f ca="1"/>
        <v>123.5</v>
      </c>
      <c r="F697" vm="3607">
        <f ca="1"/>
        <v>7347249</v>
      </c>
    </row>
    <row r="698" spans="1:6" x14ac:dyDescent="0.2">
      <c r="A698" s="1" vm="3608">
        <f ca="1"/>
        <v>45450</v>
      </c>
      <c r="B698" s="2" vm="3609">
        <f ca="1"/>
        <v>124.21</v>
      </c>
      <c r="C698" s="2" vm="3610">
        <f ca="1"/>
        <v>126.22</v>
      </c>
      <c r="D698" s="2" vm="3611">
        <f ca="1"/>
        <v>123.27</v>
      </c>
      <c r="E698" s="2" vm="3612">
        <f ca="1"/>
        <v>125.92</v>
      </c>
      <c r="F698" vm="3613">
        <f ca="1"/>
        <v>11544957</v>
      </c>
    </row>
    <row r="699" spans="1:6" x14ac:dyDescent="0.2">
      <c r="A699" s="1" vm="3614">
        <f ca="1"/>
        <v>45453</v>
      </c>
      <c r="B699" s="2" vm="3615">
        <f ca="1"/>
        <v>125.73</v>
      </c>
      <c r="C699" s="2" vm="3616">
        <f ca="1"/>
        <v>126.95</v>
      </c>
      <c r="D699" s="2" vm="3617">
        <f ca="1"/>
        <v>124.05</v>
      </c>
      <c r="E699" s="2" vm="3618">
        <f ca="1"/>
        <v>124.5</v>
      </c>
      <c r="F699" vm="3619">
        <f ca="1"/>
        <v>10190447</v>
      </c>
    </row>
    <row r="700" spans="1:6" x14ac:dyDescent="0.2">
      <c r="A700" s="1" vm="3620">
        <f ca="1"/>
        <v>45454</v>
      </c>
      <c r="B700" s="2" vm="3617">
        <f ca="1"/>
        <v>124.05</v>
      </c>
      <c r="C700" s="2" vm="3312">
        <f ca="1"/>
        <v>124.83</v>
      </c>
      <c r="D700" s="2" vm="3621">
        <f ca="1"/>
        <v>122.29</v>
      </c>
      <c r="E700" s="2" vm="3622">
        <f ca="1"/>
        <v>123.88</v>
      </c>
      <c r="F700" vm="3623">
        <f ca="1"/>
        <v>18373935</v>
      </c>
    </row>
    <row r="701" spans="1:6" x14ac:dyDescent="0.2">
      <c r="A701" s="1" vm="3624">
        <f ca="1"/>
        <v>45455</v>
      </c>
      <c r="B701" s="2" vm="3625">
        <f ca="1"/>
        <v>134.69</v>
      </c>
      <c r="C701" s="2" vm="3626">
        <f ca="1"/>
        <v>140.95500000000001</v>
      </c>
      <c r="D701" s="2" vm="3627">
        <f ca="1"/>
        <v>133.96</v>
      </c>
      <c r="E701" s="2" vm="3628">
        <f ca="1"/>
        <v>140.38</v>
      </c>
      <c r="F701" vm="3629">
        <f ca="1"/>
        <v>40871317</v>
      </c>
    </row>
    <row r="702" spans="1:6" x14ac:dyDescent="0.2">
      <c r="A702" s="1" vm="3630">
        <f ca="1"/>
        <v>45456</v>
      </c>
      <c r="B702" s="2" vm="3631">
        <f ca="1"/>
        <v>140.43</v>
      </c>
      <c r="C702" s="2" vm="3632">
        <f ca="1"/>
        <v>142.4</v>
      </c>
      <c r="D702" s="2" vm="3633">
        <f ca="1"/>
        <v>138.77000000000001</v>
      </c>
      <c r="E702" s="2" vm="3634">
        <f ca="1"/>
        <v>139.85</v>
      </c>
      <c r="F702" vm="3635">
        <f ca="1"/>
        <v>13733247</v>
      </c>
    </row>
    <row r="703" spans="1:6" x14ac:dyDescent="0.2">
      <c r="A703" s="1" vm="3636">
        <f ca="1"/>
        <v>45457</v>
      </c>
      <c r="B703" s="2" vm="3637">
        <f ca="1"/>
        <v>139.26</v>
      </c>
      <c r="C703" s="2" vm="3638">
        <f ca="1"/>
        <v>139.97</v>
      </c>
      <c r="D703" s="2" vm="3639">
        <f ca="1"/>
        <v>137.38</v>
      </c>
      <c r="E703" s="2" vm="3640">
        <f ca="1"/>
        <v>138.13</v>
      </c>
      <c r="F703" vm="3641">
        <f ca="1"/>
        <v>11330789</v>
      </c>
    </row>
    <row r="704" spans="1:6" x14ac:dyDescent="0.2">
      <c r="A704" s="1" vm="3642">
        <f ca="1"/>
        <v>45460</v>
      </c>
      <c r="B704" s="2" vm="3643">
        <f ca="1"/>
        <v>138.80000000000001</v>
      </c>
      <c r="C704" s="2" vm="3644">
        <f ca="1"/>
        <v>141.44</v>
      </c>
      <c r="D704" s="2" vm="3645">
        <f ca="1"/>
        <v>138.25</v>
      </c>
      <c r="E704" s="2" vm="3646">
        <f ca="1"/>
        <v>141.31</v>
      </c>
      <c r="F704" vm="3647">
        <f ca="1"/>
        <v>11232754</v>
      </c>
    </row>
    <row r="705" spans="1:6" x14ac:dyDescent="0.2">
      <c r="A705" s="1" vm="3648">
        <f ca="1"/>
        <v>45461</v>
      </c>
      <c r="B705" s="2" vm="3649">
        <f ca="1"/>
        <v>141.22</v>
      </c>
      <c r="C705" s="2" vm="3650">
        <f ca="1"/>
        <v>145.06</v>
      </c>
      <c r="D705" s="2" vm="3649">
        <f ca="1"/>
        <v>141.22</v>
      </c>
      <c r="E705" s="2" vm="3651">
        <f ca="1"/>
        <v>144.63999999999999</v>
      </c>
      <c r="F705" vm="3652">
        <f ca="1"/>
        <v>11629395</v>
      </c>
    </row>
    <row r="706" spans="1:6" x14ac:dyDescent="0.2">
      <c r="A706" s="1" vm="3653">
        <f ca="1"/>
        <v>45463</v>
      </c>
      <c r="B706" s="2" vm="3654">
        <f ca="1"/>
        <v>145.32</v>
      </c>
      <c r="C706" s="2" vm="3654">
        <f ca="1"/>
        <v>145.32</v>
      </c>
      <c r="D706" s="2" vm="3655">
        <f ca="1"/>
        <v>141.94999999999999</v>
      </c>
      <c r="E706" s="2" vm="3656">
        <f ca="1"/>
        <v>142.91</v>
      </c>
      <c r="F706" vm="3657">
        <f ca="1"/>
        <v>8940005</v>
      </c>
    </row>
    <row r="707" spans="1:6" x14ac:dyDescent="0.2">
      <c r="A707" s="1" vm="3658">
        <f ca="1"/>
        <v>45464</v>
      </c>
      <c r="B707" s="2" vm="3659">
        <f ca="1"/>
        <v>143.72</v>
      </c>
      <c r="C707" s="2" vm="3659">
        <f ca="1"/>
        <v>143.72</v>
      </c>
      <c r="D707" s="2" vm="3660">
        <f ca="1"/>
        <v>140.44</v>
      </c>
      <c r="E707" s="2" vm="3661">
        <f ca="1"/>
        <v>141.5</v>
      </c>
      <c r="F707" vm="3662">
        <f ca="1"/>
        <v>14930875</v>
      </c>
    </row>
    <row r="708" spans="1:6" x14ac:dyDescent="0.2">
      <c r="A708" s="1" vm="3663">
        <f ca="1"/>
        <v>45467</v>
      </c>
      <c r="B708" s="2" vm="3664">
        <f ca="1"/>
        <v>140</v>
      </c>
      <c r="C708" s="2" vm="3665">
        <f ca="1"/>
        <v>141.53</v>
      </c>
      <c r="D708" s="2" vm="3666">
        <f ca="1"/>
        <v>139.12</v>
      </c>
      <c r="E708" s="2" vm="3667">
        <f ca="1"/>
        <v>139.88999999999999</v>
      </c>
      <c r="F708" vm="3668">
        <f ca="1"/>
        <v>7793293</v>
      </c>
    </row>
    <row r="709" spans="1:6" x14ac:dyDescent="0.2">
      <c r="A709" s="1" vm="3669">
        <f ca="1"/>
        <v>45468</v>
      </c>
      <c r="B709" s="2" vm="3670">
        <f ca="1"/>
        <v>139</v>
      </c>
      <c r="C709" s="2" vm="3671">
        <f ca="1"/>
        <v>139.55000000000001</v>
      </c>
      <c r="D709" s="2" vm="3672">
        <f ca="1"/>
        <v>137.56</v>
      </c>
      <c r="E709" s="2" vm="3673">
        <f ca="1"/>
        <v>139.16999999999999</v>
      </c>
      <c r="F709" vm="3674">
        <f ca="1"/>
        <v>8469641</v>
      </c>
    </row>
    <row r="710" spans="1:6" x14ac:dyDescent="0.2">
      <c r="A710" s="1" vm="3675">
        <f ca="1"/>
        <v>45469</v>
      </c>
      <c r="B710" s="2" vm="3676">
        <f ca="1"/>
        <v>139.49</v>
      </c>
      <c r="C710" s="2" vm="3677">
        <f ca="1"/>
        <v>140.745</v>
      </c>
      <c r="D710" s="2" vm="3678">
        <f ca="1"/>
        <v>138.08000000000001</v>
      </c>
      <c r="E710" s="2" vm="3679">
        <f ca="1"/>
        <v>138.22999999999999</v>
      </c>
      <c r="F710" vm="3680">
        <f ca="1"/>
        <v>8036309</v>
      </c>
    </row>
    <row r="711" spans="1:6" x14ac:dyDescent="0.2">
      <c r="A711" s="1" vm="3681">
        <f ca="1"/>
        <v>45470</v>
      </c>
      <c r="B711" s="2" vm="3682">
        <f ca="1"/>
        <v>139.25</v>
      </c>
      <c r="C711" s="2" vm="3683">
        <f ca="1"/>
        <v>141.41999999999999</v>
      </c>
      <c r="D711" s="2" vm="3684">
        <f ca="1"/>
        <v>138.81</v>
      </c>
      <c r="E711" s="2" vm="3685">
        <f ca="1"/>
        <v>140.18</v>
      </c>
      <c r="F711" vm="3686">
        <f ca="1"/>
        <v>7518199</v>
      </c>
    </row>
    <row r="712" spans="1:6" x14ac:dyDescent="0.2">
      <c r="A712" s="1" vm="3687">
        <f ca="1"/>
        <v>45471</v>
      </c>
      <c r="B712" s="2" vm="3688">
        <f ca="1"/>
        <v>139.435</v>
      </c>
      <c r="C712" s="2" vm="3689">
        <f ca="1"/>
        <v>142.82</v>
      </c>
      <c r="D712" s="2" vm="3690">
        <f ca="1"/>
        <v>139.27000000000001</v>
      </c>
      <c r="E712" s="2" vm="3691">
        <f ca="1"/>
        <v>141.19999999999999</v>
      </c>
      <c r="F712" vm="3692">
        <f ca="1"/>
        <v>25814821</v>
      </c>
    </row>
    <row r="713" spans="1:6" x14ac:dyDescent="0.2">
      <c r="A713" s="1" vm="3693">
        <f ca="1"/>
        <v>45474</v>
      </c>
      <c r="B713" s="2" vm="3694">
        <f ca="1"/>
        <v>141.69</v>
      </c>
      <c r="C713" s="2" vm="3695">
        <f ca="1"/>
        <v>144.05500000000001</v>
      </c>
      <c r="D713" s="2" vm="3696">
        <f ca="1"/>
        <v>141.07</v>
      </c>
      <c r="E713" s="2" vm="3697">
        <f ca="1"/>
        <v>143.09</v>
      </c>
      <c r="F713" vm="3698">
        <f ca="1"/>
        <v>6552353</v>
      </c>
    </row>
    <row r="714" spans="1:6" x14ac:dyDescent="0.2">
      <c r="A714" s="1" vm="3699">
        <f ca="1"/>
        <v>45475</v>
      </c>
      <c r="B714" s="2" vm="3700">
        <f ca="1"/>
        <v>142.63</v>
      </c>
      <c r="C714" s="2" vm="3701">
        <f ca="1"/>
        <v>144.22</v>
      </c>
      <c r="D714" s="2" vm="3702">
        <f ca="1"/>
        <v>142.55000000000001</v>
      </c>
      <c r="E714" s="2" vm="3703">
        <f ca="1"/>
        <v>143.28</v>
      </c>
      <c r="F714" vm="3704">
        <f ca="1"/>
        <v>5920529</v>
      </c>
    </row>
    <row r="715" spans="1:6" x14ac:dyDescent="0.2">
      <c r="A715" s="1" vm="3705">
        <f ca="1"/>
        <v>45476</v>
      </c>
      <c r="B715" s="2" vm="3706">
        <f ca="1"/>
        <v>143.75</v>
      </c>
      <c r="C715" s="2" vm="3707">
        <f ca="1"/>
        <v>144.65</v>
      </c>
      <c r="D715" s="2" vm="3708">
        <f ca="1"/>
        <v>143.5</v>
      </c>
      <c r="E715" s="2" vm="3709">
        <f ca="1"/>
        <v>144.38</v>
      </c>
      <c r="F715" vm="3710">
        <f ca="1"/>
        <v>3560778</v>
      </c>
    </row>
    <row r="716" spans="1:6" x14ac:dyDescent="0.2">
      <c r="A716" s="1" vm="3711">
        <f ca="1"/>
        <v>45478</v>
      </c>
      <c r="B716" s="2" vm="3712">
        <f ca="1"/>
        <v>144.94999999999999</v>
      </c>
      <c r="C716" s="2" vm="3713">
        <f ca="1"/>
        <v>145.785</v>
      </c>
      <c r="D716" s="2" vm="3714">
        <f ca="1"/>
        <v>144.02000000000001</v>
      </c>
      <c r="E716" s="2" vm="3715">
        <f ca="1"/>
        <v>144.83000000000001</v>
      </c>
      <c r="F716" vm="3716">
        <f ca="1"/>
        <v>5365527</v>
      </c>
    </row>
    <row r="717" spans="1:6" x14ac:dyDescent="0.2">
      <c r="A717" s="1" vm="3717">
        <f ca="1"/>
        <v>45481</v>
      </c>
      <c r="B717" s="2" vm="3718">
        <f ca="1"/>
        <v>144.76</v>
      </c>
      <c r="C717" s="2" vm="3719">
        <f ca="1"/>
        <v>145.22999999999999</v>
      </c>
      <c r="D717" s="2" vm="3720">
        <f ca="1"/>
        <v>143.43</v>
      </c>
      <c r="E717" s="2" vm="3721">
        <f ca="1"/>
        <v>145.03</v>
      </c>
      <c r="F717" vm="3722">
        <f ca="1"/>
        <v>8622633</v>
      </c>
    </row>
    <row r="718" spans="1:6" x14ac:dyDescent="0.2">
      <c r="A718" s="1" vm="3723">
        <f ca="1"/>
        <v>45482</v>
      </c>
      <c r="B718" s="2" vm="3724">
        <f ca="1"/>
        <v>145.13</v>
      </c>
      <c r="C718" s="2" vm="3725">
        <f ca="1"/>
        <v>145.69990000000001</v>
      </c>
      <c r="D718" s="2" vm="3726">
        <f ca="1"/>
        <v>138</v>
      </c>
      <c r="E718" s="2" vm="3727">
        <f ca="1"/>
        <v>140.68</v>
      </c>
      <c r="F718" vm="3728">
        <f ca="1"/>
        <v>14340040</v>
      </c>
    </row>
    <row r="719" spans="1:6" x14ac:dyDescent="0.2">
      <c r="A719" s="1" vm="3729">
        <f ca="1"/>
        <v>45483</v>
      </c>
      <c r="B719" s="2" vm="3730">
        <f ca="1"/>
        <v>141.12</v>
      </c>
      <c r="C719" s="2" vm="3731">
        <f ca="1"/>
        <v>142.38</v>
      </c>
      <c r="D719" s="2" vm="3732">
        <f ca="1"/>
        <v>139.73500000000001</v>
      </c>
      <c r="E719" s="2" vm="3733">
        <f ca="1"/>
        <v>142.07</v>
      </c>
      <c r="F719" vm="3734">
        <f ca="1"/>
        <v>6350258</v>
      </c>
    </row>
    <row r="720" spans="1:6" x14ac:dyDescent="0.2">
      <c r="A720" s="1" vm="3735">
        <f ca="1"/>
        <v>45484</v>
      </c>
      <c r="B720" s="2" vm="3736">
        <f ca="1"/>
        <v>142.36000000000001</v>
      </c>
      <c r="C720" s="2" vm="3737">
        <f ca="1"/>
        <v>143.47999999999999</v>
      </c>
      <c r="D720" s="2" vm="3738">
        <f ca="1"/>
        <v>141.67840000000001</v>
      </c>
      <c r="E720" s="2" vm="3739">
        <f ca="1"/>
        <v>142.76</v>
      </c>
      <c r="F720" vm="3740">
        <f ca="1"/>
        <v>5246402</v>
      </c>
    </row>
    <row r="721" spans="1:6" x14ac:dyDescent="0.2">
      <c r="A721" s="1" vm="3741">
        <f ca="1"/>
        <v>45485</v>
      </c>
      <c r="B721" s="2" vm="3742">
        <f ca="1"/>
        <v>142.71</v>
      </c>
      <c r="C721" s="2" vm="3724">
        <f ca="1"/>
        <v>145.13</v>
      </c>
      <c r="D721" s="2" vm="3743">
        <f ca="1"/>
        <v>141.26</v>
      </c>
      <c r="E721" s="2" vm="3744">
        <f ca="1"/>
        <v>144.77000000000001</v>
      </c>
      <c r="F721" vm="3745">
        <f ca="1"/>
        <v>7361770</v>
      </c>
    </row>
    <row r="722" spans="1:6" x14ac:dyDescent="0.2">
      <c r="A722" s="1" vm="3746">
        <f ca="1"/>
        <v>45488</v>
      </c>
      <c r="B722" s="2" vm="3747">
        <f ca="1"/>
        <v>145.72999999999999</v>
      </c>
      <c r="C722" s="2" vm="3748">
        <f ca="1"/>
        <v>146.59</v>
      </c>
      <c r="D722" s="2" vm="3749">
        <f ca="1"/>
        <v>141.91999999999999</v>
      </c>
      <c r="E722" s="2" vm="3750">
        <f ca="1"/>
        <v>143.07</v>
      </c>
      <c r="F722" vm="3751">
        <f ca="1"/>
        <v>8687837</v>
      </c>
    </row>
    <row r="723" spans="1:6" x14ac:dyDescent="0.2">
      <c r="A723" s="1" vm="3752">
        <f ca="1"/>
        <v>45489</v>
      </c>
      <c r="B723" s="2" vm="3750">
        <f ca="1"/>
        <v>143.07</v>
      </c>
      <c r="C723" s="2" vm="3708">
        <f ca="1"/>
        <v>143.5</v>
      </c>
      <c r="D723" s="2" vm="3753">
        <f ca="1"/>
        <v>142.05000000000001</v>
      </c>
      <c r="E723" s="2" vm="3754">
        <f ca="1"/>
        <v>142.61000000000001</v>
      </c>
      <c r="F723" vm="3755">
        <f ca="1"/>
        <v>7181470</v>
      </c>
    </row>
    <row r="724" spans="1:6" x14ac:dyDescent="0.2">
      <c r="A724" s="1" vm="3756">
        <f ca="1"/>
        <v>45490</v>
      </c>
      <c r="B724" s="2" vm="3757">
        <f ca="1"/>
        <v>140.47999999999999</v>
      </c>
      <c r="C724" s="2" vm="3758">
        <f ca="1"/>
        <v>141.79</v>
      </c>
      <c r="D724" s="2" vm="3759">
        <f ca="1"/>
        <v>138.68010000000001</v>
      </c>
      <c r="E724" s="2" vm="3637">
        <f ca="1"/>
        <v>139.26</v>
      </c>
      <c r="F724" vm="3760">
        <f ca="1"/>
        <v>9157003</v>
      </c>
    </row>
    <row r="725" spans="1:6" x14ac:dyDescent="0.2">
      <c r="A725" s="1" vm="3761">
        <f ca="1"/>
        <v>45491</v>
      </c>
      <c r="B725" s="2" vm="3762">
        <f ca="1"/>
        <v>139.36000000000001</v>
      </c>
      <c r="C725" s="2" vm="3763">
        <f ca="1"/>
        <v>140.06</v>
      </c>
      <c r="D725" s="2" vm="3764">
        <f ca="1"/>
        <v>137.202</v>
      </c>
      <c r="E725" s="2" vm="3765">
        <f ca="1"/>
        <v>138.03</v>
      </c>
      <c r="F725" vm="3766">
        <f ca="1"/>
        <v>5998726</v>
      </c>
    </row>
    <row r="726" spans="1:6" x14ac:dyDescent="0.2">
      <c r="A726" s="1" vm="3767">
        <f ca="1"/>
        <v>45492</v>
      </c>
      <c r="B726" s="2" vm="3768">
        <f ca="1"/>
        <v>138.35</v>
      </c>
      <c r="C726" s="2" vm="3660">
        <f ca="1"/>
        <v>140.44</v>
      </c>
      <c r="D726" s="2" vm="3678">
        <f ca="1"/>
        <v>138.08000000000001</v>
      </c>
      <c r="E726" s="2" vm="3769">
        <f ca="1"/>
        <v>138.56</v>
      </c>
      <c r="F726" vm="3770">
        <f ca="1"/>
        <v>6111941</v>
      </c>
    </row>
    <row r="727" spans="1:6" x14ac:dyDescent="0.2">
      <c r="A727" s="1" vm="3771">
        <f ca="1"/>
        <v>45495</v>
      </c>
      <c r="B727" s="2" vm="3772">
        <f ca="1"/>
        <v>139.74</v>
      </c>
      <c r="C727" s="2" vm="3727">
        <f ca="1"/>
        <v>140.68</v>
      </c>
      <c r="D727" s="2" vm="3666">
        <f ca="1"/>
        <v>139.12</v>
      </c>
      <c r="E727" s="2" vm="3773">
        <f ca="1"/>
        <v>140.16999999999999</v>
      </c>
      <c r="F727" vm="3774">
        <f ca="1"/>
        <v>5387176</v>
      </c>
    </row>
    <row r="728" spans="1:6" x14ac:dyDescent="0.2">
      <c r="A728" s="1" vm="3775">
        <f ca="1"/>
        <v>45496</v>
      </c>
      <c r="B728" s="2" vm="3776">
        <f ca="1"/>
        <v>141.30000000000001</v>
      </c>
      <c r="C728" s="2" vm="3777">
        <f ca="1"/>
        <v>143.22</v>
      </c>
      <c r="D728" s="2" vm="3778">
        <f ca="1"/>
        <v>141.21</v>
      </c>
      <c r="E728" s="2" vm="3779">
        <f ca="1"/>
        <v>143.11000000000001</v>
      </c>
      <c r="F728" vm="3780">
        <f ca="1"/>
        <v>6697410</v>
      </c>
    </row>
    <row r="729" spans="1:6" x14ac:dyDescent="0.2">
      <c r="A729" s="1" vm="3781">
        <f ca="1"/>
        <v>45497</v>
      </c>
      <c r="B729" s="2" vm="3782">
        <f ca="1"/>
        <v>141.69999999999999</v>
      </c>
      <c r="C729" s="2" vm="3783">
        <f ca="1"/>
        <v>142.66</v>
      </c>
      <c r="D729" s="2" vm="3784">
        <f ca="1"/>
        <v>138.4</v>
      </c>
      <c r="E729" s="2" vm="3633">
        <f ca="1"/>
        <v>138.77000000000001</v>
      </c>
      <c r="F729" vm="3785">
        <f ca="1"/>
        <v>8018807</v>
      </c>
    </row>
    <row r="730" spans="1:6" x14ac:dyDescent="0.2">
      <c r="A730" s="1" vm="3786">
        <f ca="1"/>
        <v>45498</v>
      </c>
      <c r="B730" s="2" vm="3787">
        <f ca="1"/>
        <v>140.15</v>
      </c>
      <c r="C730" s="2" vm="3696">
        <f ca="1"/>
        <v>141.07</v>
      </c>
      <c r="D730" s="2" vm="3788">
        <f ca="1"/>
        <v>137.69999999999999</v>
      </c>
      <c r="E730" s="2" vm="3789">
        <f ca="1"/>
        <v>137.82</v>
      </c>
      <c r="F730" vm="3790">
        <f ca="1"/>
        <v>7654625</v>
      </c>
    </row>
    <row r="731" spans="1:6" x14ac:dyDescent="0.2">
      <c r="A731" s="1" vm="3791">
        <f ca="1"/>
        <v>45499</v>
      </c>
      <c r="B731" s="2" vm="3792">
        <f ca="1"/>
        <v>138.87</v>
      </c>
      <c r="C731" s="2" vm="3793">
        <f ca="1"/>
        <v>139.96</v>
      </c>
      <c r="D731" s="2" vm="3794">
        <f ca="1"/>
        <v>138.38</v>
      </c>
      <c r="E731" s="2" vm="3795">
        <f ca="1"/>
        <v>139.01</v>
      </c>
      <c r="F731" vm="3796">
        <f ca="1"/>
        <v>5139377</v>
      </c>
    </row>
    <row r="732" spans="1:6" x14ac:dyDescent="0.2">
      <c r="A732" s="1" vm="3797">
        <f ca="1"/>
        <v>45502</v>
      </c>
      <c r="B732" s="2" vm="3690">
        <f ca="1"/>
        <v>139.27000000000001</v>
      </c>
      <c r="C732" s="2" vm="3798">
        <f ca="1"/>
        <v>139.78</v>
      </c>
      <c r="D732" s="2" vm="3799">
        <f ca="1"/>
        <v>137.82499999999999</v>
      </c>
      <c r="E732" s="2" vm="3800">
        <f ca="1"/>
        <v>138.31</v>
      </c>
      <c r="F732" vm="3801">
        <f ca="1"/>
        <v>4054647</v>
      </c>
    </row>
    <row r="733" spans="1:6" x14ac:dyDescent="0.2">
      <c r="A733" s="1" vm="3802">
        <f ca="1"/>
        <v>45503</v>
      </c>
      <c r="B733" s="2" vm="3803">
        <f ca="1"/>
        <v>139.07</v>
      </c>
      <c r="C733" s="2" vm="3804">
        <f ca="1"/>
        <v>139.565</v>
      </c>
      <c r="D733" s="2" vm="3805">
        <f ca="1"/>
        <v>134.96</v>
      </c>
      <c r="E733" s="2" vm="3806">
        <f ca="1"/>
        <v>135.66999999999999</v>
      </c>
      <c r="F733" vm="3807">
        <f ca="1"/>
        <v>6505701</v>
      </c>
    </row>
    <row r="734" spans="1:6" x14ac:dyDescent="0.2">
      <c r="A734" s="1" vm="3808">
        <f ca="1"/>
        <v>45504</v>
      </c>
      <c r="B734" s="2" vm="3809">
        <f ca="1"/>
        <v>139.69</v>
      </c>
      <c r="C734" s="2" vm="3810">
        <f ca="1"/>
        <v>141.55000000000001</v>
      </c>
      <c r="D734" s="2" vm="3811">
        <f ca="1"/>
        <v>138.66</v>
      </c>
      <c r="E734" s="2" vm="3812">
        <f ca="1"/>
        <v>139.44999999999999</v>
      </c>
      <c r="F734" vm="3813">
        <f ca="1"/>
        <v>7188043</v>
      </c>
    </row>
    <row r="735" spans="1:6" x14ac:dyDescent="0.2">
      <c r="A735" s="1" vm="3814">
        <f ca="1"/>
        <v>45505</v>
      </c>
      <c r="B735" s="2" vm="3815">
        <f ca="1"/>
        <v>139.29</v>
      </c>
      <c r="C735" s="2" vm="3816">
        <f ca="1"/>
        <v>140.38999999999999</v>
      </c>
      <c r="D735" s="2" vm="3817">
        <f ca="1"/>
        <v>135.77000000000001</v>
      </c>
      <c r="E735" s="2" vm="3818">
        <f ca="1"/>
        <v>137.51</v>
      </c>
      <c r="F735" vm="3819">
        <f ca="1"/>
        <v>5906808</v>
      </c>
    </row>
    <row r="736" spans="1:6" x14ac:dyDescent="0.2">
      <c r="A736" s="1" vm="3820">
        <f ca="1"/>
        <v>45506</v>
      </c>
      <c r="B736" s="2" vm="3821">
        <f ca="1"/>
        <v>132.77000000000001</v>
      </c>
      <c r="C736" s="2" vm="3822">
        <f ca="1"/>
        <v>134.30000000000001</v>
      </c>
      <c r="D736" s="2" vm="3823">
        <f ca="1"/>
        <v>131.80000000000001</v>
      </c>
      <c r="E736" s="2" vm="3824">
        <f ca="1"/>
        <v>133.28</v>
      </c>
      <c r="F736" vm="3825">
        <f ca="1"/>
        <v>8251585</v>
      </c>
    </row>
    <row r="737" spans="1:6" x14ac:dyDescent="0.2">
      <c r="A737" s="1" vm="3826">
        <f ca="1"/>
        <v>45509</v>
      </c>
      <c r="B737" s="2" vm="3827">
        <f ca="1"/>
        <v>127.89</v>
      </c>
      <c r="C737" s="2" vm="3828">
        <f ca="1"/>
        <v>129.97</v>
      </c>
      <c r="D737" s="2" vm="3829">
        <f ca="1"/>
        <v>126.6639</v>
      </c>
      <c r="E737" s="2" vm="3830">
        <f ca="1"/>
        <v>127.86</v>
      </c>
      <c r="F737" vm="3831">
        <f ca="1"/>
        <v>10354987</v>
      </c>
    </row>
    <row r="738" spans="1:6" x14ac:dyDescent="0.2">
      <c r="A738" s="1" vm="3832">
        <f ca="1"/>
        <v>45510</v>
      </c>
      <c r="B738" s="2" vm="3833">
        <f ca="1"/>
        <v>130.54</v>
      </c>
      <c r="C738" s="2" vm="3834">
        <f ca="1"/>
        <v>131.03749999999999</v>
      </c>
      <c r="D738" s="2" vm="3835">
        <f ca="1"/>
        <v>128.08000000000001</v>
      </c>
      <c r="E738" s="2" vm="3836">
        <f ca="1"/>
        <v>128.21</v>
      </c>
      <c r="F738" vm="3837">
        <f ca="1"/>
        <v>8373891</v>
      </c>
    </row>
    <row r="739" spans="1:6" x14ac:dyDescent="0.2">
      <c r="A739" s="1" vm="3838">
        <f ca="1"/>
        <v>45511</v>
      </c>
      <c r="B739" s="2" vm="3839">
        <f ca="1"/>
        <v>128.91999999999999</v>
      </c>
      <c r="C739" s="2" vm="3840">
        <f ca="1"/>
        <v>130.30000000000001</v>
      </c>
      <c r="D739" s="2" vm="3841">
        <f ca="1"/>
        <v>125.75</v>
      </c>
      <c r="E739" s="2" vm="3842">
        <f ca="1"/>
        <v>125.9</v>
      </c>
      <c r="F739" vm="3843">
        <f ca="1"/>
        <v>8617652</v>
      </c>
    </row>
    <row r="740" spans="1:6" x14ac:dyDescent="0.2">
      <c r="A740" s="1" vm="3844">
        <f ca="1"/>
        <v>45512</v>
      </c>
      <c r="B740" s="2" vm="3310">
        <f ca="1"/>
        <v>128</v>
      </c>
      <c r="C740" s="2" vm="3845">
        <f ca="1"/>
        <v>129.82</v>
      </c>
      <c r="D740" s="2" vm="3846">
        <f ca="1"/>
        <v>127.65</v>
      </c>
      <c r="E740" s="2" vm="3847">
        <f ca="1"/>
        <v>128.96</v>
      </c>
      <c r="F740" vm="3848">
        <f ca="1"/>
        <v>6243219</v>
      </c>
    </row>
    <row r="741" spans="1:6" x14ac:dyDescent="0.2">
      <c r="A741" s="1" vm="3849">
        <f ca="1"/>
        <v>45513</v>
      </c>
      <c r="B741" s="2" vm="3850">
        <f ca="1"/>
        <v>128.4</v>
      </c>
      <c r="C741" s="2" vm="3851">
        <f ca="1"/>
        <v>132.37</v>
      </c>
      <c r="D741" s="2" vm="3852">
        <f ca="1"/>
        <v>128.34</v>
      </c>
      <c r="E741" s="2" vm="3853">
        <f ca="1"/>
        <v>132.06</v>
      </c>
      <c r="F741" vm="3854">
        <f ca="1"/>
        <v>5597278</v>
      </c>
    </row>
    <row r="742" spans="1:6" x14ac:dyDescent="0.2">
      <c r="A742" s="1" vm="3855">
        <f ca="1"/>
        <v>45516</v>
      </c>
      <c r="B742" s="2" vm="3856">
        <f ca="1"/>
        <v>132.25</v>
      </c>
      <c r="C742" s="2" vm="3857">
        <f ca="1"/>
        <v>132.71</v>
      </c>
      <c r="D742" s="2" vm="3858">
        <f ca="1"/>
        <v>131.21</v>
      </c>
      <c r="E742" s="2" vm="3859">
        <f ca="1"/>
        <v>132.58000000000001</v>
      </c>
      <c r="F742" vm="3860">
        <f ca="1"/>
        <v>5600826</v>
      </c>
    </row>
    <row r="743" spans="1:6" x14ac:dyDescent="0.2">
      <c r="A743" s="1" vm="3861">
        <f ca="1"/>
        <v>45517</v>
      </c>
      <c r="B743" s="2" vm="3862">
        <f ca="1"/>
        <v>132.97</v>
      </c>
      <c r="C743" s="2" vm="3863">
        <f ca="1"/>
        <v>134.54</v>
      </c>
      <c r="D743" s="2" vm="3864">
        <f ca="1"/>
        <v>132.81</v>
      </c>
      <c r="E743" s="2" vm="3865">
        <f ca="1"/>
        <v>134.26</v>
      </c>
      <c r="F743" vm="3866">
        <f ca="1"/>
        <v>4324038</v>
      </c>
    </row>
    <row r="744" spans="1:6" x14ac:dyDescent="0.2">
      <c r="A744" s="1" vm="3867">
        <f ca="1"/>
        <v>45518</v>
      </c>
      <c r="B744" s="2" vm="3868">
        <f ca="1"/>
        <v>134.04</v>
      </c>
      <c r="C744" s="2" vm="3869">
        <f ca="1"/>
        <v>135.97</v>
      </c>
      <c r="D744" s="2" vm="3870">
        <f ca="1"/>
        <v>134.01</v>
      </c>
      <c r="E744" s="2" vm="3871">
        <f ca="1"/>
        <v>135.6</v>
      </c>
      <c r="F744" vm="3872">
        <f ca="1"/>
        <v>4044630</v>
      </c>
    </row>
    <row r="745" spans="1:6" x14ac:dyDescent="0.2">
      <c r="A745" s="1" vm="3873">
        <f ca="1"/>
        <v>45519</v>
      </c>
      <c r="B745" s="2" vm="3874">
        <f ca="1"/>
        <v>136.93</v>
      </c>
      <c r="C745" s="2" vm="3875">
        <f ca="1"/>
        <v>137.25</v>
      </c>
      <c r="D745" s="2" vm="3876">
        <f ca="1"/>
        <v>135.72</v>
      </c>
      <c r="E745" s="2" vm="3874">
        <f ca="1"/>
        <v>136.93</v>
      </c>
      <c r="F745" vm="3877">
        <f ca="1"/>
        <v>4698128</v>
      </c>
    </row>
    <row r="746" spans="1:6" x14ac:dyDescent="0.2">
      <c r="A746" s="1" vm="3878">
        <f ca="1"/>
        <v>45520</v>
      </c>
      <c r="B746" s="2" vm="3879">
        <f ca="1"/>
        <v>136.79</v>
      </c>
      <c r="C746" s="2" vm="3789">
        <f ca="1"/>
        <v>137.82</v>
      </c>
      <c r="D746" s="2" vm="3880">
        <f ca="1"/>
        <v>136.38999999999999</v>
      </c>
      <c r="E746" s="2" vm="3881">
        <f ca="1"/>
        <v>137.47</v>
      </c>
      <c r="F746" vm="3882">
        <f ca="1"/>
        <v>4893787</v>
      </c>
    </row>
    <row r="747" spans="1:6" x14ac:dyDescent="0.2">
      <c r="A747" s="1" vm="3883">
        <f ca="1"/>
        <v>45523</v>
      </c>
      <c r="B747" s="2" vm="3884">
        <f ca="1"/>
        <v>137.53</v>
      </c>
      <c r="C747" s="2" vm="3885">
        <f ca="1"/>
        <v>137.94999999999999</v>
      </c>
      <c r="D747" s="2" vm="3886">
        <f ca="1"/>
        <v>136.45500000000001</v>
      </c>
      <c r="E747" s="2" vm="3887">
        <f ca="1"/>
        <v>137.91999999999999</v>
      </c>
      <c r="F747" vm="3888">
        <f ca="1"/>
        <v>3641585</v>
      </c>
    </row>
    <row r="748" spans="1:6" x14ac:dyDescent="0.2">
      <c r="A748" s="1" vm="3889">
        <f ca="1"/>
        <v>45524</v>
      </c>
      <c r="B748" s="2" vm="3789">
        <f ca="1"/>
        <v>137.82</v>
      </c>
      <c r="C748" s="2" vm="3890">
        <f ca="1"/>
        <v>139.79</v>
      </c>
      <c r="D748" s="2" vm="3789">
        <f ca="1"/>
        <v>137.82</v>
      </c>
      <c r="E748" s="2" vm="3673">
        <f ca="1"/>
        <v>139.16999999999999</v>
      </c>
      <c r="F748" vm="3891">
        <f ca="1"/>
        <v>3738261</v>
      </c>
    </row>
    <row r="749" spans="1:6" x14ac:dyDescent="0.2">
      <c r="A749" s="1" vm="3892">
        <f ca="1"/>
        <v>45525</v>
      </c>
      <c r="B749" s="2" vm="3643">
        <f ca="1"/>
        <v>138.80000000000001</v>
      </c>
      <c r="C749" s="2" vm="3893">
        <f ca="1"/>
        <v>140.30000000000001</v>
      </c>
      <c r="D749" s="2" vm="3894">
        <f ca="1"/>
        <v>138.55000000000001</v>
      </c>
      <c r="E749" s="2" vm="3895">
        <f ca="1"/>
        <v>140.19999999999999</v>
      </c>
      <c r="F749" vm="3896">
        <f ca="1"/>
        <v>3776768</v>
      </c>
    </row>
    <row r="750" spans="1:6" x14ac:dyDescent="0.2">
      <c r="A750" s="1" vm="3897">
        <f ca="1"/>
        <v>45526</v>
      </c>
      <c r="B750" s="2" vm="3898">
        <f ca="1"/>
        <v>140.69999999999999</v>
      </c>
      <c r="C750" s="2" vm="3899">
        <f ca="1"/>
        <v>141.08000000000001</v>
      </c>
      <c r="D750" s="2" vm="3900">
        <f ca="1"/>
        <v>137.65</v>
      </c>
      <c r="E750" s="2" vm="3678">
        <f ca="1"/>
        <v>138.08000000000001</v>
      </c>
      <c r="F750" vm="3901">
        <f ca="1"/>
        <v>5162189</v>
      </c>
    </row>
    <row r="751" spans="1:6" x14ac:dyDescent="0.2">
      <c r="A751" s="1" vm="3902">
        <f ca="1"/>
        <v>45527</v>
      </c>
      <c r="B751" s="2" vm="3903">
        <f ca="1"/>
        <v>138.72999999999999</v>
      </c>
      <c r="C751" s="2" vm="3890">
        <f ca="1"/>
        <v>139.79</v>
      </c>
      <c r="D751" s="2" vm="3904">
        <f ca="1"/>
        <v>137.26</v>
      </c>
      <c r="E751" s="2" vm="3905">
        <f ca="1"/>
        <v>139.19</v>
      </c>
      <c r="F751" vm="3906">
        <f ca="1"/>
        <v>4544571</v>
      </c>
    </row>
    <row r="752" spans="1:6" x14ac:dyDescent="0.2">
      <c r="A752" s="1" vm="3907">
        <f ca="1"/>
        <v>45530</v>
      </c>
      <c r="B752" s="2" vm="3908">
        <f ca="1"/>
        <v>139.38999999999999</v>
      </c>
      <c r="C752" s="2" vm="3909">
        <f ca="1"/>
        <v>139.4</v>
      </c>
      <c r="D752" s="2" vm="3910">
        <f ca="1"/>
        <v>138.19</v>
      </c>
      <c r="E752" s="2" vm="3911">
        <f ca="1"/>
        <v>138.9</v>
      </c>
      <c r="F752" vm="3912">
        <f ca="1"/>
        <v>2729605</v>
      </c>
    </row>
    <row r="753" spans="1:6" x14ac:dyDescent="0.2">
      <c r="A753" s="1" vm="3913">
        <f ca="1"/>
        <v>45531</v>
      </c>
      <c r="B753" s="2" vm="3914">
        <f ca="1"/>
        <v>137.85</v>
      </c>
      <c r="C753" s="2" vm="3915">
        <f ca="1"/>
        <v>139.5</v>
      </c>
      <c r="D753" s="2" vm="3916">
        <f ca="1"/>
        <v>137.74</v>
      </c>
      <c r="E753" s="2" vm="3917">
        <f ca="1"/>
        <v>138.47999999999999</v>
      </c>
      <c r="F753" vm="3918">
        <f ca="1"/>
        <v>3872342</v>
      </c>
    </row>
    <row r="754" spans="1:6" x14ac:dyDescent="0.2">
      <c r="A754" s="1" vm="3919">
        <f ca="1"/>
        <v>45532</v>
      </c>
      <c r="B754" s="2" vm="3920">
        <f ca="1"/>
        <v>138.83000000000001</v>
      </c>
      <c r="C754" s="2" vm="3921">
        <f ca="1"/>
        <v>138.94999999999999</v>
      </c>
      <c r="D754" s="2" vm="3922">
        <f ca="1"/>
        <v>136.91</v>
      </c>
      <c r="E754" s="2" vm="3923">
        <f ca="1"/>
        <v>137.88</v>
      </c>
      <c r="F754" vm="3924">
        <f ca="1"/>
        <v>3022639</v>
      </c>
    </row>
    <row r="755" spans="1:6" x14ac:dyDescent="0.2">
      <c r="A755" s="1" vm="3925">
        <f ca="1"/>
        <v>45533</v>
      </c>
      <c r="B755" s="2" vm="3926">
        <f ca="1"/>
        <v>139.13999999999999</v>
      </c>
      <c r="C755" s="2" vm="3927">
        <f ca="1"/>
        <v>141.16</v>
      </c>
      <c r="D755" s="2" vm="3928">
        <f ca="1"/>
        <v>138.85</v>
      </c>
      <c r="E755" s="2" vm="3929">
        <f ca="1"/>
        <v>139.41999999999999</v>
      </c>
      <c r="F755" vm="3930">
        <f ca="1"/>
        <v>4588361</v>
      </c>
    </row>
    <row r="756" spans="1:6" x14ac:dyDescent="0.2">
      <c r="A756" s="1" vm="3931">
        <f ca="1"/>
        <v>45534</v>
      </c>
      <c r="B756" s="2" vm="3932">
        <f ca="1"/>
        <v>140.33000000000001</v>
      </c>
      <c r="C756" s="2" vm="3933">
        <f ca="1"/>
        <v>141.72</v>
      </c>
      <c r="D756" s="2" vm="3934">
        <f ca="1"/>
        <v>140.095</v>
      </c>
      <c r="E756" s="2" vm="3935">
        <f ca="1"/>
        <v>141.29</v>
      </c>
      <c r="F756" vm="3936">
        <f ca="1"/>
        <v>7980679</v>
      </c>
    </row>
    <row r="757" spans="1:6" x14ac:dyDescent="0.2">
      <c r="A757" s="1" vm="3937">
        <f ca="1"/>
        <v>45538</v>
      </c>
      <c r="B757" s="2" vm="3938">
        <f ca="1"/>
        <v>140.44999999999999</v>
      </c>
      <c r="C757" s="2" vm="3939">
        <f ca="1"/>
        <v>142.19999999999999</v>
      </c>
      <c r="D757" s="2" vm="3920">
        <f ca="1"/>
        <v>138.83000000000001</v>
      </c>
      <c r="E757" s="2" vm="3915">
        <f ca="1"/>
        <v>139.5</v>
      </c>
      <c r="F757" vm="3940">
        <f ca="1"/>
        <v>6831174</v>
      </c>
    </row>
    <row r="758" spans="1:6" x14ac:dyDescent="0.2">
      <c r="A758" s="1" vm="3941">
        <f ca="1"/>
        <v>45539</v>
      </c>
      <c r="B758" s="2" vm="3942">
        <f ca="1"/>
        <v>138.44</v>
      </c>
      <c r="C758" s="2" vm="3943">
        <f ca="1"/>
        <v>141.1009</v>
      </c>
      <c r="D758" s="2" vm="3885">
        <f ca="1"/>
        <v>137.94999999999999</v>
      </c>
      <c r="E758" s="2" vm="3944">
        <f ca="1"/>
        <v>140.75</v>
      </c>
      <c r="F758" vm="3945">
        <f ca="1"/>
        <v>6243325</v>
      </c>
    </row>
    <row r="759" spans="1:6" x14ac:dyDescent="0.2">
      <c r="A759" s="1" vm="3946">
        <f ca="1"/>
        <v>45540</v>
      </c>
      <c r="B759" s="2" vm="3947">
        <f ca="1"/>
        <v>141.4</v>
      </c>
      <c r="C759" s="2" vm="3703">
        <f ca="1"/>
        <v>143.28</v>
      </c>
      <c r="D759" s="2" vm="3948">
        <f ca="1"/>
        <v>140.30500000000001</v>
      </c>
      <c r="E759" s="2" vm="3754">
        <f ca="1"/>
        <v>142.61000000000001</v>
      </c>
      <c r="F759" vm="3949">
        <f ca="1"/>
        <v>8733246</v>
      </c>
    </row>
    <row r="760" spans="1:6" x14ac:dyDescent="0.2">
      <c r="A760" s="1" vm="3950">
        <f ca="1"/>
        <v>45541</v>
      </c>
      <c r="B760" s="2" vm="3951">
        <f ca="1"/>
        <v>143.79</v>
      </c>
      <c r="C760" s="2" vm="3952">
        <f ca="1"/>
        <v>143.94</v>
      </c>
      <c r="D760" s="2" vm="3909">
        <f ca="1"/>
        <v>139.4</v>
      </c>
      <c r="E760" s="2" vm="3953">
        <f ca="1"/>
        <v>141.81</v>
      </c>
      <c r="F760" vm="3954">
        <f ca="1"/>
        <v>11154796</v>
      </c>
    </row>
    <row r="761" spans="1:6" x14ac:dyDescent="0.2">
      <c r="A761" s="1" vm="3955">
        <f ca="1"/>
        <v>45544</v>
      </c>
      <c r="B761" s="2" vm="3956">
        <f ca="1"/>
        <v>142.49</v>
      </c>
      <c r="C761" s="2" vm="3957">
        <f ca="1"/>
        <v>143.30000000000001</v>
      </c>
      <c r="D761" s="2" vm="3958">
        <f ca="1"/>
        <v>139.51</v>
      </c>
      <c r="E761" s="2" vm="3667">
        <f ca="1"/>
        <v>139.88999999999999</v>
      </c>
      <c r="F761" vm="3959">
        <f ca="1"/>
        <v>20233428</v>
      </c>
    </row>
    <row r="762" spans="1:6" x14ac:dyDescent="0.2">
      <c r="A762" s="1" vm="3960">
        <f ca="1"/>
        <v>45545</v>
      </c>
      <c r="B762" s="2" vm="3961">
        <f ca="1"/>
        <v>154.22999999999999</v>
      </c>
      <c r="C762" s="2" vm="3962">
        <f ca="1"/>
        <v>160.52000000000001</v>
      </c>
      <c r="D762" s="2" vm="3963">
        <f ca="1"/>
        <v>153.12</v>
      </c>
      <c r="E762" s="2" vm="3964">
        <f ca="1"/>
        <v>155.88999999999999</v>
      </c>
      <c r="F762" vm="3965">
        <f ca="1"/>
        <v>37374210</v>
      </c>
    </row>
    <row r="763" spans="1:6" x14ac:dyDescent="0.2">
      <c r="A763" s="1" vm="3966">
        <f ca="1"/>
        <v>45546</v>
      </c>
      <c r="B763" s="2" vm="3967">
        <f ca="1"/>
        <v>156.78</v>
      </c>
      <c r="C763" s="2" vm="3968">
        <f ca="1"/>
        <v>159.44</v>
      </c>
      <c r="D763" s="2" vm="3969">
        <f ca="1"/>
        <v>154.84010000000001</v>
      </c>
      <c r="E763" s="2" vm="3970">
        <f ca="1"/>
        <v>157.18</v>
      </c>
      <c r="F763" vm="3971">
        <f ca="1"/>
        <v>12630122</v>
      </c>
    </row>
    <row r="764" spans="1:6" x14ac:dyDescent="0.2">
      <c r="A764" s="1" vm="3972">
        <f ca="1"/>
        <v>45547</v>
      </c>
      <c r="B764" s="2" vm="3973">
        <f ca="1"/>
        <v>159.04</v>
      </c>
      <c r="C764" s="2" vm="3974">
        <f ca="1"/>
        <v>162.34</v>
      </c>
      <c r="D764" s="2" vm="3975">
        <f ca="1"/>
        <v>157.9</v>
      </c>
      <c r="E764" s="2" vm="3976">
        <f ca="1"/>
        <v>161.38</v>
      </c>
      <c r="F764" vm="3977">
        <f ca="1"/>
        <v>16352048</v>
      </c>
    </row>
    <row r="765" spans="1:6" x14ac:dyDescent="0.2">
      <c r="A765" s="1" vm="3978">
        <f ca="1"/>
        <v>45548</v>
      </c>
      <c r="B765" s="2" vm="3979">
        <f ca="1"/>
        <v>173.7</v>
      </c>
      <c r="C765" s="2" vm="3980">
        <f ca="1"/>
        <v>173.935</v>
      </c>
      <c r="D765" s="2" vm="3981">
        <f ca="1"/>
        <v>161</v>
      </c>
      <c r="E765" s="2" vm="3982">
        <f ca="1"/>
        <v>162.03</v>
      </c>
      <c r="F765" vm="3983">
        <f ca="1"/>
        <v>25727805</v>
      </c>
    </row>
    <row r="766" spans="1:6" x14ac:dyDescent="0.2">
      <c r="A766" s="1" vm="3984">
        <f ca="1"/>
        <v>45551</v>
      </c>
      <c r="B766" s="2" vm="3985">
        <f ca="1"/>
        <v>164.99</v>
      </c>
      <c r="C766" s="2" vm="3986">
        <f ca="1"/>
        <v>173.99</v>
      </c>
      <c r="D766" s="2" vm="3987">
        <f ca="1"/>
        <v>164.51</v>
      </c>
      <c r="E766" s="2" vm="3988">
        <f ca="1"/>
        <v>170.33</v>
      </c>
      <c r="F766" vm="3989">
        <f ca="1"/>
        <v>27384374</v>
      </c>
    </row>
    <row r="767" spans="1:6" x14ac:dyDescent="0.2">
      <c r="A767" s="1" vm="3990">
        <f ca="1"/>
        <v>45552</v>
      </c>
      <c r="B767" s="2" vm="3991">
        <f ca="1"/>
        <v>170.28</v>
      </c>
      <c r="C767" s="2" vm="3992">
        <f ca="1"/>
        <v>170.64</v>
      </c>
      <c r="D767" s="2" vm="3993">
        <f ca="1"/>
        <v>166.77</v>
      </c>
      <c r="E767" s="2" vm="3994">
        <f ca="1"/>
        <v>167.47</v>
      </c>
      <c r="F767" vm="3995">
        <f ca="1"/>
        <v>12580114</v>
      </c>
    </row>
    <row r="768" spans="1:6" x14ac:dyDescent="0.2">
      <c r="A768" s="1" vm="3996">
        <f ca="1"/>
        <v>45553</v>
      </c>
      <c r="B768" s="2" vm="3997">
        <f ca="1"/>
        <v>167.62</v>
      </c>
      <c r="C768" s="2" vm="3997">
        <f ca="1"/>
        <v>167.62</v>
      </c>
      <c r="D768" s="2" vm="3998">
        <f ca="1"/>
        <v>163.72999999999999</v>
      </c>
      <c r="E768" s="2" vm="3999">
        <f ca="1"/>
        <v>164.53</v>
      </c>
      <c r="F768" vm="4000">
        <f ca="1"/>
        <v>12274414</v>
      </c>
    </row>
    <row r="769" spans="1:6" x14ac:dyDescent="0.2">
      <c r="A769" s="1" vm="4001">
        <f ca="1"/>
        <v>45554</v>
      </c>
      <c r="B769" s="2" vm="4002">
        <f ca="1"/>
        <v>167.25</v>
      </c>
      <c r="C769" s="2" vm="4003">
        <f ca="1"/>
        <v>168.16</v>
      </c>
      <c r="D769" s="2" vm="3987">
        <f ca="1"/>
        <v>164.51</v>
      </c>
      <c r="E769" s="2" vm="4004">
        <f ca="1"/>
        <v>167.59</v>
      </c>
      <c r="F769" vm="4005">
        <f ca="1"/>
        <v>10075884</v>
      </c>
    </row>
    <row r="770" spans="1:6" x14ac:dyDescent="0.2">
      <c r="A770" s="1" vm="4006">
        <f ca="1"/>
        <v>45555</v>
      </c>
      <c r="B770" s="2" vm="4007">
        <f ca="1"/>
        <v>167.13</v>
      </c>
      <c r="C770" s="2" vm="4008">
        <f ca="1"/>
        <v>168.83</v>
      </c>
      <c r="D770" s="2" vm="4009">
        <f ca="1"/>
        <v>166.6</v>
      </c>
      <c r="E770" s="2" vm="4010">
        <f ca="1"/>
        <v>168</v>
      </c>
      <c r="F770" vm="4011">
        <f ca="1"/>
        <v>12187736</v>
      </c>
    </row>
    <row r="771" spans="1:6" x14ac:dyDescent="0.2">
      <c r="A771" s="1" vm="4012">
        <f ca="1"/>
        <v>45558</v>
      </c>
      <c r="B771" s="2" vm="4013">
        <f ca="1"/>
        <v>167.22499999999999</v>
      </c>
      <c r="C771" s="2" vm="4014">
        <f ca="1"/>
        <v>167.33</v>
      </c>
      <c r="D771" s="2" vm="4015">
        <f ca="1"/>
        <v>164.26</v>
      </c>
      <c r="E771" s="2" vm="4016">
        <f ca="1"/>
        <v>165.95</v>
      </c>
      <c r="F771" vm="4017">
        <f ca="1"/>
        <v>7916081</v>
      </c>
    </row>
    <row r="772" spans="1:6" x14ac:dyDescent="0.2">
      <c r="A772" s="1" vm="4018">
        <f ca="1"/>
        <v>45559</v>
      </c>
      <c r="B772" s="2" vm="4019">
        <f ca="1"/>
        <v>165.74</v>
      </c>
      <c r="C772" s="2" vm="4020">
        <f ca="1"/>
        <v>166.1</v>
      </c>
      <c r="D772" s="2" vm="4021">
        <f ca="1"/>
        <v>163.92</v>
      </c>
      <c r="E772" s="2" vm="4022">
        <f ca="1"/>
        <v>165.8</v>
      </c>
      <c r="F772" vm="4023">
        <f ca="1"/>
        <v>6155076</v>
      </c>
    </row>
    <row r="773" spans="1:6" x14ac:dyDescent="0.2">
      <c r="A773" s="1" vm="4024">
        <f ca="1"/>
        <v>45560</v>
      </c>
      <c r="B773" s="2" vm="4025">
        <f ca="1"/>
        <v>167.69</v>
      </c>
      <c r="C773" s="2" vm="4026">
        <f ca="1"/>
        <v>168.75</v>
      </c>
      <c r="D773" s="2" vm="4027">
        <f ca="1"/>
        <v>165.66</v>
      </c>
      <c r="E773" s="2" vm="4028">
        <f ca="1"/>
        <v>166.28</v>
      </c>
      <c r="F773" vm="4029">
        <f ca="1"/>
        <v>7142437</v>
      </c>
    </row>
    <row r="774" spans="1:6" x14ac:dyDescent="0.2">
      <c r="A774" s="1" vm="4030">
        <f ca="1"/>
        <v>45561</v>
      </c>
      <c r="B774" s="2" vm="4031">
        <f ca="1"/>
        <v>167.65</v>
      </c>
      <c r="C774" s="2" vm="4032">
        <f ca="1"/>
        <v>168.36</v>
      </c>
      <c r="D774" s="2" vm="4033">
        <f ca="1"/>
        <v>166.48</v>
      </c>
      <c r="E774" s="2" vm="4034">
        <f ca="1"/>
        <v>168.1</v>
      </c>
      <c r="F774" vm="4035">
        <f ca="1"/>
        <v>7096842</v>
      </c>
    </row>
    <row r="775" spans="1:6" x14ac:dyDescent="0.2">
      <c r="A775" s="1" vm="4036">
        <f ca="1"/>
        <v>45562</v>
      </c>
      <c r="B775" s="2" vm="4037">
        <f ca="1"/>
        <v>168.09</v>
      </c>
      <c r="C775" s="2" vm="4038">
        <f ca="1"/>
        <v>169.10980000000001</v>
      </c>
      <c r="D775" s="2" vm="4039">
        <f ca="1"/>
        <v>166.51</v>
      </c>
      <c r="E775" s="2" vm="4040">
        <f ca="1"/>
        <v>168.74</v>
      </c>
      <c r="F775" vm="4041">
        <f ca="1"/>
        <v>8974377</v>
      </c>
    </row>
    <row r="776" spans="1:6" x14ac:dyDescent="0.2">
      <c r="A776" s="1" vm="4042">
        <f ca="1"/>
        <v>45565</v>
      </c>
      <c r="B776" s="2" vm="4043">
        <f ca="1"/>
        <v>169.5</v>
      </c>
      <c r="C776" s="2" vm="4044">
        <f ca="1"/>
        <v>170.52</v>
      </c>
      <c r="D776" s="2" vm="4045">
        <f ca="1"/>
        <v>166.45</v>
      </c>
      <c r="E776" s="2" vm="4046">
        <f ca="1"/>
        <v>170.4</v>
      </c>
      <c r="F776" vm="4047">
        <f ca="1"/>
        <v>10218973</v>
      </c>
    </row>
    <row r="777" spans="1:6" x14ac:dyDescent="0.2">
      <c r="A777" s="1" vm="4048">
        <f ca="1"/>
        <v>45566</v>
      </c>
      <c r="B777" s="2" vm="4049">
        <f ca="1"/>
        <v>170.22</v>
      </c>
      <c r="C777" s="2" vm="4050">
        <f ca="1"/>
        <v>170.51</v>
      </c>
      <c r="D777" s="2" vm="4051">
        <f ca="1"/>
        <v>165.97</v>
      </c>
      <c r="E777" s="2" vm="4052">
        <f ca="1"/>
        <v>167.16</v>
      </c>
      <c r="F777" vm="4053">
        <f ca="1"/>
        <v>7595053</v>
      </c>
    </row>
    <row r="778" spans="1:6" x14ac:dyDescent="0.2">
      <c r="A778" s="1" vm="4054">
        <f ca="1"/>
        <v>45567</v>
      </c>
      <c r="B778" s="2" vm="4055">
        <f ca="1"/>
        <v>167.6</v>
      </c>
      <c r="C778" s="2" vm="4056">
        <f ca="1"/>
        <v>169.18</v>
      </c>
      <c r="D778" s="2" vm="4057">
        <f ca="1"/>
        <v>167.27</v>
      </c>
      <c r="E778" s="2" vm="4058">
        <f ca="1"/>
        <v>167.71</v>
      </c>
      <c r="F778" vm="4059">
        <f ca="1"/>
        <v>7073025</v>
      </c>
    </row>
    <row r="779" spans="1:6" x14ac:dyDescent="0.2">
      <c r="A779" s="1" vm="4060">
        <f ca="1"/>
        <v>45568</v>
      </c>
      <c r="B779" s="2" vm="4061">
        <f ca="1"/>
        <v>166.89</v>
      </c>
      <c r="C779" s="2" vm="4062">
        <f ca="1"/>
        <v>167.86</v>
      </c>
      <c r="D779" s="2" vm="4063">
        <f ca="1"/>
        <v>166.24</v>
      </c>
      <c r="E779" s="2" vm="4064">
        <f ca="1"/>
        <v>166.86</v>
      </c>
      <c r="F779" vm="4065">
        <f ca="1"/>
        <v>4735708</v>
      </c>
    </row>
    <row r="780" spans="1:6" x14ac:dyDescent="0.2">
      <c r="A780" s="1" vm="4066">
        <f ca="1"/>
        <v>45569</v>
      </c>
      <c r="B780" s="2" vm="4067">
        <f ca="1"/>
        <v>168.71</v>
      </c>
      <c r="C780" s="2" vm="4068">
        <f ca="1"/>
        <v>170.9</v>
      </c>
      <c r="D780" s="2" vm="4069">
        <f ca="1"/>
        <v>168.16499999999999</v>
      </c>
      <c r="E780" s="2" vm="4070">
        <f ca="1"/>
        <v>170.86</v>
      </c>
      <c r="F780" vm="4071">
        <f ca="1"/>
        <v>6389504</v>
      </c>
    </row>
    <row r="781" spans="1:6" x14ac:dyDescent="0.2">
      <c r="A781" s="1" vm="4072">
        <f ca="1"/>
        <v>45572</v>
      </c>
      <c r="B781" s="2" vm="4073">
        <f ca="1"/>
        <v>170.42</v>
      </c>
      <c r="C781" s="2" vm="4074">
        <f ca="1"/>
        <v>172.33</v>
      </c>
      <c r="D781" s="2" vm="4075">
        <f ca="1"/>
        <v>169.55</v>
      </c>
      <c r="E781" s="2" vm="4076">
        <f ca="1"/>
        <v>169.97</v>
      </c>
      <c r="F781" vm="4077">
        <f ca="1"/>
        <v>6790956</v>
      </c>
    </row>
    <row r="782" spans="1:6" x14ac:dyDescent="0.2">
      <c r="A782" s="1" vm="4078">
        <f ca="1"/>
        <v>45573</v>
      </c>
      <c r="B782" s="2" vm="4079">
        <f ca="1"/>
        <v>170.6</v>
      </c>
      <c r="C782" s="2" vm="4080">
        <f ca="1"/>
        <v>174.64</v>
      </c>
      <c r="D782" s="2" vm="4081">
        <f ca="1"/>
        <v>170.44200000000001</v>
      </c>
      <c r="E782" s="2" vm="4082">
        <f ca="1"/>
        <v>174.37</v>
      </c>
      <c r="F782" vm="4083">
        <f ca="1"/>
        <v>7845377</v>
      </c>
    </row>
    <row r="783" spans="1:6" x14ac:dyDescent="0.2">
      <c r="A783" s="1" vm="4084">
        <f ca="1"/>
        <v>45574</v>
      </c>
      <c r="B783" s="2" vm="4085">
        <f ca="1"/>
        <v>174.56</v>
      </c>
      <c r="C783" s="2" vm="4086">
        <f ca="1"/>
        <v>178.61</v>
      </c>
      <c r="D783" s="2" vm="4087">
        <f ca="1"/>
        <v>173.81</v>
      </c>
      <c r="E783" s="2" vm="4088">
        <f ca="1"/>
        <v>178.29</v>
      </c>
      <c r="F783" vm="4089">
        <f ca="1"/>
        <v>8120894</v>
      </c>
    </row>
    <row r="784" spans="1:6" x14ac:dyDescent="0.2">
      <c r="A784" s="1" vm="4090">
        <f ca="1"/>
        <v>45575</v>
      </c>
      <c r="B784" s="2" vm="4091">
        <f ca="1"/>
        <v>177.65</v>
      </c>
      <c r="C784" s="2" vm="4092">
        <f ca="1"/>
        <v>178.3</v>
      </c>
      <c r="D784" s="2" vm="4093">
        <f ca="1"/>
        <v>174.18010000000001</v>
      </c>
      <c r="E784" s="2" vm="4094">
        <f ca="1"/>
        <v>175.41</v>
      </c>
      <c r="F784" vm="4095">
        <f ca="1"/>
        <v>7115887</v>
      </c>
    </row>
    <row r="785" spans="1:6" x14ac:dyDescent="0.2">
      <c r="A785" s="1" vm="4096">
        <f ca="1"/>
        <v>45576</v>
      </c>
      <c r="B785" s="2" vm="4097">
        <f ca="1"/>
        <v>175.495</v>
      </c>
      <c r="C785" s="2" vm="4098">
        <f ca="1"/>
        <v>177</v>
      </c>
      <c r="D785" s="2" vm="4099">
        <f ca="1"/>
        <v>174.4</v>
      </c>
      <c r="E785" s="2" vm="4100">
        <f ca="1"/>
        <v>175.77</v>
      </c>
      <c r="F785" vm="4101">
        <f ca="1"/>
        <v>5869413</v>
      </c>
    </row>
    <row r="786" spans="1:6" x14ac:dyDescent="0.2">
      <c r="A786" s="1" vm="4102">
        <f ca="1"/>
        <v>45579</v>
      </c>
      <c r="B786" s="2" vm="4103">
        <f ca="1"/>
        <v>176.55</v>
      </c>
      <c r="C786" s="2" vm="4104">
        <f ca="1"/>
        <v>177.22</v>
      </c>
      <c r="D786" s="2" vm="4105">
        <f ca="1"/>
        <v>175.5</v>
      </c>
      <c r="E786" s="2" vm="4106">
        <f ca="1"/>
        <v>176.12</v>
      </c>
      <c r="F786" vm="4107">
        <f ca="1"/>
        <v>4688662</v>
      </c>
    </row>
    <row r="787" spans="1:6" x14ac:dyDescent="0.2">
      <c r="A787" s="1" vm="4108">
        <f ca="1"/>
        <v>45580</v>
      </c>
      <c r="B787" s="2" vm="4109">
        <f ca="1"/>
        <v>176.94</v>
      </c>
      <c r="C787" s="2" vm="4110">
        <f ca="1"/>
        <v>178.2199</v>
      </c>
      <c r="D787" s="2" vm="4111">
        <f ca="1"/>
        <v>173.75</v>
      </c>
      <c r="E787" s="2" vm="4112">
        <f ca="1"/>
        <v>174.09</v>
      </c>
      <c r="F787" vm="4113">
        <f ca="1"/>
        <v>5848630</v>
      </c>
    </row>
    <row r="788" spans="1:6" x14ac:dyDescent="0.2">
      <c r="A788" s="1" vm="4114">
        <f ca="1"/>
        <v>45581</v>
      </c>
      <c r="B788" s="2" vm="4115">
        <f ca="1"/>
        <v>173.5</v>
      </c>
      <c r="C788" s="2" vm="4116">
        <f ca="1"/>
        <v>174.91200000000001</v>
      </c>
      <c r="D788" s="2" vm="4117">
        <f ca="1"/>
        <v>171.64</v>
      </c>
      <c r="E788" s="2" vm="4118">
        <f ca="1"/>
        <v>174.77</v>
      </c>
      <c r="F788" vm="4119">
        <f ca="1"/>
        <v>6383034</v>
      </c>
    </row>
    <row r="789" spans="1:6" x14ac:dyDescent="0.2">
      <c r="A789" s="1" vm="4120">
        <f ca="1"/>
        <v>45582</v>
      </c>
      <c r="B789" s="2" vm="4121">
        <f ca="1"/>
        <v>177.5</v>
      </c>
      <c r="C789" s="2" vm="4122">
        <f ca="1"/>
        <v>177.75</v>
      </c>
      <c r="D789" s="2" vm="4123">
        <f ca="1"/>
        <v>175.14</v>
      </c>
      <c r="E789" s="2" vm="4124">
        <f ca="1"/>
        <v>175.68</v>
      </c>
      <c r="F789" vm="4125">
        <f ca="1"/>
        <v>5473951</v>
      </c>
    </row>
    <row r="790" spans="1:6" x14ac:dyDescent="0.2">
      <c r="A790" s="1" vm="4126">
        <f ca="1"/>
        <v>45583</v>
      </c>
      <c r="B790" s="2" vm="4127">
        <f ca="1"/>
        <v>176.8</v>
      </c>
      <c r="C790" s="2" vm="4128">
        <f ca="1"/>
        <v>176.97</v>
      </c>
      <c r="D790" s="2" vm="4129">
        <f ca="1"/>
        <v>174.58</v>
      </c>
      <c r="E790" s="2" vm="4130">
        <f ca="1"/>
        <v>174.69</v>
      </c>
      <c r="F790" vm="4131">
        <f ca="1"/>
        <v>5001257</v>
      </c>
    </row>
    <row r="791" spans="1:6" x14ac:dyDescent="0.2">
      <c r="A791" s="1" vm="4132">
        <f ca="1"/>
        <v>45586</v>
      </c>
      <c r="B791" s="2" vm="4133">
        <f ca="1"/>
        <v>174.45</v>
      </c>
      <c r="C791" s="2" vm="4134">
        <f ca="1"/>
        <v>175.15</v>
      </c>
      <c r="D791" s="2" vm="4135">
        <f ca="1"/>
        <v>173.16</v>
      </c>
      <c r="E791" s="2" vm="4136">
        <f ca="1"/>
        <v>173.76</v>
      </c>
      <c r="F791" vm="4137">
        <f ca="1"/>
        <v>4198362</v>
      </c>
    </row>
    <row r="792" spans="1:6" x14ac:dyDescent="0.2">
      <c r="A792" s="1" vm="4138">
        <f ca="1"/>
        <v>45587</v>
      </c>
      <c r="B792" s="2" vm="4139">
        <f ca="1"/>
        <v>175.45</v>
      </c>
      <c r="C792" s="2" vm="4140">
        <f ca="1"/>
        <v>175.85</v>
      </c>
      <c r="D792" s="2" vm="4141">
        <f ca="1"/>
        <v>174.28</v>
      </c>
      <c r="E792" s="2" vm="4142">
        <f ca="1"/>
        <v>175.31</v>
      </c>
      <c r="F792" vm="4143">
        <f ca="1"/>
        <v>5510114</v>
      </c>
    </row>
    <row r="793" spans="1:6" x14ac:dyDescent="0.2">
      <c r="A793" s="1" vm="4144">
        <f ca="1"/>
        <v>45588</v>
      </c>
      <c r="B793" s="2" vm="4145">
        <f ca="1"/>
        <v>174.5</v>
      </c>
      <c r="C793" s="2" vm="4146">
        <f ca="1"/>
        <v>176.07</v>
      </c>
      <c r="D793" s="2" vm="4147">
        <f ca="1"/>
        <v>173.01</v>
      </c>
      <c r="E793" s="2" vm="4148">
        <f ca="1"/>
        <v>173.1</v>
      </c>
      <c r="F793" vm="4149">
        <f ca="1"/>
        <v>4830414</v>
      </c>
    </row>
    <row r="794" spans="1:6" x14ac:dyDescent="0.2">
      <c r="A794" s="1" vm="4150">
        <f ca="1"/>
        <v>45589</v>
      </c>
      <c r="B794" s="2" vm="4151">
        <f ca="1"/>
        <v>173.315</v>
      </c>
      <c r="C794" s="2" vm="4152">
        <f ca="1"/>
        <v>174.95419999999999</v>
      </c>
      <c r="D794" s="2" vm="4153">
        <f ca="1"/>
        <v>172.91</v>
      </c>
      <c r="E794" s="2" vm="4154">
        <f ca="1"/>
        <v>174.38</v>
      </c>
      <c r="F794" vm="4155">
        <f ca="1"/>
        <v>3488036</v>
      </c>
    </row>
    <row r="795" spans="1:6" x14ac:dyDescent="0.2">
      <c r="A795" s="1" vm="4156">
        <f ca="1"/>
        <v>45590</v>
      </c>
      <c r="B795" s="2" vm="4157">
        <f ca="1"/>
        <v>174.78</v>
      </c>
      <c r="C795" s="2" vm="4158">
        <f ca="1"/>
        <v>176.29</v>
      </c>
      <c r="D795" s="2" vm="4148">
        <f ca="1"/>
        <v>173.1</v>
      </c>
      <c r="E795" s="2" vm="4159">
        <f ca="1"/>
        <v>173.52</v>
      </c>
      <c r="F795" vm="4160">
        <f ca="1"/>
        <v>3674717</v>
      </c>
    </row>
    <row r="796" spans="1:6" x14ac:dyDescent="0.2">
      <c r="A796" s="1" vm="4161">
        <f ca="1"/>
        <v>45593</v>
      </c>
      <c r="B796" s="2" vm="4162">
        <f ca="1"/>
        <v>174.04499999999999</v>
      </c>
      <c r="C796" s="2" vm="4163">
        <f ca="1"/>
        <v>174.17</v>
      </c>
      <c r="D796" s="2" vm="4164">
        <f ca="1"/>
        <v>172.13499999999999</v>
      </c>
      <c r="E796" s="2" vm="4165">
        <f ca="1"/>
        <v>172.42</v>
      </c>
      <c r="F796" vm="4166">
        <f ca="1"/>
        <v>4329971</v>
      </c>
    </row>
    <row r="797" spans="1:6" x14ac:dyDescent="0.2">
      <c r="A797" s="1" vm="4167">
        <f ca="1"/>
        <v>45594</v>
      </c>
      <c r="B797" s="2" vm="4168">
        <f ca="1"/>
        <v>172.29</v>
      </c>
      <c r="C797" s="2" vm="4169">
        <f ca="1"/>
        <v>174.0231</v>
      </c>
      <c r="D797" s="2" vm="4168">
        <f ca="1"/>
        <v>172.29</v>
      </c>
      <c r="E797" s="2" vm="4170">
        <f ca="1"/>
        <v>173.43</v>
      </c>
      <c r="F797" vm="4171">
        <f ca="1"/>
        <v>4122913</v>
      </c>
    </row>
    <row r="798" spans="1:6" x14ac:dyDescent="0.2">
      <c r="A798" s="1" vm="4172">
        <f ca="1"/>
        <v>45595</v>
      </c>
      <c r="B798" s="2" vm="4173">
        <f ca="1"/>
        <v>173.98</v>
      </c>
      <c r="C798" s="2" vm="4174">
        <f ca="1"/>
        <v>176.16</v>
      </c>
      <c r="D798" s="2" vm="4175">
        <f ca="1"/>
        <v>172.79</v>
      </c>
      <c r="E798" s="2" vm="4085">
        <f ca="1"/>
        <v>174.56</v>
      </c>
      <c r="F798" vm="4176">
        <f ca="1"/>
        <v>5822451</v>
      </c>
    </row>
    <row r="799" spans="1:6" x14ac:dyDescent="0.2">
      <c r="A799" s="1" vm="4177">
        <f ca="1"/>
        <v>45596</v>
      </c>
      <c r="B799" s="2" vm="4044">
        <f ca="1"/>
        <v>170.52</v>
      </c>
      <c r="C799" s="2" vm="4178">
        <f ca="1"/>
        <v>170.88</v>
      </c>
      <c r="D799" s="2" vm="4179">
        <f ca="1"/>
        <v>167.39750000000001</v>
      </c>
      <c r="E799" s="2" vm="4180">
        <f ca="1"/>
        <v>167.84</v>
      </c>
      <c r="F799" vm="4181">
        <f ca="1"/>
        <v>9477476</v>
      </c>
    </row>
    <row r="800" spans="1:6" x14ac:dyDescent="0.2">
      <c r="A800" s="1" vm="4182">
        <f ca="1"/>
        <v>45597</v>
      </c>
      <c r="B800" s="2" vm="4183">
        <f ca="1"/>
        <v>170.15</v>
      </c>
      <c r="C800" s="2" vm="4184">
        <f ca="1"/>
        <v>172.27</v>
      </c>
      <c r="D800" s="2" vm="4185">
        <f ca="1"/>
        <v>169.1</v>
      </c>
      <c r="E800" s="2" vm="4186">
        <f ca="1"/>
        <v>170.02</v>
      </c>
      <c r="F800" vm="4187">
        <f ca="1"/>
        <v>5680595</v>
      </c>
    </row>
    <row r="801" spans="1:6" x14ac:dyDescent="0.2">
      <c r="A801" s="1" vm="4188">
        <f ca="1"/>
        <v>45600</v>
      </c>
      <c r="B801" s="2" vm="4189">
        <f ca="1"/>
        <v>170.31</v>
      </c>
      <c r="C801" s="2" vm="4190">
        <f ca="1"/>
        <v>170.48</v>
      </c>
      <c r="D801" s="2" vm="4191">
        <f ca="1"/>
        <v>168.73</v>
      </c>
      <c r="E801" s="2" vm="4192">
        <f ca="1"/>
        <v>169.59</v>
      </c>
      <c r="F801" vm="4193">
        <f ca="1"/>
        <v>4804405</v>
      </c>
    </row>
    <row r="802" spans="1:6" x14ac:dyDescent="0.2">
      <c r="A802" s="1" vm="4194">
        <f ca="1"/>
        <v>45601</v>
      </c>
      <c r="B802" s="2" vm="4195">
        <f ca="1"/>
        <v>170.47</v>
      </c>
      <c r="C802" s="2" vm="4196">
        <f ca="1"/>
        <v>171.89</v>
      </c>
      <c r="D802" s="2" vm="4197">
        <f ca="1"/>
        <v>170.32</v>
      </c>
      <c r="E802" s="2" vm="4198">
        <f ca="1"/>
        <v>171.78</v>
      </c>
      <c r="F802" vm="4199">
        <f ca="1"/>
        <v>5456754</v>
      </c>
    </row>
    <row r="803" spans="1:6" x14ac:dyDescent="0.2">
      <c r="A803" s="1" vm="4200">
        <f ca="1"/>
        <v>45602</v>
      </c>
      <c r="B803" s="2" vm="4201">
        <f ca="1"/>
        <v>178.52</v>
      </c>
      <c r="C803" s="2" vm="4202">
        <f ca="1"/>
        <v>182.1</v>
      </c>
      <c r="D803" s="2" vm="4203">
        <f ca="1"/>
        <v>177.4153</v>
      </c>
      <c r="E803" s="2" vm="4204">
        <f ca="1"/>
        <v>181.24</v>
      </c>
      <c r="F803" vm="4205">
        <f ca="1"/>
        <v>11084987</v>
      </c>
    </row>
    <row r="804" spans="1:6" x14ac:dyDescent="0.2">
      <c r="A804" s="1" vm="4206">
        <f ca="1"/>
        <v>45603</v>
      </c>
      <c r="B804" s="2" vm="4207">
        <f ca="1"/>
        <v>181.08</v>
      </c>
      <c r="C804" s="2" vm="4208">
        <f ca="1"/>
        <v>186.67</v>
      </c>
      <c r="D804" s="2" vm="4209">
        <f ca="1"/>
        <v>180.54</v>
      </c>
      <c r="E804" s="2" vm="4210">
        <f ca="1"/>
        <v>186.37</v>
      </c>
      <c r="F804" vm="4211">
        <f ca="1"/>
        <v>7759399</v>
      </c>
    </row>
    <row r="805" spans="1:6" x14ac:dyDescent="0.2">
      <c r="A805" s="1" vm="4212">
        <f ca="1"/>
        <v>45604</v>
      </c>
      <c r="B805" s="2" vm="4213">
        <f ca="1"/>
        <v>186.26</v>
      </c>
      <c r="C805" s="2" vm="4214">
        <f ca="1"/>
        <v>190.16</v>
      </c>
      <c r="D805" s="2" vm="4213">
        <f ca="1"/>
        <v>186.26</v>
      </c>
      <c r="E805" s="2" vm="4215">
        <f ca="1"/>
        <v>189.25</v>
      </c>
      <c r="F805" vm="4216">
        <f ca="1"/>
        <v>8520419</v>
      </c>
    </row>
    <row r="806" spans="1:6" x14ac:dyDescent="0.2">
      <c r="A806" s="1" vm="4217">
        <f ca="1"/>
        <v>45607</v>
      </c>
      <c r="B806" s="2" vm="4218">
        <f ca="1"/>
        <v>191.05</v>
      </c>
      <c r="C806" s="2" vm="4219">
        <f ca="1"/>
        <v>191.5</v>
      </c>
      <c r="D806" s="2" vm="4220">
        <f ca="1"/>
        <v>187.84</v>
      </c>
      <c r="E806" s="2" vm="4221">
        <f ca="1"/>
        <v>189.13</v>
      </c>
      <c r="F806" vm="4222">
        <f ca="1"/>
        <v>5973638</v>
      </c>
    </row>
    <row r="807" spans="1:6" x14ac:dyDescent="0.2">
      <c r="A807" s="1" vm="4223">
        <f ca="1"/>
        <v>45608</v>
      </c>
      <c r="B807" s="2" vm="4224">
        <f ca="1"/>
        <v>188.54</v>
      </c>
      <c r="C807" s="2" vm="4225">
        <f ca="1"/>
        <v>190.61</v>
      </c>
      <c r="D807" s="2" vm="4226">
        <f ca="1"/>
        <v>187.2</v>
      </c>
      <c r="E807" s="2" vm="4227">
        <f ca="1"/>
        <v>189.58</v>
      </c>
      <c r="F807" vm="4228">
        <f ca="1"/>
        <v>6629891</v>
      </c>
    </row>
    <row r="808" spans="1:6" x14ac:dyDescent="0.2">
      <c r="A808" s="1" vm="4229">
        <f ca="1"/>
        <v>45609</v>
      </c>
      <c r="B808" s="2" vm="4230">
        <f ca="1"/>
        <v>189</v>
      </c>
      <c r="C808" s="2" vm="4231">
        <f ca="1"/>
        <v>191.77</v>
      </c>
      <c r="D808" s="2" vm="4232">
        <f ca="1"/>
        <v>188.7895</v>
      </c>
      <c r="E808" s="2" vm="4233">
        <f ca="1"/>
        <v>189.63</v>
      </c>
      <c r="F808" vm="4234">
        <f ca="1"/>
        <v>5695426</v>
      </c>
    </row>
    <row r="809" spans="1:6" x14ac:dyDescent="0.2">
      <c r="A809" s="1" vm="4235">
        <f ca="1"/>
        <v>45610</v>
      </c>
      <c r="B809" s="2" vm="4236">
        <f ca="1"/>
        <v>188.66</v>
      </c>
      <c r="C809" s="2" vm="4237">
        <f ca="1"/>
        <v>189.59</v>
      </c>
      <c r="D809" s="2" vm="4238">
        <f ca="1"/>
        <v>186.71</v>
      </c>
      <c r="E809" s="2" vm="4239">
        <f ca="1"/>
        <v>187.05</v>
      </c>
      <c r="F809" vm="4240">
        <f ca="1"/>
        <v>7804318</v>
      </c>
    </row>
    <row r="810" spans="1:6" x14ac:dyDescent="0.2">
      <c r="A810" s="1" vm="4241">
        <f ca="1"/>
        <v>45611</v>
      </c>
      <c r="B810" s="2" vm="4242">
        <f ca="1"/>
        <v>184.52</v>
      </c>
      <c r="C810" s="2" vm="4243">
        <f ca="1"/>
        <v>185.8</v>
      </c>
      <c r="D810" s="2" vm="4244">
        <f ca="1"/>
        <v>182.33</v>
      </c>
      <c r="E810" s="2" vm="4245">
        <f ca="1"/>
        <v>183.74</v>
      </c>
      <c r="F810" vm="4246">
        <f ca="1"/>
        <v>8986276</v>
      </c>
    </row>
    <row r="811" spans="1:6" x14ac:dyDescent="0.2">
      <c r="A811" s="1" vm="4247">
        <f ca="1"/>
        <v>45614</v>
      </c>
      <c r="B811" s="2" vm="4248">
        <f ca="1"/>
        <v>184.3</v>
      </c>
      <c r="C811" s="2" vm="4249">
        <f ca="1"/>
        <v>186.18</v>
      </c>
      <c r="D811" s="2" vm="4250">
        <f ca="1"/>
        <v>182.88</v>
      </c>
      <c r="E811" s="2" vm="4251">
        <f ca="1"/>
        <v>185.73</v>
      </c>
      <c r="F811" vm="4252">
        <f ca="1"/>
        <v>6291406</v>
      </c>
    </row>
    <row r="812" spans="1:6" x14ac:dyDescent="0.2">
      <c r="A812" s="1" vm="4253">
        <f ca="1"/>
        <v>45615</v>
      </c>
      <c r="B812" s="2" vm="4254">
        <f ca="1"/>
        <v>184.89</v>
      </c>
      <c r="C812" s="2" vm="4255">
        <f ca="1"/>
        <v>189.32</v>
      </c>
      <c r="D812" s="2" vm="4256">
        <f ca="1"/>
        <v>184.32</v>
      </c>
      <c r="E812" s="2" vm="4257">
        <f ca="1"/>
        <v>188.9</v>
      </c>
      <c r="F812" vm="4258">
        <f ca="1"/>
        <v>8116958</v>
      </c>
    </row>
    <row r="813" spans="1:6" x14ac:dyDescent="0.2">
      <c r="A813" s="1" vm="4259">
        <f ca="1"/>
        <v>45616</v>
      </c>
      <c r="B813" s="2" vm="4260">
        <f ca="1"/>
        <v>190.9</v>
      </c>
      <c r="C813" s="2" vm="4261">
        <f ca="1"/>
        <v>190.97</v>
      </c>
      <c r="D813" s="2" vm="4262">
        <f ca="1"/>
        <v>187.82</v>
      </c>
      <c r="E813" s="2" vm="4263">
        <f ca="1"/>
        <v>190.75</v>
      </c>
      <c r="F813" vm="4264">
        <f ca="1"/>
        <v>4860222</v>
      </c>
    </row>
    <row r="814" spans="1:6" x14ac:dyDescent="0.2">
      <c r="A814" s="1" vm="4265">
        <f ca="1"/>
        <v>45617</v>
      </c>
      <c r="B814" s="2" vm="4266">
        <f ca="1"/>
        <v>191.94</v>
      </c>
      <c r="C814" s="2" vm="4267">
        <f ca="1"/>
        <v>196.04</v>
      </c>
      <c r="D814" s="2" vm="4268">
        <f ca="1"/>
        <v>191.64009999999999</v>
      </c>
      <c r="E814" s="2" vm="4269">
        <f ca="1"/>
        <v>192.43</v>
      </c>
      <c r="F814" vm="4270">
        <f ca="1"/>
        <v>11394263</v>
      </c>
    </row>
    <row r="815" spans="1:6" x14ac:dyDescent="0.2">
      <c r="A815" s="1" vm="4271">
        <f ca="1"/>
        <v>45618</v>
      </c>
      <c r="B815" s="2" vm="4272">
        <f ca="1"/>
        <v>193</v>
      </c>
      <c r="C815" s="2" vm="4273">
        <f ca="1"/>
        <v>194.2</v>
      </c>
      <c r="D815" s="2" vm="4274">
        <f ca="1"/>
        <v>191.06</v>
      </c>
      <c r="E815" s="2" vm="4275">
        <f ca="1"/>
        <v>192.29</v>
      </c>
      <c r="F815" vm="4276">
        <f ca="1"/>
        <v>6879447</v>
      </c>
    </row>
    <row r="816" spans="1:6" x14ac:dyDescent="0.2">
      <c r="A816" s="1" vm="4277">
        <f ca="1"/>
        <v>45621</v>
      </c>
      <c r="B816" s="2" vm="4278">
        <f ca="1"/>
        <v>194.5</v>
      </c>
      <c r="C816" s="2" vm="4279">
        <f ca="1"/>
        <v>194.75</v>
      </c>
      <c r="D816" s="2" vm="4280">
        <f ca="1"/>
        <v>187.99</v>
      </c>
      <c r="E816" s="2" vm="4280">
        <f ca="1"/>
        <v>187.99</v>
      </c>
      <c r="F816" vm="4281">
        <f ca="1"/>
        <v>15138474</v>
      </c>
    </row>
    <row r="817" spans="1:6" x14ac:dyDescent="0.2">
      <c r="A817" s="1" vm="4282">
        <f ca="1"/>
        <v>45622</v>
      </c>
      <c r="B817" s="2" vm="4283">
        <f ca="1"/>
        <v>188.32</v>
      </c>
      <c r="C817" s="2" vm="4284">
        <f ca="1"/>
        <v>192.4</v>
      </c>
      <c r="D817" s="2" vm="4283">
        <f ca="1"/>
        <v>188.32</v>
      </c>
      <c r="E817" s="2" vm="4285">
        <f ca="1"/>
        <v>190.37</v>
      </c>
      <c r="F817" vm="4286">
        <f ca="1"/>
        <v>6427210</v>
      </c>
    </row>
    <row r="818" spans="1:6" x14ac:dyDescent="0.2">
      <c r="A818" s="1" vm="4287">
        <f ca="1"/>
        <v>45623</v>
      </c>
      <c r="B818" s="2" vm="4288">
        <f ca="1"/>
        <v>188.95500000000001</v>
      </c>
      <c r="C818" s="2" vm="4288">
        <f ca="1"/>
        <v>188.95500000000001</v>
      </c>
      <c r="D818" s="2" vm="4289">
        <f ca="1"/>
        <v>182.22</v>
      </c>
      <c r="E818" s="2" vm="4290">
        <f ca="1"/>
        <v>182.7</v>
      </c>
      <c r="F818" vm="4291">
        <f ca="1"/>
        <v>8368797</v>
      </c>
    </row>
    <row r="819" spans="1:6" x14ac:dyDescent="0.2">
      <c r="A819" s="1" vm="4292">
        <f ca="1"/>
        <v>45625</v>
      </c>
      <c r="B819" s="2" vm="4293">
        <f ca="1"/>
        <v>184.01</v>
      </c>
      <c r="C819" s="2" vm="4294">
        <f ca="1"/>
        <v>185.93</v>
      </c>
      <c r="D819" s="2" vm="4295">
        <f ca="1"/>
        <v>184</v>
      </c>
      <c r="E819" s="2" vm="4296">
        <f ca="1"/>
        <v>184.84</v>
      </c>
      <c r="F819" vm="4297">
        <f ca="1"/>
        <v>4628044</v>
      </c>
    </row>
    <row r="820" spans="1:6" x14ac:dyDescent="0.2">
      <c r="A820" s="1" vm="4298">
        <f ca="1"/>
        <v>45628</v>
      </c>
      <c r="B820" s="2" vm="4299">
        <f ca="1"/>
        <v>185.29</v>
      </c>
      <c r="C820" s="2" vm="4299">
        <f ca="1"/>
        <v>185.29</v>
      </c>
      <c r="D820" s="2" vm="4300">
        <f ca="1"/>
        <v>181</v>
      </c>
      <c r="E820" s="2" vm="4301">
        <f ca="1"/>
        <v>181.41</v>
      </c>
      <c r="F820" vm="4302">
        <f ca="1"/>
        <v>8859696</v>
      </c>
    </row>
    <row r="821" spans="1:6" x14ac:dyDescent="0.2">
      <c r="A821" s="1" vm="4303">
        <f ca="1"/>
        <v>45629</v>
      </c>
      <c r="B821" s="2" vm="4304">
        <f ca="1"/>
        <v>181.18</v>
      </c>
      <c r="C821" s="2" vm="4305">
        <f ca="1"/>
        <v>183.04</v>
      </c>
      <c r="D821" s="2" vm="4306">
        <f ca="1"/>
        <v>179.11</v>
      </c>
      <c r="E821" s="2" vm="4307">
        <f ca="1"/>
        <v>182.89</v>
      </c>
      <c r="F821" vm="4308">
        <f ca="1"/>
        <v>8917062</v>
      </c>
    </row>
    <row r="822" spans="1:6" x14ac:dyDescent="0.2">
      <c r="A822" s="1" vm="4309">
        <f ca="1"/>
        <v>45630</v>
      </c>
      <c r="B822" s="2" vm="4310">
        <f ca="1"/>
        <v>188</v>
      </c>
      <c r="C822" s="2" vm="4311">
        <f ca="1"/>
        <v>189.79</v>
      </c>
      <c r="D822" s="2" vm="4312">
        <f ca="1"/>
        <v>185.9</v>
      </c>
      <c r="E822" s="2" vm="4313">
        <f ca="1"/>
        <v>188.19</v>
      </c>
      <c r="F822" vm="4314">
        <f ca="1"/>
        <v>8906283</v>
      </c>
    </row>
    <row r="823" spans="1:6" x14ac:dyDescent="0.2">
      <c r="A823" s="1" vm="4315">
        <f ca="1"/>
        <v>45631</v>
      </c>
      <c r="B823" s="2" vm="4316">
        <f ca="1"/>
        <v>189.02</v>
      </c>
      <c r="C823" s="2" vm="4316">
        <f ca="1"/>
        <v>189.02</v>
      </c>
      <c r="D823" s="2" vm="4317">
        <f ca="1"/>
        <v>185.85</v>
      </c>
      <c r="E823" s="2" vm="4318">
        <f ca="1"/>
        <v>186.24</v>
      </c>
      <c r="F823" vm="4319">
        <f ca="1"/>
        <v>6398073</v>
      </c>
    </row>
    <row r="824" spans="1:6" x14ac:dyDescent="0.2">
      <c r="A824" s="1" vm="4320">
        <f ca="1"/>
        <v>45632</v>
      </c>
      <c r="B824" s="2" vm="4321">
        <f ca="1"/>
        <v>187</v>
      </c>
      <c r="C824" s="2" vm="4322">
        <f ca="1"/>
        <v>192.63</v>
      </c>
      <c r="D824" s="2" vm="4323">
        <f ca="1"/>
        <v>186.38</v>
      </c>
      <c r="E824" s="2" vm="4324">
        <f ca="1"/>
        <v>191.69</v>
      </c>
      <c r="F824" vm="4325">
        <f ca="1"/>
        <v>10503383</v>
      </c>
    </row>
    <row r="825" spans="1:6" x14ac:dyDescent="0.2">
      <c r="A825" s="1" vm="4326">
        <f ca="1"/>
        <v>45635</v>
      </c>
      <c r="B825" s="2" vm="4327">
        <f ca="1"/>
        <v>196.3</v>
      </c>
      <c r="C825" s="2" vm="4328">
        <f ca="1"/>
        <v>198.3099</v>
      </c>
      <c r="D825" s="2" vm="4329">
        <f ca="1"/>
        <v>188.93</v>
      </c>
      <c r="E825" s="2" vm="4330">
        <f ca="1"/>
        <v>190.45</v>
      </c>
      <c r="F825" vm="4331">
        <f ca="1"/>
        <v>20157957</v>
      </c>
    </row>
    <row r="826" spans="1:6" x14ac:dyDescent="0.2">
      <c r="A826" s="1" vm="4332">
        <f ca="1"/>
        <v>45636</v>
      </c>
      <c r="B826" s="2" vm="4333">
        <f ca="1"/>
        <v>173.46</v>
      </c>
      <c r="C826" s="2" vm="4334">
        <f ca="1"/>
        <v>177.8</v>
      </c>
      <c r="D826" s="2" vm="4335">
        <f ca="1"/>
        <v>171.0592</v>
      </c>
      <c r="E826" s="2" vm="4336">
        <f ca="1"/>
        <v>177.74</v>
      </c>
      <c r="F826" vm="4337">
        <f ca="1"/>
        <v>26502016</v>
      </c>
    </row>
    <row r="827" spans="1:6" x14ac:dyDescent="0.2">
      <c r="A827" s="1" vm="4338">
        <f ca="1"/>
        <v>45637</v>
      </c>
      <c r="B827" s="2" vm="4339">
        <f ca="1"/>
        <v>178</v>
      </c>
      <c r="C827" s="2" vm="4340">
        <f ca="1"/>
        <v>181.38</v>
      </c>
      <c r="D827" s="2" vm="4341">
        <f ca="1"/>
        <v>174.83009999999999</v>
      </c>
      <c r="E827" s="2" vm="4342">
        <f ca="1"/>
        <v>178.58</v>
      </c>
      <c r="F827" vm="4343">
        <f ca="1"/>
        <v>13188714</v>
      </c>
    </row>
    <row r="828" spans="1:6" x14ac:dyDescent="0.2">
      <c r="A828" s="1" vm="4344">
        <f ca="1"/>
        <v>45638</v>
      </c>
      <c r="B828" s="2" vm="4339">
        <f ca="1"/>
        <v>178</v>
      </c>
      <c r="C828" s="2" vm="4345">
        <f ca="1"/>
        <v>178.16990000000001</v>
      </c>
      <c r="D828" s="2" vm="4346">
        <f ca="1"/>
        <v>174.81</v>
      </c>
      <c r="E828" s="2" vm="4347">
        <f ca="1"/>
        <v>175.32</v>
      </c>
      <c r="F828" vm="4348">
        <f ca="1"/>
        <v>8154218</v>
      </c>
    </row>
    <row r="829" spans="1:6" x14ac:dyDescent="0.2">
      <c r="A829" s="1" vm="4349">
        <f ca="1"/>
        <v>45639</v>
      </c>
      <c r="B829" s="2" vm="4350">
        <f ca="1"/>
        <v>175</v>
      </c>
      <c r="C829" s="2" vm="4351">
        <f ca="1"/>
        <v>176.14</v>
      </c>
      <c r="D829" s="2" vm="4117">
        <f ca="1"/>
        <v>171.64</v>
      </c>
      <c r="E829" s="2" vm="4352">
        <f ca="1"/>
        <v>173.39</v>
      </c>
      <c r="F829" vm="4353">
        <f ca="1"/>
        <v>8351106</v>
      </c>
    </row>
    <row r="830" spans="1:6" x14ac:dyDescent="0.2">
      <c r="A830" s="1" vm="4354">
        <f ca="1"/>
        <v>45642</v>
      </c>
      <c r="B830" s="2" vm="4355">
        <f ca="1"/>
        <v>173.84</v>
      </c>
      <c r="C830" s="2" vm="4356">
        <f ca="1"/>
        <v>174.27</v>
      </c>
      <c r="D830" s="2" vm="4357">
        <f ca="1"/>
        <v>170.93</v>
      </c>
      <c r="E830" s="2" vm="4358">
        <f ca="1"/>
        <v>171.23</v>
      </c>
      <c r="F830" vm="4359">
        <f ca="1"/>
        <v>9571955</v>
      </c>
    </row>
    <row r="831" spans="1:6" x14ac:dyDescent="0.2">
      <c r="A831" s="1" vm="4360">
        <f ca="1"/>
        <v>45643</v>
      </c>
      <c r="B831" s="2" vm="4361">
        <f ca="1"/>
        <v>170.75</v>
      </c>
      <c r="C831" s="2" vm="4362">
        <f ca="1"/>
        <v>172.99</v>
      </c>
      <c r="D831" s="2" vm="4363">
        <f ca="1"/>
        <v>169.27</v>
      </c>
      <c r="E831" s="2" vm="4364">
        <f ca="1"/>
        <v>169.71</v>
      </c>
      <c r="F831" vm="4365">
        <f ca="1"/>
        <v>8940204</v>
      </c>
    </row>
    <row r="832" spans="1:6" x14ac:dyDescent="0.2">
      <c r="A832" s="1" vm="4366">
        <f ca="1"/>
        <v>45644</v>
      </c>
      <c r="B832" s="2" vm="4367">
        <f ca="1"/>
        <v>169.41</v>
      </c>
      <c r="C832" s="2" vm="4358">
        <f ca="1"/>
        <v>171.23</v>
      </c>
      <c r="D832" s="2" vm="4368">
        <f ca="1"/>
        <v>165.36</v>
      </c>
      <c r="E832" s="2" vm="4369">
        <f ca="1"/>
        <v>165.41</v>
      </c>
      <c r="F832" vm="4370">
        <f ca="1"/>
        <v>8817934</v>
      </c>
    </row>
    <row r="833" spans="1:6" x14ac:dyDescent="0.2">
      <c r="A833" s="1" vm="4371">
        <f ca="1"/>
        <v>45645</v>
      </c>
      <c r="B833" s="2" vm="4372">
        <f ca="1"/>
        <v>167.55</v>
      </c>
      <c r="C833" s="2" vm="4373">
        <f ca="1"/>
        <v>171</v>
      </c>
      <c r="D833" s="2" vm="4374">
        <f ca="1"/>
        <v>167.4</v>
      </c>
      <c r="E833" s="2" vm="4375">
        <f ca="1"/>
        <v>168.79</v>
      </c>
      <c r="F833" vm="4376">
        <f ca="1"/>
        <v>8386394</v>
      </c>
    </row>
    <row r="834" spans="1:6" x14ac:dyDescent="0.2">
      <c r="A834" s="1" vm="4377">
        <f ca="1"/>
        <v>45646</v>
      </c>
      <c r="B834" s="2" vm="4378">
        <f ca="1"/>
        <v>167.73</v>
      </c>
      <c r="C834" s="2" vm="4379">
        <f ca="1"/>
        <v>171.26</v>
      </c>
      <c r="D834" s="2" vm="4380">
        <f ca="1"/>
        <v>165.63</v>
      </c>
      <c r="E834" s="2" vm="4381">
        <f ca="1"/>
        <v>169.66</v>
      </c>
      <c r="F834" vm="4382">
        <f ca="1"/>
        <v>13810525</v>
      </c>
    </row>
    <row r="835" spans="1:6" x14ac:dyDescent="0.2">
      <c r="A835" s="1" vm="4383">
        <f ca="1"/>
        <v>45649</v>
      </c>
      <c r="B835" s="2" vm="4192">
        <f ca="1"/>
        <v>169.59</v>
      </c>
      <c r="C835" s="2" vm="4384">
        <f ca="1"/>
        <v>169.62</v>
      </c>
      <c r="D835" s="2" vm="4385">
        <f ca="1"/>
        <v>167.16829999999999</v>
      </c>
      <c r="E835" s="2" vm="4386">
        <f ca="1"/>
        <v>169.14</v>
      </c>
      <c r="F835" vm="4387">
        <f ca="1"/>
        <v>6518229</v>
      </c>
    </row>
    <row r="836" spans="1:6" x14ac:dyDescent="0.2">
      <c r="A836" s="1" vm="4388">
        <f ca="1"/>
        <v>45650</v>
      </c>
      <c r="B836" s="2" vm="4389">
        <f ca="1"/>
        <v>169.7</v>
      </c>
      <c r="C836" s="2" vm="4390">
        <f ca="1"/>
        <v>171.77</v>
      </c>
      <c r="D836" s="2" vm="4391">
        <f ca="1"/>
        <v>169.03</v>
      </c>
      <c r="E836" s="2" vm="4392">
        <f ca="1"/>
        <v>171.41</v>
      </c>
      <c r="F836" vm="4393">
        <f ca="1"/>
        <v>2451547</v>
      </c>
    </row>
    <row r="837" spans="1:6" x14ac:dyDescent="0.2">
      <c r="A837" s="1" vm="4394">
        <f ca="1"/>
        <v>45652</v>
      </c>
      <c r="B837" s="2" vm="4395">
        <f ca="1"/>
        <v>170.5</v>
      </c>
      <c r="C837" s="2" vm="4396">
        <f ca="1"/>
        <v>172.55</v>
      </c>
      <c r="D837" s="2" vm="4395">
        <f ca="1"/>
        <v>170.5</v>
      </c>
      <c r="E837" s="2" vm="4397">
        <f ca="1"/>
        <v>171.68</v>
      </c>
      <c r="F837" vm="4398">
        <f ca="1"/>
        <v>4103882</v>
      </c>
    </row>
    <row r="838" spans="1:6" x14ac:dyDescent="0.2">
      <c r="A838" s="1" vm="4399">
        <f ca="1"/>
        <v>45653</v>
      </c>
      <c r="B838" s="2" vm="4400">
        <f ca="1"/>
        <v>170.38</v>
      </c>
      <c r="C838" s="2" vm="4401">
        <f ca="1"/>
        <v>171.15</v>
      </c>
      <c r="D838" s="2" vm="4402">
        <f ca="1"/>
        <v>167.2</v>
      </c>
      <c r="E838" s="2" vm="4403">
        <f ca="1"/>
        <v>168.96</v>
      </c>
      <c r="F838" vm="4404">
        <f ca="1"/>
        <v>4344287</v>
      </c>
    </row>
    <row r="839" spans="1:6" x14ac:dyDescent="0.2">
      <c r="A839" s="1" vm="4405">
        <f ca="1"/>
        <v>45656</v>
      </c>
      <c r="B839" s="2" vm="4039">
        <f ca="1"/>
        <v>166.51</v>
      </c>
      <c r="C839" s="2" vm="4406">
        <f ca="1"/>
        <v>167.91</v>
      </c>
      <c r="D839" s="2" vm="4407">
        <f ca="1"/>
        <v>164.55</v>
      </c>
      <c r="E839" s="2" vm="4408">
        <f ca="1"/>
        <v>166.91</v>
      </c>
      <c r="F839" vm="4409">
        <f ca="1"/>
        <v>5254833</v>
      </c>
    </row>
    <row r="840" spans="1:6" x14ac:dyDescent="0.2">
      <c r="A840" s="1" vm="4410">
        <f ca="1"/>
        <v>45657</v>
      </c>
      <c r="B840" s="2" vm="4402">
        <f ca="1"/>
        <v>167.2</v>
      </c>
      <c r="C840" s="2" vm="4411">
        <f ca="1"/>
        <v>167.3</v>
      </c>
      <c r="D840" s="2" vm="4412">
        <f ca="1"/>
        <v>165.84</v>
      </c>
      <c r="E840" s="2" vm="4413">
        <f ca="1"/>
        <v>166.64</v>
      </c>
      <c r="F840" vm="4414">
        <f ca="1"/>
        <v>4307524</v>
      </c>
    </row>
    <row r="841" spans="1:6" x14ac:dyDescent="0.2">
      <c r="A841" s="1" vm="4415">
        <f ca="1"/>
        <v>45659</v>
      </c>
      <c r="B841" s="2" vm="4416">
        <f ca="1"/>
        <v>168.52</v>
      </c>
      <c r="C841" s="2" vm="4417">
        <f ca="1"/>
        <v>168.69</v>
      </c>
      <c r="D841" s="2" vm="4418">
        <f ca="1"/>
        <v>164.9</v>
      </c>
      <c r="E841" s="2" vm="4419">
        <f ca="1"/>
        <v>166.03</v>
      </c>
      <c r="F841" vm="4420">
        <f ca="1"/>
        <v>5365667</v>
      </c>
    </row>
    <row r="842" spans="1:6" x14ac:dyDescent="0.2">
      <c r="A842" s="1" vm="4421">
        <f ca="1"/>
        <v>45660</v>
      </c>
      <c r="B842" s="2" vm="4422">
        <f ca="1"/>
        <v>166.7</v>
      </c>
      <c r="C842" s="2" vm="4402">
        <f ca="1"/>
        <v>167.2</v>
      </c>
      <c r="D842" s="2" vm="4423">
        <f ca="1"/>
        <v>165.27</v>
      </c>
      <c r="E842" s="2" vm="4424">
        <f ca="1"/>
        <v>166.32</v>
      </c>
      <c r="F842" vm="4425">
        <f ca="1"/>
        <v>5878052</v>
      </c>
    </row>
    <row r="843" spans="1:6" x14ac:dyDescent="0.2">
      <c r="A843" s="1" vm="4426">
        <f ca="1"/>
        <v>45663</v>
      </c>
      <c r="B843" s="2" vm="4427">
        <f ca="1"/>
        <v>167.31</v>
      </c>
      <c r="C843" s="2" vm="4428">
        <f ca="1"/>
        <v>168.05</v>
      </c>
      <c r="D843" s="2" vm="4429">
        <f ca="1"/>
        <v>165.19</v>
      </c>
      <c r="E843" s="2" vm="4430">
        <f ca="1"/>
        <v>165.69</v>
      </c>
      <c r="F843" vm="4431">
        <f ca="1"/>
        <v>6845373</v>
      </c>
    </row>
    <row r="844" spans="1:6" x14ac:dyDescent="0.2">
      <c r="A844" s="1" vm="4432">
        <f ca="1"/>
        <v>45664</v>
      </c>
      <c r="B844" s="2" vm="4433">
        <f ca="1"/>
        <v>165.58</v>
      </c>
      <c r="C844" s="2" vm="4434">
        <f ca="1"/>
        <v>166.16</v>
      </c>
      <c r="D844" s="2" vm="4435">
        <f ca="1"/>
        <v>161.32</v>
      </c>
      <c r="E844" s="2" vm="3982">
        <f ca="1"/>
        <v>162.03</v>
      </c>
      <c r="F844" vm="4436">
        <f ca="1"/>
        <v>7712222</v>
      </c>
    </row>
    <row r="845" spans="1:6" x14ac:dyDescent="0.2">
      <c r="A845" s="1" vm="4437">
        <f ca="1"/>
        <v>45665</v>
      </c>
      <c r="B845" s="2" vm="4438">
        <f ca="1"/>
        <v>162.18</v>
      </c>
      <c r="C845" s="2" vm="4439">
        <f ca="1"/>
        <v>163.98</v>
      </c>
      <c r="D845" s="2" vm="4440">
        <f ca="1"/>
        <v>161.43</v>
      </c>
      <c r="E845" s="2" vm="4441">
        <f ca="1"/>
        <v>163.13999999999999</v>
      </c>
      <c r="F845" vm="4442">
        <f ca="1"/>
        <v>7596214</v>
      </c>
    </row>
    <row r="846" spans="1:6" x14ac:dyDescent="0.2">
      <c r="A846" s="1" vm="4443">
        <f ca="1"/>
        <v>45667</v>
      </c>
      <c r="B846" s="2" vm="4444">
        <f ca="1"/>
        <v>159.19999999999999</v>
      </c>
      <c r="C846" s="2" vm="4444">
        <f ca="1"/>
        <v>159.19999999999999</v>
      </c>
      <c r="D846" s="2" vm="4445">
        <f ca="1"/>
        <v>153.91999999999999</v>
      </c>
      <c r="E846" s="2" vm="4446">
        <f ca="1"/>
        <v>154.5</v>
      </c>
      <c r="F846" vm="4447">
        <f ca="1"/>
        <v>13593882</v>
      </c>
    </row>
    <row r="847" spans="1:6" x14ac:dyDescent="0.2">
      <c r="A847" s="1" vm="4448">
        <f ca="1"/>
        <v>45670</v>
      </c>
      <c r="B847" s="2" vm="4449">
        <f ca="1"/>
        <v>153.74</v>
      </c>
      <c r="C847" s="2" vm="4450">
        <f ca="1"/>
        <v>154.15</v>
      </c>
      <c r="D847" s="2" vm="4451">
        <f ca="1"/>
        <v>152.41999999999999</v>
      </c>
      <c r="E847" s="2" vm="4445">
        <f ca="1"/>
        <v>153.91999999999999</v>
      </c>
      <c r="F847" vm="4452">
        <f ca="1"/>
        <v>8828492</v>
      </c>
    </row>
    <row r="848" spans="1:6" x14ac:dyDescent="0.2">
      <c r="A848" s="1" vm="4453">
        <f ca="1"/>
        <v>45671</v>
      </c>
      <c r="B848" s="2" vm="4454">
        <f ca="1"/>
        <v>156.41999999999999</v>
      </c>
      <c r="C848" s="2" vm="4455">
        <f ca="1"/>
        <v>157.25</v>
      </c>
      <c r="D848" s="2" vm="4456">
        <f ca="1"/>
        <v>154.35</v>
      </c>
      <c r="E848" s="2" vm="4457">
        <f ca="1"/>
        <v>156.31</v>
      </c>
      <c r="F848" vm="4458">
        <f ca="1"/>
        <v>7410242</v>
      </c>
    </row>
    <row r="849" spans="1:6" x14ac:dyDescent="0.2">
      <c r="A849" s="1" vm="4459">
        <f ca="1"/>
        <v>45672</v>
      </c>
      <c r="B849" s="2" vm="4460">
        <f ca="1"/>
        <v>158.66499999999999</v>
      </c>
      <c r="C849" s="2" vm="4461">
        <f ca="1"/>
        <v>159.14949999999999</v>
      </c>
      <c r="D849" s="2" vm="4462">
        <f ca="1"/>
        <v>157.26</v>
      </c>
      <c r="E849" s="2" vm="4463">
        <f ca="1"/>
        <v>158.31</v>
      </c>
      <c r="F849" vm="4464">
        <f ca="1"/>
        <v>10701234</v>
      </c>
    </row>
    <row r="850" spans="1:6" x14ac:dyDescent="0.2">
      <c r="A850" s="1" vm="4465">
        <f ca="1"/>
        <v>45673</v>
      </c>
      <c r="B850" s="2" vm="4466">
        <f ca="1"/>
        <v>160.15</v>
      </c>
      <c r="C850" s="2" vm="4467">
        <f ca="1"/>
        <v>161.5</v>
      </c>
      <c r="D850" s="2" vm="4468">
        <f ca="1"/>
        <v>158.41</v>
      </c>
      <c r="E850" s="2" vm="4469">
        <f ca="1"/>
        <v>159.54</v>
      </c>
      <c r="F850" vm="4470">
        <f ca="1"/>
        <v>9210555</v>
      </c>
    </row>
    <row r="851" spans="1:6" x14ac:dyDescent="0.2">
      <c r="A851" s="1" vm="4471">
        <f ca="1"/>
        <v>45674</v>
      </c>
      <c r="B851" s="2" vm="4472">
        <f ca="1"/>
        <v>161.77000000000001</v>
      </c>
      <c r="C851" s="2" vm="4473">
        <f ca="1"/>
        <v>163.16</v>
      </c>
      <c r="D851" s="2" vm="4474">
        <f ca="1"/>
        <v>160.54</v>
      </c>
      <c r="E851" s="2" vm="4475">
        <f ca="1"/>
        <v>161.03</v>
      </c>
      <c r="F851" vm="4476">
        <f ca="1"/>
        <v>11618283</v>
      </c>
    </row>
    <row r="852" spans="1:6" x14ac:dyDescent="0.2">
      <c r="A852" s="1" vm="4477">
        <f ca="1"/>
        <v>45678</v>
      </c>
      <c r="B852" s="2" vm="4478">
        <f ca="1"/>
        <v>163.87</v>
      </c>
      <c r="C852" s="2" vm="4479">
        <f ca="1"/>
        <v>173.37</v>
      </c>
      <c r="D852" s="2" vm="4480">
        <f ca="1"/>
        <v>162.75</v>
      </c>
      <c r="E852" s="2" vm="4481">
        <f ca="1"/>
        <v>172.57</v>
      </c>
      <c r="F852" vm="4482">
        <f ca="1"/>
        <v>30232048</v>
      </c>
    </row>
    <row r="853" spans="1:6" x14ac:dyDescent="0.2">
      <c r="A853" s="1" vm="4483">
        <f ca="1"/>
        <v>45679</v>
      </c>
      <c r="B853" s="2" vm="4484">
        <f ca="1"/>
        <v>191.51</v>
      </c>
      <c r="C853" s="2" vm="4485">
        <f ca="1"/>
        <v>191.99</v>
      </c>
      <c r="D853" s="2" vm="4486">
        <f ca="1"/>
        <v>180.57</v>
      </c>
      <c r="E853" s="2" vm="4487">
        <f ca="1"/>
        <v>184.22</v>
      </c>
      <c r="F853" vm="4488">
        <f ca="1"/>
        <v>48028518</v>
      </c>
    </row>
    <row r="854" spans="1:6" x14ac:dyDescent="0.2">
      <c r="A854" s="1" vm="4489">
        <f ca="1"/>
        <v>45680</v>
      </c>
      <c r="B854" s="2" vm="4490">
        <f ca="1"/>
        <v>181.64</v>
      </c>
      <c r="C854" s="2" vm="4491">
        <f ca="1"/>
        <v>186.57</v>
      </c>
      <c r="D854" s="2" vm="4492">
        <f ca="1"/>
        <v>181.5</v>
      </c>
      <c r="E854" s="2" vm="4493">
        <f ca="1"/>
        <v>186.47</v>
      </c>
      <c r="F854" vm="4494">
        <f ca="1"/>
        <v>17314645</v>
      </c>
    </row>
    <row r="855" spans="1:6" x14ac:dyDescent="0.2">
      <c r="A855" s="1" vm="4495">
        <f ca="1"/>
        <v>45681</v>
      </c>
      <c r="B855" s="2" vm="4496">
        <f ca="1"/>
        <v>188.64</v>
      </c>
      <c r="C855" s="2" vm="4497">
        <f ca="1"/>
        <v>189.1</v>
      </c>
      <c r="D855" s="2" vm="4498">
        <f ca="1"/>
        <v>181.87</v>
      </c>
      <c r="E855" s="2" vm="4499">
        <f ca="1"/>
        <v>183.6</v>
      </c>
      <c r="F855" vm="4500">
        <f ca="1"/>
        <v>12147180</v>
      </c>
    </row>
    <row r="856" spans="1:6" x14ac:dyDescent="0.2">
      <c r="A856" s="1" vm="4501">
        <f ca="1"/>
        <v>45684</v>
      </c>
      <c r="B856" s="2" vm="4502">
        <f ca="1"/>
        <v>168.9</v>
      </c>
      <c r="C856" s="2" vm="4503">
        <f ca="1"/>
        <v>172.52</v>
      </c>
      <c r="D856" s="2" vm="4504">
        <f ca="1"/>
        <v>152.66</v>
      </c>
      <c r="E856" s="2" vm="4505">
        <f ca="1"/>
        <v>158.28</v>
      </c>
      <c r="F856" vm="4506">
        <f ca="1"/>
        <v>42201592</v>
      </c>
    </row>
    <row r="857" spans="1:6" x14ac:dyDescent="0.2">
      <c r="A857" s="1" vm="4507">
        <f ca="1"/>
        <v>45685</v>
      </c>
      <c r="B857" s="2" vm="4508">
        <f ca="1"/>
        <v>162.99</v>
      </c>
      <c r="C857" s="2" vm="4509">
        <f ca="1"/>
        <v>165.82499999999999</v>
      </c>
      <c r="D857" s="2" vm="4510">
        <f ca="1"/>
        <v>156.75</v>
      </c>
      <c r="E857" s="2" vm="4511">
        <f ca="1"/>
        <v>164</v>
      </c>
      <c r="F857" vm="4512">
        <f ca="1"/>
        <v>20319300</v>
      </c>
    </row>
    <row r="858" spans="1:6" x14ac:dyDescent="0.2">
      <c r="A858" s="1" vm="4513">
        <f ca="1"/>
        <v>45686</v>
      </c>
      <c r="B858" s="2" vm="4514">
        <f ca="1"/>
        <v>164.02500000000001</v>
      </c>
      <c r="C858" s="2" vm="4514">
        <f ca="1"/>
        <v>164.02500000000001</v>
      </c>
      <c r="D858" s="2" vm="4515">
        <f ca="1"/>
        <v>160.01</v>
      </c>
      <c r="E858" s="2" vm="4516">
        <f ca="1"/>
        <v>162.02000000000001</v>
      </c>
      <c r="F858" vm="4517">
        <f ca="1"/>
        <v>9866583</v>
      </c>
    </row>
    <row r="859" spans="1:6" x14ac:dyDescent="0.2">
      <c r="A859" s="1" vm="4518">
        <f ca="1"/>
        <v>45687</v>
      </c>
      <c r="B859" s="2" vm="4519">
        <f ca="1"/>
        <v>164.78</v>
      </c>
      <c r="C859" s="2" vm="4520">
        <f ca="1"/>
        <v>171.49</v>
      </c>
      <c r="D859" s="2" vm="4521">
        <f ca="1"/>
        <v>164.1</v>
      </c>
      <c r="E859" s="2" vm="4400">
        <f ca="1"/>
        <v>170.38</v>
      </c>
      <c r="F859" vm="4522">
        <f ca="1"/>
        <v>14981706</v>
      </c>
    </row>
    <row r="860" spans="1:6" x14ac:dyDescent="0.2">
      <c r="A860" s="1" vm="4523">
        <f ca="1"/>
        <v>45688</v>
      </c>
      <c r="B860" s="2" vm="4524">
        <f ca="1"/>
        <v>170.41</v>
      </c>
      <c r="C860" s="2" vm="4525">
        <f ca="1"/>
        <v>173</v>
      </c>
      <c r="D860" s="2" vm="4526">
        <f ca="1"/>
        <v>169.12960000000001</v>
      </c>
      <c r="E860" s="2" vm="4527">
        <f ca="1"/>
        <v>170.06</v>
      </c>
      <c r="F860" vm="4528">
        <f ca="1"/>
        <v>8722470</v>
      </c>
    </row>
    <row r="861" spans="1:6" x14ac:dyDescent="0.2">
      <c r="A861" s="1" vm="4529">
        <f ca="1"/>
        <v>45691</v>
      </c>
      <c r="B861" s="2" vm="4530">
        <f ca="1"/>
        <v>163.19999999999999</v>
      </c>
      <c r="C861" s="2" vm="4531">
        <f ca="1"/>
        <v>169.9</v>
      </c>
      <c r="D861" s="2" vm="4530">
        <f ca="1"/>
        <v>163.19999999999999</v>
      </c>
      <c r="E861" s="2" vm="4532">
        <f ca="1"/>
        <v>168.6</v>
      </c>
      <c r="F861" vm="4533">
        <f ca="1"/>
        <v>8250588</v>
      </c>
    </row>
    <row r="862" spans="1:6" x14ac:dyDescent="0.2">
      <c r="A862" s="1" vm="4534">
        <f ca="1"/>
        <v>45692</v>
      </c>
      <c r="B862" s="2" vm="4046">
        <f ca="1"/>
        <v>170.4</v>
      </c>
      <c r="C862" s="2" vm="4046">
        <f ca="1"/>
        <v>170.4</v>
      </c>
      <c r="D862" s="2" vm="4535">
        <f ca="1"/>
        <v>166.35</v>
      </c>
      <c r="E862" s="2" vm="4536">
        <f ca="1"/>
        <v>167.89</v>
      </c>
      <c r="F862" vm="4537">
        <f ca="1"/>
        <v>6776982</v>
      </c>
    </row>
    <row r="863" spans="1:6" x14ac:dyDescent="0.2">
      <c r="A863" s="1" vm="4538">
        <f ca="1"/>
        <v>45693</v>
      </c>
      <c r="B863" s="2" vm="4539">
        <f ca="1"/>
        <v>168.99</v>
      </c>
      <c r="C863" s="2" vm="4196">
        <f ca="1"/>
        <v>171.89</v>
      </c>
      <c r="D863" s="2" vm="4416">
        <f ca="1"/>
        <v>168.52</v>
      </c>
      <c r="E863" s="2" vm="4540">
        <f ca="1"/>
        <v>171.66</v>
      </c>
      <c r="F863" vm="4541">
        <f ca="1"/>
        <v>7866650</v>
      </c>
    </row>
    <row r="864" spans="1:6" x14ac:dyDescent="0.2">
      <c r="A864" s="1" vm="4542">
        <f ca="1"/>
        <v>45694</v>
      </c>
      <c r="B864" s="2" vm="4525">
        <f ca="1"/>
        <v>173</v>
      </c>
      <c r="C864" s="2" vm="4543">
        <f ca="1"/>
        <v>175.65</v>
      </c>
      <c r="D864" s="2" vm="4544">
        <f ca="1"/>
        <v>171.57</v>
      </c>
      <c r="E864" s="2" vm="4545">
        <f ca="1"/>
        <v>172.35</v>
      </c>
      <c r="F864" vm="4546">
        <f ca="1"/>
        <v>7036908</v>
      </c>
    </row>
    <row r="865" spans="1:6" x14ac:dyDescent="0.2">
      <c r="A865" s="1" vm="4547">
        <f ca="1"/>
        <v>45695</v>
      </c>
      <c r="B865" s="2" vm="4350">
        <f ca="1"/>
        <v>175</v>
      </c>
      <c r="C865" s="2" vm="4548">
        <f ca="1"/>
        <v>177.39</v>
      </c>
      <c r="D865" s="2" vm="4549">
        <f ca="1"/>
        <v>173.18</v>
      </c>
      <c r="E865" s="2" vm="4550">
        <f ca="1"/>
        <v>174.46</v>
      </c>
      <c r="F865" vm="4551">
        <f ca="1"/>
        <v>9991297</v>
      </c>
    </row>
    <row r="866" spans="1:6" x14ac:dyDescent="0.2">
      <c r="A866" s="1" vm="4552">
        <f ca="1"/>
        <v>45698</v>
      </c>
      <c r="B866" s="2" vm="4553">
        <f ca="1"/>
        <v>176</v>
      </c>
      <c r="C866" s="2" vm="4554">
        <f ca="1"/>
        <v>179.99</v>
      </c>
      <c r="D866" s="2" vm="4555">
        <f ca="1"/>
        <v>174.92</v>
      </c>
      <c r="E866" s="2" vm="4556">
        <f ca="1"/>
        <v>178.92</v>
      </c>
      <c r="F866" vm="4557">
        <f ca="1"/>
        <v>7625900</v>
      </c>
    </row>
    <row r="867" spans="1:6" x14ac:dyDescent="0.2">
      <c r="A867" s="1" vm="4558">
        <f ca="1"/>
        <v>45699</v>
      </c>
      <c r="B867" s="2" vm="4559">
        <f ca="1"/>
        <v>177.62</v>
      </c>
      <c r="C867" s="2" vm="4560">
        <f ca="1"/>
        <v>179.12</v>
      </c>
      <c r="D867" s="2" vm="4561">
        <f ca="1"/>
        <v>176.45</v>
      </c>
      <c r="E867" s="2" vm="4562">
        <f ca="1"/>
        <v>177.19</v>
      </c>
      <c r="F867" vm="4563">
        <f ca="1"/>
        <v>6528766</v>
      </c>
    </row>
    <row r="868" spans="1:6" x14ac:dyDescent="0.2">
      <c r="A868" s="1" vm="4564">
        <f ca="1"/>
        <v>45700</v>
      </c>
      <c r="B868" s="2" vm="4565">
        <f ca="1"/>
        <v>174.89</v>
      </c>
      <c r="C868" s="2" vm="4565">
        <f ca="1"/>
        <v>174.89</v>
      </c>
      <c r="D868" s="2" vm="4566">
        <f ca="1"/>
        <v>170.71</v>
      </c>
      <c r="E868" s="2" vm="4567">
        <f ca="1"/>
        <v>172.22</v>
      </c>
      <c r="F868" vm="4568">
        <f ca="1"/>
        <v>7454841</v>
      </c>
    </row>
    <row r="869" spans="1:6" x14ac:dyDescent="0.2">
      <c r="A869" s="1" vm="4569">
        <f ca="1"/>
        <v>45701</v>
      </c>
      <c r="B869" s="2" vm="4525">
        <f ca="1"/>
        <v>173</v>
      </c>
      <c r="C869" s="2" vm="4570">
        <f ca="1"/>
        <v>174.375</v>
      </c>
      <c r="D869" s="2" vm="4571">
        <f ca="1"/>
        <v>172.1</v>
      </c>
      <c r="E869" s="2" vm="4572">
        <f ca="1"/>
        <v>173.86</v>
      </c>
      <c r="F869" vm="4573">
        <f ca="1"/>
        <v>6421673</v>
      </c>
    </row>
    <row r="870" spans="1:6" x14ac:dyDescent="0.2">
      <c r="A870" s="1" vm="4574">
        <f ca="1"/>
        <v>45702</v>
      </c>
      <c r="B870" s="2" vm="4575">
        <f ca="1"/>
        <v>174.25</v>
      </c>
      <c r="C870" s="2" vm="4576">
        <f ca="1"/>
        <v>175.03</v>
      </c>
      <c r="D870" s="2" vm="4577">
        <f ca="1"/>
        <v>172.81280000000001</v>
      </c>
      <c r="E870" s="2" vm="4578">
        <f ca="1"/>
        <v>174.16</v>
      </c>
      <c r="F870" vm="4579">
        <f ca="1"/>
        <v>7260851</v>
      </c>
    </row>
    <row r="871" spans="1:6" x14ac:dyDescent="0.2">
      <c r="A871" s="1" vm="4580">
        <f ca="1"/>
        <v>45706</v>
      </c>
      <c r="B871" s="2" vm="4581">
        <f ca="1"/>
        <v>176.75</v>
      </c>
      <c r="C871" s="2" vm="4582">
        <f ca="1"/>
        <v>182.24</v>
      </c>
      <c r="D871" s="2" vm="4583">
        <f ca="1"/>
        <v>176.09</v>
      </c>
      <c r="E871" s="2" vm="4584">
        <f ca="1"/>
        <v>179.8</v>
      </c>
      <c r="F871" vm="4585">
        <f ca="1"/>
        <v>11430497</v>
      </c>
    </row>
    <row r="872" spans="1:6" x14ac:dyDescent="0.2">
      <c r="A872" s="1" vm="4586">
        <f ca="1"/>
        <v>45707</v>
      </c>
      <c r="B872" s="2" vm="4342">
        <f ca="1"/>
        <v>178.58</v>
      </c>
      <c r="C872" s="2" vm="4587">
        <f ca="1"/>
        <v>181.68</v>
      </c>
      <c r="D872" s="2" vm="4588">
        <f ca="1"/>
        <v>175.7</v>
      </c>
      <c r="E872" s="2" vm="4589">
        <f ca="1"/>
        <v>181.52</v>
      </c>
      <c r="F872" vm="4590">
        <f ca="1"/>
        <v>8688500</v>
      </c>
    </row>
    <row r="873" spans="1:6" x14ac:dyDescent="0.2">
      <c r="A873" s="1" vm="4591">
        <f ca="1"/>
        <v>45708</v>
      </c>
      <c r="B873" s="2" vm="4592">
        <f ca="1"/>
        <v>179.81</v>
      </c>
      <c r="C873" s="2" vm="4593">
        <f ca="1"/>
        <v>180.27</v>
      </c>
      <c r="D873" s="2" vm="4594">
        <f ca="1"/>
        <v>174.43</v>
      </c>
      <c r="E873" s="2" vm="4553">
        <f ca="1"/>
        <v>176</v>
      </c>
      <c r="F873" vm="4595">
        <f ca="1"/>
        <v>8737035</v>
      </c>
    </row>
    <row r="874" spans="1:6" x14ac:dyDescent="0.2">
      <c r="A874" s="1" vm="4596">
        <f ca="1"/>
        <v>45709</v>
      </c>
      <c r="B874" s="2" vm="4106">
        <f ca="1"/>
        <v>176.12</v>
      </c>
      <c r="C874" s="2" vm="4597">
        <f ca="1"/>
        <v>176.875</v>
      </c>
      <c r="D874" s="2" vm="4372">
        <f ca="1"/>
        <v>167.55</v>
      </c>
      <c r="E874" s="2" vm="4598">
        <f ca="1"/>
        <v>167.81</v>
      </c>
      <c r="F874" vm="4599">
        <f ca="1"/>
        <v>9713871</v>
      </c>
    </row>
    <row r="875" spans="1:6" x14ac:dyDescent="0.2">
      <c r="A875" s="1" vm="4600">
        <f ca="1"/>
        <v>45712</v>
      </c>
      <c r="B875" s="2" vm="4601">
        <f ca="1"/>
        <v>173.57</v>
      </c>
      <c r="C875" s="2" vm="4163">
        <f ca="1"/>
        <v>174.17</v>
      </c>
      <c r="D875" s="2" vm="4602">
        <f ca="1"/>
        <v>164.66</v>
      </c>
      <c r="E875" s="2" vm="4603">
        <f ca="1"/>
        <v>169.96</v>
      </c>
      <c r="F875" vm="4604">
        <f ca="1"/>
        <v>10639053</v>
      </c>
    </row>
    <row r="876" spans="1:6" x14ac:dyDescent="0.2">
      <c r="A876" s="1" vm="4605">
        <f ca="1"/>
        <v>45713</v>
      </c>
      <c r="B876" s="2" vm="4606">
        <f ca="1"/>
        <v>169.29</v>
      </c>
      <c r="C876" s="2" vm="4079">
        <f ca="1"/>
        <v>170.6</v>
      </c>
      <c r="D876" s="2" vm="4607">
        <f ca="1"/>
        <v>164.441</v>
      </c>
      <c r="E876" s="2" vm="4608">
        <f ca="1"/>
        <v>168.54</v>
      </c>
      <c r="F876" vm="4609">
        <f ca="1"/>
        <v>8316085</v>
      </c>
    </row>
    <row r="877" spans="1:6" x14ac:dyDescent="0.2">
      <c r="A877" s="1" vm="4610">
        <f ca="1"/>
        <v>45714</v>
      </c>
      <c r="B877" s="2" vm="4611">
        <f ca="1"/>
        <v>170.98</v>
      </c>
      <c r="C877" s="2" vm="4612">
        <f ca="1"/>
        <v>173.87</v>
      </c>
      <c r="D877" s="2" vm="4613">
        <f ca="1"/>
        <v>169.125</v>
      </c>
      <c r="E877" s="2" vm="4614">
        <f ca="1"/>
        <v>172.47</v>
      </c>
      <c r="F877" vm="4615">
        <f ca="1"/>
        <v>6915115</v>
      </c>
    </row>
    <row r="878" spans="1:6" x14ac:dyDescent="0.2">
      <c r="A878" s="1" vm="4616">
        <f ca="1"/>
        <v>45715</v>
      </c>
      <c r="B878" s="2" vm="4525">
        <f ca="1"/>
        <v>173</v>
      </c>
      <c r="C878" s="2" vm="4617">
        <f ca="1"/>
        <v>174.86</v>
      </c>
      <c r="D878" s="2" vm="4618">
        <f ca="1"/>
        <v>164.58</v>
      </c>
      <c r="E878" s="2" vm="4619">
        <f ca="1"/>
        <v>164.76</v>
      </c>
      <c r="F878" vm="4620">
        <f ca="1"/>
        <v>7436810</v>
      </c>
    </row>
    <row r="879" spans="1:6" x14ac:dyDescent="0.2">
      <c r="A879" s="1" vm="4621">
        <f ca="1"/>
        <v>45716</v>
      </c>
      <c r="B879" s="2" vm="4622">
        <f ca="1"/>
        <v>163.11000000000001</v>
      </c>
      <c r="C879" s="2" vm="4623">
        <f ca="1"/>
        <v>166.15</v>
      </c>
      <c r="D879" s="2" vm="4624">
        <f ca="1"/>
        <v>160.81</v>
      </c>
      <c r="E879" s="2" vm="4625">
        <f ca="1"/>
        <v>166.06</v>
      </c>
      <c r="F879" vm="4626">
        <f ca="1"/>
        <v>12843286</v>
      </c>
    </row>
    <row r="880" spans="1:6" x14ac:dyDescent="0.2">
      <c r="A880" s="1" vm="4627">
        <f ca="1"/>
        <v>45719</v>
      </c>
      <c r="B880" s="2" vm="4628">
        <f ca="1"/>
        <v>166.95</v>
      </c>
      <c r="C880" s="2" vm="4629">
        <f ca="1"/>
        <v>167.12</v>
      </c>
      <c r="D880" s="2" vm="4630">
        <f ca="1"/>
        <v>161.13</v>
      </c>
      <c r="E880" s="2" vm="4516">
        <f ca="1"/>
        <v>162.02000000000001</v>
      </c>
      <c r="F880" vm="4631">
        <f ca="1"/>
        <v>8081840</v>
      </c>
    </row>
    <row r="881" spans="1:6" x14ac:dyDescent="0.2">
      <c r="A881" s="1" vm="4632">
        <f ca="1"/>
        <v>45720</v>
      </c>
      <c r="B881" s="2" vm="4633">
        <f ca="1"/>
        <v>159.22</v>
      </c>
      <c r="C881" s="2" vm="4634">
        <f ca="1"/>
        <v>159.76</v>
      </c>
      <c r="D881" s="2" vm="4635">
        <f ca="1"/>
        <v>153.52000000000001</v>
      </c>
      <c r="E881" s="2" vm="4636">
        <f ca="1"/>
        <v>157.47</v>
      </c>
      <c r="F881" vm="4637">
        <f ca="1"/>
        <v>13171897</v>
      </c>
    </row>
    <row r="882" spans="1:6" x14ac:dyDescent="0.2">
      <c r="A882" s="1" vm="4638">
        <f ca="1"/>
        <v>45721</v>
      </c>
      <c r="B882" s="2" vm="4639">
        <f ca="1"/>
        <v>158.06</v>
      </c>
      <c r="C882" s="2" vm="4640">
        <f ca="1"/>
        <v>162.4853</v>
      </c>
      <c r="D882" s="2" vm="4641">
        <f ca="1"/>
        <v>157.05000000000001</v>
      </c>
      <c r="E882" s="2" vm="4642">
        <f ca="1"/>
        <v>161.56</v>
      </c>
      <c r="F882" vm="4643">
        <f ca="1"/>
        <v>7140996</v>
      </c>
    </row>
    <row r="883" spans="1:6" x14ac:dyDescent="0.2">
      <c r="A883" s="1" vm="4644">
        <f ca="1"/>
        <v>45722</v>
      </c>
      <c r="B883" s="2" vm="4645">
        <f ca="1"/>
        <v>157.155</v>
      </c>
      <c r="C883" s="2" vm="4645">
        <f ca="1"/>
        <v>157.155</v>
      </c>
      <c r="D883" s="2" vm="4646">
        <f ca="1"/>
        <v>149.7286</v>
      </c>
      <c r="E883" s="2" vm="4647">
        <f ca="1"/>
        <v>150.94</v>
      </c>
      <c r="F883" vm="4648">
        <f ca="1"/>
        <v>12321246</v>
      </c>
    </row>
    <row r="884" spans="1:6" x14ac:dyDescent="0.2">
      <c r="A884" s="1" vm="4649">
        <f ca="1"/>
        <v>45723</v>
      </c>
      <c r="B884" s="2" vm="4650">
        <f ca="1"/>
        <v>150.62</v>
      </c>
      <c r="C884" s="2" vm="4651">
        <f ca="1"/>
        <v>156.47999999999999</v>
      </c>
      <c r="D884" s="2" vm="4652">
        <f ca="1"/>
        <v>148.5</v>
      </c>
      <c r="E884" s="2" vm="4653">
        <f ca="1"/>
        <v>155.16</v>
      </c>
      <c r="F884" vm="4654">
        <f ca="1"/>
        <v>12646488</v>
      </c>
    </row>
    <row r="885" spans="1:6" x14ac:dyDescent="0.2">
      <c r="A885" s="1" vm="4655">
        <f ca="1"/>
        <v>45726</v>
      </c>
      <c r="B885" s="2" vm="4656">
        <f ca="1"/>
        <v>150.53</v>
      </c>
      <c r="C885" s="2" vm="4657">
        <f ca="1"/>
        <v>152.52000000000001</v>
      </c>
      <c r="D885" s="2" vm="4658">
        <f ca="1"/>
        <v>146.80000000000001</v>
      </c>
      <c r="E885" s="2" vm="4659">
        <f ca="1"/>
        <v>148.79</v>
      </c>
      <c r="F885" vm="4660">
        <f ca="1"/>
        <v>21486052</v>
      </c>
    </row>
    <row r="886" spans="1:6" x14ac:dyDescent="0.2">
      <c r="A886" s="1" vm="4661">
        <f ca="1"/>
        <v>45727</v>
      </c>
      <c r="B886" s="2" vm="4662">
        <f ca="1"/>
        <v>143.41999999999999</v>
      </c>
      <c r="C886" s="2" vm="4663">
        <f ca="1"/>
        <v>145.78</v>
      </c>
      <c r="D886" s="2" vm="3788">
        <f ca="1"/>
        <v>137.69999999999999</v>
      </c>
      <c r="E886" s="2" vm="4664">
        <f ca="1"/>
        <v>144.18</v>
      </c>
      <c r="F886" vm="4665">
        <f ca="1"/>
        <v>27200233</v>
      </c>
    </row>
    <row r="887" spans="1:6" x14ac:dyDescent="0.2">
      <c r="A887" s="1" vm="4666">
        <f ca="1"/>
        <v>45728</v>
      </c>
      <c r="B887" s="2" vm="4667">
        <f ca="1"/>
        <v>146.22999999999999</v>
      </c>
      <c r="C887" s="2" vm="4668">
        <f ca="1"/>
        <v>152.22999999999999</v>
      </c>
      <c r="D887" s="2" vm="4669">
        <f ca="1"/>
        <v>145.0121</v>
      </c>
      <c r="E887" s="2" vm="4670">
        <f ca="1"/>
        <v>150.88999999999999</v>
      </c>
      <c r="F887" vm="4671">
        <f ca="1"/>
        <v>15373853</v>
      </c>
    </row>
    <row r="888" spans="1:6" x14ac:dyDescent="0.2">
      <c r="A888" s="1" vm="4672">
        <f ca="1"/>
        <v>45729</v>
      </c>
      <c r="B888" s="2" vm="4673">
        <f ca="1"/>
        <v>149.79</v>
      </c>
      <c r="C888" s="2" vm="4674">
        <f ca="1"/>
        <v>150.16999999999999</v>
      </c>
      <c r="D888" s="2" vm="4675">
        <f ca="1"/>
        <v>145.47999999999999</v>
      </c>
      <c r="E888" s="2" vm="4676">
        <f ca="1"/>
        <v>147.66</v>
      </c>
      <c r="F888" vm="4677">
        <f ca="1"/>
        <v>14187662</v>
      </c>
    </row>
    <row r="889" spans="1:6" x14ac:dyDescent="0.2">
      <c r="A889" s="1" vm="4678">
        <f ca="1"/>
        <v>45730</v>
      </c>
      <c r="B889" s="2" vm="4679">
        <f ca="1"/>
        <v>148.91499999999999</v>
      </c>
      <c r="C889" s="2" vm="4680">
        <f ca="1"/>
        <v>150.88</v>
      </c>
      <c r="D889" s="2" vm="4681">
        <f ca="1"/>
        <v>147.88</v>
      </c>
      <c r="E889" s="2" vm="4682">
        <f ca="1"/>
        <v>149.27000000000001</v>
      </c>
      <c r="F889" vm="4683">
        <f ca="1"/>
        <v>9329964</v>
      </c>
    </row>
    <row r="890" spans="1:6" x14ac:dyDescent="0.2">
      <c r="A890" s="1" vm="4684">
        <f ca="1"/>
        <v>45733</v>
      </c>
      <c r="B890" s="2" vm="4685">
        <f ca="1"/>
        <v>150.4</v>
      </c>
      <c r="C890" s="2" vm="4686">
        <f ca="1"/>
        <v>155.75</v>
      </c>
      <c r="D890" s="2" vm="4685">
        <f ca="1"/>
        <v>150.4</v>
      </c>
      <c r="E890" s="2" vm="4687">
        <f ca="1"/>
        <v>154.01</v>
      </c>
      <c r="F890" vm="4688">
        <f ca="1"/>
        <v>9884994</v>
      </c>
    </row>
    <row r="891" spans="1:6" x14ac:dyDescent="0.2">
      <c r="A891" s="1" vm="4689">
        <f ca="1"/>
        <v>45734</v>
      </c>
      <c r="B891" s="2" vm="4690">
        <f ca="1"/>
        <v>152.37</v>
      </c>
      <c r="C891" s="2" vm="4691">
        <f ca="1"/>
        <v>152.41499999999999</v>
      </c>
      <c r="D891" s="2" vm="4692">
        <f ca="1"/>
        <v>148.63</v>
      </c>
      <c r="E891" s="2" vm="4693">
        <f ca="1"/>
        <v>149.44999999999999</v>
      </c>
      <c r="F891" vm="4694">
        <f ca="1"/>
        <v>9402508</v>
      </c>
    </row>
    <row r="892" spans="1:6" x14ac:dyDescent="0.2">
      <c r="A892" s="1" vm="4695">
        <f ca="1"/>
        <v>45735</v>
      </c>
      <c r="B892" s="2" vm="4696">
        <f ca="1"/>
        <v>150.06</v>
      </c>
      <c r="C892" s="2" vm="4697">
        <f ca="1"/>
        <v>154.07</v>
      </c>
      <c r="D892" s="2" vm="4698">
        <f ca="1"/>
        <v>150</v>
      </c>
      <c r="E892" s="2" vm="4699">
        <f ca="1"/>
        <v>152.44999999999999</v>
      </c>
      <c r="F892" vm="4700">
        <f ca="1"/>
        <v>6909504</v>
      </c>
    </row>
    <row r="893" spans="1:6" x14ac:dyDescent="0.2">
      <c r="A893" s="1" vm="4701">
        <f ca="1"/>
        <v>45736</v>
      </c>
      <c r="B893" s="2" vm="4702">
        <f ca="1"/>
        <v>151.58000000000001</v>
      </c>
      <c r="C893" s="2" vm="4703">
        <f ca="1"/>
        <v>154.49</v>
      </c>
      <c r="D893" s="2" vm="4704">
        <f ca="1"/>
        <v>150.82</v>
      </c>
      <c r="E893" s="2" vm="4705">
        <f ca="1"/>
        <v>152.72</v>
      </c>
      <c r="F893" vm="4706">
        <f ca="1"/>
        <v>7051615</v>
      </c>
    </row>
    <row r="894" spans="1:6" x14ac:dyDescent="0.2">
      <c r="A894" s="1" vm="4707">
        <f ca="1"/>
        <v>45737</v>
      </c>
      <c r="B894" s="2" vm="4708">
        <f ca="1"/>
        <v>151.65</v>
      </c>
      <c r="C894" s="2" vm="4709">
        <f ca="1"/>
        <v>153.84</v>
      </c>
      <c r="D894" s="2" vm="4710">
        <f ca="1"/>
        <v>150.11000000000001</v>
      </c>
      <c r="E894" s="2" vm="4668">
        <f ca="1"/>
        <v>152.22999999999999</v>
      </c>
      <c r="F894" vm="4711">
        <f ca="1"/>
        <v>17620224</v>
      </c>
    </row>
    <row r="895" spans="1:6" x14ac:dyDescent="0.2">
      <c r="A895" s="1" vm="4712">
        <f ca="1"/>
        <v>45740</v>
      </c>
      <c r="B895" s="2" vm="4713">
        <f ca="1"/>
        <v>156.34</v>
      </c>
      <c r="C895" s="2" vm="4714">
        <f ca="1"/>
        <v>156.60499999999999</v>
      </c>
      <c r="D895" s="2" vm="4715">
        <f ca="1"/>
        <v>154.03</v>
      </c>
      <c r="E895" s="2" vm="4716">
        <f ca="1"/>
        <v>154.87</v>
      </c>
      <c r="F895" vm="4717">
        <f ca="1"/>
        <v>7848332</v>
      </c>
    </row>
    <row r="896" spans="1:6" x14ac:dyDescent="0.2">
      <c r="A896" s="1" vm="4718">
        <f ca="1"/>
        <v>45741</v>
      </c>
      <c r="B896" s="2" vm="4719">
        <f ca="1"/>
        <v>154.51</v>
      </c>
      <c r="C896" s="2" vm="4720">
        <f ca="1"/>
        <v>155.6</v>
      </c>
      <c r="D896" s="2" vm="4721">
        <f ca="1"/>
        <v>153.05000000000001</v>
      </c>
      <c r="E896" s="2" vm="4722">
        <f ca="1"/>
        <v>153.93</v>
      </c>
      <c r="F896" vm="4723">
        <f ca="1"/>
        <v>8521249</v>
      </c>
    </row>
    <row r="897" spans="1:6" x14ac:dyDescent="0.2">
      <c r="A897" s="1" vm="4724">
        <f ca="1"/>
        <v>45742</v>
      </c>
      <c r="B897" s="2" vm="4725">
        <f ca="1"/>
        <v>152.88999999999999</v>
      </c>
      <c r="C897" s="2" vm="4726">
        <f ca="1"/>
        <v>153.03</v>
      </c>
      <c r="D897" s="2" vm="4727">
        <f ca="1"/>
        <v>146.56</v>
      </c>
      <c r="E897" s="2" vm="4728">
        <f ca="1"/>
        <v>147.80000000000001</v>
      </c>
      <c r="F897" vm="4729">
        <f ca="1"/>
        <v>13222521</v>
      </c>
    </row>
    <row r="898" spans="1:6" x14ac:dyDescent="0.2">
      <c r="A898" s="1" vm="4730">
        <f ca="1"/>
        <v>45743</v>
      </c>
      <c r="B898" s="2" vm="4731">
        <f ca="1"/>
        <v>145.85</v>
      </c>
      <c r="C898" s="2" vm="4732">
        <f ca="1"/>
        <v>147.04</v>
      </c>
      <c r="D898" s="2" vm="4733">
        <f ca="1"/>
        <v>144.91999999999999</v>
      </c>
      <c r="E898" s="2" vm="4663">
        <f ca="1"/>
        <v>145.78</v>
      </c>
      <c r="F898" vm="4734">
        <f ca="1"/>
        <v>9148321</v>
      </c>
    </row>
    <row r="899" spans="1:6" x14ac:dyDescent="0.2">
      <c r="A899" s="1" vm="4735">
        <f ca="1"/>
        <v>45744</v>
      </c>
      <c r="B899" s="2" vm="4736">
        <f ca="1"/>
        <v>143.78</v>
      </c>
      <c r="C899" s="2" vm="4737">
        <f ca="1"/>
        <v>145.65</v>
      </c>
      <c r="D899" s="2" vm="4738">
        <f ca="1"/>
        <v>139.11000000000001</v>
      </c>
      <c r="E899" s="2" vm="4739">
        <f ca="1"/>
        <v>140.87</v>
      </c>
      <c r="F899" vm="4740">
        <f ca="1"/>
        <v>13144486</v>
      </c>
    </row>
    <row r="900" spans="1:6" x14ac:dyDescent="0.2">
      <c r="A900" s="1" vm="4741">
        <f ca="1"/>
        <v>45747</v>
      </c>
      <c r="B900" s="2" vm="4742">
        <f ca="1"/>
        <v>138.63999999999999</v>
      </c>
      <c r="C900" s="2" vm="4743">
        <f ca="1"/>
        <v>140.59</v>
      </c>
      <c r="D900" s="2" vm="4744">
        <f ca="1"/>
        <v>136.76</v>
      </c>
      <c r="E900" s="2" vm="4745">
        <f ca="1"/>
        <v>139.81</v>
      </c>
      <c r="F900" vm="4746">
        <f ca="1"/>
        <v>15509923</v>
      </c>
    </row>
    <row r="901" spans="1:6" x14ac:dyDescent="0.2">
      <c r="A901" s="1" vm="4747">
        <f ca="1"/>
        <v>45748</v>
      </c>
      <c r="B901" s="2" vm="4748">
        <f ca="1"/>
        <v>139.76</v>
      </c>
      <c r="C901" s="2" vm="4749">
        <f ca="1"/>
        <v>143.25</v>
      </c>
      <c r="D901" s="2" vm="4750">
        <f ca="1"/>
        <v>138.76</v>
      </c>
      <c r="E901" s="2" vm="4751">
        <f ca="1"/>
        <v>141.94</v>
      </c>
      <c r="F901" vm="4752">
        <f ca="1"/>
        <v>9518457</v>
      </c>
    </row>
    <row r="902" spans="1:6" x14ac:dyDescent="0.2">
      <c r="A902" s="1" vm="4753">
        <f ca="1"/>
        <v>45749</v>
      </c>
      <c r="B902" s="2" vm="4754">
        <f ca="1"/>
        <v>139.86000000000001</v>
      </c>
      <c r="C902" s="2" vm="4755">
        <f ca="1"/>
        <v>147.88999999999999</v>
      </c>
      <c r="D902" s="2" vm="4754">
        <f ca="1"/>
        <v>139.86000000000001</v>
      </c>
      <c r="E902" s="2" vm="4756">
        <f ca="1"/>
        <v>145.86000000000001</v>
      </c>
      <c r="F902" vm="4757">
        <f ca="1"/>
        <v>11594432</v>
      </c>
    </row>
    <row r="903" spans="1:6" x14ac:dyDescent="0.2">
      <c r="A903" s="1" vm="4758">
        <f ca="1"/>
        <v>45750</v>
      </c>
      <c r="B903" s="2" vm="3682">
        <f ca="1"/>
        <v>139.25</v>
      </c>
      <c r="C903" s="2" vm="3947">
        <f ca="1"/>
        <v>141.4</v>
      </c>
      <c r="D903" s="2" vm="4759">
        <f ca="1"/>
        <v>136.63999999999999</v>
      </c>
      <c r="E903" s="2" vm="4760">
        <f ca="1"/>
        <v>137.22999999999999</v>
      </c>
      <c r="F903" vm="4761">
        <f ca="1"/>
        <v>14433768</v>
      </c>
    </row>
    <row r="904" spans="1:6" x14ac:dyDescent="0.2">
      <c r="A904" s="1" vm="4762">
        <f ca="1"/>
        <v>45751</v>
      </c>
      <c r="B904" s="2" vm="4763">
        <f ca="1"/>
        <v>132.91</v>
      </c>
      <c r="C904" s="2" vm="4764">
        <f ca="1"/>
        <v>133.82</v>
      </c>
      <c r="D904" s="2" vm="3616">
        <f ca="1"/>
        <v>126.95</v>
      </c>
      <c r="E904" s="2" vm="3341">
        <f ca="1"/>
        <v>128.27000000000001</v>
      </c>
      <c r="F904" vm="4765">
        <f ca="1"/>
        <v>14986861</v>
      </c>
    </row>
    <row r="905" spans="1:6" x14ac:dyDescent="0.2">
      <c r="A905" s="1" vm="4766">
        <f ca="1"/>
        <v>45754</v>
      </c>
      <c r="B905" s="2" vm="4767">
        <f ca="1"/>
        <v>118.86</v>
      </c>
      <c r="C905" s="2" vm="4768">
        <f ca="1"/>
        <v>134.11000000000001</v>
      </c>
      <c r="D905" s="2" vm="4767">
        <f ca="1"/>
        <v>118.86</v>
      </c>
      <c r="E905" s="2" vm="4769">
        <f ca="1"/>
        <v>127.16</v>
      </c>
      <c r="F905" vm="4770">
        <f ca="1"/>
        <v>19482652</v>
      </c>
    </row>
    <row r="906" spans="1:6" x14ac:dyDescent="0.2">
      <c r="A906" s="1" vm="4771">
        <f ca="1"/>
        <v>45755</v>
      </c>
      <c r="B906" s="2" vm="4772">
        <f ca="1"/>
        <v>132.54</v>
      </c>
      <c r="C906" s="2" vm="4773">
        <f ca="1"/>
        <v>132.99</v>
      </c>
      <c r="D906" s="2" vm="4774">
        <f ca="1"/>
        <v>121.69499999999999</v>
      </c>
      <c r="E906" s="2" vm="3618">
        <f ca="1"/>
        <v>124.5</v>
      </c>
      <c r="F906" vm="4775">
        <f ca="1"/>
        <v>11950277</v>
      </c>
    </row>
    <row r="907" spans="1:6" x14ac:dyDescent="0.2">
      <c r="A907" s="1" vm="4776">
        <f ca="1"/>
        <v>45756</v>
      </c>
      <c r="B907" s="2" vm="4777">
        <f ca="1"/>
        <v>123.4</v>
      </c>
      <c r="C907" s="2" vm="4743">
        <f ca="1"/>
        <v>140.59</v>
      </c>
      <c r="D907" s="2" vm="4777">
        <f ca="1"/>
        <v>123.4</v>
      </c>
      <c r="E907" s="2" vm="3809">
        <f ca="1"/>
        <v>139.69</v>
      </c>
      <c r="F907" vm="4778">
        <f ca="1"/>
        <v>17761994</v>
      </c>
    </row>
    <row r="908" spans="1:6" x14ac:dyDescent="0.2">
      <c r="A908" s="1" vm="4779">
        <f ca="1"/>
        <v>45757</v>
      </c>
      <c r="B908" s="2" vm="4780">
        <f ca="1"/>
        <v>136.65</v>
      </c>
      <c r="C908" s="2" vm="4780">
        <f ca="1"/>
        <v>136.65</v>
      </c>
      <c r="D908" s="2" vm="4781">
        <f ca="1"/>
        <v>129.255</v>
      </c>
      <c r="E908" s="2" vm="4782">
        <f ca="1"/>
        <v>133.35</v>
      </c>
      <c r="F908" vm="4783">
        <f ca="1"/>
        <v>12401562</v>
      </c>
    </row>
    <row r="909" spans="1:6" x14ac:dyDescent="0.2">
      <c r="A909" s="1" vm="4784">
        <f ca="1"/>
        <v>45758</v>
      </c>
      <c r="B909" s="2" vm="4785">
        <f ca="1"/>
        <v>132.11000000000001</v>
      </c>
      <c r="C909" s="2" vm="4786">
        <f ca="1"/>
        <v>133</v>
      </c>
      <c r="D909" s="2" vm="4787">
        <f ca="1"/>
        <v>128.84</v>
      </c>
      <c r="E909" s="2" vm="4788">
        <f ca="1"/>
        <v>132.35</v>
      </c>
      <c r="F909" vm="4789">
        <f ca="1"/>
        <v>10190175</v>
      </c>
    </row>
    <row r="910" spans="1:6" x14ac:dyDescent="0.2">
      <c r="A910" s="1" vm="4790">
        <f ca="1"/>
        <v>45761</v>
      </c>
      <c r="B910" s="2" vm="4791">
        <f ca="1"/>
        <v>136.80000000000001</v>
      </c>
      <c r="C910" s="2" vm="4791">
        <f ca="1"/>
        <v>136.80000000000001</v>
      </c>
      <c r="D910" s="2" vm="4792">
        <f ca="1"/>
        <v>132.87</v>
      </c>
      <c r="E910" s="2" vm="4793">
        <f ca="1"/>
        <v>134.63999999999999</v>
      </c>
      <c r="F910" vm="4794">
        <f ca="1"/>
        <v>8217740</v>
      </c>
    </row>
    <row r="911" spans="1:6" x14ac:dyDescent="0.2">
      <c r="A911" s="1" vm="4795">
        <f ca="1"/>
        <v>45762</v>
      </c>
      <c r="B911" s="2" vm="4796">
        <f ca="1"/>
        <v>134.76</v>
      </c>
      <c r="C911" s="2" vm="4797">
        <f ca="1"/>
        <v>136.482</v>
      </c>
      <c r="D911" s="2" vm="4798">
        <f ca="1"/>
        <v>133.72</v>
      </c>
      <c r="E911" s="2" vm="4799">
        <f ca="1"/>
        <v>133.94</v>
      </c>
      <c r="F911" vm="4800">
        <f ca="1"/>
        <v>8629959</v>
      </c>
    </row>
    <row r="912" spans="1:6" x14ac:dyDescent="0.2">
      <c r="A912" s="1" vm="4801">
        <f ca="1"/>
        <v>45763</v>
      </c>
      <c r="B912" s="2" vm="4802">
        <f ca="1"/>
        <v>132.28</v>
      </c>
      <c r="C912" s="2" vm="4803">
        <f ca="1"/>
        <v>132.5368</v>
      </c>
      <c r="D912" s="2" vm="4804">
        <f ca="1"/>
        <v>127.85</v>
      </c>
      <c r="E912" s="2" vm="4805">
        <f ca="1"/>
        <v>129.76</v>
      </c>
      <c r="F912" vm="4806">
        <f ca="1"/>
        <v>8295176</v>
      </c>
    </row>
    <row r="913" spans="1:6" x14ac:dyDescent="0.2">
      <c r="A913" s="1" vm="4807">
        <f ca="1"/>
        <v>45764</v>
      </c>
      <c r="B913" s="2" vm="4808">
        <f ca="1"/>
        <v>130.9</v>
      </c>
      <c r="C913" s="2" vm="4809">
        <f ca="1"/>
        <v>131.30000000000001</v>
      </c>
      <c r="D913" s="2" vm="4810">
        <f ca="1"/>
        <v>128.44</v>
      </c>
      <c r="E913" s="2" vm="4811">
        <f ca="1"/>
        <v>128.62</v>
      </c>
      <c r="F913" vm="4812">
        <f ca="1"/>
        <v>8925522</v>
      </c>
    </row>
    <row r="914" spans="1:6" x14ac:dyDescent="0.2">
      <c r="A914" s="1" vm="4813">
        <f ca="1"/>
        <v>45768</v>
      </c>
      <c r="B914" s="2" vm="4814">
        <f ca="1"/>
        <v>126.88500000000001</v>
      </c>
      <c r="C914" s="2" vm="4815">
        <f ca="1"/>
        <v>127.19499999999999</v>
      </c>
      <c r="D914" s="2" vm="4816">
        <f ca="1"/>
        <v>121.235</v>
      </c>
      <c r="E914" s="2" vm="4817">
        <f ca="1"/>
        <v>122.82</v>
      </c>
      <c r="F914" vm="4818">
        <f ca="1"/>
        <v>12201231</v>
      </c>
    </row>
    <row r="915" spans="1:6" x14ac:dyDescent="0.2">
      <c r="A915" s="1" vm="4819">
        <f ca="1"/>
        <v>45769</v>
      </c>
      <c r="B915" s="2" vm="3618">
        <f ca="1"/>
        <v>124.5</v>
      </c>
      <c r="C915" s="2" vm="3396">
        <f ca="1"/>
        <v>127.99</v>
      </c>
      <c r="D915" s="2" vm="4820">
        <f ca="1"/>
        <v>123.39</v>
      </c>
      <c r="E915" s="2" vm="4821">
        <f ca="1"/>
        <v>127.24</v>
      </c>
      <c r="F915" vm="4822">
        <f ca="1"/>
        <v>11233702</v>
      </c>
    </row>
    <row r="916" spans="1:6" x14ac:dyDescent="0.2">
      <c r="A916" s="1" vm="4823">
        <f ca="1"/>
        <v>45770</v>
      </c>
      <c r="B916" s="2" vm="4824">
        <f ca="1"/>
        <v>134.91</v>
      </c>
      <c r="C916" s="2" vm="4825">
        <f ca="1"/>
        <v>135.87</v>
      </c>
      <c r="D916" s="2" vm="4826">
        <f ca="1"/>
        <v>130.99</v>
      </c>
      <c r="E916" s="2" vm="4827">
        <f ca="1"/>
        <v>131.4</v>
      </c>
      <c r="F916" vm="4828">
        <f ca="1"/>
        <v>9528873</v>
      </c>
    </row>
    <row r="917" spans="1:6" x14ac:dyDescent="0.2">
      <c r="A917" s="1" vm="4829">
        <f ca="1"/>
        <v>45771</v>
      </c>
      <c r="B917" s="2" vm="4830">
        <f ca="1"/>
        <v>132.51</v>
      </c>
      <c r="C917" s="2" vm="4831">
        <f ca="1"/>
        <v>137.86000000000001</v>
      </c>
      <c r="D917" s="2" vm="4832">
        <f ca="1"/>
        <v>132</v>
      </c>
      <c r="E917" s="2" vm="3818">
        <f ca="1"/>
        <v>137.51</v>
      </c>
      <c r="F917" vm="4833">
        <f ca="1"/>
        <v>7305887</v>
      </c>
    </row>
    <row r="918" spans="1:6" x14ac:dyDescent="0.2">
      <c r="A918" s="1" vm="4834">
        <f ca="1"/>
        <v>45772</v>
      </c>
      <c r="B918" s="2" vm="4835">
        <f ca="1"/>
        <v>137.49</v>
      </c>
      <c r="C918" s="2" vm="3670">
        <f ca="1"/>
        <v>139</v>
      </c>
      <c r="D918" s="2" vm="4836">
        <f ca="1"/>
        <v>136.755</v>
      </c>
      <c r="E918" s="2" vm="4837">
        <f ca="1"/>
        <v>138.49</v>
      </c>
      <c r="F918" vm="4838">
        <f ca="1"/>
        <v>5476378</v>
      </c>
    </row>
    <row r="919" spans="1:6" x14ac:dyDescent="0.2">
      <c r="A919" s="1" vm="4839">
        <f ca="1"/>
        <v>45775</v>
      </c>
      <c r="B919" s="2" vm="4840">
        <f ca="1"/>
        <v>139.65</v>
      </c>
      <c r="C919" s="2" vm="4841">
        <f ca="1"/>
        <v>140.66999999999999</v>
      </c>
      <c r="D919" s="2" vm="3678">
        <f ca="1"/>
        <v>138.08000000000001</v>
      </c>
      <c r="E919" s="2" vm="4842">
        <f ca="1"/>
        <v>140.13999999999999</v>
      </c>
      <c r="F919" vm="4843">
        <f ca="1"/>
        <v>6985102</v>
      </c>
    </row>
    <row r="920" spans="1:6" x14ac:dyDescent="0.2">
      <c r="A920" s="1" vm="4844">
        <f ca="1"/>
        <v>45776</v>
      </c>
      <c r="B920" s="2" vm="4745">
        <f ca="1"/>
        <v>139.81</v>
      </c>
      <c r="C920" s="2" vm="3927">
        <f ca="1"/>
        <v>141.16</v>
      </c>
      <c r="D920" s="2" vm="3671">
        <f ca="1"/>
        <v>139.55000000000001</v>
      </c>
      <c r="E920" s="2" vm="4845">
        <f ca="1"/>
        <v>140.79</v>
      </c>
      <c r="F920" vm="4846">
        <f ca="1"/>
        <v>4851458</v>
      </c>
    </row>
    <row r="921" spans="1:6" x14ac:dyDescent="0.2">
      <c r="A921" s="1" vm="4847">
        <f ca="1"/>
        <v>45777</v>
      </c>
      <c r="B921" s="2" vm="3917">
        <f ca="1"/>
        <v>138.47999999999999</v>
      </c>
      <c r="C921" s="2" vm="3776">
        <f ca="1"/>
        <v>141.30000000000001</v>
      </c>
      <c r="D921" s="2" vm="4848">
        <f ca="1"/>
        <v>135.565</v>
      </c>
      <c r="E921" s="2" vm="4849">
        <f ca="1"/>
        <v>140.72</v>
      </c>
      <c r="F921" vm="4850">
        <f ca="1"/>
        <v>9443538</v>
      </c>
    </row>
    <row r="922" spans="1:6" x14ac:dyDescent="0.2">
      <c r="A922" s="1" vm="4851">
        <f ca="1"/>
        <v>45778</v>
      </c>
      <c r="B922" s="2" vm="4727">
        <f ca="1"/>
        <v>146.56</v>
      </c>
      <c r="C922" s="2" vm="4852">
        <f ca="1"/>
        <v>148.63999999999999</v>
      </c>
      <c r="D922" s="2" vm="4853">
        <f ca="1"/>
        <v>145.33500000000001</v>
      </c>
      <c r="E922" s="2" vm="4854">
        <f ca="1"/>
        <v>145.49</v>
      </c>
      <c r="F922" vm="4855">
        <f ca="1"/>
        <v>11525751</v>
      </c>
    </row>
    <row r="923" spans="1:6" x14ac:dyDescent="0.2">
      <c r="A923" s="1" vm="4856">
        <f ca="1"/>
        <v>45779</v>
      </c>
      <c r="B923" s="2" vm="4857">
        <f ca="1"/>
        <v>148.33000000000001</v>
      </c>
      <c r="C923" s="2" vm="4858">
        <f ca="1"/>
        <v>153.06</v>
      </c>
      <c r="D923" s="2" vm="4857">
        <f ca="1"/>
        <v>148.33000000000001</v>
      </c>
      <c r="E923" s="2" vm="4859">
        <f ca="1"/>
        <v>150.72999999999999</v>
      </c>
      <c r="F923" vm="4860">
        <f ca="1"/>
        <v>11345977</v>
      </c>
    </row>
    <row r="924" spans="1:6" x14ac:dyDescent="0.2">
      <c r="A924" s="1" vm="4861">
        <f ca="1"/>
        <v>45782</v>
      </c>
      <c r="B924" s="2" vm="4862">
        <f ca="1"/>
        <v>149.435</v>
      </c>
      <c r="C924" s="2" vm="4704">
        <f ca="1"/>
        <v>150.82</v>
      </c>
      <c r="D924" s="2" vm="4863">
        <f ca="1"/>
        <v>148.52010000000001</v>
      </c>
      <c r="E924" s="2" vm="4864">
        <f ca="1"/>
        <v>149.29</v>
      </c>
      <c r="F924" vm="4865">
        <f ca="1"/>
        <v>5187449</v>
      </c>
    </row>
    <row r="925" spans="1:6" x14ac:dyDescent="0.2">
      <c r="A925" s="1" vm="4866">
        <f ca="1"/>
        <v>45783</v>
      </c>
      <c r="B925" s="2" vm="4867">
        <f ca="1"/>
        <v>146.97999999999999</v>
      </c>
      <c r="C925" s="2" vm="4868">
        <f ca="1"/>
        <v>148.941</v>
      </c>
      <c r="D925" s="2" vm="4869">
        <f ca="1"/>
        <v>145.72</v>
      </c>
      <c r="E925" s="2" vm="4870">
        <f ca="1"/>
        <v>147.69999999999999</v>
      </c>
      <c r="F925" vm="4871">
        <f ca="1"/>
        <v>5108595</v>
      </c>
    </row>
    <row r="926" spans="1:6" x14ac:dyDescent="0.2">
      <c r="A926" s="1" vm="4872">
        <f ca="1"/>
        <v>45784</v>
      </c>
      <c r="B926" s="2" vm="4873">
        <f ca="1"/>
        <v>147.5</v>
      </c>
      <c r="C926" s="2" vm="4874">
        <f ca="1"/>
        <v>149.9</v>
      </c>
      <c r="D926" s="2" vm="4875">
        <f ca="1"/>
        <v>147.24</v>
      </c>
      <c r="E926" s="2" vm="4876">
        <f ca="1"/>
        <v>149.37</v>
      </c>
      <c r="F926" vm="4877">
        <f ca="1"/>
        <v>6051937</v>
      </c>
    </row>
    <row r="927" spans="1:6" x14ac:dyDescent="0.2">
      <c r="A927" s="1" vm="4878">
        <f ca="1"/>
        <v>45785</v>
      </c>
      <c r="B927" s="2" vm="4879">
        <f ca="1"/>
        <v>149.05000000000001</v>
      </c>
      <c r="C927" s="2" vm="4880">
        <f ca="1"/>
        <v>151.81</v>
      </c>
      <c r="D927" s="2" vm="4881">
        <f ca="1"/>
        <v>148.61000000000001</v>
      </c>
      <c r="E927" s="2" vm="4882">
        <f ca="1"/>
        <v>150.30000000000001</v>
      </c>
      <c r="F927" vm="4883">
        <f ca="1"/>
        <v>6113612</v>
      </c>
    </row>
    <row r="928" spans="1:6" x14ac:dyDescent="0.2">
      <c r="A928" s="1" vm="4884">
        <f ca="1"/>
        <v>45786</v>
      </c>
      <c r="B928" s="2" vm="4885">
        <f ca="1"/>
        <v>150.04</v>
      </c>
      <c r="C928" s="2" vm="4886">
        <f ca="1"/>
        <v>151.79910000000001</v>
      </c>
      <c r="D928" s="2" vm="4673">
        <f ca="1"/>
        <v>149.79</v>
      </c>
      <c r="E928" s="2" vm="4887">
        <f ca="1"/>
        <v>150.34</v>
      </c>
      <c r="F928" vm="4888">
        <f ca="1"/>
        <v>4707130</v>
      </c>
    </row>
    <row r="929" spans="1:6" x14ac:dyDescent="0.2">
      <c r="A929" s="1" vm="4889">
        <f ca="1"/>
        <v>45789</v>
      </c>
      <c r="B929" s="2" vm="4457">
        <f ca="1"/>
        <v>156.31</v>
      </c>
      <c r="C929" s="2" vm="4890">
        <f ca="1"/>
        <v>157.43</v>
      </c>
      <c r="D929" s="2" vm="4891">
        <f ca="1"/>
        <v>154.41650000000001</v>
      </c>
      <c r="E929" s="2" vm="4892">
        <f ca="1"/>
        <v>157.22</v>
      </c>
      <c r="F929" vm="4893">
        <f ca="1"/>
        <v>7875461</v>
      </c>
    </row>
    <row r="930" spans="1:6" x14ac:dyDescent="0.2">
      <c r="A930" s="1" vm="4894">
        <f ca="1"/>
        <v>45790</v>
      </c>
      <c r="B930" s="2" vm="4895">
        <f ca="1"/>
        <v>158.22</v>
      </c>
      <c r="C930" s="2" vm="4896">
        <f ca="1"/>
        <v>163.22</v>
      </c>
      <c r="D930" s="2" vm="4897">
        <f ca="1"/>
        <v>157.57</v>
      </c>
      <c r="E930" s="2" vm="4898">
        <f ca="1"/>
        <v>162.27000000000001</v>
      </c>
      <c r="F930" vm="4899">
        <f ca="1"/>
        <v>11955157</v>
      </c>
    </row>
    <row r="931" spans="1:6" x14ac:dyDescent="0.2">
      <c r="A931" s="1" vm="4900">
        <f ca="1"/>
        <v>45791</v>
      </c>
      <c r="B931" s="2" vm="4901">
        <f ca="1"/>
        <v>162.36000000000001</v>
      </c>
      <c r="C931" s="2" vm="4902">
        <f ca="1"/>
        <v>163.41</v>
      </c>
      <c r="D931" s="2" vm="4903">
        <f ca="1"/>
        <v>161.05779999999999</v>
      </c>
      <c r="E931" s="2" vm="4904">
        <f ca="1"/>
        <v>162.94999999999999</v>
      </c>
      <c r="F931" vm="4905">
        <f ca="1"/>
        <v>7499392</v>
      </c>
    </row>
    <row r="932" spans="1:6" x14ac:dyDescent="0.2">
      <c r="A932" s="1" vm="4906">
        <f ca="1"/>
        <v>45792</v>
      </c>
      <c r="B932" s="2" vm="4907">
        <f ca="1"/>
        <v>161.36000000000001</v>
      </c>
      <c r="C932" s="2" vm="4908">
        <f ca="1"/>
        <v>161.74</v>
      </c>
      <c r="D932" s="2" vm="4909">
        <f ca="1"/>
        <v>158.91</v>
      </c>
      <c r="E932" s="2" vm="4910">
        <f ca="1"/>
        <v>159.4</v>
      </c>
      <c r="F932" vm="4911">
        <f ca="1"/>
        <v>10169217</v>
      </c>
    </row>
    <row r="933" spans="1:6" x14ac:dyDescent="0.2">
      <c r="A933" s="1" vm="4912">
        <f ca="1"/>
        <v>45793</v>
      </c>
      <c r="B933" s="2" vm="4913">
        <f ca="1"/>
        <v>160</v>
      </c>
      <c r="C933" s="2" vm="4914">
        <f ca="1"/>
        <v>160.84</v>
      </c>
      <c r="D933" s="2" vm="4915">
        <f ca="1"/>
        <v>158.52000000000001</v>
      </c>
      <c r="E933" s="2" vm="4916">
        <f ca="1"/>
        <v>160.49</v>
      </c>
      <c r="F933" vm="4917">
        <f ca="1"/>
        <v>8515458</v>
      </c>
    </row>
    <row r="934" spans="1:6" x14ac:dyDescent="0.2">
      <c r="A934" s="1" vm="4918">
        <f ca="1"/>
        <v>45796</v>
      </c>
      <c r="B934" s="2" vm="4919">
        <f ca="1"/>
        <v>158.30000000000001</v>
      </c>
      <c r="C934" s="2" vm="4920">
        <f ca="1"/>
        <v>161.9699</v>
      </c>
      <c r="D934" s="2" vm="4921">
        <f ca="1"/>
        <v>157.8289</v>
      </c>
      <c r="E934" s="2" vm="4922">
        <f ca="1"/>
        <v>159.63999999999999</v>
      </c>
      <c r="F934" vm="4923">
        <f ca="1"/>
        <v>10268917</v>
      </c>
    </row>
    <row r="935" spans="1:6" x14ac:dyDescent="0.2">
      <c r="A935" s="1" vm="4924">
        <f ca="1"/>
        <v>45797</v>
      </c>
      <c r="B935" s="2" vm="4925">
        <f ca="1"/>
        <v>158.63</v>
      </c>
      <c r="C935" s="2" vm="4926">
        <f ca="1"/>
        <v>160.36000000000001</v>
      </c>
      <c r="D935" s="2" vm="4927">
        <f ca="1"/>
        <v>157.53</v>
      </c>
      <c r="E935" s="2" vm="4928">
        <f ca="1"/>
        <v>160.31</v>
      </c>
      <c r="F935" vm="4929">
        <f ca="1"/>
        <v>7576418</v>
      </c>
    </row>
    <row r="936" spans="1:6" x14ac:dyDescent="0.2">
      <c r="A936" s="1" vm="4930">
        <f ca="1"/>
        <v>45798</v>
      </c>
      <c r="B936" s="2" vm="4931">
        <f ca="1"/>
        <v>158.35</v>
      </c>
      <c r="C936" s="2" vm="4932">
        <f ca="1"/>
        <v>160.9</v>
      </c>
      <c r="D936" s="2" vm="4933">
        <f ca="1"/>
        <v>156.459</v>
      </c>
      <c r="E936" s="2" vm="3970">
        <f ca="1"/>
        <v>157.18</v>
      </c>
      <c r="F936" vm="4934">
        <f ca="1"/>
        <v>6011038</v>
      </c>
    </row>
    <row r="937" spans="1:6" x14ac:dyDescent="0.2">
      <c r="A937" s="1" vm="4935">
        <f ca="1"/>
        <v>45799</v>
      </c>
      <c r="B937" s="2" vm="4936">
        <f ca="1"/>
        <v>156.97499999999999</v>
      </c>
      <c r="C937" s="2" vm="4937">
        <f ca="1"/>
        <v>159.19</v>
      </c>
      <c r="D937" s="2" vm="4938">
        <f ca="1"/>
        <v>156.82</v>
      </c>
      <c r="E937" s="2" vm="4939">
        <f ca="1"/>
        <v>157.31</v>
      </c>
      <c r="F937" vm="4940">
        <f ca="1"/>
        <v>7603261</v>
      </c>
    </row>
    <row r="938" spans="1:6" x14ac:dyDescent="0.2">
      <c r="A938" s="1" vm="4941">
        <f ca="1"/>
        <v>45800</v>
      </c>
      <c r="B938" s="2" vm="4942">
        <f ca="1"/>
        <v>154.99</v>
      </c>
      <c r="C938" s="2" vm="4943">
        <f ca="1"/>
        <v>157.375</v>
      </c>
      <c r="D938" s="2" vm="4944">
        <f ca="1"/>
        <v>154.25720000000001</v>
      </c>
      <c r="E938" s="2" vm="4945">
        <f ca="1"/>
        <v>155.97</v>
      </c>
      <c r="F938" vm="4946">
        <f ca="1"/>
        <v>6527516</v>
      </c>
    </row>
    <row r="939" spans="1:6" x14ac:dyDescent="0.2">
      <c r="A939" s="1" vm="4947">
        <f ca="1"/>
        <v>45804</v>
      </c>
      <c r="B939" s="2" vm="4948">
        <f ca="1"/>
        <v>159.32</v>
      </c>
      <c r="C939" s="2" vm="4949">
        <f ca="1"/>
        <v>162.4</v>
      </c>
      <c r="D939" s="2" vm="4950">
        <f ca="1"/>
        <v>158.91999999999999</v>
      </c>
      <c r="E939" s="2" vm="4951">
        <f ca="1"/>
        <v>161.91</v>
      </c>
      <c r="F939" vm="4952">
        <f ca="1"/>
        <v>6976813</v>
      </c>
    </row>
    <row r="940" spans="1:6" x14ac:dyDescent="0.2">
      <c r="A940" s="1" vm="4953">
        <f ca="1"/>
        <v>45805</v>
      </c>
      <c r="B940" s="2" vm="4954">
        <f ca="1"/>
        <v>161.86500000000001</v>
      </c>
      <c r="C940" s="2" vm="4955">
        <f ca="1"/>
        <v>164.32</v>
      </c>
      <c r="D940" s="2" vm="4956">
        <f ca="1"/>
        <v>161.28</v>
      </c>
      <c r="E940" s="2" vm="4957">
        <f ca="1"/>
        <v>163.85</v>
      </c>
      <c r="F940" vm="4958">
        <f ca="1"/>
        <v>8090652</v>
      </c>
    </row>
    <row r="941" spans="1:6" x14ac:dyDescent="0.2">
      <c r="A941" s="1" vm="4959">
        <f ca="1"/>
        <v>45806</v>
      </c>
      <c r="B941" s="2" vm="4960">
        <f ca="1"/>
        <v>165</v>
      </c>
      <c r="C941" s="2" vm="4961">
        <f ca="1"/>
        <v>165.32</v>
      </c>
      <c r="D941" s="2" vm="4962">
        <f ca="1"/>
        <v>161.49</v>
      </c>
      <c r="E941" s="2" vm="4963">
        <f ca="1"/>
        <v>162.9</v>
      </c>
      <c r="F941" vm="4964">
        <f ca="1"/>
        <v>6995831</v>
      </c>
    </row>
    <row r="942" spans="1:6" x14ac:dyDescent="0.2">
      <c r="A942" s="1" vm="4965">
        <f ca="1"/>
        <v>45807</v>
      </c>
      <c r="B942" s="2" vm="4966">
        <f ca="1"/>
        <v>163.43</v>
      </c>
      <c r="C942" s="2" vm="4967">
        <f ca="1"/>
        <v>165.75</v>
      </c>
      <c r="D942" s="2" vm="4968">
        <f ca="1"/>
        <v>161.55009999999999</v>
      </c>
      <c r="E942" s="2" vm="4969">
        <f ca="1"/>
        <v>165.53</v>
      </c>
      <c r="F942" vm="4970">
        <f ca="1"/>
        <v>17547858</v>
      </c>
    </row>
    <row r="943" spans="1:6" x14ac:dyDescent="0.2">
      <c r="A943" s="1" vm="4971">
        <f ca="1"/>
        <v>45810</v>
      </c>
      <c r="B943" s="2" vm="4972">
        <f ca="1"/>
        <v>164.16499999999999</v>
      </c>
      <c r="C943" s="2" vm="4973">
        <f ca="1"/>
        <v>167</v>
      </c>
      <c r="D943" s="2" vm="4974">
        <f ca="1"/>
        <v>162.6</v>
      </c>
      <c r="E943" s="2" vm="4975">
        <f ca="1"/>
        <v>166.57</v>
      </c>
      <c r="F943" vm="4976">
        <f ca="1"/>
        <v>7165969</v>
      </c>
    </row>
    <row r="944" spans="1:6" x14ac:dyDescent="0.2">
      <c r="A944" s="1" vm="4977">
        <f ca="1"/>
        <v>45811</v>
      </c>
      <c r="B944" s="2" vm="4978">
        <f ca="1"/>
        <v>166.8</v>
      </c>
      <c r="C944" s="2" vm="4979">
        <f ca="1"/>
        <v>169.33</v>
      </c>
      <c r="D944" s="2" vm="4980">
        <f ca="1"/>
        <v>166.59</v>
      </c>
      <c r="E944" s="2" vm="4386">
        <f ca="1"/>
        <v>169.14</v>
      </c>
      <c r="F944" vm="4981">
        <f ca="1"/>
        <v>7155281</v>
      </c>
    </row>
    <row r="945" spans="1:6" x14ac:dyDescent="0.2">
      <c r="A945" s="1" vm="4982">
        <f ca="1"/>
        <v>45812</v>
      </c>
      <c r="B945" s="2" vm="4364">
        <f ca="1"/>
        <v>169.71</v>
      </c>
      <c r="C945" s="2" vm="4190">
        <f ca="1"/>
        <v>170.48</v>
      </c>
      <c r="D945" s="2" vm="4983">
        <f ca="1"/>
        <v>167.57</v>
      </c>
      <c r="E945" s="2" vm="4034">
        <f ca="1"/>
        <v>168.1</v>
      </c>
      <c r="F945" vm="4984">
        <f ca="1"/>
        <v>6375793</v>
      </c>
    </row>
    <row r="946" spans="1:6" x14ac:dyDescent="0.2">
      <c r="A946" s="1" vm="4985">
        <f ca="1"/>
        <v>45813</v>
      </c>
      <c r="B946" s="2" vm="4986">
        <f ca="1"/>
        <v>169</v>
      </c>
      <c r="C946" s="2" vm="4987">
        <f ca="1"/>
        <v>172.25989999999999</v>
      </c>
      <c r="D946" s="2" vm="4988">
        <f ca="1"/>
        <v>168.755</v>
      </c>
      <c r="E946" s="2" vm="4989">
        <f ca="1"/>
        <v>171.14</v>
      </c>
      <c r="F946" vm="4990">
        <f ca="1"/>
        <v>7710284</v>
      </c>
    </row>
    <row r="947" spans="1:6" x14ac:dyDescent="0.2">
      <c r="A947" s="1" vm="4991">
        <f ca="1"/>
        <v>45814</v>
      </c>
      <c r="B947" s="2" vm="4992">
        <f ca="1"/>
        <v>174</v>
      </c>
      <c r="C947" s="2" vm="4993">
        <f ca="1"/>
        <v>174.79</v>
      </c>
      <c r="D947" s="2" vm="4994">
        <f ca="1"/>
        <v>172.6601</v>
      </c>
      <c r="E947" s="2" vm="4995">
        <f ca="1"/>
        <v>174.02</v>
      </c>
      <c r="F947" vm="4996">
        <f ca="1"/>
        <v>6833674</v>
      </c>
    </row>
    <row r="948" spans="1:6" x14ac:dyDescent="0.2">
      <c r="A948" s="1" vm="4997">
        <f ca="1"/>
        <v>45817</v>
      </c>
      <c r="B948" s="2" vm="4617">
        <f ca="1"/>
        <v>174.86</v>
      </c>
      <c r="C948" s="2" vm="4998">
        <f ca="1"/>
        <v>178.72</v>
      </c>
      <c r="D948" s="2" vm="4999">
        <f ca="1"/>
        <v>173.79</v>
      </c>
      <c r="E948" s="2" vm="5000">
        <f ca="1"/>
        <v>177.15</v>
      </c>
      <c r="F948" vm="5001">
        <f ca="1"/>
        <v>9668911</v>
      </c>
    </row>
    <row r="949" spans="1:6" x14ac:dyDescent="0.2">
      <c r="A949" s="1" vm="5002">
        <f ca="1"/>
        <v>45818</v>
      </c>
      <c r="B949" s="2" vm="5003">
        <f ca="1"/>
        <v>177.71</v>
      </c>
      <c r="C949" s="2" vm="5004">
        <f ca="1"/>
        <v>177.85</v>
      </c>
      <c r="D949" s="2" vm="4141">
        <f ca="1"/>
        <v>174.28</v>
      </c>
      <c r="E949" s="2" vm="5005">
        <f ca="1"/>
        <v>177.48</v>
      </c>
      <c r="F949" vm="5006">
        <f ca="1"/>
        <v>11056716</v>
      </c>
    </row>
    <row r="950" spans="1:6" x14ac:dyDescent="0.2">
      <c r="A950" s="1" vm="5007">
        <f ca="1"/>
        <v>45819</v>
      </c>
      <c r="B950" s="2" vm="5008">
        <f ca="1"/>
        <v>177.55</v>
      </c>
      <c r="C950" s="2" vm="5009">
        <f ca="1"/>
        <v>179.55</v>
      </c>
      <c r="D950" s="2" vm="5010">
        <f ca="1"/>
        <v>176.2</v>
      </c>
      <c r="E950" s="2" vm="5011">
        <f ca="1"/>
        <v>176.38</v>
      </c>
      <c r="F950" vm="5012">
        <f ca="1"/>
        <v>18002910</v>
      </c>
    </row>
    <row r="951" spans="1:6" x14ac:dyDescent="0.2">
      <c r="A951" s="1" vm="5013">
        <f ca="1"/>
        <v>45820</v>
      </c>
      <c r="B951" s="2" vm="5014">
        <f ca="1"/>
        <v>189.96</v>
      </c>
      <c r="C951" s="2" vm="5015">
        <f ca="1"/>
        <v>202.49</v>
      </c>
      <c r="D951" s="2" vm="5016">
        <f ca="1"/>
        <v>188.88</v>
      </c>
      <c r="E951" s="2" vm="5017">
        <f ca="1"/>
        <v>199.86</v>
      </c>
      <c r="F951" vm="5018">
        <f ca="1"/>
        <v>54609995</v>
      </c>
    </row>
    <row r="952" spans="1:6" x14ac:dyDescent="0.2">
      <c r="A952" s="1" vm="5019">
        <f ca="1"/>
        <v>45821</v>
      </c>
      <c r="B952" s="2" vm="5020">
        <f ca="1"/>
        <v>201.58</v>
      </c>
      <c r="C952" s="2" vm="5021">
        <f ca="1"/>
        <v>216.59989999999999</v>
      </c>
      <c r="D952" s="2" vm="5022">
        <f ca="1"/>
        <v>201.2</v>
      </c>
      <c r="E952" s="2" vm="5023">
        <f ca="1"/>
        <v>215.22</v>
      </c>
      <c r="F952" vm="5024">
        <f ca="1"/>
        <v>53707361</v>
      </c>
    </row>
    <row r="953" spans="1:6" x14ac:dyDescent="0.2">
      <c r="A953" s="1" vm="5025">
        <f ca="1"/>
        <v>45824</v>
      </c>
      <c r="B953" s="2" vm="5026">
        <f ca="1"/>
        <v>213.2</v>
      </c>
      <c r="C953" s="2" vm="5027">
        <f ca="1"/>
        <v>215.17</v>
      </c>
      <c r="D953" s="2" vm="5028">
        <f ca="1"/>
        <v>209.97630000000001</v>
      </c>
      <c r="E953" s="2" vm="5029">
        <f ca="1"/>
        <v>211.1</v>
      </c>
      <c r="F953" vm="5030">
        <f ca="1"/>
        <v>22665299</v>
      </c>
    </row>
    <row r="954" spans="1:6" x14ac:dyDescent="0.2">
      <c r="A954" s="1" vm="5031">
        <f ca="1"/>
        <v>45825</v>
      </c>
      <c r="B954" s="2" vm="5032">
        <f ca="1"/>
        <v>210.66</v>
      </c>
      <c r="C954" s="2" vm="5033">
        <f ca="1"/>
        <v>215.88</v>
      </c>
      <c r="D954" s="2" vm="5034">
        <f ca="1"/>
        <v>207.48050000000001</v>
      </c>
      <c r="E954" s="2" vm="5035">
        <f ca="1"/>
        <v>208.18</v>
      </c>
      <c r="F954" vm="5036">
        <f ca="1"/>
        <v>17819162</v>
      </c>
    </row>
    <row r="955" spans="1:6" x14ac:dyDescent="0.2">
      <c r="A955" s="1" vm="5037">
        <f ca="1"/>
        <v>45826</v>
      </c>
      <c r="B955" s="2" vm="5038">
        <f ca="1"/>
        <v>211.08500000000001</v>
      </c>
      <c r="C955" s="2" vm="5039">
        <f ca="1"/>
        <v>214.7199</v>
      </c>
      <c r="D955" s="2" vm="5040">
        <f ca="1"/>
        <v>209.5701</v>
      </c>
      <c r="E955" s="2" vm="5041">
        <f ca="1"/>
        <v>210.87</v>
      </c>
      <c r="F955" vm="5042">
        <f ca="1"/>
        <v>15055390</v>
      </c>
    </row>
    <row r="956" spans="1:6" x14ac:dyDescent="0.2">
      <c r="A956" s="1" vm="5043">
        <f ca="1"/>
        <v>45828</v>
      </c>
      <c r="B956" s="2" vm="5044">
        <f ca="1"/>
        <v>213.35</v>
      </c>
      <c r="C956" s="2" vm="5045">
        <f ca="1"/>
        <v>213.8</v>
      </c>
      <c r="D956" s="2" vm="5046">
        <f ca="1"/>
        <v>204.64</v>
      </c>
      <c r="E956" s="2" vm="5047">
        <f ca="1"/>
        <v>205.17</v>
      </c>
      <c r="F956" vm="5048">
        <f ca="1"/>
        <v>20879095</v>
      </c>
    </row>
    <row r="957" spans="1:6" x14ac:dyDescent="0.2">
      <c r="A957" s="1" vm="5049">
        <f ca="1"/>
        <v>45831</v>
      </c>
      <c r="B957" s="2" vm="5050">
        <f ca="1"/>
        <v>205.505</v>
      </c>
      <c r="C957" s="2" vm="5051">
        <f ca="1"/>
        <v>207.27</v>
      </c>
      <c r="D957" s="2" vm="5052">
        <f ca="1"/>
        <v>202.54</v>
      </c>
      <c r="E957" s="2" vm="5053">
        <f ca="1"/>
        <v>207.04</v>
      </c>
      <c r="F957" vm="5054">
        <f ca="1"/>
        <v>13418393</v>
      </c>
    </row>
    <row r="958" spans="1:6" x14ac:dyDescent="0.2">
      <c r="A958" s="1" vm="5055">
        <f ca="1"/>
        <v>45832</v>
      </c>
      <c r="B958" s="2" vm="5056">
        <f ca="1"/>
        <v>209.99</v>
      </c>
      <c r="C958" s="2" vm="5057">
        <f ca="1"/>
        <v>216.36500000000001</v>
      </c>
      <c r="D958" s="2" vm="5058">
        <f ca="1"/>
        <v>208.55</v>
      </c>
      <c r="E958" s="2" vm="5059">
        <f ca="1"/>
        <v>215.27</v>
      </c>
      <c r="F958" vm="5060">
        <f ca="1"/>
        <v>19030617</v>
      </c>
    </row>
    <row r="959" spans="1:6" x14ac:dyDescent="0.2">
      <c r="A959" s="1" vm="5061">
        <f ca="1"/>
        <v>45833</v>
      </c>
      <c r="B959" s="2" vm="5062">
        <f ca="1"/>
        <v>214.93989999999999</v>
      </c>
      <c r="C959" s="2" vm="5063">
        <f ca="1"/>
        <v>216.9299</v>
      </c>
      <c r="D959" s="2" vm="5064">
        <f ca="1"/>
        <v>210.23</v>
      </c>
      <c r="E959" s="2" vm="5065">
        <f ca="1"/>
        <v>210.72</v>
      </c>
      <c r="F959" vm="5066">
        <f ca="1"/>
        <v>11804604</v>
      </c>
    </row>
    <row r="960" spans="1:6" x14ac:dyDescent="0.2">
      <c r="A960" s="1" vm="5067">
        <f ca="1"/>
        <v>45834</v>
      </c>
      <c r="B960" s="2" vm="5068">
        <f ca="1"/>
        <v>212</v>
      </c>
      <c r="C960" s="2" vm="5069">
        <f ca="1"/>
        <v>214.42</v>
      </c>
      <c r="D960" s="2" vm="5070">
        <f ca="1"/>
        <v>210.3587</v>
      </c>
      <c r="E960" s="2" vm="5071">
        <f ca="1"/>
        <v>212.82</v>
      </c>
      <c r="F960" vm="5072">
        <f ca="1"/>
        <v>10531112</v>
      </c>
    </row>
    <row r="961" spans="1:6" x14ac:dyDescent="0.2">
      <c r="A961" s="1" vm="5073">
        <f ca="1"/>
        <v>45835</v>
      </c>
      <c r="B961" s="2" vm="5074">
        <f ca="1"/>
        <v>213.69</v>
      </c>
      <c r="C961" s="2" vm="5075">
        <f ca="1"/>
        <v>214.65</v>
      </c>
      <c r="D961" s="2" vm="5076">
        <f ca="1"/>
        <v>209.96</v>
      </c>
      <c r="E961" s="2" vm="5077">
        <f ca="1"/>
        <v>210.24</v>
      </c>
      <c r="F961" vm="5078">
        <f ca="1"/>
        <v>14127502</v>
      </c>
    </row>
    <row r="962" spans="1:6" x14ac:dyDescent="0.2">
      <c r="A962" s="1" vm="5079">
        <f ca="1"/>
        <v>45838</v>
      </c>
      <c r="B962" s="2" vm="5080">
        <f ca="1"/>
        <v>226.5</v>
      </c>
      <c r="C962" s="2" vm="5081">
        <f ca="1"/>
        <v>228.22</v>
      </c>
      <c r="D962" s="2" vm="5082">
        <f ca="1"/>
        <v>218.3801</v>
      </c>
      <c r="E962" s="2" vm="5083">
        <f ca="1"/>
        <v>218.63</v>
      </c>
      <c r="F962" vm="5084">
        <f ca="1"/>
        <v>31844231</v>
      </c>
    </row>
    <row r="963" spans="1:6" x14ac:dyDescent="0.2">
      <c r="A963" s="1" vm="5085">
        <f ca="1"/>
        <v>45839</v>
      </c>
      <c r="B963" s="2" vm="5086">
        <f ca="1"/>
        <v>219.3</v>
      </c>
      <c r="C963" s="2" vm="5087">
        <f ca="1"/>
        <v>223.17</v>
      </c>
      <c r="D963" s="2" vm="5088">
        <f ca="1"/>
        <v>216.30789999999999</v>
      </c>
      <c r="E963" s="2" vm="5089">
        <f ca="1"/>
        <v>218.96</v>
      </c>
      <c r="F963" vm="5090">
        <f ca="1"/>
        <v>16962196</v>
      </c>
    </row>
    <row r="964" spans="1:6" x14ac:dyDescent="0.2">
      <c r="A964" s="1" vm="5091">
        <f ca="1"/>
        <v>45840</v>
      </c>
      <c r="B964" s="2" vm="5092">
        <f ca="1"/>
        <v>217.68</v>
      </c>
      <c r="C964" s="2" vm="5093">
        <f ca="1"/>
        <v>231.9</v>
      </c>
      <c r="D964" s="2" vm="5094">
        <f ca="1"/>
        <v>216.72</v>
      </c>
      <c r="E964" s="2" vm="5095">
        <f ca="1"/>
        <v>229.98</v>
      </c>
      <c r="F964" vm="5096">
        <f ca="1"/>
        <v>22326900</v>
      </c>
    </row>
    <row r="965" spans="1:6" x14ac:dyDescent="0.2">
      <c r="A965" s="1" vm="5097">
        <f ca="1"/>
        <v>45841</v>
      </c>
      <c r="B965" s="2" vm="5098">
        <f ca="1"/>
        <v>233.22</v>
      </c>
      <c r="C965" s="2" vm="5099">
        <f ca="1"/>
        <v>237.98990000000001</v>
      </c>
      <c r="D965" s="2" vm="5100">
        <f ca="1"/>
        <v>231.2</v>
      </c>
      <c r="E965" s="2" vm="5101">
        <f ca="1"/>
        <v>237.32</v>
      </c>
      <c r="F965" vm="5102">
        <f ca="1"/>
        <v>18441376</v>
      </c>
    </row>
    <row r="966" spans="1:6" x14ac:dyDescent="0.2">
      <c r="A966" s="1" vm="5103">
        <f ca="1"/>
        <v>45845</v>
      </c>
      <c r="B966" s="2" vm="5104">
        <f ca="1"/>
        <v>235.11</v>
      </c>
      <c r="C966" s="2" vm="5105">
        <f ca="1"/>
        <v>235.25</v>
      </c>
      <c r="D966" s="2" vm="5106">
        <f ca="1"/>
        <v>229.5</v>
      </c>
      <c r="E966" s="2" vm="5107">
        <f ca="1"/>
        <v>232.26</v>
      </c>
      <c r="F966" vm="5108">
        <f ca="1"/>
        <v>16584266</v>
      </c>
    </row>
    <row r="967" spans="1:6" x14ac:dyDescent="0.2">
      <c r="A967" s="1" vm="5109">
        <f ca="1"/>
        <v>45846</v>
      </c>
      <c r="B967" s="2" vm="5110">
        <f ca="1"/>
        <v>237.13</v>
      </c>
      <c r="C967" s="2" vm="5111">
        <f ca="1"/>
        <v>241.4385</v>
      </c>
      <c r="D967" s="2" vm="5112">
        <f ca="1"/>
        <v>233.19</v>
      </c>
      <c r="E967" s="2" vm="5113">
        <f ca="1"/>
        <v>234.5</v>
      </c>
      <c r="F967" vm="5114">
        <f ca="1"/>
        <v>20401777</v>
      </c>
    </row>
    <row r="968" spans="1:6" x14ac:dyDescent="0.2">
      <c r="A968" s="1" vm="5115">
        <f ca="1"/>
        <v>45847</v>
      </c>
      <c r="B968" s="2" vm="5116">
        <f ca="1"/>
        <v>235.51</v>
      </c>
      <c r="C968" s="2" vm="5117">
        <f ca="1"/>
        <v>236.51</v>
      </c>
      <c r="D968" s="2" vm="5118">
        <f ca="1"/>
        <v>232</v>
      </c>
      <c r="E968" s="2" vm="5119">
        <f ca="1"/>
        <v>235.81</v>
      </c>
      <c r="F968" vm="5120">
        <f ca="1"/>
        <v>10871629</v>
      </c>
    </row>
    <row r="969" spans="1:6" x14ac:dyDescent="0.2">
      <c r="A969" s="1" vm="5121">
        <f ca="1"/>
        <v>45848</v>
      </c>
      <c r="B969" s="2" vm="5122">
        <f ca="1"/>
        <v>239.94</v>
      </c>
      <c r="C969" s="2" vm="5123">
        <f ca="1"/>
        <v>240.05500000000001</v>
      </c>
      <c r="D969" s="2" vm="5124">
        <f ca="1"/>
        <v>233.5</v>
      </c>
      <c r="E969" s="2" vm="5125">
        <f ca="1"/>
        <v>235</v>
      </c>
      <c r="F969" vm="5126">
        <f ca="1"/>
        <v>11486345</v>
      </c>
    </row>
    <row r="970" spans="1:6" x14ac:dyDescent="0.2">
      <c r="A970" s="1" vm="5127">
        <f ca="1"/>
        <v>45849</v>
      </c>
      <c r="B970" s="2" vm="5128">
        <f ca="1"/>
        <v>231.37</v>
      </c>
      <c r="C970" s="2" vm="5129">
        <f ca="1"/>
        <v>234</v>
      </c>
      <c r="D970" s="2" vm="5130">
        <f ca="1"/>
        <v>229.87</v>
      </c>
      <c r="E970" s="2" vm="5131">
        <f ca="1"/>
        <v>230.56</v>
      </c>
      <c r="F970" vm="5132">
        <f ca="1"/>
        <v>10208178</v>
      </c>
    </row>
    <row r="971" spans="1:6" x14ac:dyDescent="0.2">
      <c r="A971" s="1" vm="5133">
        <f ca="1"/>
        <v>45852</v>
      </c>
      <c r="B971" s="2" vm="5134">
        <f ca="1"/>
        <v>229.45</v>
      </c>
      <c r="C971" s="2" vm="5135">
        <f ca="1"/>
        <v>230.64</v>
      </c>
      <c r="D971" s="2" vm="5136">
        <f ca="1"/>
        <v>225.12</v>
      </c>
      <c r="E971" s="2" vm="5137">
        <f ca="1"/>
        <v>229.28</v>
      </c>
      <c r="F971" vm="5138">
        <f ca="1"/>
        <v>11336967</v>
      </c>
    </row>
    <row r="972" spans="1:6" x14ac:dyDescent="0.2">
      <c r="A972" s="1" vm="5139">
        <f ca="1"/>
        <v>45853</v>
      </c>
      <c r="B972" s="2" vm="5140">
        <f ca="1"/>
        <v>232.405</v>
      </c>
      <c r="C972" s="2" vm="5141">
        <f ca="1"/>
        <v>235.6</v>
      </c>
      <c r="D972" s="2" vm="5142">
        <f ca="1"/>
        <v>229.2</v>
      </c>
      <c r="E972" s="2" vm="5143">
        <f ca="1"/>
        <v>234.96</v>
      </c>
      <c r="F972" vm="5144">
        <f ca="1"/>
        <v>10728795</v>
      </c>
    </row>
    <row r="973" spans="1:6" x14ac:dyDescent="0.2">
      <c r="A973" s="1" vm="5145">
        <f ca="1"/>
        <v>45854</v>
      </c>
      <c r="B973" s="2" vm="5146">
        <f ca="1"/>
        <v>235.5</v>
      </c>
      <c r="C973" s="2" vm="5147">
        <f ca="1"/>
        <v>241.33</v>
      </c>
      <c r="D973" s="2" vm="5112">
        <f ca="1"/>
        <v>233.19</v>
      </c>
      <c r="E973" s="2" vm="5148">
        <f ca="1"/>
        <v>241.3</v>
      </c>
      <c r="F973" vm="5149">
        <f ca="1"/>
        <v>12597452</v>
      </c>
    </row>
    <row r="974" spans="1:6" x14ac:dyDescent="0.2">
      <c r="A974" s="1" vm="5150">
        <f ca="1"/>
        <v>45855</v>
      </c>
      <c r="B974" s="2" vm="5151">
        <f ca="1"/>
        <v>243.34</v>
      </c>
      <c r="C974" s="2" vm="5152">
        <f ca="1"/>
        <v>251.59989999999999</v>
      </c>
      <c r="D974" s="2" vm="5153">
        <f ca="1"/>
        <v>242.01</v>
      </c>
      <c r="E974" s="2" vm="5154">
        <f ca="1"/>
        <v>248.75</v>
      </c>
      <c r="F974" vm="5155">
        <f ca="1"/>
        <v>17631328</v>
      </c>
    </row>
    <row r="975" spans="1:6" x14ac:dyDescent="0.2">
      <c r="A975" s="1" vm="5156">
        <f ca="1"/>
        <v>45856</v>
      </c>
      <c r="B975" s="2" vm="5157">
        <f ca="1"/>
        <v>248.5</v>
      </c>
      <c r="C975" s="2" vm="5158">
        <f ca="1"/>
        <v>249.68</v>
      </c>
      <c r="D975" s="2" vm="5159">
        <f ca="1"/>
        <v>245</v>
      </c>
      <c r="E975" s="2" vm="5160">
        <f ca="1"/>
        <v>245.45</v>
      </c>
      <c r="F975" vm="5161">
        <f ca="1"/>
        <v>9678072</v>
      </c>
    </row>
    <row r="976" spans="1:6" x14ac:dyDescent="0.2">
      <c r="A976" s="1" vm="5162">
        <f ca="1"/>
        <v>45859</v>
      </c>
      <c r="B976" s="2" vm="5163">
        <f ca="1"/>
        <v>245.31</v>
      </c>
      <c r="C976" s="2" vm="5164">
        <f ca="1"/>
        <v>246.8</v>
      </c>
      <c r="D976" s="2" vm="5165">
        <f ca="1"/>
        <v>243.24</v>
      </c>
      <c r="E976" s="2" vm="5166">
        <f ca="1"/>
        <v>243.54</v>
      </c>
      <c r="F976" vm="5167">
        <f ca="1"/>
        <v>7348362</v>
      </c>
    </row>
    <row r="977" spans="1:6" x14ac:dyDescent="0.2">
      <c r="A977" s="1" vm="5168">
        <f ca="1"/>
        <v>45860</v>
      </c>
      <c r="B977" s="2" vm="5169">
        <f ca="1"/>
        <v>241.98</v>
      </c>
      <c r="C977" s="2" vm="5170">
        <f ca="1"/>
        <v>242.29</v>
      </c>
      <c r="D977" s="2" vm="5171">
        <f ca="1"/>
        <v>235.4101</v>
      </c>
      <c r="E977" s="2" vm="5172">
        <f ca="1"/>
        <v>238.11</v>
      </c>
      <c r="F977" vm="5173">
        <f ca="1"/>
        <v>11380866</v>
      </c>
    </row>
    <row r="978" spans="1:6" x14ac:dyDescent="0.2">
      <c r="A978" s="1" vm="5174">
        <f ca="1"/>
        <v>45861</v>
      </c>
      <c r="B978" s="2" vm="5175">
        <f ca="1"/>
        <v>239.95</v>
      </c>
      <c r="C978" s="2" vm="5176">
        <f ca="1"/>
        <v>243.42</v>
      </c>
      <c r="D978" s="2" vm="5177">
        <f ca="1"/>
        <v>238.66</v>
      </c>
      <c r="E978" s="2" vm="5178">
        <f ca="1"/>
        <v>241.9</v>
      </c>
      <c r="F978" vm="5179">
        <f ca="1"/>
        <v>7255797</v>
      </c>
    </row>
    <row r="979" spans="1:6" x14ac:dyDescent="0.2">
      <c r="A979" s="1" vm="5180">
        <f ca="1"/>
        <v>45862</v>
      </c>
      <c r="B979" s="2" vm="5181">
        <f ca="1"/>
        <v>242.41</v>
      </c>
      <c r="C979" s="2" vm="5182">
        <f ca="1"/>
        <v>244.08</v>
      </c>
      <c r="D979" s="2" vm="5183">
        <f ca="1"/>
        <v>240.56010000000001</v>
      </c>
      <c r="E979" s="2" vm="5184">
        <f ca="1"/>
        <v>242.83</v>
      </c>
      <c r="F979" vm="5185">
        <f ca="1"/>
        <v>8237851</v>
      </c>
    </row>
    <row r="980" spans="1:6" x14ac:dyDescent="0.2">
      <c r="A980" s="1" vm="5186">
        <f ca="1"/>
        <v>45863</v>
      </c>
      <c r="B980" s="2" vm="5187">
        <f ca="1"/>
        <v>242.34</v>
      </c>
      <c r="C980" s="2" vm="5188">
        <f ca="1"/>
        <v>245.47</v>
      </c>
      <c r="D980" s="2" vm="5189">
        <f ca="1"/>
        <v>241.43</v>
      </c>
      <c r="E980" s="2" vm="5190">
        <f ca="1"/>
        <v>245.12</v>
      </c>
      <c r="F980" vm="5191">
        <f ca="1"/>
        <v>7149571</v>
      </c>
    </row>
    <row r="981" spans="1:6" x14ac:dyDescent="0.2">
      <c r="A981" s="1" vm="5192">
        <f ca="1"/>
        <v>45866</v>
      </c>
      <c r="B981" s="2" vm="5193">
        <f ca="1"/>
        <v>246</v>
      </c>
      <c r="C981" s="2" vm="5194">
        <f ca="1"/>
        <v>247.78</v>
      </c>
      <c r="D981" s="2" vm="5176">
        <f ca="1"/>
        <v>243.42</v>
      </c>
      <c r="E981" s="2" vm="5195">
        <f ca="1"/>
        <v>247.71</v>
      </c>
      <c r="F981" vm="5196">
        <f ca="1"/>
        <v>6756775</v>
      </c>
    </row>
    <row r="982" spans="1:6" x14ac:dyDescent="0.2">
      <c r="A982" s="1" vm="5197">
        <f ca="1"/>
        <v>45867</v>
      </c>
      <c r="B982" s="2" vm="5198">
        <f ca="1"/>
        <v>248.7</v>
      </c>
      <c r="C982" s="2" vm="5199">
        <f ca="1"/>
        <v>253.07</v>
      </c>
      <c r="D982" s="2" vm="5200">
        <f ca="1"/>
        <v>246.59</v>
      </c>
      <c r="E982" s="2" vm="5201">
        <f ca="1"/>
        <v>249.98</v>
      </c>
      <c r="F982" vm="5202">
        <f ca="1"/>
        <v>8415324</v>
      </c>
    </row>
    <row r="983" spans="1:6" x14ac:dyDescent="0.2">
      <c r="A983" s="1" vm="5203">
        <f ca="1"/>
        <v>45868</v>
      </c>
      <c r="B983" s="2" vm="5204">
        <f ca="1"/>
        <v>248.64</v>
      </c>
      <c r="C983" s="2" vm="5205">
        <f ca="1"/>
        <v>251.05</v>
      </c>
      <c r="D983" s="2" vm="5206">
        <f ca="1"/>
        <v>245.6</v>
      </c>
      <c r="E983" s="2" vm="5207">
        <f ca="1"/>
        <v>250.6</v>
      </c>
      <c r="F983" vm="5208">
        <f ca="1"/>
        <v>8441378</v>
      </c>
    </row>
    <row r="984" spans="1:6" x14ac:dyDescent="0.2">
      <c r="A984" s="1" vm="5209">
        <f ca="1"/>
        <v>45869</v>
      </c>
      <c r="B984" s="2" vm="5210">
        <f ca="1"/>
        <v>255.76499999999999</v>
      </c>
      <c r="C984" s="2" vm="5211">
        <f ca="1"/>
        <v>260.87</v>
      </c>
      <c r="D984" s="2" vm="5212">
        <f ca="1"/>
        <v>253.31800000000001</v>
      </c>
      <c r="E984" s="2" vm="5213">
        <f ca="1"/>
        <v>253.77</v>
      </c>
      <c r="F984" vm="5214">
        <f ca="1"/>
        <v>15548726</v>
      </c>
    </row>
    <row r="985" spans="1:6" x14ac:dyDescent="0.2">
      <c r="A985" s="1" vm="5215">
        <f ca="1"/>
        <v>45870</v>
      </c>
      <c r="B985" s="2" vm="5216">
        <f ca="1"/>
        <v>247.83</v>
      </c>
      <c r="C985" s="2" vm="5217">
        <f ca="1"/>
        <v>248.41</v>
      </c>
      <c r="D985" s="2" vm="5218">
        <f ca="1"/>
        <v>242</v>
      </c>
      <c r="E985" s="2" vm="5219">
        <f ca="1"/>
        <v>244.42</v>
      </c>
      <c r="F985" vm="5220">
        <f ca="1"/>
        <v>12718218</v>
      </c>
    </row>
    <row r="986" spans="1:6" x14ac:dyDescent="0.2">
      <c r="A986" s="1" vm="5221">
        <f ca="1"/>
        <v>45873</v>
      </c>
      <c r="B986" s="2" vm="5222">
        <f ca="1"/>
        <v>245.9</v>
      </c>
      <c r="C986" s="2" vm="5223">
        <f ca="1"/>
        <v>252.91</v>
      </c>
      <c r="D986" s="2" vm="5222">
        <f ca="1"/>
        <v>245.9</v>
      </c>
      <c r="E986" s="2" vm="5224">
        <f ca="1"/>
        <v>252.53</v>
      </c>
      <c r="F986" vm="5225">
        <f ca="1"/>
        <v>8614784</v>
      </c>
    </row>
    <row r="987" spans="1:6" x14ac:dyDescent="0.2">
      <c r="A987" s="1" vm="5226">
        <f ca="1"/>
        <v>45874</v>
      </c>
      <c r="B987" s="2" vm="5227">
        <f ca="1"/>
        <v>255.41</v>
      </c>
      <c r="C987" s="2" vm="5228">
        <f ca="1"/>
        <v>258.48719999999997</v>
      </c>
      <c r="D987" s="2" vm="5229">
        <f ca="1"/>
        <v>251.37</v>
      </c>
      <c r="E987" s="2" vm="5230">
        <f ca="1"/>
        <v>255.67</v>
      </c>
      <c r="F987" vm="5231">
        <f ca="1"/>
        <v>11197287</v>
      </c>
    </row>
    <row r="988" spans="1:6" x14ac:dyDescent="0.2">
      <c r="A988" s="1" vm="5232">
        <f ca="1"/>
        <v>45875</v>
      </c>
      <c r="B988" s="2" vm="5233">
        <f ca="1"/>
        <v>256.83999999999997</v>
      </c>
      <c r="C988" s="2" vm="5233">
        <f ca="1"/>
        <v>256.83999999999997</v>
      </c>
      <c r="D988" s="2" vm="5234">
        <f ca="1"/>
        <v>251.72</v>
      </c>
      <c r="E988" s="2" vm="5235">
        <f ca="1"/>
        <v>256.43</v>
      </c>
      <c r="F988" vm="5236">
        <f ca="1"/>
        <v>9930222</v>
      </c>
    </row>
    <row r="989" spans="1:6" x14ac:dyDescent="0.2">
      <c r="A989" s="1" vm="5237">
        <f ca="1"/>
        <v>45876</v>
      </c>
      <c r="B989" s="2" vm="5238">
        <f ca="1"/>
        <v>257.70999999999998</v>
      </c>
      <c r="C989" s="2" vm="5239">
        <f ca="1"/>
        <v>257.76</v>
      </c>
      <c r="D989" s="2" vm="5240">
        <f ca="1"/>
        <v>246.52</v>
      </c>
      <c r="E989" s="2" vm="5241">
        <f ca="1"/>
        <v>249.39</v>
      </c>
      <c r="F989" vm="5242">
        <f ca="1"/>
        <v>11954223</v>
      </c>
    </row>
    <row r="990" spans="1:6" x14ac:dyDescent="0.2">
      <c r="A990" s="1" vm="5243">
        <f ca="1"/>
        <v>45877</v>
      </c>
      <c r="B990" s="2" vm="5244">
        <f ca="1"/>
        <v>250.03</v>
      </c>
      <c r="C990" s="2" vm="5245">
        <f ca="1"/>
        <v>250.89340000000001</v>
      </c>
      <c r="D990" s="2" vm="5246">
        <f ca="1"/>
        <v>247.86</v>
      </c>
      <c r="E990" s="2" vm="5247">
        <f ca="1"/>
        <v>250.05</v>
      </c>
      <c r="F990" vm="5248">
        <f ca="1"/>
        <v>8313278</v>
      </c>
    </row>
    <row r="991" spans="1:6" x14ac:dyDescent="0.2">
      <c r="A991" s="1" vm="5249">
        <f ca="1"/>
        <v>45880</v>
      </c>
      <c r="B991" s="2" vm="5250">
        <f ca="1"/>
        <v>248.4</v>
      </c>
      <c r="C991" s="2" vm="5251">
        <f ca="1"/>
        <v>254.69</v>
      </c>
      <c r="D991" s="2" vm="5252">
        <f ca="1"/>
        <v>245.56</v>
      </c>
      <c r="E991" s="2" vm="5253">
        <f ca="1"/>
        <v>252.68</v>
      </c>
      <c r="F991" vm="5254">
        <f ca="1"/>
        <v>9012112</v>
      </c>
    </row>
    <row r="992" spans="1:6" x14ac:dyDescent="0.2">
      <c r="A992" s="1" vm="5255">
        <f ca="1"/>
        <v>45881</v>
      </c>
      <c r="B992" s="2" vm="5256">
        <f ca="1"/>
        <v>252.58</v>
      </c>
      <c r="C992" s="2" vm="5257">
        <f ca="1"/>
        <v>257.87</v>
      </c>
      <c r="D992" s="2" vm="5258">
        <f ca="1"/>
        <v>251.08</v>
      </c>
      <c r="E992" s="2" vm="5259">
        <f ca="1"/>
        <v>253.86</v>
      </c>
      <c r="F992" vm="5260">
        <f ca="1"/>
        <v>10001712</v>
      </c>
    </row>
    <row r="993" spans="1:6" x14ac:dyDescent="0.2">
      <c r="A993" s="1" vm="5261">
        <f ca="1"/>
        <v>45882</v>
      </c>
      <c r="B993" s="2" vm="5262">
        <f ca="1"/>
        <v>257.17</v>
      </c>
      <c r="C993" s="2" vm="5263">
        <f ca="1"/>
        <v>257.66989999999998</v>
      </c>
      <c r="D993" s="2" vm="5264">
        <f ca="1"/>
        <v>242.63499999999999</v>
      </c>
      <c r="E993" s="2" vm="5265">
        <f ca="1"/>
        <v>244.18</v>
      </c>
      <c r="F993" vm="5266">
        <f ca="1"/>
        <v>14182078</v>
      </c>
    </row>
    <row r="994" spans="1:6" x14ac:dyDescent="0.2">
      <c r="A994" s="1" vm="5267">
        <f ca="1"/>
        <v>45883</v>
      </c>
      <c r="B994" s="2" vm="5268">
        <f ca="1"/>
        <v>244.95</v>
      </c>
      <c r="C994" s="2" vm="5269">
        <f ca="1"/>
        <v>248.92</v>
      </c>
      <c r="D994" s="2" vm="5270">
        <f ca="1"/>
        <v>242.57</v>
      </c>
      <c r="E994" s="2" vm="5271">
        <f ca="1"/>
        <v>244.96</v>
      </c>
      <c r="F994" vm="5272">
        <f ca="1"/>
        <v>10285555</v>
      </c>
    </row>
    <row r="995" spans="1:6" x14ac:dyDescent="0.2">
      <c r="A995" s="1" vm="5273">
        <f ca="1"/>
        <v>45884</v>
      </c>
      <c r="B995" s="2" vm="5274">
        <f ca="1"/>
        <v>246.92</v>
      </c>
      <c r="C995" s="2" vm="5275">
        <f ca="1"/>
        <v>250.63</v>
      </c>
      <c r="D995" s="2" vm="5276">
        <f ca="1"/>
        <v>242.92500000000001</v>
      </c>
      <c r="E995" s="2" vm="5277">
        <f ca="1"/>
        <v>248.28</v>
      </c>
      <c r="F995" vm="5278">
        <f ca="1"/>
        <v>11553988</v>
      </c>
    </row>
    <row r="996" spans="1:6" x14ac:dyDescent="0.2">
      <c r="A996" s="1" vm="5279">
        <f ca="1"/>
        <v>45887</v>
      </c>
      <c r="B996" s="2" vm="5280">
        <f ca="1"/>
        <v>246.2</v>
      </c>
      <c r="C996" s="2" vm="5281">
        <f ca="1"/>
        <v>249.16</v>
      </c>
      <c r="D996" s="2" vm="5282">
        <f ca="1"/>
        <v>243.62</v>
      </c>
      <c r="E996" s="2" vm="5283">
        <f ca="1"/>
        <v>249.07</v>
      </c>
      <c r="F996" vm="5284">
        <f ca="1"/>
        <v>6759921</v>
      </c>
    </row>
    <row r="997" spans="1:6" x14ac:dyDescent="0.2">
      <c r="A997" s="1" vm="5285">
        <f ca="1"/>
        <v>45888</v>
      </c>
      <c r="B997" s="2" vm="5286">
        <f ca="1"/>
        <v>249.25</v>
      </c>
      <c r="C997" s="2" vm="5286">
        <f ca="1"/>
        <v>249.25</v>
      </c>
      <c r="D997" s="2" vm="5287">
        <f ca="1"/>
        <v>232.23</v>
      </c>
      <c r="E997" s="2" vm="5288">
        <f ca="1"/>
        <v>234.62</v>
      </c>
      <c r="F997" vm="5289">
        <f ca="1"/>
        <v>16819250</v>
      </c>
    </row>
    <row r="998" spans="1:6" x14ac:dyDescent="0.2">
      <c r="A998" s="1" vm="5290">
        <f ca="1"/>
        <v>45889</v>
      </c>
      <c r="B998" s="2" vm="5291">
        <f ca="1"/>
        <v>232.18</v>
      </c>
      <c r="C998" s="2" vm="5292">
        <f ca="1"/>
        <v>235.88</v>
      </c>
      <c r="D998" s="2" vm="5293">
        <f ca="1"/>
        <v>228.2543</v>
      </c>
      <c r="E998" s="2" vm="5294">
        <f ca="1"/>
        <v>235.06</v>
      </c>
      <c r="F998" vm="5295">
        <f ca="1"/>
        <v>11256417</v>
      </c>
    </row>
    <row r="999" spans="1:6" x14ac:dyDescent="0.2">
      <c r="A999" s="1" vm="5296">
        <f ca="1"/>
        <v>45890</v>
      </c>
      <c r="B999" s="2" vm="5297">
        <f ca="1"/>
        <v>233.04499999999999</v>
      </c>
      <c r="C999" s="2" vm="5298">
        <f ca="1"/>
        <v>235.91990000000001</v>
      </c>
      <c r="D999" s="2" vm="5299">
        <f ca="1"/>
        <v>232.43</v>
      </c>
      <c r="E999" s="2" vm="5300">
        <f ca="1"/>
        <v>233.16</v>
      </c>
      <c r="F999" vm="5301">
        <f ca="1"/>
        <v>7403128</v>
      </c>
    </row>
    <row r="1000" spans="1:6" x14ac:dyDescent="0.2">
      <c r="A1000" s="1" vm="5302">
        <f ca="1"/>
        <v>45891</v>
      </c>
      <c r="B1000" s="2" vm="5303">
        <f ca="1"/>
        <v>234.06</v>
      </c>
      <c r="C1000" s="2" vm="5304">
        <f ca="1"/>
        <v>238.5</v>
      </c>
      <c r="D1000" s="2" vm="5305">
        <f ca="1"/>
        <v>231.46</v>
      </c>
      <c r="E1000" s="2" vm="5306">
        <f ca="1"/>
        <v>236.37</v>
      </c>
      <c r="F1000" vm="5307">
        <f ca="1"/>
        <v>9343637</v>
      </c>
    </row>
    <row r="1001" spans="1:6" x14ac:dyDescent="0.2">
      <c r="A1001" s="1" vm="5308">
        <f ca="1"/>
        <v>45894</v>
      </c>
      <c r="B1001" s="2" vm="5309">
        <f ca="1"/>
        <v>237.35</v>
      </c>
      <c r="C1001" s="2" vm="5310">
        <f ca="1"/>
        <v>239.03</v>
      </c>
      <c r="D1001" s="2" vm="5311">
        <f ca="1"/>
        <v>235.27</v>
      </c>
      <c r="E1001" s="2" vm="5312">
        <f ca="1"/>
        <v>235.41</v>
      </c>
      <c r="F1001" vm="5313">
        <f ca="1"/>
        <v>6308625</v>
      </c>
    </row>
    <row r="1002" spans="1:6" x14ac:dyDescent="0.2">
      <c r="A1002" s="1" vm="5314">
        <f ca="1"/>
        <v>45895</v>
      </c>
      <c r="B1002" s="2" vm="5125">
        <f ca="1"/>
        <v>235</v>
      </c>
      <c r="C1002" s="2" vm="5315">
        <f ca="1"/>
        <v>236.905</v>
      </c>
      <c r="D1002" s="2" vm="5316">
        <f ca="1"/>
        <v>232.71</v>
      </c>
      <c r="E1002" s="2" vm="5317">
        <f ca="1"/>
        <v>234.21</v>
      </c>
      <c r="F1002" vm="5318">
        <f ca="1"/>
        <v>11805197</v>
      </c>
    </row>
    <row r="1003" spans="1:6" x14ac:dyDescent="0.2">
      <c r="A1003" s="1" vm="5319">
        <f ca="1"/>
        <v>45896</v>
      </c>
      <c r="B1003" s="2" vm="5320">
        <f ca="1"/>
        <v>234.995</v>
      </c>
      <c r="C1003" s="2" vm="5321">
        <f ca="1"/>
        <v>236.53</v>
      </c>
      <c r="D1003" s="2" vm="5322">
        <f ca="1"/>
        <v>232.68</v>
      </c>
      <c r="E1003" s="2" vm="5119">
        <f ca="1"/>
        <v>235.81</v>
      </c>
      <c r="F1003" vm="5323">
        <f ca="1"/>
        <v>5637590</v>
      </c>
    </row>
    <row r="1004" spans="1:6" x14ac:dyDescent="0.2">
      <c r="A1004" s="1" vm="5324">
        <f ca="1"/>
        <v>45897</v>
      </c>
      <c r="B1004" s="2" vm="5325">
        <f ca="1"/>
        <v>235.54</v>
      </c>
      <c r="C1004" s="2" vm="5326">
        <f ca="1"/>
        <v>241.95</v>
      </c>
      <c r="D1004" s="2" vm="5327">
        <f ca="1"/>
        <v>235.12</v>
      </c>
      <c r="E1004" s="2" vm="5328">
        <f ca="1"/>
        <v>240.32</v>
      </c>
      <c r="F1004" vm="5329">
        <f ca="1"/>
        <v>8691548</v>
      </c>
    </row>
    <row r="1005" spans="1:6" x14ac:dyDescent="0.2">
      <c r="A1005" s="1" vm="5330">
        <f ca="1"/>
        <v>45898</v>
      </c>
      <c r="B1005" s="2" vm="5331">
        <f ca="1"/>
        <v>237.61</v>
      </c>
      <c r="C1005" s="2" vm="5332">
        <f ca="1"/>
        <v>238.22</v>
      </c>
      <c r="D1005" s="2" vm="5333">
        <f ca="1"/>
        <v>223.11</v>
      </c>
      <c r="E1005" s="2" vm="5334">
        <f ca="1"/>
        <v>226.13</v>
      </c>
      <c r="F1005" vm="5335">
        <f ca="1"/>
        <v>16618641</v>
      </c>
    </row>
    <row r="1006" spans="1:6" x14ac:dyDescent="0.2">
      <c r="A1006" s="1" vm="5336">
        <f ca="1"/>
        <v>45902</v>
      </c>
      <c r="B1006" s="2" vm="5337">
        <f ca="1"/>
        <v>222</v>
      </c>
      <c r="C1006" s="2" vm="5338">
        <f ca="1"/>
        <v>225.45</v>
      </c>
      <c r="D1006" s="2" vm="5339">
        <f ca="1"/>
        <v>218.79</v>
      </c>
      <c r="E1006" s="2" vm="5340">
        <f ca="1"/>
        <v>225.3</v>
      </c>
      <c r="F1006" vm="5341">
        <f ca="1"/>
        <v>10461903</v>
      </c>
    </row>
    <row r="1007" spans="1:6" x14ac:dyDescent="0.2">
      <c r="A1007" s="1" vm="5342">
        <f ca="1"/>
        <v>45903</v>
      </c>
      <c r="B1007" s="2" vm="5343">
        <f ca="1"/>
        <v>225.9</v>
      </c>
      <c r="C1007" s="2" vm="5343">
        <f ca="1"/>
        <v>225.9</v>
      </c>
      <c r="D1007" s="2" vm="5344">
        <f ca="1"/>
        <v>221.75</v>
      </c>
      <c r="E1007" s="2" vm="5345">
        <f ca="1"/>
        <v>223.45</v>
      </c>
      <c r="F1007" vm="5346">
        <f ca="1"/>
        <v>8900813</v>
      </c>
    </row>
    <row r="1008" spans="1:6" x14ac:dyDescent="0.2">
      <c r="A1008" s="1" vm="5347">
        <f ca="1"/>
        <v>45904</v>
      </c>
      <c r="B1008" s="2" vm="5337">
        <f ca="1"/>
        <v>222</v>
      </c>
      <c r="C1008" s="2" vm="5348">
        <f ca="1"/>
        <v>223.57</v>
      </c>
      <c r="D1008" s="2" vm="5349">
        <f ca="1"/>
        <v>219.56010000000001</v>
      </c>
      <c r="E1008" s="2" vm="5350">
        <f ca="1"/>
        <v>223</v>
      </c>
      <c r="F1008" vm="5351">
        <f ca="1"/>
        <v>10303069</v>
      </c>
    </row>
    <row r="1009" spans="1:6" x14ac:dyDescent="0.2">
      <c r="A1009" s="1" vm="5352">
        <f ca="1"/>
        <v>45905</v>
      </c>
      <c r="B1009" s="2" vm="5353">
        <f ca="1"/>
        <v>232.55</v>
      </c>
      <c r="C1009" s="2" vm="5288">
        <f ca="1"/>
        <v>234.62</v>
      </c>
      <c r="D1009" s="2" vm="5354">
        <f ca="1"/>
        <v>225.88499999999999</v>
      </c>
      <c r="E1009" s="2" vm="5355">
        <f ca="1"/>
        <v>232.8</v>
      </c>
      <c r="F1009" vm="5356">
        <f ca="1"/>
        <v>15386096</v>
      </c>
    </row>
    <row r="1010" spans="1:6" x14ac:dyDescent="0.2">
      <c r="A1010" s="1" vm="5357">
        <f ca="1"/>
        <v>45908</v>
      </c>
      <c r="B1010" s="2" vm="5358">
        <f ca="1"/>
        <v>239.89</v>
      </c>
      <c r="C1010" s="2" vm="5359">
        <f ca="1"/>
        <v>242.42</v>
      </c>
      <c r="D1010" s="2" vm="5360">
        <f ca="1"/>
        <v>235.31</v>
      </c>
      <c r="E1010" s="2" vm="5361">
        <f ca="1"/>
        <v>238.48</v>
      </c>
      <c r="F1010" vm="5362">
        <f ca="1"/>
        <v>18803046</v>
      </c>
    </row>
    <row r="1011" spans="1:6" x14ac:dyDescent="0.2">
      <c r="A1011" s="1" vm="5363">
        <f ca="1"/>
        <v>45909</v>
      </c>
      <c r="B1011" s="2" vm="5122">
        <f ca="1"/>
        <v>239.94</v>
      </c>
      <c r="C1011" s="2" vm="5364">
        <f ca="1"/>
        <v>243.49</v>
      </c>
      <c r="D1011" s="2" vm="5365">
        <f ca="1"/>
        <v>234.56</v>
      </c>
      <c r="E1011" s="2" vm="5366">
        <f ca="1"/>
        <v>241.51</v>
      </c>
      <c r="F1011" vm="5367">
        <f ca="1"/>
        <v>41178697</v>
      </c>
    </row>
    <row r="1012" spans="1:6" x14ac:dyDescent="0.2">
      <c r="A1012" s="1" vm="5368">
        <f ca="1"/>
        <v>45910</v>
      </c>
      <c r="B1012" s="2" vm="5369">
        <f ca="1"/>
        <v>319.19</v>
      </c>
      <c r="C1012" s="2" vm="5370">
        <f ca="1"/>
        <v>345.72</v>
      </c>
      <c r="D1012" s="2" vm="5371">
        <f ca="1"/>
        <v>312.08999999999997</v>
      </c>
      <c r="E1012" s="2" vm="5372">
        <f ca="1"/>
        <v>328.33</v>
      </c>
      <c r="F1012" vm="5373">
        <f ca="1"/>
        <v>131618085</v>
      </c>
    </row>
    <row r="1013" spans="1:6" x14ac:dyDescent="0.2">
      <c r="A1013" s="1" vm="5374">
        <f ca="1"/>
        <v>45911</v>
      </c>
      <c r="B1013" s="2" vm="5375">
        <f ca="1"/>
        <v>330.34</v>
      </c>
      <c r="C1013" s="2" vm="5376">
        <f ca="1"/>
        <v>331</v>
      </c>
      <c r="D1013" s="2" vm="5377">
        <f ca="1"/>
        <v>304.60000000000002</v>
      </c>
      <c r="E1013" s="2" vm="5378">
        <f ca="1"/>
        <v>307.86</v>
      </c>
      <c r="F1013" vm="5379">
        <f ca="1"/>
        <v>69986027</v>
      </c>
    </row>
    <row r="1014" spans="1:6" x14ac:dyDescent="0.2">
      <c r="A1014" s="1" vm="5380">
        <f ca="1"/>
        <v>45912</v>
      </c>
      <c r="B1014" s="2" vm="5381">
        <f ca="1"/>
        <v>305.79000000000002</v>
      </c>
      <c r="C1014" s="2" vm="5382">
        <f ca="1"/>
        <v>307.97000000000003</v>
      </c>
      <c r="D1014" s="2" vm="5383">
        <f ca="1"/>
        <v>291.75</v>
      </c>
      <c r="E1014" s="2" vm="5384">
        <f ca="1"/>
        <v>292.18</v>
      </c>
      <c r="F1014" vm="5385">
        <f ca="1"/>
        <v>51781914</v>
      </c>
    </row>
    <row r="1015" spans="1:6" x14ac:dyDescent="0.2">
      <c r="A1015" s="1" vm="5386">
        <f ca="1"/>
        <v>45915</v>
      </c>
      <c r="B1015" s="2" vm="5387">
        <f ca="1"/>
        <v>306.45</v>
      </c>
      <c r="C1015" s="2" vm="5388">
        <f ca="1"/>
        <v>307.02999999999997</v>
      </c>
      <c r="D1015" s="2" vm="5389">
        <f ca="1"/>
        <v>297.29000000000002</v>
      </c>
      <c r="E1015" s="2" vm="5390">
        <f ca="1"/>
        <v>302.14</v>
      </c>
      <c r="F1015" vm="5391">
        <f ca="1"/>
        <v>40004004</v>
      </c>
    </row>
    <row r="1016" spans="1:6" x14ac:dyDescent="0.2">
      <c r="A1016" s="1" vm="5392">
        <f ca="1"/>
        <v>45916</v>
      </c>
      <c r="B1016" s="2" vm="5393">
        <f ca="1"/>
        <v>314.06</v>
      </c>
      <c r="C1016" s="2" vm="5394">
        <f ca="1"/>
        <v>319.97000000000003</v>
      </c>
      <c r="D1016" s="2" vm="5395">
        <f ca="1"/>
        <v>302.2724</v>
      </c>
      <c r="E1016" s="2" vm="5396">
        <f ca="1"/>
        <v>306.64999999999998</v>
      </c>
      <c r="F1016" vm="5397">
        <f ca="1"/>
        <v>51923268</v>
      </c>
    </row>
    <row r="1017" spans="1:6" x14ac:dyDescent="0.2">
      <c r="A1017" s="1" vm="5398">
        <f ca="1"/>
        <v>45917</v>
      </c>
      <c r="B1017" s="2" vm="5399">
        <f ca="1"/>
        <v>307.69</v>
      </c>
      <c r="C1017" s="2" vm="5400">
        <f ca="1"/>
        <v>308.66000000000003</v>
      </c>
      <c r="D1017" s="2" vm="5401">
        <f ca="1"/>
        <v>295.02999999999997</v>
      </c>
      <c r="E1017" s="2" vm="5402">
        <f ca="1"/>
        <v>301.41000000000003</v>
      </c>
      <c r="F1017" vm="5403">
        <f ca="1"/>
        <v>27707949</v>
      </c>
    </row>
    <row r="1018" spans="1:6" x14ac:dyDescent="0.2">
      <c r="A1018" s="1" vm="5404">
        <f ca="1"/>
        <v>45918</v>
      </c>
      <c r="B1018" s="2" vm="5405">
        <f ca="1"/>
        <v>303.03500000000003</v>
      </c>
      <c r="C1018" s="2" vm="5406">
        <f ca="1"/>
        <v>303.82</v>
      </c>
      <c r="D1018" s="2" vm="5407">
        <f ca="1"/>
        <v>292</v>
      </c>
      <c r="E1018" s="2" vm="5408">
        <f ca="1"/>
        <v>296.62</v>
      </c>
      <c r="F1018" vm="5409">
        <f ca="1"/>
        <v>24673116</v>
      </c>
    </row>
    <row r="1019" spans="1:6" x14ac:dyDescent="0.2">
      <c r="A1019" s="1" vm="5410">
        <f ca="1"/>
        <v>45919</v>
      </c>
      <c r="B1019" s="2" vm="5411">
        <f ca="1"/>
        <v>299</v>
      </c>
      <c r="C1019" s="2" vm="5412">
        <f ca="1"/>
        <v>311.11</v>
      </c>
      <c r="D1019" s="2" vm="5413">
        <f ca="1"/>
        <v>297.32</v>
      </c>
      <c r="E1019" s="2" vm="5400">
        <f ca="1"/>
        <v>308.66000000000003</v>
      </c>
      <c r="F1019" vm="5414">
        <f ca="1"/>
        <v>40776201</v>
      </c>
    </row>
    <row r="1020" spans="1:6" x14ac:dyDescent="0.2">
      <c r="A1020" s="1" vm="5415">
        <f ca="1"/>
        <v>45922</v>
      </c>
      <c r="B1020" s="2" vm="5416">
        <f ca="1"/>
        <v>309.63</v>
      </c>
      <c r="C1020" s="2" vm="5417">
        <f ca="1"/>
        <v>329.5</v>
      </c>
      <c r="D1020" s="2" vm="5418">
        <f ca="1"/>
        <v>306.92</v>
      </c>
      <c r="E1020" s="2" vm="5419">
        <f ca="1"/>
        <v>328.15</v>
      </c>
      <c r="F1020" vm="5420">
        <f ca="1"/>
        <v>44437549</v>
      </c>
    </row>
    <row r="1021" spans="1:6" x14ac:dyDescent="0.2">
      <c r="A1021" s="1" vm="5421">
        <f ca="1"/>
        <v>45923</v>
      </c>
      <c r="B1021" s="2" vm="5422">
        <f ca="1"/>
        <v>324</v>
      </c>
      <c r="C1021" s="2" vm="5423">
        <f ca="1"/>
        <v>325</v>
      </c>
      <c r="D1021" s="2" vm="5424">
        <f ca="1"/>
        <v>310.05</v>
      </c>
      <c r="E1021" s="2" vm="5425">
        <f ca="1"/>
        <v>313.83</v>
      </c>
      <c r="F1021" vm="5426">
        <f ca="1"/>
        <v>35280199</v>
      </c>
    </row>
    <row r="1022" spans="1:6" x14ac:dyDescent="0.2">
      <c r="A1022" s="1" vm="5427">
        <f ca="1"/>
        <v>45924</v>
      </c>
      <c r="B1022" s="2" vm="5428">
        <f ca="1"/>
        <v>311.86</v>
      </c>
      <c r="C1022" s="2" vm="5429">
        <f ca="1"/>
        <v>312.47000000000003</v>
      </c>
      <c r="D1022" s="2" vm="5430">
        <f ca="1"/>
        <v>300.02999999999997</v>
      </c>
      <c r="E1022" s="2" vm="5431">
        <f ca="1"/>
        <v>308.45999999999998</v>
      </c>
      <c r="F1022" vm="5432">
        <f ca="1"/>
        <v>33765279</v>
      </c>
    </row>
    <row r="1023" spans="1:6" x14ac:dyDescent="0.2">
      <c r="A1023" s="1" vm="5433">
        <f ca="1"/>
        <v>45925</v>
      </c>
      <c r="B1023" s="2" vm="5434">
        <f ca="1"/>
        <v>295.27</v>
      </c>
      <c r="C1023" s="2" vm="5435">
        <f ca="1"/>
        <v>298.75</v>
      </c>
      <c r="D1023" s="2" vm="5436">
        <f ca="1"/>
        <v>288.55</v>
      </c>
      <c r="E1023" s="2" vm="5437">
        <f ca="1"/>
        <v>291.33</v>
      </c>
      <c r="F1023" vm="5438">
        <f ca="1"/>
        <v>39274883</v>
      </c>
    </row>
    <row r="1024" spans="1:6" x14ac:dyDescent="0.2">
      <c r="A1024" s="1" vm="5439">
        <f ca="1"/>
        <v>45926</v>
      </c>
      <c r="B1024" s="2" vm="5440">
        <f ca="1"/>
        <v>293</v>
      </c>
      <c r="C1024" s="2" vm="5441">
        <f ca="1"/>
        <v>294</v>
      </c>
      <c r="D1024" s="2" vm="5442">
        <f ca="1"/>
        <v>283</v>
      </c>
      <c r="E1024" s="2" vm="5443">
        <f ca="1"/>
        <v>283.45999999999998</v>
      </c>
      <c r="F1024" vm="5444">
        <f ca="1"/>
        <v>25990691</v>
      </c>
    </row>
    <row r="1025" spans="1:6" x14ac:dyDescent="0.2">
      <c r="A1025" s="1" vm="5445">
        <f ca="1"/>
        <v>45929</v>
      </c>
      <c r="B1025" s="2" vm="5446">
        <f ca="1"/>
        <v>284.60000000000002</v>
      </c>
      <c r="C1025" s="2" vm="5447">
        <f ca="1"/>
        <v>285.98</v>
      </c>
      <c r="D1025" s="2" vm="5448">
        <f ca="1"/>
        <v>279.61</v>
      </c>
      <c r="E1025" s="2" vm="5449">
        <f ca="1"/>
        <v>282.76</v>
      </c>
      <c r="F1025" vm="5450">
        <f ca="1"/>
        <v>25778508</v>
      </c>
    </row>
    <row r="1026" spans="1:6" x14ac:dyDescent="0.2">
      <c r="A1026" s="1" vm="5451">
        <f ca="1"/>
        <v>45930</v>
      </c>
      <c r="B1026" s="2" vm="5452">
        <f ca="1"/>
        <v>283.69</v>
      </c>
      <c r="C1026" s="2" vm="5453">
        <f ca="1"/>
        <v>284</v>
      </c>
      <c r="D1026" s="2" vm="5454">
        <f ca="1"/>
        <v>275.89999999999998</v>
      </c>
      <c r="E1026" s="2" vm="5455">
        <f ca="1"/>
        <v>281.24</v>
      </c>
      <c r="F1026" vm="5456">
        <f ca="1"/>
        <v>23880810</v>
      </c>
    </row>
    <row r="1027" spans="1:6" x14ac:dyDescent="0.2">
      <c r="A1027" s="1" vm="5457">
        <f ca="1"/>
        <v>45931</v>
      </c>
      <c r="B1027" s="2" vm="5458">
        <f ca="1"/>
        <v>278.8</v>
      </c>
      <c r="C1027" s="2" vm="5459">
        <f ca="1"/>
        <v>289.99</v>
      </c>
      <c r="D1027" s="2" vm="5460">
        <f ca="1"/>
        <v>277.88</v>
      </c>
      <c r="E1027" s="2" vm="5461">
        <f ca="1"/>
        <v>289.01</v>
      </c>
      <c r="F1027" vm="5462">
        <f ca="1"/>
        <v>23378324</v>
      </c>
    </row>
    <row r="1028" spans="1:6" x14ac:dyDescent="0.2">
      <c r="A1028" s="1" vm="5463">
        <f ca="1"/>
        <v>45932</v>
      </c>
      <c r="B1028" s="2" vm="5464">
        <f ca="1"/>
        <v>291.8</v>
      </c>
      <c r="C1028" s="2" vm="5465">
        <f ca="1"/>
        <v>294.97000000000003</v>
      </c>
      <c r="D1028" s="2" vm="5466">
        <f ca="1"/>
        <v>286.05</v>
      </c>
      <c r="E1028" s="2" vm="5467">
        <f ca="1"/>
        <v>288.77999999999997</v>
      </c>
      <c r="F1028" vm="5468">
        <f ca="1"/>
        <v>16215460</v>
      </c>
    </row>
    <row r="1029" spans="1:6" x14ac:dyDescent="0.2">
      <c r="A1029" s="1" vm="5469">
        <f ca="1"/>
        <v>45933</v>
      </c>
      <c r="B1029" s="2" vm="5470">
        <f ca="1"/>
        <v>289.60000000000002</v>
      </c>
      <c r="C1029" s="2" vm="5471">
        <f ca="1"/>
        <v>294.64</v>
      </c>
      <c r="D1029" s="2" vm="5453">
        <f ca="1"/>
        <v>284</v>
      </c>
      <c r="E1029" s="2" vm="5472">
        <f ca="1"/>
        <v>286.14</v>
      </c>
      <c r="F1029" vm="5473">
        <f ca="1"/>
        <v>13688407</v>
      </c>
    </row>
    <row r="1030" spans="1:6" x14ac:dyDescent="0.2">
      <c r="A1030" s="1" vm="5474">
        <f ca="1"/>
        <v>45936</v>
      </c>
      <c r="B1030" s="2" vm="5475">
        <f ca="1"/>
        <v>292.38</v>
      </c>
      <c r="C1030" s="2" vm="5476">
        <f ca="1"/>
        <v>296.68</v>
      </c>
      <c r="D1030" s="2" vm="5477">
        <f ca="1"/>
        <v>290.8</v>
      </c>
      <c r="E1030" s="2" vm="5478">
        <f ca="1"/>
        <v>291.58999999999997</v>
      </c>
      <c r="F1030" vm="5479">
        <f ca="1"/>
        <v>14076795</v>
      </c>
    </row>
    <row r="1031" spans="1:6" x14ac:dyDescent="0.2">
      <c r="A1031" s="1" vm="5480">
        <f ca="1"/>
        <v>45937</v>
      </c>
      <c r="B1031" s="2" vm="5481">
        <f ca="1"/>
        <v>293.22000000000003</v>
      </c>
      <c r="C1031" s="2" vm="5481">
        <f ca="1"/>
        <v>293.22000000000003</v>
      </c>
      <c r="D1031" s="2" vm="5482">
        <f ca="1"/>
        <v>271</v>
      </c>
      <c r="E1031" s="2" vm="5483">
        <f ca="1"/>
        <v>284.24</v>
      </c>
      <c r="F1031" vm="5484">
        <f ca="1"/>
        <v>31723384</v>
      </c>
    </row>
    <row r="1032" spans="1:6" x14ac:dyDescent="0.2">
      <c r="A1032" s="1" vm="5485">
        <f ca="1"/>
        <v>45938</v>
      </c>
      <c r="B1032" s="2" vm="5486">
        <f ca="1"/>
        <v>285.42</v>
      </c>
      <c r="C1032" s="2" vm="5487">
        <f ca="1"/>
        <v>291.52999999999997</v>
      </c>
      <c r="D1032" s="2" vm="5488">
        <f ca="1"/>
        <v>283.60000000000002</v>
      </c>
      <c r="E1032" s="2" vm="5489">
        <f ca="1"/>
        <v>288.63</v>
      </c>
      <c r="F1032" vm="5490">
        <f ca="1"/>
        <v>18982122</v>
      </c>
    </row>
    <row r="1033" spans="1:6" x14ac:dyDescent="0.2">
      <c r="A1033" s="1" vm="5491">
        <f ca="1"/>
        <v>45939</v>
      </c>
      <c r="B1033" s="2" vm="5492">
        <f ca="1"/>
        <v>291.55</v>
      </c>
      <c r="C1033" s="2" vm="5493">
        <f ca="1"/>
        <v>300.97000000000003</v>
      </c>
      <c r="D1033" s="2" vm="5494">
        <f ca="1"/>
        <v>287.26</v>
      </c>
      <c r="E1033" s="2" vm="5495">
        <f ca="1"/>
        <v>296.95999999999998</v>
      </c>
      <c r="F1033" vm="5496">
        <f ca="1"/>
        <v>26479833</v>
      </c>
    </row>
    <row r="1034" spans="1:6" x14ac:dyDescent="0.2">
      <c r="A1034" s="1" vm="5497">
        <f ca="1"/>
        <v>45940</v>
      </c>
      <c r="B1034" s="2" vm="5498">
        <f ca="1"/>
        <v>300.27999999999997</v>
      </c>
      <c r="C1034" s="2" vm="5499">
        <f ca="1"/>
        <v>307.72000000000003</v>
      </c>
      <c r="D1034" s="2" vm="5500">
        <f ca="1"/>
        <v>292.01</v>
      </c>
      <c r="E1034" s="2" vm="5501">
        <f ca="1"/>
        <v>292.95999999999998</v>
      </c>
      <c r="F1034" vm="5502">
        <f ca="1"/>
        <v>28895338</v>
      </c>
    </row>
    <row r="1035" spans="1:6" x14ac:dyDescent="0.2">
      <c r="A1035" s="1" vm="5503">
        <f ca="1"/>
        <v>45943</v>
      </c>
      <c r="B1035" s="2" vm="5504">
        <f ca="1"/>
        <v>298.7</v>
      </c>
      <c r="C1035" s="2" vm="5505">
        <f ca="1"/>
        <v>310.7</v>
      </c>
      <c r="D1035" s="2" vm="5506">
        <f ca="1"/>
        <v>297.74</v>
      </c>
      <c r="E1035" s="2" vm="5507">
        <f ca="1"/>
        <v>308.01</v>
      </c>
      <c r="F1035" vm="5508">
        <f ca="1"/>
        <v>21703725</v>
      </c>
    </row>
    <row r="1036" spans="1:6" x14ac:dyDescent="0.2">
      <c r="A1036" s="1" vm="5509">
        <f ca="1"/>
        <v>45944</v>
      </c>
      <c r="B1036" s="2" vm="5510">
        <f ca="1"/>
        <v>303.57</v>
      </c>
      <c r="C1036" s="2" vm="5511">
        <f ca="1"/>
        <v>304.42</v>
      </c>
      <c r="D1036" s="2" vm="5512">
        <f ca="1"/>
        <v>291.98</v>
      </c>
      <c r="E1036" s="2" vm="5411">
        <f ca="1"/>
        <v>299</v>
      </c>
      <c r="F1036" vm="5513">
        <f ca="1"/>
        <v>17346186</v>
      </c>
    </row>
    <row r="1037" spans="1:6" x14ac:dyDescent="0.2">
      <c r="A1037" s="1" vm="5514">
        <f ca="1"/>
        <v>45945</v>
      </c>
      <c r="B1037" s="2" vm="5515">
        <f ca="1"/>
        <v>304.89999999999998</v>
      </c>
      <c r="C1037" s="2" vm="5516">
        <f ca="1"/>
        <v>311.01</v>
      </c>
      <c r="D1037" s="2" vm="5517">
        <f ca="1"/>
        <v>298.92</v>
      </c>
      <c r="E1037" s="2" vm="5518">
        <f ca="1"/>
        <v>303.62</v>
      </c>
      <c r="F1037" vm="5519">
        <f ca="1"/>
        <v>13698938</v>
      </c>
    </row>
    <row r="1038" spans="1:6" x14ac:dyDescent="0.2">
      <c r="A1038" s="1" vm="5520">
        <f ca="1"/>
        <v>45946</v>
      </c>
      <c r="B1038" s="2" vm="5521">
        <f ca="1"/>
        <v>305.60000000000002</v>
      </c>
      <c r="C1038" s="2" vm="5522">
        <f ca="1"/>
        <v>322.54000000000002</v>
      </c>
      <c r="D1038" s="2" vm="5523">
        <f ca="1"/>
        <v>303.07</v>
      </c>
      <c r="E1038" s="2" vm="5524">
        <f ca="1"/>
        <v>313</v>
      </c>
      <c r="F1038" vm="5525">
        <f ca="1"/>
        <v>32500863</v>
      </c>
    </row>
    <row r="1039" spans="1:6" x14ac:dyDescent="0.2">
      <c r="A1039" s="1" vm="5526">
        <f ca="1"/>
        <v>45947</v>
      </c>
      <c r="B1039" s="2" vm="5527">
        <f ca="1"/>
        <v>303.75</v>
      </c>
      <c r="C1039" s="2" vm="5528">
        <f ca="1"/>
        <v>304.27999999999997</v>
      </c>
      <c r="D1039" s="2" vm="5529">
        <f ca="1"/>
        <v>287.5</v>
      </c>
      <c r="E1039" s="2" vm="5530">
        <f ca="1"/>
        <v>291.31</v>
      </c>
      <c r="F1039" vm="5531">
        <f ca="1"/>
        <v>37653000</v>
      </c>
    </row>
    <row r="1040" spans="1:6" x14ac:dyDescent="0.2">
      <c r="A1040" s="1" vm="5532">
        <f ca="1"/>
        <v>45950</v>
      </c>
      <c r="B1040" s="2" vm="5533">
        <f ca="1"/>
        <v>288.95</v>
      </c>
      <c r="C1040" s="2" vm="5534">
        <f ca="1"/>
        <v>289.24</v>
      </c>
      <c r="D1040" s="2" vm="5535">
        <f ca="1"/>
        <v>275.31</v>
      </c>
      <c r="E1040" s="2" vm="5536">
        <f ca="1"/>
        <v>277.18</v>
      </c>
      <c r="F1040" vm="5537">
        <f ca="1"/>
        <v>32810748</v>
      </c>
    </row>
    <row r="1041" spans="1:6" x14ac:dyDescent="0.2">
      <c r="A1041" s="1" vm="5538">
        <f ca="1"/>
        <v>45951</v>
      </c>
      <c r="B1041" s="2" vm="5539">
        <f ca="1"/>
        <v>278.11</v>
      </c>
      <c r="C1041" s="2" vm="5540">
        <f ca="1"/>
        <v>280.29989999999998</v>
      </c>
      <c r="D1041" s="2" vm="5541">
        <f ca="1"/>
        <v>272.26</v>
      </c>
      <c r="E1041" s="2" vm="5542">
        <f ca="1"/>
        <v>275.14999999999998</v>
      </c>
      <c r="F1041" vm="5543">
        <f ca="1"/>
        <v>18370806</v>
      </c>
    </row>
    <row r="1042" spans="1:6" x14ac:dyDescent="0.2">
      <c r="A1042" s="1" vm="5544">
        <f ca="1"/>
        <v>45952</v>
      </c>
      <c r="B1042" s="2" vm="5545">
        <f ca="1"/>
        <v>274.82</v>
      </c>
      <c r="C1042" s="2" vm="5546">
        <f ca="1"/>
        <v>277.2</v>
      </c>
      <c r="D1042" s="2" vm="5547">
        <f ca="1"/>
        <v>269.25</v>
      </c>
      <c r="E1042" s="2" vm="5548">
        <f ca="1"/>
        <v>272.66000000000003</v>
      </c>
      <c r="F1042" vm="5549">
        <f ca="1"/>
        <v>16474016</v>
      </c>
    </row>
    <row r="1043" spans="1:6" x14ac:dyDescent="0.2">
      <c r="A1043" s="1" vm="5550">
        <f ca="1"/>
        <v>45953</v>
      </c>
      <c r="B1043" s="2" vm="5551">
        <f ca="1"/>
        <v>272.95999999999998</v>
      </c>
      <c r="C1043" s="2" vm="5552">
        <f ca="1"/>
        <v>283.10000000000002</v>
      </c>
      <c r="D1043" s="2" vm="5553">
        <f ca="1"/>
        <v>272.38499999999999</v>
      </c>
      <c r="E1043" s="2" vm="5554">
        <f ca="1"/>
        <v>280.07</v>
      </c>
      <c r="F1043" vm="5555">
        <f ca="1"/>
        <v>16872158</v>
      </c>
    </row>
    <row r="1044" spans="1:6" x14ac:dyDescent="0.2">
      <c r="A1044" s="1" vm="5556">
        <f ca="1"/>
        <v>45954</v>
      </c>
      <c r="B1044" s="2" vm="5557">
        <f ca="1"/>
        <v>285.92</v>
      </c>
      <c r="C1044" s="2" vm="5558">
        <f ca="1"/>
        <v>287.19</v>
      </c>
      <c r="D1044" s="2" vm="5559">
        <f ca="1"/>
        <v>282.245</v>
      </c>
      <c r="E1044" s="2" vm="5560">
        <f ca="1"/>
        <v>283.33</v>
      </c>
      <c r="F1044" vm="5561">
        <f ca="1"/>
        <v>13194896</v>
      </c>
    </row>
    <row r="1045" spans="1:6" x14ac:dyDescent="0.2">
      <c r="A1045" s="1" vm="5562">
        <f ca="1"/>
        <v>45957</v>
      </c>
      <c r="B1045" s="2" vm="5563">
        <f ca="1"/>
        <v>286.57</v>
      </c>
      <c r="C1045" s="2" vm="5564">
        <f ca="1"/>
        <v>287</v>
      </c>
      <c r="D1045" s="2" vm="5565">
        <f ca="1"/>
        <v>279.81</v>
      </c>
      <c r="E1045" s="2" vm="5566">
        <f ca="1"/>
        <v>281.39999999999998</v>
      </c>
      <c r="F1045" vm="5567">
        <f ca="1"/>
        <v>13855836</v>
      </c>
    </row>
    <row r="1046" spans="1:6" x14ac:dyDescent="0.2">
      <c r="A1046" s="1" vm="5568">
        <f ca="1"/>
        <v>45958</v>
      </c>
      <c r="B1046" s="2" vm="5442">
        <f ca="1"/>
        <v>283</v>
      </c>
      <c r="C1046" s="2" vm="5569">
        <f ca="1"/>
        <v>285.45999999999998</v>
      </c>
      <c r="D1046" s="2" vm="5570">
        <f ca="1"/>
        <v>280.54000000000002</v>
      </c>
      <c r="E1046" s="2" vm="5571">
        <f ca="1"/>
        <v>280.83</v>
      </c>
      <c r="F1046" vm="5572">
        <f ca="1"/>
        <v>12448523</v>
      </c>
    </row>
    <row r="1047" spans="1:6" x14ac:dyDescent="0.2">
      <c r="A1047" s="1" vm="5573">
        <f ca="1"/>
        <v>45959</v>
      </c>
      <c r="B1047" s="2" vm="5574">
        <f ca="1"/>
        <v>281.45999999999998</v>
      </c>
      <c r="C1047" s="2" vm="5575">
        <f ca="1"/>
        <v>281.62</v>
      </c>
      <c r="D1047" s="2" vm="5576">
        <f ca="1"/>
        <v>271.35000000000002</v>
      </c>
      <c r="E1047" s="2" vm="5577">
        <f ca="1"/>
        <v>275.3</v>
      </c>
      <c r="F1047" vm="5578">
        <f ca="1"/>
        <v>18007149</v>
      </c>
    </row>
    <row r="1048" spans="1:6" x14ac:dyDescent="0.2">
      <c r="A1048" s="1" vm="5579">
        <f ca="1"/>
        <v>45960</v>
      </c>
      <c r="B1048" s="2" vm="5580">
        <f ca="1"/>
        <v>268.74</v>
      </c>
      <c r="C1048" s="2" vm="5581">
        <f ca="1"/>
        <v>269.76</v>
      </c>
      <c r="D1048" s="2" vm="5582">
        <f ca="1"/>
        <v>256.27999999999997</v>
      </c>
      <c r="E1048" s="2" vm="5583">
        <f ca="1"/>
        <v>256.89</v>
      </c>
      <c r="F1048" vm="5584">
        <f ca="1"/>
        <v>27954197</v>
      </c>
    </row>
    <row r="1049" spans="1:6" x14ac:dyDescent="0.2">
      <c r="A1049" s="1" vm="5585">
        <f ca="1"/>
        <v>45961</v>
      </c>
      <c r="B1049" s="2" vm="5586">
        <f ca="1"/>
        <v>259.51</v>
      </c>
      <c r="C1049" s="2" vm="5587">
        <f ca="1"/>
        <v>265.81</v>
      </c>
      <c r="D1049" s="2" vm="5588">
        <f ca="1"/>
        <v>256.7097</v>
      </c>
      <c r="E1049" s="2" vm="5589">
        <f ca="1"/>
        <v>262.61</v>
      </c>
      <c r="F1049" vm="5590">
        <f ca="1"/>
        <v>16898693</v>
      </c>
    </row>
    <row r="1050" spans="1:6" x14ac:dyDescent="0.2">
      <c r="A1050" s="1" vm="5591">
        <f ca="1"/>
        <v>45964</v>
      </c>
      <c r="B1050" s="2" vm="5592">
        <f ca="1"/>
        <v>265.24</v>
      </c>
      <c r="C1050" s="2" vm="5593">
        <f ca="1"/>
        <v>265.62</v>
      </c>
      <c r="D1050" s="2" vm="5594">
        <f ca="1"/>
        <v>255.23</v>
      </c>
      <c r="E1050" s="2" vm="5595">
        <f ca="1"/>
        <v>257.85000000000002</v>
      </c>
      <c r="F1050" vm="5596">
        <f ca="1"/>
        <v>15709214</v>
      </c>
    </row>
    <row r="1051" spans="1:6" x14ac:dyDescent="0.2">
      <c r="A1051" s="1" vm="5597">
        <f ca="1"/>
        <v>45965</v>
      </c>
      <c r="B1051" s="2" vm="5201">
        <f ca="1"/>
        <v>249.98</v>
      </c>
      <c r="C1051" s="2" vm="5598">
        <f ca="1"/>
        <v>255.28</v>
      </c>
      <c r="D1051" s="2" vm="5599">
        <f ca="1"/>
        <v>245.185</v>
      </c>
      <c r="E1051" s="2" vm="5600">
        <f ca="1"/>
        <v>248.17</v>
      </c>
      <c r="F1051" vm="5601">
        <f ca="1"/>
        <v>19772593</v>
      </c>
    </row>
    <row r="1052" spans="1:6" x14ac:dyDescent="0.2">
      <c r="A1052" s="1" vm="5602">
        <f ca="1"/>
        <v>45966</v>
      </c>
      <c r="B1052" s="2" vm="5603">
        <f ca="1"/>
        <v>247.91</v>
      </c>
      <c r="C1052" s="2" vm="5604">
        <f ca="1"/>
        <v>252.4</v>
      </c>
      <c r="D1052" s="2" vm="5605">
        <f ca="1"/>
        <v>247.03</v>
      </c>
      <c r="E1052" s="2" vm="5606">
        <f ca="1"/>
        <v>250.31</v>
      </c>
      <c r="F1052" vm="5607">
        <f ca="1"/>
        <v>11991459</v>
      </c>
    </row>
    <row r="1053" spans="1:6" x14ac:dyDescent="0.2">
      <c r="A1053" s="1" vm="5608">
        <f ca="1"/>
        <v>45967</v>
      </c>
      <c r="B1053" s="2" vm="5609">
        <f ca="1"/>
        <v>247.94</v>
      </c>
      <c r="C1053" s="2" vm="5283">
        <f ca="1"/>
        <v>249.07</v>
      </c>
      <c r="D1053" s="2" vm="5610">
        <f ca="1"/>
        <v>239.29</v>
      </c>
      <c r="E1053" s="2" vm="5611">
        <f ca="1"/>
        <v>243.8</v>
      </c>
      <c r="F1053" vm="5612">
        <f ca="1"/>
        <v>18678269</v>
      </c>
    </row>
    <row r="1054" spans="1:6" x14ac:dyDescent="0.2">
      <c r="A1054" s="1" vm="5613">
        <f ca="1"/>
        <v>45968</v>
      </c>
      <c r="B1054" s="2" vm="5614">
        <f ca="1"/>
        <v>239</v>
      </c>
      <c r="C1054" s="2" vm="5615">
        <f ca="1"/>
        <v>240.4</v>
      </c>
      <c r="D1054" s="2" vm="5616">
        <f ca="1"/>
        <v>232.35</v>
      </c>
      <c r="E1054" s="2" vm="5617">
        <f ca="1"/>
        <v>239.26</v>
      </c>
      <c r="F1054" vm="5618">
        <f ca="1"/>
        <v>20969260</v>
      </c>
    </row>
    <row r="1055" spans="1:6" x14ac:dyDescent="0.2">
      <c r="A1055" s="1" vm="5619">
        <f ca="1"/>
        <v>45971</v>
      </c>
      <c r="B1055" s="2" vm="5620">
        <f ca="1"/>
        <v>245.95</v>
      </c>
      <c r="C1055" s="2" vm="5621">
        <f ca="1"/>
        <v>247.24</v>
      </c>
      <c r="D1055" s="2" vm="5622">
        <f ca="1"/>
        <v>237.07</v>
      </c>
      <c r="E1055" s="2" vm="5623">
        <f ca="1"/>
        <v>240.83</v>
      </c>
      <c r="F1055" vm="5624">
        <f ca="1"/>
        <v>16698716</v>
      </c>
    </row>
    <row r="1056" spans="1:6" x14ac:dyDescent="0.2">
      <c r="A1056" s="1" vm="5625">
        <f ca="1"/>
        <v>45972</v>
      </c>
      <c r="B1056" s="2" vm="5626">
        <f ca="1"/>
        <v>236.23</v>
      </c>
      <c r="C1056" s="2" vm="5627">
        <f ca="1"/>
        <v>237.45</v>
      </c>
      <c r="D1056" s="2" vm="5628">
        <f ca="1"/>
        <v>228.89</v>
      </c>
      <c r="E1056" s="2" vm="5629">
        <f ca="1"/>
        <v>236.15</v>
      </c>
      <c r="F1056" vm="5630">
        <f ca="1"/>
        <v>20686607</v>
      </c>
    </row>
    <row r="1057" spans="1:6" x14ac:dyDescent="0.2">
      <c r="A1057" s="1" vm="5631">
        <f ca="1"/>
        <v>45973</v>
      </c>
      <c r="B1057" s="2" vm="5632">
        <f ca="1"/>
        <v>236.74</v>
      </c>
      <c r="C1057" s="2" vm="5633">
        <f ca="1"/>
        <v>236.81</v>
      </c>
      <c r="D1057" s="2" vm="5634">
        <f ca="1"/>
        <v>226.17</v>
      </c>
      <c r="E1057" s="2" vm="5635">
        <f ca="1"/>
        <v>226.99</v>
      </c>
      <c r="F1057" vm="5636">
        <f ca="1"/>
        <v>24194992</v>
      </c>
    </row>
    <row r="1058" spans="1:6" x14ac:dyDescent="0.2">
      <c r="A1058" s="1" vm="5637">
        <f ca="1"/>
        <v>45974</v>
      </c>
      <c r="B1058" s="2" vm="5638">
        <f ca="1"/>
        <v>224.99</v>
      </c>
      <c r="C1058" s="2" vm="5639">
        <f ca="1"/>
        <v>225.16</v>
      </c>
      <c r="D1058" s="2" vm="5023">
        <f ca="1"/>
        <v>215.22</v>
      </c>
      <c r="E1058" s="2" vm="5640">
        <f ca="1"/>
        <v>217.57</v>
      </c>
      <c r="F1058" vm="5641">
        <f ca="1"/>
        <v>30008998</v>
      </c>
    </row>
    <row r="1059" spans="1:6" x14ac:dyDescent="0.2">
      <c r="A1059" s="1" vm="5642">
        <f ca="1"/>
        <v>45975</v>
      </c>
      <c r="B1059" s="2" vm="5643">
        <f ca="1"/>
        <v>210.83</v>
      </c>
      <c r="C1059" s="2" vm="5644">
        <f ca="1"/>
        <v>227.05</v>
      </c>
      <c r="D1059" s="2" vm="5645">
        <f ca="1"/>
        <v>210.77</v>
      </c>
      <c r="E1059" s="2" vm="5646">
        <f ca="1"/>
        <v>222.85</v>
      </c>
      <c r="F1059" vm="5647">
        <f ca="1"/>
        <v>36053807</v>
      </c>
    </row>
    <row r="1060" spans="1:6" x14ac:dyDescent="0.2">
      <c r="A1060" s="1" vm="5648">
        <f ca="1"/>
        <v>45978</v>
      </c>
      <c r="B1060" s="2" vm="5649">
        <f ca="1"/>
        <v>218.21</v>
      </c>
      <c r="C1060" s="2" vm="5650">
        <f ca="1"/>
        <v>222.8</v>
      </c>
      <c r="D1060" s="2" vm="5651">
        <f ca="1"/>
        <v>215.56</v>
      </c>
      <c r="E1060" s="2" vm="5652">
        <f ca="1"/>
        <v>219.86</v>
      </c>
      <c r="F1060" vm="5653">
        <f ca="1"/>
        <v>16143779</v>
      </c>
    </row>
    <row r="1061" spans="1:6" x14ac:dyDescent="0.2">
      <c r="A1061" s="1" vm="5654">
        <f ca="1"/>
        <v>45979</v>
      </c>
      <c r="B1061" s="2" vm="5655">
        <f ca="1"/>
        <v>216.20500000000001</v>
      </c>
      <c r="C1061" s="2" vm="5656">
        <f ca="1"/>
        <v>223.7</v>
      </c>
      <c r="D1061" s="2" vm="5657">
        <f ca="1"/>
        <v>214.5</v>
      </c>
      <c r="E1061" s="2" vm="5658">
        <f ca="1"/>
        <v>220.49</v>
      </c>
      <c r="F1061" vm="5659">
        <f ca="1"/>
        <v>21098291</v>
      </c>
    </row>
    <row r="1062" spans="1:6" x14ac:dyDescent="0.2">
      <c r="A1062" s="1" vm="5660">
        <f ca="1"/>
        <v>45980</v>
      </c>
      <c r="B1062" s="2" vm="5661">
        <f ca="1"/>
        <v>219.06</v>
      </c>
      <c r="C1062" s="2" vm="5662">
        <f ca="1"/>
        <v>228.1499</v>
      </c>
      <c r="D1062" s="2" vm="5663">
        <f ca="1"/>
        <v>217.31</v>
      </c>
      <c r="E1062" s="2" vm="5664">
        <f ca="1"/>
        <v>225.53</v>
      </c>
      <c r="F1062" vm="5665">
        <f ca="1"/>
        <v>21679490</v>
      </c>
    </row>
    <row r="1063" spans="1:6" x14ac:dyDescent="0.2">
      <c r="A1063" s="1" vm="5666">
        <f ca="1"/>
        <v>45981</v>
      </c>
      <c r="B1063" s="2" vm="5667">
        <f ca="1"/>
        <v>231.16</v>
      </c>
      <c r="C1063" s="2" vm="5129">
        <f ca="1"/>
        <v>234</v>
      </c>
      <c r="D1063" s="2" vm="5668">
        <f ca="1"/>
        <v>210.3</v>
      </c>
      <c r="E1063" s="2" vm="5669">
        <f ca="1"/>
        <v>210.69</v>
      </c>
      <c r="F1063" vm="5670">
        <f ca="1"/>
        <v>27459600</v>
      </c>
    </row>
    <row r="1064" spans="1:6" x14ac:dyDescent="0.2">
      <c r="A1064" s="1" vm="5671">
        <f ca="1"/>
        <v>45982</v>
      </c>
      <c r="B1064" s="2" vm="5672">
        <f ca="1"/>
        <v>207.08</v>
      </c>
      <c r="C1064" s="2" vm="5673">
        <f ca="1"/>
        <v>208.31</v>
      </c>
      <c r="D1064" s="2" vm="5674">
        <f ca="1"/>
        <v>193.55</v>
      </c>
      <c r="E1064" s="2" vm="5675">
        <f ca="1"/>
        <v>198.76</v>
      </c>
      <c r="F1064" vm="5676">
        <f ca="1"/>
        <v>44834071</v>
      </c>
    </row>
    <row r="1065" spans="1:6" x14ac:dyDescent="0.2">
      <c r="A1065" s="1" vm="5677">
        <f ca="1"/>
        <v>45985</v>
      </c>
      <c r="B1065" s="2" vm="5678">
        <f ca="1"/>
        <v>196.85499999999999</v>
      </c>
      <c r="C1065" s="2" vm="5679">
        <f ca="1"/>
        <v>203.82</v>
      </c>
      <c r="D1065" s="2" vm="5680">
        <f ca="1"/>
        <v>194.3</v>
      </c>
      <c r="E1065" s="2" vm="5681">
        <f ca="1"/>
        <v>200.28</v>
      </c>
      <c r="F1065" vm="5682">
        <f ca="1"/>
        <v>31144706</v>
      </c>
    </row>
    <row r="1066" spans="1:6" x14ac:dyDescent="0.2">
      <c r="A1066" s="1" vm="5683">
        <f ca="1"/>
        <v>45986</v>
      </c>
      <c r="B1066" s="2" vm="5684">
        <f ca="1"/>
        <v>194.08</v>
      </c>
      <c r="C1066" s="2" vm="5685">
        <f ca="1"/>
        <v>199.41</v>
      </c>
      <c r="D1066" s="2" vm="5686">
        <f ca="1"/>
        <v>185.63</v>
      </c>
      <c r="E1066" s="2" vm="5687">
        <f ca="1"/>
        <v>197.03</v>
      </c>
      <c r="F1066" vm="5688">
        <f ca="1"/>
        <v>29594993</v>
      </c>
    </row>
    <row r="1067" spans="1:6" x14ac:dyDescent="0.2">
      <c r="A1067" s="1" vm="5689">
        <f ca="1"/>
        <v>45987</v>
      </c>
      <c r="B1067" s="2" vm="5690">
        <f ca="1"/>
        <v>209.5</v>
      </c>
      <c r="C1067" s="2" vm="5691">
        <f ca="1"/>
        <v>210</v>
      </c>
      <c r="D1067" s="2" vm="5692">
        <f ca="1"/>
        <v>202.24</v>
      </c>
      <c r="E1067" s="2" vm="5693">
        <f ca="1"/>
        <v>204.96</v>
      </c>
      <c r="F1067" vm="5694">
        <f ca="1"/>
        <v>26544148</v>
      </c>
    </row>
    <row r="1068" spans="1:6" x14ac:dyDescent="0.2">
      <c r="A1068" s="1" vm="5695">
        <f ca="1"/>
        <v>45989</v>
      </c>
      <c r="B1068" s="2" vm="5696">
        <f ca="1"/>
        <v>199.51</v>
      </c>
      <c r="C1068" s="2" vm="5697">
        <f ca="1"/>
        <v>202.3399</v>
      </c>
      <c r="D1068" s="2" vm="5698">
        <f ca="1"/>
        <v>197.61</v>
      </c>
      <c r="E1068" s="2" vm="5699">
        <f ca="1"/>
        <v>201.95</v>
      </c>
      <c r="F1068" vm="5700">
        <f ca="1"/>
        <v>13848479</v>
      </c>
    </row>
    <row r="1069" spans="1:6" x14ac:dyDescent="0.2">
      <c r="A1069" s="1" vm="5701">
        <f ca="1"/>
        <v>45992</v>
      </c>
      <c r="B1069" s="2" vm="5702">
        <f ca="1"/>
        <v>200.5</v>
      </c>
      <c r="C1069" s="2" vm="5703">
        <f ca="1"/>
        <v>203.5</v>
      </c>
      <c r="D1069" s="2" vm="5704">
        <f ca="1"/>
        <v>196.7</v>
      </c>
      <c r="E1069" s="2" vm="5705">
        <f ca="1"/>
        <v>200.94</v>
      </c>
      <c r="F1069" vm="5706">
        <f ca="1"/>
        <v>13461204</v>
      </c>
    </row>
    <row r="1070" spans="1:6" x14ac:dyDescent="0.2">
      <c r="A1070" s="1" vm="5707">
        <f ca="1"/>
        <v>45993</v>
      </c>
      <c r="B1070" s="2" vm="5708">
        <f ca="1"/>
        <v>205.14</v>
      </c>
      <c r="C1070" s="2" vm="5709">
        <f ca="1"/>
        <v>209.7</v>
      </c>
      <c r="D1070" s="2" vm="5710">
        <f ca="1"/>
        <v>200</v>
      </c>
      <c r="E1070" s="2" vm="5711">
        <f ca="1"/>
        <v>201.1</v>
      </c>
      <c r="F1070" vm="5712">
        <f ca="1"/>
        <v>19664471</v>
      </c>
    </row>
    <row r="1071" spans="1:6" x14ac:dyDescent="0.2">
      <c r="A1071" s="1" vm="5713">
        <f ca="1"/>
        <v>45994</v>
      </c>
      <c r="B1071" s="2" vm="5714">
        <f ca="1"/>
        <v>200.33</v>
      </c>
      <c r="C1071" s="2" vm="5715">
        <f ca="1"/>
        <v>207.92</v>
      </c>
      <c r="D1071" s="2" vm="5716">
        <f ca="1"/>
        <v>199.4</v>
      </c>
      <c r="E1071" s="2" vm="5717">
        <f ca="1"/>
        <v>207.73</v>
      </c>
      <c r="F1071" vm="5718">
        <f ca="1"/>
        <v>19060528</v>
      </c>
    </row>
    <row r="1072" spans="1:6" x14ac:dyDescent="0.2">
      <c r="A1072" s="1" vm="5719">
        <f ca="1"/>
        <v>45995</v>
      </c>
      <c r="B1072" s="2" vm="5720">
        <f ca="1"/>
        <v>207.86</v>
      </c>
      <c r="C1072" s="2" vm="5721">
        <f ca="1"/>
        <v>215.41</v>
      </c>
      <c r="D1072" s="2" vm="5722">
        <f ca="1"/>
        <v>206.315</v>
      </c>
      <c r="E1072" s="2" vm="5723">
        <f ca="1"/>
        <v>214.33</v>
      </c>
      <c r="F1072" vm="5724">
        <f ca="1"/>
        <v>23316937</v>
      </c>
    </row>
    <row r="1073" spans="1:6" x14ac:dyDescent="0.2">
      <c r="A1073" s="1" vm="5725">
        <f ca="1"/>
        <v>45996</v>
      </c>
      <c r="B1073" s="2" vm="5726">
        <f ca="1"/>
        <v>219</v>
      </c>
      <c r="C1073" s="2" vm="5727">
        <f ca="1"/>
        <v>219.5</v>
      </c>
      <c r="D1073" s="2" vm="5728">
        <f ca="1"/>
        <v>213.62</v>
      </c>
      <c r="E1073" s="2" vm="5729">
        <f ca="1"/>
        <v>217.58</v>
      </c>
      <c r="F1073" vm="5730">
        <f ca="1"/>
        <v>24208687</v>
      </c>
    </row>
    <row r="1074" spans="1:6" x14ac:dyDescent="0.2">
      <c r="A1074" s="1" vm="5731">
        <f ca="1"/>
        <v>45999</v>
      </c>
      <c r="B1074" s="2" vm="5732">
        <f ca="1"/>
        <v>221.345</v>
      </c>
      <c r="C1074" s="2" vm="5733">
        <f ca="1"/>
        <v>224.75</v>
      </c>
      <c r="D1074" s="2" vm="5734">
        <f ca="1"/>
        <v>216.91</v>
      </c>
      <c r="E1074" s="2" vm="5735">
        <f ca="1"/>
        <v>220.54</v>
      </c>
      <c r="F1074" vm="5736">
        <f ca="1"/>
        <v>24711161</v>
      </c>
    </row>
    <row r="1075" spans="1:6" x14ac:dyDescent="0.2">
      <c r="A1075" s="1" vm="5737">
        <f ca="1"/>
        <v>46000</v>
      </c>
      <c r="B1075" s="2" vm="5738">
        <f ca="1"/>
        <v>220.03</v>
      </c>
      <c r="C1075" s="2" vm="5739">
        <f ca="1"/>
        <v>222.62</v>
      </c>
      <c r="D1075" s="2" vm="5740">
        <f ca="1"/>
        <v>218.28</v>
      </c>
      <c r="E1075" s="2" vm="5741">
        <f ca="1"/>
        <v>221.53</v>
      </c>
      <c r="F1075" vm="5742">
        <f ca="1"/>
        <v>17643643</v>
      </c>
    </row>
    <row r="1076" spans="1:6" x14ac:dyDescent="0.2">
      <c r="A1076" s="1" vm="5743">
        <f ca="1"/>
        <v>46001</v>
      </c>
      <c r="B1076" s="2" vm="5744">
        <f ca="1"/>
        <v>221.8</v>
      </c>
      <c r="C1076" s="2" vm="5745">
        <f ca="1"/>
        <v>225.32</v>
      </c>
      <c r="D1076" s="2" vm="5729">
        <f ca="1"/>
        <v>217.58</v>
      </c>
      <c r="E1076" s="2" vm="5746">
        <f ca="1"/>
        <v>223.01</v>
      </c>
      <c r="F1076" vm="5747">
        <f ca="1"/>
        <v>47927993</v>
      </c>
    </row>
    <row r="1077" spans="1:6" x14ac:dyDescent="0.2">
      <c r="A1077" s="1" vm="5748">
        <f ca="1"/>
        <v>46002</v>
      </c>
      <c r="B1077" s="2" vm="5749">
        <f ca="1"/>
        <v>190.62</v>
      </c>
      <c r="C1077" s="2" vm="5750">
        <f ca="1"/>
        <v>201.99</v>
      </c>
      <c r="D1077" s="2" vm="5751">
        <f ca="1"/>
        <v>186.23</v>
      </c>
      <c r="E1077" s="2" vm="5752">
        <f ca="1"/>
        <v>198.85</v>
      </c>
      <c r="F1077" vm="5753">
        <f ca="1"/>
        <v>100612691</v>
      </c>
    </row>
    <row r="1078" spans="1:6" x14ac:dyDescent="0.2">
      <c r="A1078" s="1" vm="5754">
        <f ca="1"/>
        <v>46003</v>
      </c>
      <c r="B1078" s="2" vm="5755">
        <f ca="1"/>
        <v>196.37</v>
      </c>
      <c r="C1078" s="2" vm="5756">
        <f ca="1"/>
        <v>197.85</v>
      </c>
      <c r="D1078" s="2" vm="5757">
        <f ca="1"/>
        <v>185.98</v>
      </c>
      <c r="E1078" s="2" vm="5758">
        <f ca="1"/>
        <v>189.97</v>
      </c>
      <c r="F1078" vm="5759">
        <f ca="1"/>
        <v>55201644</v>
      </c>
    </row>
    <row r="1079" spans="1:6" x14ac:dyDescent="0.2">
      <c r="A1079" s="1" vm="5760">
        <f ca="1"/>
        <v>46006</v>
      </c>
      <c r="B1079" s="2" vm="5761">
        <f ca="1"/>
        <v>188.29</v>
      </c>
      <c r="C1079" s="2" vm="5762">
        <f ca="1"/>
        <v>188.96969999999999</v>
      </c>
      <c r="D1079" s="2" vm="5763">
        <f ca="1"/>
        <v>181.4</v>
      </c>
      <c r="E1079" s="2" vm="5764">
        <f ca="1"/>
        <v>184.92</v>
      </c>
      <c r="F1079" vm="5765">
        <f ca="1"/>
        <v>43897509</v>
      </c>
    </row>
    <row r="1080" spans="1:6" x14ac:dyDescent="0.2">
      <c r="A1080" s="1" vm="5766">
        <f ca="1"/>
        <v>46007</v>
      </c>
      <c r="B1080" s="2" vm="5767">
        <f ca="1"/>
        <v>184.7</v>
      </c>
      <c r="C1080" s="2" vm="5768">
        <f ca="1"/>
        <v>189.8</v>
      </c>
      <c r="D1080" s="2" vm="5769">
        <f ca="1"/>
        <v>184.49</v>
      </c>
      <c r="E1080" s="2" vm="5770">
        <f ca="1"/>
        <v>188.65</v>
      </c>
      <c r="F1080" vm="5771">
        <f ca="1"/>
        <v>32433525</v>
      </c>
    </row>
    <row r="1081" spans="1:6" x14ac:dyDescent="0.2">
      <c r="A1081" s="1" vm="5772">
        <f ca="1"/>
        <v>46008</v>
      </c>
      <c r="B1081" s="2" vm="5773">
        <f ca="1"/>
        <v>183.31</v>
      </c>
      <c r="C1081" s="2" vm="5774">
        <f ca="1"/>
        <v>186.5</v>
      </c>
      <c r="D1081" s="2" vm="5775">
        <f ca="1"/>
        <v>177.07</v>
      </c>
      <c r="E1081" s="2" vm="5776">
        <f ca="1"/>
        <v>178.46</v>
      </c>
      <c r="F1081" vm="5777">
        <f ca="1"/>
        <v>50222018</v>
      </c>
    </row>
    <row r="1082" spans="1:6" x14ac:dyDescent="0.2">
      <c r="A1082" s="1" vm="5778">
        <f ca="1"/>
        <v>46009</v>
      </c>
      <c r="B1082" s="2" vm="5779">
        <f ca="1"/>
        <v>182.72</v>
      </c>
      <c r="C1082" s="2" vm="5780">
        <f ca="1"/>
        <v>184.76</v>
      </c>
      <c r="D1082" s="2" vm="4342">
        <f ca="1"/>
        <v>178.58</v>
      </c>
      <c r="E1082" s="2" vm="5781">
        <f ca="1"/>
        <v>180.03</v>
      </c>
      <c r="F1082" vm="5782">
        <f ca="1"/>
        <v>36297285</v>
      </c>
    </row>
    <row r="1083" spans="1:6" x14ac:dyDescent="0.2">
      <c r="A1083" s="1" vm="5783">
        <f ca="1"/>
        <v>46010</v>
      </c>
      <c r="B1083" s="2" vm="5784">
        <f ca="1"/>
        <v>188.38499999999999</v>
      </c>
      <c r="C1083" s="2" vm="5785">
        <f ca="1"/>
        <v>195.12</v>
      </c>
      <c r="D1083" s="2" vm="5786">
        <f ca="1"/>
        <v>188.12</v>
      </c>
      <c r="E1083" s="2" vm="5787">
        <f ca="1"/>
        <v>191.97</v>
      </c>
      <c r="F1083" vm="5788">
        <f ca="1"/>
        <v>77008550</v>
      </c>
    </row>
    <row r="1084" spans="1:6" x14ac:dyDescent="0.2">
      <c r="A1084" s="1" vm="5789">
        <f ca="1"/>
        <v>46013</v>
      </c>
      <c r="B1084" s="2" vm="5790">
        <f ca="1"/>
        <v>196.82</v>
      </c>
      <c r="C1084" s="2" vm="5791">
        <f ca="1"/>
        <v>198.8</v>
      </c>
      <c r="D1084" s="2" vm="5792">
        <f ca="1"/>
        <v>192.83</v>
      </c>
      <c r="E1084" s="2" vm="5793">
        <f ca="1"/>
        <v>198.38</v>
      </c>
      <c r="F1084" vm="5794">
        <f ca="1"/>
        <v>27148017</v>
      </c>
    </row>
    <row r="1085" spans="1:6" x14ac:dyDescent="0.2">
      <c r="A1085" s="1" vm="5795">
        <f ca="1"/>
        <v>46014</v>
      </c>
      <c r="B1085" s="2" vm="5796">
        <f ca="1"/>
        <v>196.43</v>
      </c>
      <c r="C1085" s="2" vm="5797">
        <f ca="1"/>
        <v>197.2</v>
      </c>
      <c r="D1085" s="2" vm="5798">
        <f ca="1"/>
        <v>192.19</v>
      </c>
      <c r="E1085" s="2" vm="5799">
        <f ca="1"/>
        <v>195.34</v>
      </c>
      <c r="F1085" vm="5800">
        <f ca="1"/>
        <v>18301588</v>
      </c>
    </row>
    <row r="1086" spans="1:6" x14ac:dyDescent="0.2">
      <c r="A1086" s="1" vm="5801">
        <f ca="1"/>
        <v>46015</v>
      </c>
      <c r="B1086" s="2" vm="5802">
        <f ca="1"/>
        <v>195</v>
      </c>
      <c r="C1086" s="2" vm="5803">
        <f ca="1"/>
        <v>198.28</v>
      </c>
      <c r="D1086" s="2" vm="5804">
        <f ca="1"/>
        <v>194.42</v>
      </c>
      <c r="E1086" s="2" vm="5805">
        <f ca="1"/>
        <v>197.49</v>
      </c>
      <c r="F1086" vm="5806">
        <f ca="1"/>
        <v>9282733</v>
      </c>
    </row>
    <row r="1087" spans="1:6" x14ac:dyDescent="0.2">
      <c r="A1087" s="1" vm="5807">
        <f ca="1"/>
        <v>46017</v>
      </c>
      <c r="B1087" s="2" vm="5808">
        <f ca="1"/>
        <v>198.06</v>
      </c>
      <c r="C1087" s="2" vm="5809">
        <f ca="1"/>
        <v>200.3699</v>
      </c>
      <c r="D1087" s="2" vm="5810">
        <f ca="1"/>
        <v>196.11</v>
      </c>
      <c r="E1087" s="2" vm="5811">
        <f ca="1"/>
        <v>197.99</v>
      </c>
      <c r="F1087" vm="5812">
        <f ca="1"/>
        <v>11262030</v>
      </c>
    </row>
    <row r="1088" spans="1:6" x14ac:dyDescent="0.2">
      <c r="A1088" s="1" vm="5813">
        <f ca="1"/>
        <v>46020</v>
      </c>
      <c r="B1088" s="2" vm="5814">
        <f ca="1"/>
        <v>194.16</v>
      </c>
      <c r="C1088" s="2" vm="5815">
        <f ca="1"/>
        <v>198.51</v>
      </c>
      <c r="D1088" s="2" vm="5816">
        <f ca="1"/>
        <v>192.64</v>
      </c>
      <c r="E1088" s="2" vm="5817">
        <f ca="1"/>
        <v>195.38</v>
      </c>
      <c r="F1088" vm="5818">
        <f ca="1"/>
        <v>14748125</v>
      </c>
    </row>
    <row r="1089" spans="1:6" x14ac:dyDescent="0.2">
      <c r="A1089" s="1" vm="5819">
        <f ca="1"/>
        <v>46021</v>
      </c>
      <c r="B1089" s="2" vm="5820">
        <f ca="1"/>
        <v>196.06</v>
      </c>
      <c r="C1089" s="2" vm="5793">
        <f ca="1"/>
        <v>198.38</v>
      </c>
      <c r="D1089" s="2" vm="5821">
        <f ca="1"/>
        <v>195.71</v>
      </c>
      <c r="E1089" s="2" vm="5822">
        <f ca="1"/>
        <v>197.21</v>
      </c>
      <c r="F1089" vm="5823">
        <f ca="1"/>
        <v>14197359</v>
      </c>
    </row>
    <row r="1090" spans="1:6" x14ac:dyDescent="0.2">
      <c r="A1090" s="1" vm="5824">
        <f ca="1"/>
        <v>46022</v>
      </c>
      <c r="B1090" s="2" vm="5825">
        <f ca="1"/>
        <v>196.42</v>
      </c>
      <c r="C1090" s="2" vm="5797">
        <f ca="1"/>
        <v>197.2</v>
      </c>
      <c r="D1090" s="2" vm="5826">
        <f ca="1"/>
        <v>194.73</v>
      </c>
      <c r="E1090" s="2" vm="5827">
        <f ca="1"/>
        <v>194.91</v>
      </c>
      <c r="F1090" vm="5828">
        <f ca="1"/>
        <v>10341453</v>
      </c>
    </row>
    <row r="1091" spans="1:6" x14ac:dyDescent="0.2">
      <c r="A1091" s="1" vm="5829">
        <f ca="1"/>
        <v>46024</v>
      </c>
      <c r="B1091" s="2" vm="5830">
        <f ca="1"/>
        <v>197.47</v>
      </c>
      <c r="C1091" s="2" vm="5831">
        <f ca="1"/>
        <v>198.59</v>
      </c>
      <c r="D1091" s="2" vm="5832">
        <f ca="1"/>
        <v>194.21</v>
      </c>
      <c r="E1091" s="2" vm="5821">
        <f ca="1"/>
        <v>195.71</v>
      </c>
      <c r="F1091" vm="5833">
        <f ca="1"/>
        <v>14540657</v>
      </c>
    </row>
    <row r="1092" spans="1:6" x14ac:dyDescent="0.2">
      <c r="A1092" s="1" vm="5834">
        <f ca="1"/>
        <v>46027</v>
      </c>
      <c r="B1092" s="2" vm="5835">
        <f ca="1"/>
        <v>198.34</v>
      </c>
      <c r="C1092" s="2" vm="5836">
        <f ca="1"/>
        <v>201.69</v>
      </c>
      <c r="D1092" s="2" vm="5837">
        <f ca="1"/>
        <v>192.33</v>
      </c>
      <c r="E1092" s="2" vm="5838">
        <f ca="1"/>
        <v>192.59</v>
      </c>
      <c r="F1092" vm="5839">
        <f ca="1"/>
        <v>22635516</v>
      </c>
    </row>
    <row r="1093" spans="1:6" x14ac:dyDescent="0.2">
      <c r="A1093" s="1" vm="5840">
        <f ca="1"/>
        <v>46028</v>
      </c>
      <c r="B1093" s="2" vm="5841">
        <f ca="1"/>
        <v>192.56</v>
      </c>
      <c r="C1093" s="2" vm="5842">
        <f ca="1"/>
        <v>194.875</v>
      </c>
      <c r="D1093" s="2" vm="5843">
        <f ca="1"/>
        <v>190.7</v>
      </c>
      <c r="E1093" s="2" vm="5844">
        <f ca="1"/>
        <v>193.75</v>
      </c>
      <c r="F1093" vm="5845">
        <f ca="1"/>
        <v>16474464</v>
      </c>
    </row>
    <row r="1094" spans="1:6" x14ac:dyDescent="0.2">
      <c r="A1094" s="1" vm="5846">
        <f ca="1"/>
        <v>46029</v>
      </c>
      <c r="B1094" s="2" vm="5847">
        <f ca="1"/>
        <v>195.3</v>
      </c>
      <c r="C1094" s="2" vm="5848">
        <f ca="1"/>
        <v>195.67</v>
      </c>
      <c r="D1094" s="2" vm="5849">
        <f ca="1"/>
        <v>192</v>
      </c>
      <c r="E1094" s="2" vm="5850">
        <f ca="1"/>
        <v>192.84</v>
      </c>
      <c r="F1094" vm="5851">
        <f ca="1"/>
        <v>11171198</v>
      </c>
    </row>
    <row r="1095" spans="1:6" x14ac:dyDescent="0.2">
      <c r="A1095" s="1" vm="5852">
        <f ca="1"/>
        <v>46030</v>
      </c>
      <c r="B1095" s="2" vm="5853">
        <f ca="1"/>
        <v>190.88</v>
      </c>
      <c r="C1095" s="2" vm="5854">
        <f ca="1"/>
        <v>190.95</v>
      </c>
      <c r="D1095" s="2" vm="5855">
        <f ca="1"/>
        <v>186.15</v>
      </c>
      <c r="E1095" s="2" vm="5856">
        <f ca="1"/>
        <v>189.65</v>
      </c>
      <c r="F1095" vm="5857">
        <f ca="1"/>
        <v>19468504</v>
      </c>
    </row>
    <row r="1096" spans="1:6" x14ac:dyDescent="0.2">
      <c r="A1096" s="1" vm="5858">
        <f ca="1"/>
        <v>46031</v>
      </c>
      <c r="B1096" s="2" vm="5859">
        <f ca="1"/>
        <v>191.655</v>
      </c>
      <c r="C1096" s="2" vm="5860">
        <f ca="1"/>
        <v>200.18</v>
      </c>
      <c r="D1096" s="2" vm="5861">
        <f ca="1"/>
        <v>188.78</v>
      </c>
      <c r="E1096" s="2" vm="5862">
        <f ca="1"/>
        <v>198.52</v>
      </c>
      <c r="F1096" vm="5863">
        <f ca="1"/>
        <v>26152742</v>
      </c>
    </row>
    <row r="1097" spans="1:6" x14ac:dyDescent="0.2">
      <c r="A1097" s="1" vm="5864">
        <f ca="1"/>
        <v>46034</v>
      </c>
      <c r="B1097" s="2" vm="5865">
        <f ca="1"/>
        <v>197.6</v>
      </c>
      <c r="C1097" s="2" vm="5866">
        <f ca="1"/>
        <v>206.6</v>
      </c>
      <c r="D1097" s="2" vm="5867">
        <f ca="1"/>
        <v>197.01079999999999</v>
      </c>
      <c r="E1097" s="2" vm="5868">
        <f ca="1"/>
        <v>204.68</v>
      </c>
      <c r="F1097" vm="5869">
        <f ca="1"/>
        <v>25428545</v>
      </c>
    </row>
    <row r="1098" spans="1:6" x14ac:dyDescent="0.2">
      <c r="A1098" s="1" vm="5870">
        <f ca="1"/>
        <v>46035</v>
      </c>
      <c r="B1098" s="2" vm="5871">
        <f ca="1"/>
        <v>205</v>
      </c>
      <c r="C1098" s="2" vm="5872">
        <f ca="1"/>
        <v>207.8</v>
      </c>
      <c r="D1098" s="2" vm="5873">
        <f ca="1"/>
        <v>200.655</v>
      </c>
      <c r="E1098" s="2" vm="5874">
        <f ca="1"/>
        <v>202.29</v>
      </c>
      <c r="F1098" vm="5875">
        <f ca="1"/>
        <v>15857426</v>
      </c>
    </row>
    <row r="1099" spans="1:6" x14ac:dyDescent="0.2">
      <c r="A1099" s="1" vm="5876">
        <f ca="1"/>
        <v>46036</v>
      </c>
      <c r="B1099" s="2" vm="5877">
        <f ca="1"/>
        <v>201.68</v>
      </c>
      <c r="C1099" s="2" vm="5877">
        <f ca="1"/>
        <v>201.68</v>
      </c>
      <c r="D1099" s="2" vm="5878">
        <f ca="1"/>
        <v>190.81</v>
      </c>
      <c r="E1099" s="2" vm="5879">
        <f ca="1"/>
        <v>193.61</v>
      </c>
      <c r="F1099" vm="5880">
        <f ca="1"/>
        <v>22473159</v>
      </c>
    </row>
    <row r="1100" spans="1:6" x14ac:dyDescent="0.2">
      <c r="A1100" s="1" vm="5881">
        <f ca="1"/>
        <v>46037</v>
      </c>
      <c r="B1100" s="2" vm="5882">
        <f ca="1"/>
        <v>195.01</v>
      </c>
      <c r="C1100" s="2" vm="5882">
        <f ca="1"/>
        <v>195.01</v>
      </c>
      <c r="D1100" s="2" vm="5883">
        <f ca="1"/>
        <v>189.39</v>
      </c>
      <c r="E1100" s="2" vm="5884">
        <f ca="1"/>
        <v>189.85</v>
      </c>
      <c r="F1100" vm="5885">
        <f ca="1"/>
        <v>16418626</v>
      </c>
    </row>
    <row r="1101" spans="1:6" x14ac:dyDescent="0.2">
      <c r="A1101" s="1" vm="5886">
        <f ca="1"/>
        <v>46038</v>
      </c>
      <c r="B1101" s="2" vm="5887">
        <f ca="1"/>
        <v>189.91</v>
      </c>
      <c r="C1101" s="2" vm="5888">
        <f ca="1"/>
        <v>191.87</v>
      </c>
      <c r="D1101" s="2" vm="5889">
        <f ca="1"/>
        <v>186.53</v>
      </c>
      <c r="E1101" s="2" vm="5890">
        <f ca="1"/>
        <v>191.09</v>
      </c>
      <c r="F1101" vm="5891">
        <f ca="1"/>
        <v>19224705</v>
      </c>
    </row>
    <row r="1102" spans="1:6" x14ac:dyDescent="0.2">
      <c r="A1102" s="1" vm="5892">
        <f ca="1"/>
        <v>46042</v>
      </c>
      <c r="B1102" s="2" vm="5893">
        <f ca="1"/>
        <v>187.19</v>
      </c>
      <c r="C1102" s="2" vm="5893">
        <f ca="1"/>
        <v>187.19</v>
      </c>
      <c r="D1102" s="2" vm="5894">
        <f ca="1"/>
        <v>179.36</v>
      </c>
      <c r="E1102" s="2" vm="5895">
        <f ca="1"/>
        <v>179.92</v>
      </c>
      <c r="F1102" vm="5896">
        <f ca="1"/>
        <v>29129492</v>
      </c>
    </row>
    <row r="1103" spans="1:6" x14ac:dyDescent="0.2">
      <c r="A1103" s="1" vm="5897">
        <f ca="1"/>
        <v>46043</v>
      </c>
      <c r="B1103" s="2" vm="5898">
        <f ca="1"/>
        <v>179.68</v>
      </c>
      <c r="C1103" s="2" vm="5899">
        <f ca="1"/>
        <v>180.6</v>
      </c>
      <c r="D1103" s="2" vm="4079">
        <f ca="1"/>
        <v>170.6</v>
      </c>
      <c r="E1103" s="2" vm="5900">
        <f ca="1"/>
        <v>173.88</v>
      </c>
      <c r="F1103" vm="5901">
        <f ca="1"/>
        <v>38189995</v>
      </c>
    </row>
    <row r="1104" spans="1:6" x14ac:dyDescent="0.2">
      <c r="A1104" s="1" vm="5902">
        <f ca="1"/>
        <v>46044</v>
      </c>
      <c r="B1104" s="2" vm="5903">
        <f ca="1"/>
        <v>179.37</v>
      </c>
      <c r="C1104" s="2" vm="5904">
        <f ca="1"/>
        <v>180.16</v>
      </c>
      <c r="D1104" s="2" vm="5905">
        <f ca="1"/>
        <v>176.5</v>
      </c>
      <c r="E1104" s="2" vm="5906">
        <f ca="1"/>
        <v>178.18</v>
      </c>
      <c r="F1104" vm="5907">
        <f ca="1"/>
        <v>21141907</v>
      </c>
    </row>
    <row r="1105" spans="1:6" x14ac:dyDescent="0.2">
      <c r="A1105" s="1" vm="5908">
        <f ca="1"/>
        <v>46045</v>
      </c>
      <c r="B1105" s="2" vm="5909">
        <f ca="1"/>
        <v>172.62</v>
      </c>
      <c r="C1105" s="2" vm="5910">
        <f ca="1"/>
        <v>179.65</v>
      </c>
      <c r="D1105" s="2" vm="5911">
        <f ca="1"/>
        <v>172</v>
      </c>
      <c r="E1105" s="2" vm="5912">
        <f ca="1"/>
        <v>177.16</v>
      </c>
      <c r="F1105" vm="5913">
        <f ca="1"/>
        <v>23011338</v>
      </c>
    </row>
    <row r="1106" spans="1:6" x14ac:dyDescent="0.2">
      <c r="A1106" s="1" vm="5914">
        <f ca="1"/>
        <v>46048</v>
      </c>
      <c r="B1106" s="2" vm="5915">
        <f ca="1"/>
        <v>179.1</v>
      </c>
      <c r="C1106" s="2" vm="5916">
        <f ca="1"/>
        <v>185.31</v>
      </c>
      <c r="D1106" s="2" vm="5917">
        <f ca="1"/>
        <v>178.53</v>
      </c>
      <c r="E1106" s="2" vm="5918">
        <f ca="1"/>
        <v>182.44</v>
      </c>
      <c r="F1106" vm="5919">
        <f ca="1"/>
        <v>21100378</v>
      </c>
    </row>
    <row r="1107" spans="1:6" x14ac:dyDescent="0.2">
      <c r="A1107" s="1" vm="5920">
        <f ca="1"/>
        <v>46049</v>
      </c>
      <c r="B1107" s="2" vm="5921">
        <f ca="1"/>
        <v>179.19</v>
      </c>
      <c r="C1107" s="2" vm="5922">
        <f ca="1"/>
        <v>179.72</v>
      </c>
      <c r="D1107" s="2" vm="5923">
        <f ca="1"/>
        <v>173.68</v>
      </c>
      <c r="E1107" s="2" vm="5924">
        <f ca="1"/>
        <v>174.9</v>
      </c>
      <c r="F1107" vm="5925">
        <f ca="1"/>
        <v>27093664</v>
      </c>
    </row>
    <row r="1108" spans="1:6" x14ac:dyDescent="0.2">
      <c r="A1108" s="1" vm="5926">
        <f ca="1"/>
        <v>46050</v>
      </c>
      <c r="B1108" s="2" vm="5927">
        <f ca="1"/>
        <v>174.91499999999999</v>
      </c>
      <c r="C1108" s="2" vm="4587">
        <f ca="1"/>
        <v>181.68</v>
      </c>
      <c r="D1108" s="2" vm="5928">
        <f ca="1"/>
        <v>171.86</v>
      </c>
      <c r="E1108" s="2" vm="5929">
        <f ca="1"/>
        <v>172.8</v>
      </c>
      <c r="F1108" vm="5930">
        <f ca="1"/>
        <v>35882668</v>
      </c>
    </row>
    <row r="1109" spans="1:6" x14ac:dyDescent="0.2">
      <c r="A1109" s="1" vm="5931">
        <f ca="1"/>
        <v>46051</v>
      </c>
      <c r="B1109" s="2" vm="4183">
        <f ca="1"/>
        <v>170.15</v>
      </c>
      <c r="C1109" s="2" vm="5932">
        <f ca="1"/>
        <v>170.23</v>
      </c>
      <c r="D1109" s="2" vm="5933">
        <f ca="1"/>
        <v>161.52000000000001</v>
      </c>
      <c r="E1109" s="2" vm="5934">
        <f ca="1"/>
        <v>169.01</v>
      </c>
      <c r="F1109" vm="5935">
        <f ca="1"/>
        <v>37254511</v>
      </c>
    </row>
    <row r="1110" spans="1:6" x14ac:dyDescent="0.2">
      <c r="A1110" s="1" vm="5936">
        <f ca="1"/>
        <v>46052</v>
      </c>
      <c r="B1110" s="2" vm="5937">
        <f ca="1"/>
        <v>168.17</v>
      </c>
      <c r="C1110" s="2" vm="4502">
        <f ca="1"/>
        <v>168.9</v>
      </c>
      <c r="D1110" s="2" vm="5938">
        <f ca="1"/>
        <v>163.24</v>
      </c>
      <c r="E1110" s="2" vm="4618">
        <f ca="1"/>
        <v>164.58</v>
      </c>
      <c r="F1110" vm="5939">
        <f ca="1"/>
        <v>27362378</v>
      </c>
    </row>
    <row r="1111" spans="1:6" x14ac:dyDescent="0.2">
      <c r="A1111" s="1" vm="5940">
        <f ca="1"/>
        <v>46055</v>
      </c>
      <c r="B1111" s="2" vm="5941">
        <f ca="1"/>
        <v>170.92</v>
      </c>
      <c r="C1111" s="2" vm="5942">
        <f ca="1"/>
        <v>171.2</v>
      </c>
      <c r="D1111" s="2" vm="4913">
        <f ca="1"/>
        <v>160</v>
      </c>
      <c r="E1111" s="2" vm="5943">
        <f ca="1"/>
        <v>160.06</v>
      </c>
      <c r="F1111" vm="5944">
        <f ca="1"/>
        <v>47421032</v>
      </c>
    </row>
    <row r="1112" spans="1:6" x14ac:dyDescent="0.2">
      <c r="A1112" s="1" vm="5945">
        <f ca="1"/>
        <v>46056</v>
      </c>
      <c r="B1112" s="2" vm="5946">
        <f ca="1"/>
        <v>158.26</v>
      </c>
      <c r="C1112" s="2" vm="5947">
        <f ca="1"/>
        <v>159.38</v>
      </c>
      <c r="D1112" s="2" vm="5948">
        <f ca="1"/>
        <v>151.9</v>
      </c>
      <c r="E1112" s="2" vm="5949">
        <f ca="1"/>
        <v>154.66999999999999</v>
      </c>
      <c r="F1112" vm="5950">
        <f ca="1"/>
        <v>43260101</v>
      </c>
    </row>
    <row r="1113" spans="1:6" x14ac:dyDescent="0.2">
      <c r="A1113" s="1" vm="5951">
        <f ca="1"/>
        <v>46057</v>
      </c>
      <c r="B1113" s="2" vm="5952">
        <f ca="1"/>
        <v>153.88999999999999</v>
      </c>
      <c r="C1113" s="2" vm="5953">
        <f ca="1"/>
        <v>153.94</v>
      </c>
      <c r="D1113" s="2" vm="5954">
        <f ca="1"/>
        <v>144.43199999999999</v>
      </c>
      <c r="E1113" s="2" vm="5955">
        <f ca="1"/>
        <v>146.66999999999999</v>
      </c>
      <c r="F1113" vm="5956">
        <f ca="1"/>
        <v>42323390</v>
      </c>
    </row>
    <row r="1114" spans="1:6" x14ac:dyDescent="0.2">
      <c r="A1114" s="1" vm="5957">
        <f ca="1"/>
        <v>46058</v>
      </c>
      <c r="B1114" s="2" vm="5958">
        <f ca="1"/>
        <v>145.6</v>
      </c>
      <c r="C1114" s="2" vm="5959">
        <f ca="1"/>
        <v>146.55000000000001</v>
      </c>
      <c r="D1114" s="2" vm="5960">
        <f ca="1"/>
        <v>135.25</v>
      </c>
      <c r="E1114" s="2" vm="5961">
        <f ca="1"/>
        <v>136.47999999999999</v>
      </c>
      <c r="F1114" vm="5962">
        <f ca="1"/>
        <v>42788953</v>
      </c>
    </row>
    <row r="1115" spans="1:6" x14ac:dyDescent="0.2">
      <c r="A1115" s="1" vm="5963">
        <f ca="1"/>
        <v>46059</v>
      </c>
      <c r="B1115" s="2" vm="5964">
        <f ca="1"/>
        <v>139.75</v>
      </c>
      <c r="C1115" s="2" vm="5965">
        <f ca="1"/>
        <v>143.19999999999999</v>
      </c>
      <c r="D1115" s="2" vm="5966">
        <f ca="1"/>
        <v>138.91</v>
      </c>
      <c r="E1115" s="2" vm="3689">
        <f ca="1"/>
        <v>142.82</v>
      </c>
      <c r="F1115" vm="5967">
        <f ca="1"/>
        <v>29962414</v>
      </c>
    </row>
    <row r="1116" spans="1:6" x14ac:dyDescent="0.2">
      <c r="A1116" s="1" vm="5968">
        <f ca="1"/>
        <v>46062</v>
      </c>
      <c r="B1116" s="2" vm="5969">
        <f ca="1"/>
        <v>148.49</v>
      </c>
      <c r="C1116" s="2" vm="5970">
        <f ca="1"/>
        <v>159.75</v>
      </c>
      <c r="D1116" s="2" vm="5971">
        <f ca="1"/>
        <v>147</v>
      </c>
      <c r="E1116" s="2" vm="5972">
        <f ca="1"/>
        <v>156.59</v>
      </c>
      <c r="F1116" vm="5973">
        <f ca="1"/>
        <v>49936490</v>
      </c>
    </row>
    <row r="1117" spans="1:6" x14ac:dyDescent="0.2">
      <c r="A1117" s="1" vm="5974">
        <f ca="1"/>
        <v>46063</v>
      </c>
      <c r="B1117" s="2" vm="4913">
        <f ca="1"/>
        <v>160</v>
      </c>
      <c r="C1117" s="2" vm="5975">
        <f ca="1"/>
        <v>165.39</v>
      </c>
      <c r="D1117" s="2" vm="5976">
        <f ca="1"/>
        <v>156.96</v>
      </c>
      <c r="E1117" s="2" vm="5977">
        <f ca="1"/>
        <v>159.88999999999999</v>
      </c>
      <c r="F1117" vm="5978">
        <f ca="1"/>
        <v>40092248</v>
      </c>
    </row>
    <row r="1118" spans="1:6" x14ac:dyDescent="0.2">
      <c r="A1118" s="1" vm="5979">
        <f ca="1"/>
        <v>46064</v>
      </c>
      <c r="B1118" s="2" vm="5980">
        <f ca="1"/>
        <v>163.66</v>
      </c>
      <c r="C1118" s="2" vm="5980">
        <f ca="1"/>
        <v>163.66</v>
      </c>
      <c r="D1118" s="2" vm="5981">
        <f ca="1"/>
        <v>154</v>
      </c>
      <c r="E1118" s="2" vm="5982">
        <f ca="1"/>
        <v>157.16</v>
      </c>
      <c r="F1118" vm="5983">
        <f ca="1"/>
        <v>24538854</v>
      </c>
    </row>
    <row r="1119" spans="1:6" x14ac:dyDescent="0.2">
      <c r="A1119" s="1" vm="5984">
        <f ca="1"/>
        <v>46065</v>
      </c>
      <c r="B1119" s="2" vm="5985">
        <f ca="1"/>
        <v>157.93</v>
      </c>
      <c r="C1119" s="2" vm="3973">
        <f ca="1"/>
        <v>159.04</v>
      </c>
      <c r="D1119" s="2" vm="5986">
        <f ca="1"/>
        <v>152.5</v>
      </c>
      <c r="E1119" s="2" vm="4651">
        <f ca="1"/>
        <v>156.47999999999999</v>
      </c>
      <c r="F1119" vm="5987">
        <f ca="1"/>
        <v>23285399</v>
      </c>
    </row>
    <row r="1120" spans="1:6" x14ac:dyDescent="0.2">
      <c r="A1120" s="1" vm="5988">
        <f ca="1"/>
        <v>46066</v>
      </c>
      <c r="B1120" s="2" vm="5989">
        <f ca="1"/>
        <v>159.25</v>
      </c>
      <c r="C1120" s="2" vm="5990">
        <f ca="1"/>
        <v>162.30000000000001</v>
      </c>
      <c r="D1120" s="2" vm="5991">
        <f ca="1"/>
        <v>155.29</v>
      </c>
      <c r="E1120" s="2" vm="5992">
        <f ca="1"/>
        <v>160.13999999999999</v>
      </c>
      <c r="F1120" vm="5993">
        <f ca="1"/>
        <v>18596959</v>
      </c>
    </row>
    <row r="1121" spans="1:6" x14ac:dyDescent="0.2">
      <c r="A1121" s="1" vm="5994">
        <f ca="1"/>
        <v>46070</v>
      </c>
      <c r="B1121" s="2" vm="5995">
        <f ca="1"/>
        <v>157.97999999999999</v>
      </c>
      <c r="C1121" s="2" vm="5996">
        <f ca="1"/>
        <v>159.28</v>
      </c>
      <c r="D1121" s="2" vm="5997">
        <f ca="1"/>
        <v>152.88</v>
      </c>
      <c r="E1121" s="2" vm="5998">
        <f ca="1"/>
        <v>153.97</v>
      </c>
      <c r="F1121" vm="5999">
        <f ca="1"/>
        <v>19610800</v>
      </c>
    </row>
    <row r="1122" spans="1:6" x14ac:dyDescent="0.2">
      <c r="A1122" s="1" vm="6000">
        <f ca="1"/>
        <v>46071</v>
      </c>
      <c r="B1122" s="2" vm="6001">
        <f ca="1"/>
        <v>154.405</v>
      </c>
      <c r="C1122" s="2" vm="6002">
        <f ca="1"/>
        <v>157.30000000000001</v>
      </c>
      <c r="D1122" s="2" vm="6003">
        <f ca="1"/>
        <v>151.37</v>
      </c>
      <c r="E1122" s="2" vm="6004">
        <f ca="1"/>
        <v>156.16999999999999</v>
      </c>
      <c r="F1122" vm="6005">
        <f ca="1"/>
        <v>14801081</v>
      </c>
    </row>
    <row r="1123" spans="1:6" x14ac:dyDescent="0.2">
      <c r="A1123" s="1" vm="6006">
        <f ca="1"/>
        <v>46072</v>
      </c>
      <c r="B1123" s="2" vm="6007">
        <f ca="1"/>
        <v>157.19</v>
      </c>
      <c r="C1123" s="2" vm="6008">
        <f ca="1"/>
        <v>160.08269999999999</v>
      </c>
      <c r="D1123" s="2" vm="6009">
        <f ca="1"/>
        <v>155.77000000000001</v>
      </c>
      <c r="E1123" s="2" vm="6010">
        <f ca="1"/>
        <v>156.54</v>
      </c>
      <c r="F1123" vm="6011">
        <f ca="1"/>
        <v>14976323</v>
      </c>
    </row>
    <row r="1124" spans="1:6" x14ac:dyDescent="0.2">
      <c r="A1124" s="1" vm="6012">
        <f ca="1"/>
        <v>46073</v>
      </c>
      <c r="B1124" s="2" vm="6013">
        <f ca="1"/>
        <v>153.30000000000001</v>
      </c>
      <c r="C1124" s="2" vm="6014">
        <f ca="1"/>
        <v>153.99</v>
      </c>
      <c r="D1124" s="2" vm="6015">
        <f ca="1"/>
        <v>147.38999999999999</v>
      </c>
      <c r="E1124" s="2" vm="6016">
        <f ca="1"/>
        <v>148.08000000000001</v>
      </c>
      <c r="F1124" vm="6017">
        <f ca="1"/>
        <v>29621889</v>
      </c>
    </row>
    <row r="1125" spans="1:6" x14ac:dyDescent="0.2">
      <c r="A1125" s="1" vm="6018">
        <f ca="1"/>
        <v>46076</v>
      </c>
      <c r="B1125" s="2" vm="6019">
        <f ca="1"/>
        <v>145.69</v>
      </c>
      <c r="C1125" s="2" vm="6020">
        <f ca="1"/>
        <v>145.80000000000001</v>
      </c>
      <c r="D1125" s="2" vm="6021">
        <f ca="1"/>
        <v>138.58500000000001</v>
      </c>
      <c r="E1125" s="2" vm="3646">
        <f ca="1"/>
        <v>141.31</v>
      </c>
      <c r="F1125" vm="6022">
        <f ca="1"/>
        <v>31749782</v>
      </c>
    </row>
    <row r="1126" spans="1:6" x14ac:dyDescent="0.2">
      <c r="A1126" s="1" vm="6023">
        <f ca="1"/>
        <v>46077</v>
      </c>
      <c r="B1126" s="2" vm="6024">
        <f ca="1"/>
        <v>140.84</v>
      </c>
      <c r="C1126" s="2" vm="6025">
        <f ca="1"/>
        <v>146.76</v>
      </c>
      <c r="D1126" s="2" vm="3903">
        <f ca="1"/>
        <v>138.72999999999999</v>
      </c>
      <c r="E1126" s="2" vm="6026">
        <f ca="1"/>
        <v>146.13999999999999</v>
      </c>
      <c r="F1126" vm="6027">
        <f ca="1"/>
        <v>21336624</v>
      </c>
    </row>
    <row r="1127" spans="1:6" x14ac:dyDescent="0.2">
      <c r="A1127" s="1" vm="6028">
        <f ca="1"/>
        <v>46078</v>
      </c>
      <c r="B1127" s="2" vm="6029">
        <f ca="1"/>
        <v>149.16</v>
      </c>
      <c r="C1127" s="2" vm="6030">
        <f ca="1"/>
        <v>153.27940000000001</v>
      </c>
      <c r="D1127" s="2" vm="6031">
        <f ca="1"/>
        <v>147.33500000000001</v>
      </c>
      <c r="E1127" s="2" vm="4755">
        <f ca="1"/>
        <v>147.88999999999999</v>
      </c>
      <c r="F1127" vm="6032">
        <f ca="1"/>
        <v>27303928</v>
      </c>
    </row>
    <row r="1128" spans="1:6" x14ac:dyDescent="0.2">
      <c r="A1128" s="1" vm="6033">
        <f ca="1"/>
        <v>46079</v>
      </c>
      <c r="B1128" s="2" vm="4659">
        <f ca="1"/>
        <v>148.79</v>
      </c>
      <c r="C1128" s="2" vm="5986">
        <f ca="1"/>
        <v>152.5</v>
      </c>
      <c r="D1128" s="2" vm="6034">
        <f ca="1"/>
        <v>145.15</v>
      </c>
      <c r="E1128" s="2" vm="6035">
        <f ca="1"/>
        <v>150.31</v>
      </c>
      <c r="F1128" vm="6036">
        <f ca="1"/>
        <v>20652223</v>
      </c>
    </row>
    <row r="1129" spans="1:6" x14ac:dyDescent="0.2">
      <c r="A1129" s="1" vm="6037">
        <f ca="1"/>
        <v>46080</v>
      </c>
      <c r="B1129" s="2" vm="6038">
        <f ca="1"/>
        <v>143.88</v>
      </c>
      <c r="C1129" s="2" vm="6039">
        <f ca="1"/>
        <v>146.08000000000001</v>
      </c>
      <c r="D1129" s="2" vm="6040">
        <f ca="1"/>
        <v>142.1</v>
      </c>
      <c r="E1129" s="2" vm="6041">
        <f ca="1"/>
        <v>145.4</v>
      </c>
      <c r="F1129" vm="6042">
        <f ca="1"/>
        <v>36425195</v>
      </c>
    </row>
    <row r="1130" spans="1:6" x14ac:dyDescent="0.2">
      <c r="A1130" s="1" vm="6043">
        <f ca="1"/>
        <v>46083</v>
      </c>
      <c r="B1130" s="2" vm="6044">
        <f ca="1"/>
        <v>141.62</v>
      </c>
      <c r="C1130" s="2" vm="4674">
        <f ca="1"/>
        <v>150.16999999999999</v>
      </c>
      <c r="D1130" s="2" vm="6045">
        <f ca="1"/>
        <v>141.18</v>
      </c>
      <c r="E1130" s="2" vm="6046">
        <f ca="1"/>
        <v>149.25</v>
      </c>
      <c r="F1130" vm="6047">
        <f ca="1"/>
        <v>22418782</v>
      </c>
    </row>
    <row r="1131" spans="1:6" x14ac:dyDescent="0.2">
      <c r="A1131" s="1" vm="6048">
        <f ca="1"/>
        <v>46084</v>
      </c>
      <c r="B1131" s="2" vm="6049">
        <f ca="1"/>
        <v>144.75</v>
      </c>
      <c r="C1131" s="2" vm="6050">
        <f ca="1"/>
        <v>150.93</v>
      </c>
      <c r="D1131" s="2" vm="6051">
        <f ca="1"/>
        <v>143.05000000000001</v>
      </c>
      <c r="E1131" s="2" vm="6052">
        <f ca="1"/>
        <v>149.01</v>
      </c>
      <c r="F1131" vm="6053">
        <f ca="1"/>
        <v>20120790</v>
      </c>
    </row>
    <row r="1132" spans="1:6" x14ac:dyDescent="0.2">
      <c r="A1132" s="1" vm="6054">
        <f ca="1"/>
        <v>46085</v>
      </c>
      <c r="B1132" s="2" vm="6055">
        <f ca="1"/>
        <v>150.01</v>
      </c>
      <c r="C1132" s="2" vm="6056">
        <f ca="1"/>
        <v>153.61000000000001</v>
      </c>
      <c r="D1132" s="2" vm="6057">
        <f ca="1"/>
        <v>149.1</v>
      </c>
      <c r="E1132" s="2" vm="4690">
        <f ca="1"/>
        <v>152.37</v>
      </c>
      <c r="F1132" vm="6058">
        <f ca="1"/>
        <v>17585394</v>
      </c>
    </row>
    <row r="1133" spans="1:6" x14ac:dyDescent="0.2">
      <c r="A1133" s="1" vm="6059">
        <f ca="1"/>
        <v>46086</v>
      </c>
      <c r="B1133" s="2" vm="6060">
        <f ca="1"/>
        <v>152.59</v>
      </c>
      <c r="C1133" s="2" vm="6061">
        <f ca="1"/>
        <v>157.94</v>
      </c>
      <c r="D1133" s="2" vm="6062">
        <f ca="1"/>
        <v>150.12</v>
      </c>
      <c r="E1133" s="2" vm="6063">
        <f ca="1"/>
        <v>154.79</v>
      </c>
      <c r="F1133" vm="6064">
        <f ca="1"/>
        <v>24094779</v>
      </c>
    </row>
    <row r="1134" spans="1:6" x14ac:dyDescent="0.2">
      <c r="A1134" s="1" vm="6065">
        <f ca="1"/>
        <v>46087</v>
      </c>
      <c r="B1134" s="2" vm="6066">
        <f ca="1"/>
        <v>152.91999999999999</v>
      </c>
      <c r="C1134" s="2" vm="4937">
        <f ca="1"/>
        <v>159.19</v>
      </c>
      <c r="D1134" s="2" vm="6067">
        <f ca="1"/>
        <v>151.62</v>
      </c>
      <c r="E1134" s="2" vm="6068">
        <f ca="1"/>
        <v>152.96</v>
      </c>
      <c r="F1134" vm="6069">
        <f ca="1"/>
        <v>38000592</v>
      </c>
    </row>
    <row r="1135" spans="1:6" x14ac:dyDescent="0.2">
      <c r="A1135" s="1" vm="6070">
        <f ca="1"/>
        <v>46090</v>
      </c>
      <c r="B1135" s="2" vm="6071">
        <f ca="1"/>
        <v>150.69999999999999</v>
      </c>
      <c r="C1135" s="2" vm="6072">
        <f ca="1"/>
        <v>152</v>
      </c>
      <c r="D1135" s="2" vm="6073">
        <f ca="1"/>
        <v>146.4348</v>
      </c>
      <c r="E1135" s="2" vm="6074">
        <f ca="1"/>
        <v>151.56</v>
      </c>
      <c r="F1135" vm="6075">
        <f ca="1"/>
        <v>31173468</v>
      </c>
    </row>
    <row r="1136" spans="1:6" x14ac:dyDescent="0.2">
      <c r="A1136" s="1" vm="6076">
        <f ca="1"/>
        <v>46091</v>
      </c>
      <c r="B1136" s="2" vm="6077">
        <f ca="1"/>
        <v>153.62</v>
      </c>
      <c r="C1136" s="2" vm="6078">
        <f ca="1"/>
        <v>154.13999999999999</v>
      </c>
      <c r="D1136" s="2" vm="6079">
        <f ca="1"/>
        <v>148.44999999999999</v>
      </c>
      <c r="E1136" s="2" vm="6080">
        <f ca="1"/>
        <v>149.4</v>
      </c>
      <c r="F1136" vm="6081">
        <f ca="1"/>
        <v>51544623</v>
      </c>
    </row>
    <row r="1137" spans="1:6" x14ac:dyDescent="0.2">
      <c r="A1137" s="1" vm="6082">
        <f ca="1"/>
        <v>46092</v>
      </c>
      <c r="B1137" s="2" vm="6083">
        <f ca="1"/>
        <v>166.38</v>
      </c>
      <c r="C1137" s="2" vm="6084">
        <f ca="1"/>
        <v>171.76</v>
      </c>
      <c r="D1137" s="2" vm="6085">
        <f ca="1"/>
        <v>160.58000000000001</v>
      </c>
      <c r="E1137" s="2" vm="6086">
        <f ca="1"/>
        <v>163.12</v>
      </c>
      <c r="F1137" vm="6087">
        <f ca="1"/>
        <v>83247484</v>
      </c>
    </row>
    <row r="1138" spans="1:6" x14ac:dyDescent="0.2">
      <c r="A1138" s="1" vm="6088">
        <f ca="1"/>
        <v>46093</v>
      </c>
      <c r="B1138" s="2" vm="4602">
        <f ca="1"/>
        <v>164.66</v>
      </c>
      <c r="C1138" s="2" vm="6089">
        <f ca="1"/>
        <v>167.83</v>
      </c>
      <c r="D1138" s="2" vm="6090">
        <f ca="1"/>
        <v>158.61000000000001</v>
      </c>
      <c r="E1138" s="2" vm="6091">
        <f ca="1"/>
        <v>159.16</v>
      </c>
      <c r="F1138" vm="6092">
        <f ca="1"/>
        <v>37133719</v>
      </c>
    </row>
    <row r="1139" spans="1:6" x14ac:dyDescent="0.2">
      <c r="A1139" s="1" vm="6093">
        <f ca="1"/>
        <v>46094</v>
      </c>
      <c r="B1139" s="2" vm="6094">
        <f ca="1"/>
        <v>159.05000000000001</v>
      </c>
      <c r="C1139" s="2" vm="6095">
        <f ca="1"/>
        <v>160.77000000000001</v>
      </c>
      <c r="D1139" s="2" vm="4450">
        <f ca="1"/>
        <v>154.15</v>
      </c>
      <c r="E1139" s="2" vm="6096">
        <f ca="1"/>
        <v>155.11000000000001</v>
      </c>
      <c r="F1139" vm="6097">
        <f ca="1"/>
        <v>26350375</v>
      </c>
    </row>
    <row r="1140" spans="1:6" x14ac:dyDescent="0.2">
      <c r="A1140" s="1" vm="6098">
        <f ca="1"/>
        <v>46097</v>
      </c>
      <c r="B1140" s="2" vm="6099">
        <f ca="1"/>
        <v>156.06</v>
      </c>
      <c r="C1140" s="2" vm="6100">
        <f ca="1"/>
        <v>158.74</v>
      </c>
      <c r="D1140" s="2" vm="6101">
        <f ca="1"/>
        <v>154.5104</v>
      </c>
      <c r="E1140" s="2" vm="4945">
        <f ca="1"/>
        <v>155.97</v>
      </c>
      <c r="F1140" vm="6102">
        <f ca="1"/>
        <v>21607689</v>
      </c>
    </row>
    <row r="1141" spans="1:6" x14ac:dyDescent="0.2">
      <c r="A1141" s="1" vm="6103">
        <f ca="1"/>
        <v>46098</v>
      </c>
      <c r="B1141" s="2" vm="6104">
        <f ca="1"/>
        <v>155.44</v>
      </c>
      <c r="C1141" s="2" vm="4950">
        <f ca="1"/>
        <v>158.91999999999999</v>
      </c>
      <c r="D1141" s="2" vm="6105">
        <f ca="1"/>
        <v>153.5001</v>
      </c>
      <c r="E1141" s="2" vm="6106">
        <f ca="1"/>
        <v>154.69</v>
      </c>
      <c r="F1141" vm="6107">
        <f ca="1"/>
        <v>23929463</v>
      </c>
    </row>
    <row r="1142" spans="1:6" x14ac:dyDescent="0.2">
      <c r="A1142" s="1" vm="6108">
        <f ca="1"/>
        <v>46099</v>
      </c>
      <c r="B1142" s="2" vm="6109">
        <f ca="1"/>
        <v>153.4</v>
      </c>
      <c r="C1142" s="2" vm="6110">
        <f ca="1"/>
        <v>154.96520000000001</v>
      </c>
      <c r="D1142" s="2" vm="6111">
        <f ca="1"/>
        <v>152.04</v>
      </c>
      <c r="E1142" s="2" vm="6112">
        <f ca="1"/>
        <v>152.9</v>
      </c>
      <c r="F1142" vm="6113">
        <f ca="1"/>
        <v>18051075</v>
      </c>
    </row>
    <row r="1143" spans="1:6" x14ac:dyDescent="0.2">
      <c r="A1143" s="1" vm="6114">
        <f ca="1"/>
        <v>46100</v>
      </c>
      <c r="B1143" s="2" vm="6115">
        <f ca="1"/>
        <v>150.46</v>
      </c>
      <c r="C1143" s="2" vm="6116">
        <f ca="1"/>
        <v>156.91999999999999</v>
      </c>
      <c r="D1143" s="2" vm="6117">
        <f ca="1"/>
        <v>148.88999999999999</v>
      </c>
      <c r="E1143" s="2" vm="6118">
        <f ca="1"/>
        <v>155.52000000000001</v>
      </c>
      <c r="F1143" vm="6119">
        <f ca="1"/>
        <v>22046113</v>
      </c>
    </row>
    <row r="1144" spans="1:6" x14ac:dyDescent="0.2">
      <c r="A1144" s="1" vm="6120">
        <f ca="1"/>
        <v>46101</v>
      </c>
      <c r="B1144" s="2" vm="4721">
        <f ca="1"/>
        <v>153.05000000000001</v>
      </c>
      <c r="C1144" s="2" vm="6121">
        <f ca="1"/>
        <v>153.25</v>
      </c>
      <c r="D1144" s="2" vm="6122">
        <f ca="1"/>
        <v>147.94999999999999</v>
      </c>
      <c r="E1144" s="2" vm="6123">
        <f ca="1"/>
        <v>149.68</v>
      </c>
      <c r="F1144" vm="6124">
        <f ca="1"/>
        <v>37551358</v>
      </c>
    </row>
    <row r="1145" spans="1:6" x14ac:dyDescent="0.2">
      <c r="A1145" s="1" vm="6125">
        <f ca="1"/>
        <v>46104</v>
      </c>
      <c r="B1145" s="2" vm="6126">
        <f ca="1"/>
        <v>151.41999999999999</v>
      </c>
      <c r="C1145" s="2" vm="6127">
        <f ca="1"/>
        <v>155.78</v>
      </c>
      <c r="D1145" s="2" vm="6128">
        <f ca="1"/>
        <v>150.71</v>
      </c>
      <c r="E1145" s="2" vm="6129">
        <f ca="1"/>
        <v>154.34</v>
      </c>
      <c r="F1145" vm="6130">
        <f ca="1"/>
        <v>19927945</v>
      </c>
    </row>
    <row r="1146" spans="1:6" x14ac:dyDescent="0.2">
      <c r="A1146" s="1" vm="6131">
        <f ca="1"/>
        <v>46105</v>
      </c>
      <c r="B1146" s="2" vm="6132">
        <f ca="1"/>
        <v>153</v>
      </c>
      <c r="C1146" s="2" vm="6133">
        <f ca="1"/>
        <v>153.9</v>
      </c>
      <c r="D1146" s="2" vm="6134">
        <f ca="1"/>
        <v>146.85</v>
      </c>
      <c r="E1146" s="2" vm="6135">
        <f ca="1"/>
        <v>147.09</v>
      </c>
      <c r="F1146" vm="6136">
        <f ca="1"/>
        <v>26122141</v>
      </c>
    </row>
    <row r="1147" spans="1:6" x14ac:dyDescent="0.2">
      <c r="A1147" s="1" vm="6137">
        <f ca="1"/>
        <v>46106</v>
      </c>
      <c r="B1147" s="2" vm="6138">
        <f ca="1"/>
        <v>149.22499999999999</v>
      </c>
      <c r="C1147" s="2" vm="6139">
        <f ca="1"/>
        <v>149.84</v>
      </c>
      <c r="D1147" s="2" vm="6140">
        <f ca="1"/>
        <v>144.60079999999999</v>
      </c>
      <c r="E1147" s="2" vm="6141">
        <f ca="1"/>
        <v>146.02000000000001</v>
      </c>
      <c r="F1147" vm="6142">
        <f ca="1"/>
        <v>20683774</v>
      </c>
    </row>
    <row r="1148" spans="1:6" x14ac:dyDescent="0.2">
      <c r="A1148" s="1" vm="6143">
        <f ca="1"/>
        <v>46107</v>
      </c>
      <c r="B1148" s="2" vm="6144">
        <f ca="1"/>
        <v>143.88999999999999</v>
      </c>
      <c r="C1148" s="2" vm="6145">
        <f ca="1"/>
        <v>146.47</v>
      </c>
      <c r="D1148" s="2" vm="6146">
        <f ca="1"/>
        <v>142.54</v>
      </c>
      <c r="E1148" s="2" vm="6147">
        <f ca="1"/>
        <v>142.81</v>
      </c>
      <c r="F1148" vm="6148">
        <f ca="1"/>
        <v>16961884</v>
      </c>
    </row>
    <row r="1149" spans="1:6" x14ac:dyDescent="0.2">
      <c r="A1149" s="1" vm="6149">
        <f ca="1"/>
        <v>46108</v>
      </c>
      <c r="B1149" s="2" vm="6150">
        <f ca="1"/>
        <v>140.93</v>
      </c>
      <c r="C1149" s="2" vm="3694">
        <f ca="1"/>
        <v>141.69</v>
      </c>
      <c r="D1149" s="2" vm="6151">
        <f ca="1"/>
        <v>138.30099999999999</v>
      </c>
      <c r="E1149" s="2" vm="6152">
        <f ca="1"/>
        <v>139.66</v>
      </c>
      <c r="F1149" vm="6153">
        <f ca="1"/>
        <v>17929588</v>
      </c>
    </row>
    <row r="1150" spans="1:6" x14ac:dyDescent="0.2">
      <c r="A1150" s="1" vm="6154">
        <f ca="1"/>
        <v>46111</v>
      </c>
      <c r="B1150" s="2" vm="6155">
        <f ca="1"/>
        <v>140.04</v>
      </c>
      <c r="C1150" s="2" vm="3691">
        <f ca="1"/>
        <v>141.19999999999999</v>
      </c>
      <c r="D1150" s="2" vm="6156">
        <f ca="1"/>
        <v>136.94999999999999</v>
      </c>
      <c r="E1150" s="2" vm="3643">
        <f ca="1"/>
        <v>138.80000000000001</v>
      </c>
      <c r="F1150" vm="6157">
        <f ca="1"/>
        <v>20125734</v>
      </c>
    </row>
    <row r="1151" spans="1:6" x14ac:dyDescent="0.2">
      <c r="A1151" s="1" vm="6158">
        <f ca="1"/>
        <v>46112</v>
      </c>
      <c r="B1151" s="2" vm="3893">
        <f ca="1"/>
        <v>140.30000000000001</v>
      </c>
      <c r="C1151" s="2" vm="6159">
        <f ca="1"/>
        <v>147.39500000000001</v>
      </c>
      <c r="D1151" s="2" vm="3634">
        <f ca="1"/>
        <v>139.85</v>
      </c>
      <c r="E1151" s="2" vm="6160">
        <f ca="1"/>
        <v>147.11000000000001</v>
      </c>
      <c r="F1151" vm="6161">
        <f ca="1"/>
        <v>24491953</v>
      </c>
    </row>
    <row r="1152" spans="1:6" x14ac:dyDescent="0.2">
      <c r="A1152" s="1" vm="6162">
        <f ca="1"/>
        <v>46113</v>
      </c>
      <c r="B1152" s="2" vm="6163">
        <f ca="1"/>
        <v>149.09</v>
      </c>
      <c r="C1152" s="2" vm="6164">
        <f ca="1"/>
        <v>149.65</v>
      </c>
      <c r="D1152" s="2" vm="6165">
        <f ca="1"/>
        <v>144.66999999999999</v>
      </c>
      <c r="E1152" s="2" vm="3719">
        <f ca="1"/>
        <v>145.22999999999999</v>
      </c>
      <c r="F1152" vm="6166">
        <f ca="1"/>
        <v>20495868</v>
      </c>
    </row>
    <row r="1153" spans="1:6" x14ac:dyDescent="0.2">
      <c r="A1153" s="1" vm="6167">
        <f ca="1"/>
        <v>46114</v>
      </c>
      <c r="B1153" s="2" vm="6168">
        <f ca="1"/>
        <v>142.78</v>
      </c>
      <c r="C1153" s="2" vm="6169">
        <f ca="1"/>
        <v>146.44</v>
      </c>
      <c r="D1153" s="2" vm="3893">
        <f ca="1"/>
        <v>140.30000000000001</v>
      </c>
      <c r="E1153" s="2" vm="6170">
        <f ca="1"/>
        <v>146.38</v>
      </c>
      <c r="F1153" vm="6171">
        <f ca="1"/>
        <v>14381866</v>
      </c>
    </row>
    <row r="1154" spans="1:6" x14ac:dyDescent="0.2">
      <c r="A1154" s="1" vm="6172">
        <f ca="1"/>
        <v>46118</v>
      </c>
      <c r="B1154" s="2" vm="6173">
        <f ca="1"/>
        <v>147.44</v>
      </c>
      <c r="C1154" s="2" vm="6174">
        <f ca="1"/>
        <v>148.55000000000001</v>
      </c>
      <c r="D1154" s="2" vm="6175">
        <f ca="1"/>
        <v>143.85</v>
      </c>
      <c r="E1154" s="2" vm="6176">
        <f ca="1"/>
        <v>145.54</v>
      </c>
      <c r="F1154" vm="6177">
        <f ca="1"/>
        <v>12556727</v>
      </c>
    </row>
    <row r="1155" spans="1:6" x14ac:dyDescent="0.2">
      <c r="A1155" s="1" vm="6178">
        <f ca="1"/>
        <v>46119</v>
      </c>
      <c r="B1155" s="2" vm="4736">
        <f ca="1"/>
        <v>143.78</v>
      </c>
      <c r="C1155" s="2" vm="6179">
        <f ca="1"/>
        <v>144.57</v>
      </c>
      <c r="D1155" s="2" vm="6180">
        <f ca="1"/>
        <v>139.94</v>
      </c>
      <c r="E1155" s="2" vm="6181">
        <f ca="1"/>
        <v>143.16999999999999</v>
      </c>
      <c r="F1155" vm="6182">
        <f ca="1"/>
        <v>17250445</v>
      </c>
    </row>
    <row r="1156" spans="1:6" x14ac:dyDescent="0.2">
      <c r="A1156" s="1" vm="6183">
        <f ca="1"/>
        <v>46120</v>
      </c>
      <c r="B1156" s="2" vm="4882">
        <f ca="1"/>
        <v>150.30000000000001</v>
      </c>
      <c r="C1156" s="2" vm="6184">
        <f ca="1"/>
        <v>151.46</v>
      </c>
      <c r="D1156" s="2" vm="6185">
        <f ca="1"/>
        <v>142.9</v>
      </c>
      <c r="E1156" s="2" vm="6186">
        <f ca="1"/>
        <v>143.66</v>
      </c>
      <c r="F1156" vm="6187">
        <f ca="1"/>
        <v>23527034</v>
      </c>
    </row>
    <row r="1157" spans="1:6" x14ac:dyDescent="0.2">
      <c r="A1157" s="1" vm="6188">
        <f ca="1"/>
        <v>46121</v>
      </c>
      <c r="B1157" s="2" vm="3939">
        <f ca="1"/>
        <v>142.19999999999999</v>
      </c>
      <c r="C1157" s="2" vm="6189">
        <f ca="1"/>
        <v>142.80000000000001</v>
      </c>
      <c r="D1157" s="2" vm="6190">
        <f ca="1"/>
        <v>136</v>
      </c>
      <c r="E1157" s="2" vm="4831">
        <f ca="1"/>
        <v>137.86000000000001</v>
      </c>
      <c r="F1157" vm="6191">
        <f ca="1"/>
        <v>30407824</v>
      </c>
    </row>
    <row r="1158" spans="1:6" x14ac:dyDescent="0.2">
      <c r="A1158" s="1" vm="6192">
        <f ca="1"/>
        <v>46122</v>
      </c>
      <c r="B1158" s="2" vm="6193">
        <f ca="1"/>
        <v>137.32</v>
      </c>
      <c r="C1158" s="2" vm="6194">
        <f ca="1"/>
        <v>140.16499999999999</v>
      </c>
      <c r="D1158" s="2" vm="6195">
        <f ca="1"/>
        <v>134.57</v>
      </c>
      <c r="E1158" s="2" vm="6196">
        <f ca="1"/>
        <v>138.09</v>
      </c>
      <c r="F1158" vm="6197">
        <f ca="1"/>
        <v>26171810</v>
      </c>
    </row>
    <row r="1159" spans="1:6" x14ac:dyDescent="0.2">
      <c r="A1159" s="1" vm="6198">
        <f ca="1"/>
        <v>46125</v>
      </c>
      <c r="B1159" s="2" vm="6199">
        <f ca="1"/>
        <v>139.77000000000001</v>
      </c>
      <c r="C1159" s="2" vm="6200">
        <f ca="1"/>
        <v>155.91</v>
      </c>
      <c r="D1159" s="2" vm="6201">
        <f ca="1"/>
        <v>139.72</v>
      </c>
      <c r="E1159" s="2" vm="6202">
        <f ca="1"/>
        <v>155.62</v>
      </c>
      <c r="F1159" vm="6203">
        <f ca="1"/>
        <v>49997735</v>
      </c>
    </row>
    <row r="1160" spans="1:6" x14ac:dyDescent="0.2">
      <c r="A1160" s="1" vm="6204">
        <f ca="1"/>
        <v>46126</v>
      </c>
      <c r="B1160" s="2" vm="6205">
        <f ca="1"/>
        <v>167.93</v>
      </c>
      <c r="C1160" s="2" vm="6206">
        <f ca="1"/>
        <v>169.4</v>
      </c>
      <c r="D1160" s="2" vm="4642">
        <f ca="1"/>
        <v>161.56</v>
      </c>
      <c r="E1160" s="2" vm="6207">
        <f ca="1"/>
        <v>163</v>
      </c>
      <c r="F1160" vm="6208">
        <f ca="1"/>
        <v>59779843</v>
      </c>
    </row>
    <row r="1161" spans="1:6" x14ac:dyDescent="0.2">
      <c r="A1161" s="1" vm="6209">
        <f ca="1"/>
        <v>46127</v>
      </c>
      <c r="B1161" s="2" vm="4061">
        <f ca="1"/>
        <v>166.89</v>
      </c>
      <c r="C1161" s="2" vm="6210">
        <f ca="1"/>
        <v>172.56</v>
      </c>
      <c r="D1161" s="2" vm="6211">
        <f ca="1"/>
        <v>166.21</v>
      </c>
      <c r="E1161" s="2" vm="6212">
        <f ca="1"/>
        <v>169.81</v>
      </c>
      <c r="F1161" vm="6213">
        <f ca="1"/>
        <v>43010821</v>
      </c>
    </row>
    <row r="1162" spans="1:6" x14ac:dyDescent="0.2">
      <c r="A1162" s="1" vm="6214">
        <f ca="1"/>
        <v>46128</v>
      </c>
      <c r="B1162" s="2" vm="6215">
        <f ca="1"/>
        <v>176.42</v>
      </c>
      <c r="C1162" s="2" vm="4593">
        <f ca="1"/>
        <v>180.27</v>
      </c>
      <c r="D1162" s="2" vm="6216">
        <f ca="1"/>
        <v>173.8</v>
      </c>
      <c r="E1162" s="2" vm="6217">
        <f ca="1"/>
        <v>178.34</v>
      </c>
      <c r="F1162" vm="6218">
        <f ca="1"/>
        <v>46997279</v>
      </c>
    </row>
    <row r="1163" spans="1:6" x14ac:dyDescent="0.2">
      <c r="A1163" s="1" vm="6219">
        <f ca="1"/>
        <v>46129</v>
      </c>
      <c r="B1163" s="2" vm="6220">
        <f ca="1"/>
        <v>182.93</v>
      </c>
      <c r="C1163" s="2" vm="6221">
        <f ca="1"/>
        <v>184.5</v>
      </c>
      <c r="D1163" s="2" vm="6222">
        <f ca="1"/>
        <v>173.36</v>
      </c>
      <c r="E1163" s="2" vm="6223">
        <f ca="1"/>
        <v>175.06</v>
      </c>
      <c r="F1163" vm="6224">
        <f ca="1"/>
        <v>45282649</v>
      </c>
    </row>
    <row r="1164" spans="1:6" x14ac:dyDescent="0.2">
      <c r="A1164" s="1" vm="6225">
        <f ca="1"/>
        <v>46132</v>
      </c>
      <c r="B1164" s="2" vm="6226">
        <f ca="1"/>
        <v>176.81</v>
      </c>
      <c r="C1164" s="2" vm="6227">
        <f ca="1"/>
        <v>177.76</v>
      </c>
      <c r="D1164" s="2" vm="6228">
        <f ca="1"/>
        <v>173.51</v>
      </c>
      <c r="E1164" s="2" vm="6229">
        <f ca="1"/>
        <v>177.58</v>
      </c>
      <c r="F1164" vm="6230">
        <f ca="1"/>
        <v>22330910</v>
      </c>
    </row>
    <row r="1165" spans="1:6" x14ac:dyDescent="0.2">
      <c r="A1165" s="1" vm="6231">
        <f ca="1"/>
        <v>46133</v>
      </c>
      <c r="B1165" s="2" vm="6232">
        <f ca="1"/>
        <v>178.35</v>
      </c>
      <c r="C1165" s="2" vm="6233">
        <f ca="1"/>
        <v>185.34</v>
      </c>
      <c r="D1165" s="2" vm="6234">
        <f ca="1"/>
        <v>176.01230000000001</v>
      </c>
      <c r="E1165" s="2" vm="6235">
        <f ca="1"/>
        <v>181.17</v>
      </c>
      <c r="F1165" vm="6236">
        <f ca="1"/>
        <v>39638047</v>
      </c>
    </row>
    <row r="1166" spans="1:6" x14ac:dyDescent="0.2">
      <c r="A1166" s="1" vm="6237">
        <f ca="1"/>
        <v>46134</v>
      </c>
      <c r="B1166" s="2" vm="4249">
        <f ca="1"/>
        <v>186.18</v>
      </c>
      <c r="C1166" s="2" vm="6238">
        <f ca="1"/>
        <v>189.18</v>
      </c>
      <c r="D1166" s="2" vm="6239">
        <f ca="1"/>
        <v>182.8</v>
      </c>
      <c r="E1166" s="2" vm="6240">
        <f ca="1"/>
        <v>187.5</v>
      </c>
      <c r="F1166" vm="6241">
        <f ca="1"/>
        <v>32448788</v>
      </c>
    </row>
    <row r="1167" spans="1:6" x14ac:dyDescent="0.2">
      <c r="A1167" s="1" vm="6242">
        <f ca="1"/>
        <v>46135</v>
      </c>
      <c r="B1167" s="2" vm="6243">
        <f ca="1"/>
        <v>180.4</v>
      </c>
      <c r="C1167" s="2" vm="6244">
        <f ca="1"/>
        <v>181.89</v>
      </c>
      <c r="D1167" s="2" vm="6245">
        <f ca="1"/>
        <v>174.08</v>
      </c>
      <c r="E1167" s="2" vm="6246">
        <f ca="1"/>
        <v>176.28</v>
      </c>
      <c r="F1167" vm="6247">
        <f ca="1"/>
        <v>37084241</v>
      </c>
    </row>
    <row r="1168" spans="1:6" x14ac:dyDescent="0.2">
      <c r="A1168" s="1" vm="6248">
        <f ca="1"/>
        <v>46136</v>
      </c>
      <c r="B1168" s="2" vm="6249">
        <f ca="1"/>
        <v>180.505</v>
      </c>
      <c r="C1168" s="2" vm="6250">
        <f ca="1"/>
        <v>180.71</v>
      </c>
      <c r="D1168" s="2" vm="6251">
        <f ca="1"/>
        <v>168.8</v>
      </c>
      <c r="E1168" s="2" vm="6252">
        <f ca="1"/>
        <v>173.28</v>
      </c>
      <c r="F1168" vm="6253">
        <f ca="1"/>
        <v>33214988</v>
      </c>
    </row>
    <row r="1169" spans="1:6" x14ac:dyDescent="0.2">
      <c r="A1169" s="1" vm="6254">
        <f ca="1"/>
        <v>46139</v>
      </c>
      <c r="B1169" s="2" vm="6255">
        <f ca="1"/>
        <v>172.584</v>
      </c>
      <c r="C1169" s="2" vm="6256">
        <f ca="1"/>
        <v>173.55</v>
      </c>
      <c r="D1169" s="2" vm="6257">
        <f ca="1"/>
        <v>167.9</v>
      </c>
      <c r="E1169" s="2" vm="6258">
        <f ca="1"/>
        <v>172.96</v>
      </c>
      <c r="F1169" vm="6259">
        <f ca="1"/>
        <v>21616573</v>
      </c>
    </row>
    <row r="1170" spans="1:6" x14ac:dyDescent="0.2">
      <c r="A1170" s="1" vm="6260">
        <f ca="1"/>
        <v>46140</v>
      </c>
      <c r="B1170" s="2" vm="6261">
        <f ca="1"/>
        <v>162.16</v>
      </c>
      <c r="C1170" s="2" vm="6262">
        <f ca="1"/>
        <v>168.69990000000001</v>
      </c>
      <c r="D1170" s="2" vm="6263">
        <f ca="1"/>
        <v>162.05000000000001</v>
      </c>
      <c r="E1170" s="2" vm="6264">
        <f ca="1"/>
        <v>165.96</v>
      </c>
      <c r="F1170" vm="6265">
        <f ca="1"/>
        <v>33716456</v>
      </c>
    </row>
    <row r="1171" spans="1:6" x14ac:dyDescent="0.2">
      <c r="A1171" s="1" vm="6266">
        <f ca="1"/>
        <v>46141</v>
      </c>
      <c r="B1171" s="2" vm="6267">
        <f ca="1"/>
        <v>164.04</v>
      </c>
      <c r="C1171" s="2" vm="4619">
        <f ca="1"/>
        <v>164.76</v>
      </c>
      <c r="D1171" s="2" vm="6268">
        <f ca="1"/>
        <v>160.65</v>
      </c>
      <c r="E1171" s="2" vm="6269">
        <f ca="1"/>
        <v>163.83000000000001</v>
      </c>
      <c r="F1171" vm="6270">
        <f ca="1"/>
        <v>20587497</v>
      </c>
    </row>
    <row r="1172" spans="1:6" x14ac:dyDescent="0.2">
      <c r="A1172" s="1" vm="6271">
        <f ca="1"/>
        <v>46142</v>
      </c>
      <c r="B1172" s="2" vm="4516">
        <f ca="1"/>
        <v>162.02000000000001</v>
      </c>
      <c r="C1172" s="2" vm="6272">
        <f ca="1"/>
        <v>165.18</v>
      </c>
      <c r="D1172" s="2" vm="6273">
        <f ca="1"/>
        <v>160.33000000000001</v>
      </c>
      <c r="E1172" s="2" vm="6274">
        <f ca="1"/>
        <v>161.38999999999999</v>
      </c>
      <c r="F1172" vm="6275">
        <f ca="1"/>
        <v>21016368</v>
      </c>
    </row>
    <row r="1173" spans="1:6" x14ac:dyDescent="0.2">
      <c r="A1173" s="1" vm="6276">
        <f ca="1"/>
        <v>46143</v>
      </c>
      <c r="B1173" s="2" vm="6277">
        <f ca="1"/>
        <v>166.42</v>
      </c>
      <c r="C1173" s="2" vm="6278">
        <f ca="1"/>
        <v>174.3</v>
      </c>
      <c r="D1173" s="2" vm="4623">
        <f ca="1"/>
        <v>166.15</v>
      </c>
      <c r="E1173" s="2" vm="6279">
        <f ca="1"/>
        <v>171.83</v>
      </c>
      <c r="F1173" vm="6280">
        <f ca="1"/>
        <v>26318017</v>
      </c>
    </row>
    <row r="1174" spans="1:6" x14ac:dyDescent="0.2">
      <c r="A1174" s="1" vm="6281">
        <f ca="1"/>
        <v>46146</v>
      </c>
      <c r="B1174" s="2" vm="6282">
        <f ca="1"/>
        <v>176.02</v>
      </c>
      <c r="C1174" s="2" vm="6283">
        <f ca="1"/>
        <v>183.5</v>
      </c>
      <c r="D1174" s="2" vm="6284">
        <f ca="1"/>
        <v>174.26</v>
      </c>
      <c r="E1174" s="2" vm="6285">
        <f ca="1"/>
        <v>180.29</v>
      </c>
      <c r="F1174" vm="6286">
        <f ca="1"/>
        <v>33504465</v>
      </c>
    </row>
    <row r="1175" spans="1:6" x14ac:dyDescent="0.2">
      <c r="A1175" s="1" vm="6287">
        <f ca="1"/>
        <v>46147</v>
      </c>
      <c r="B1175" s="2" vm="6288">
        <f ca="1"/>
        <v>182.125</v>
      </c>
      <c r="C1175" s="2" vm="6289">
        <f ca="1"/>
        <v>186.52</v>
      </c>
      <c r="D1175" s="2" vm="6290">
        <f ca="1"/>
        <v>179</v>
      </c>
      <c r="E1175" s="2" vm="6291">
        <f ca="1"/>
        <v>185.35</v>
      </c>
      <c r="F1175" vm="6292">
        <f ca="1"/>
        <v>23497237</v>
      </c>
    </row>
    <row r="1176" spans="1:6" x14ac:dyDescent="0.2">
      <c r="A1176" s="1" vm="6293">
        <f ca="1"/>
        <v>46148</v>
      </c>
      <c r="B1176" s="2" vm="6294">
        <f ca="1"/>
        <v>186.2</v>
      </c>
      <c r="C1176" s="2" vm="6295">
        <f ca="1"/>
        <v>194.29</v>
      </c>
      <c r="D1176" s="2" vm="6296">
        <f ca="1"/>
        <v>182.67</v>
      </c>
      <c r="E1176" s="2" vm="6297">
        <f ca="1"/>
        <v>194.03</v>
      </c>
      <c r="F1176" vm="6298">
        <f ca="1"/>
        <v>27685486</v>
      </c>
    </row>
    <row r="1177" spans="1:6" x14ac:dyDescent="0.2">
      <c r="A1177" s="1" vm="6299">
        <f ca="1"/>
        <v>46149</v>
      </c>
      <c r="B1177" s="2" vm="6300">
        <f ca="1"/>
        <v>198.61</v>
      </c>
      <c r="C1177" s="2" vm="6301">
        <f ca="1"/>
        <v>200.15</v>
      </c>
      <c r="D1177" s="2" vm="6302">
        <f ca="1"/>
        <v>190.8</v>
      </c>
      <c r="E1177" s="2" vm="6303">
        <f ca="1"/>
        <v>194.59</v>
      </c>
      <c r="F1177" vm="6304">
        <f ca="1"/>
        <v>31803162</v>
      </c>
    </row>
    <row r="1178" spans="1:6" x14ac:dyDescent="0.2">
      <c r="A1178" s="1" vm="6305">
        <f ca="1"/>
        <v>46150</v>
      </c>
      <c r="B1178" s="2" vm="6306">
        <f ca="1"/>
        <v>192.58</v>
      </c>
      <c r="C1178" s="2" vm="6307">
        <f ca="1"/>
        <v>198</v>
      </c>
      <c r="D1178" s="2" vm="6308">
        <f ca="1"/>
        <v>190.21</v>
      </c>
      <c r="E1178" s="2" vm="6309">
        <f ca="1"/>
        <v>195.95</v>
      </c>
      <c r="F1178" vm="6310">
        <f ca="1"/>
        <v>21158338</v>
      </c>
    </row>
    <row r="1179" spans="1:6" x14ac:dyDescent="0.2">
      <c r="A1179" s="1" vm="6311">
        <f ca="1"/>
        <v>46153</v>
      </c>
      <c r="B1179" s="2" vm="6312">
        <f ca="1"/>
        <v>192.15</v>
      </c>
      <c r="C1179" s="2" vm="6313">
        <f ca="1"/>
        <v>195.68219999999999</v>
      </c>
      <c r="D1179" s="2" vm="6314">
        <f ca="1"/>
        <v>190.6</v>
      </c>
      <c r="E1179" s="2" vm="6315">
        <f ca="1"/>
        <v>193.84</v>
      </c>
      <c r="F1179" vm="6316">
        <f ca="1"/>
        <v>16890587</v>
      </c>
    </row>
    <row r="1180" spans="1:6" x14ac:dyDescent="0.2">
      <c r="A1180" s="1" vm="6317">
        <f ca="1"/>
        <v>46154</v>
      </c>
      <c r="B1180" s="2" vm="6318">
        <f ca="1"/>
        <v>192.92</v>
      </c>
      <c r="C1180" s="2" vm="6318">
        <f ca="1"/>
        <v>192.92</v>
      </c>
      <c r="D1180" s="2" vm="6319">
        <f ca="1"/>
        <v>180.87010000000001</v>
      </c>
      <c r="E1180" s="2" vm="6320">
        <f ca="1"/>
        <v>186.83</v>
      </c>
      <c r="F1180" vm="6321">
        <f ca="1"/>
        <v>22123411</v>
      </c>
    </row>
    <row r="1181" spans="1:6" x14ac:dyDescent="0.2">
      <c r="A1181" s="1" vm="6322">
        <f ca="1"/>
        <v>46155</v>
      </c>
      <c r="B1181" s="2" vm="6323">
        <f ca="1"/>
        <v>189.03</v>
      </c>
      <c r="C1181" s="2" vm="6324">
        <f ca="1"/>
        <v>191.57</v>
      </c>
      <c r="D1181" s="2" vm="6325">
        <f ca="1"/>
        <v>185.06</v>
      </c>
      <c r="E1181" s="2" vm="6326">
        <f ca="1"/>
        <v>189.76</v>
      </c>
      <c r="F1181" vm="6327">
        <f ca="1"/>
        <v>15789272</v>
      </c>
    </row>
    <row r="1182" spans="1:6" x14ac:dyDescent="0.2">
      <c r="A1182" s="1" vm="6328">
        <f ca="1"/>
        <v>46156</v>
      </c>
      <c r="B1182" s="2" vm="6329">
        <f ca="1"/>
        <v>188.18</v>
      </c>
      <c r="C1182" s="2" vm="6330">
        <f ca="1"/>
        <v>200.709</v>
      </c>
      <c r="D1182" s="2" vm="6331">
        <f ca="1"/>
        <v>185.45</v>
      </c>
      <c r="E1182" s="2" vm="6332">
        <f ca="1"/>
        <v>195.61</v>
      </c>
      <c r="F1182" vm="6333">
        <f ca="1"/>
        <v>22544995</v>
      </c>
    </row>
    <row r="1183" spans="1:6" x14ac:dyDescent="0.2">
      <c r="A1183" s="1" vm="6334">
        <f ca="1"/>
        <v>46157</v>
      </c>
      <c r="B1183" s="2" vm="6335">
        <f ca="1"/>
        <v>190.49</v>
      </c>
      <c r="C1183" s="2" vm="5796">
        <f ca="1"/>
        <v>196.43</v>
      </c>
      <c r="D1183" s="2" vm="4257">
        <f ca="1"/>
        <v>188.9</v>
      </c>
      <c r="E1183" s="2" vm="6336">
        <f ca="1"/>
        <v>192.95</v>
      </c>
      <c r="F1183" vm="6337">
        <f ca="1"/>
        <v>15747148</v>
      </c>
    </row>
    <row r="1184" spans="1:6" x14ac:dyDescent="0.2">
      <c r="A1184" s="1" vm="6338">
        <f ca="1"/>
        <v>46160</v>
      </c>
      <c r="B1184" s="2" vm="6339">
        <f ca="1"/>
        <v>190</v>
      </c>
      <c r="C1184" s="2" vm="6340">
        <f ca="1"/>
        <v>190.76</v>
      </c>
      <c r="D1184" s="2" vm="6341">
        <f ca="1"/>
        <v>183.27</v>
      </c>
      <c r="E1184" s="2" vm="6342">
        <f ca="1"/>
        <v>186.61</v>
      </c>
      <c r="F1184" vm="6343">
        <f ca="1"/>
        <v>19114329</v>
      </c>
    </row>
    <row r="1185" spans="1:6" x14ac:dyDescent="0.2">
      <c r="A1185" s="1" vm="6344">
        <f ca="1"/>
        <v>46161</v>
      </c>
      <c r="B1185" s="2" vm="6345">
        <f ca="1"/>
        <v>186</v>
      </c>
      <c r="C1185" s="2" vm="6346">
        <f ca="1"/>
        <v>188.72479999999999</v>
      </c>
      <c r="D1185" s="2" vm="6347">
        <f ca="1"/>
        <v>180.93</v>
      </c>
      <c r="E1185" s="2" vm="6348">
        <f ca="1"/>
        <v>181.46</v>
      </c>
      <c r="F1185" vm="6349">
        <f ca="1"/>
        <v>16717712</v>
      </c>
    </row>
    <row r="1186" spans="1:6" x14ac:dyDescent="0.2">
      <c r="A1186" s="1" vm="6350">
        <f ca="1"/>
        <v>46162</v>
      </c>
      <c r="B1186" s="2" vm="6351">
        <f ca="1"/>
        <v>179.94</v>
      </c>
      <c r="C1186" s="2" vm="6352">
        <f ca="1"/>
        <v>188.22</v>
      </c>
      <c r="D1186" s="2" vm="6353">
        <f ca="1"/>
        <v>178.8</v>
      </c>
      <c r="E1186" s="2" vm="6354">
        <f ca="1"/>
        <v>188.16</v>
      </c>
      <c r="F1186" vm="6355">
        <f ca="1"/>
        <v>16517223</v>
      </c>
    </row>
    <row r="1187" spans="1:6" x14ac:dyDescent="0.2">
      <c r="A1187" s="1" vm="6356">
        <f ca="1"/>
        <v>46163</v>
      </c>
      <c r="B1187" s="2" vm="6357">
        <f ca="1"/>
        <v>189.01</v>
      </c>
      <c r="C1187" s="2" vm="6358">
        <f ca="1"/>
        <v>192.82</v>
      </c>
      <c r="D1187" s="2" vm="4226">
        <f ca="1"/>
        <v>187.2</v>
      </c>
      <c r="E1187" s="2" vm="6359">
        <f ca="1"/>
        <v>189.77</v>
      </c>
      <c r="F1187" vm="6360">
        <f ca="1"/>
        <v>12119718</v>
      </c>
    </row>
    <row r="1188" spans="1:6" x14ac:dyDescent="0.2">
      <c r="A1188" s="1" vm="6361">
        <f ca="1"/>
        <v>46164</v>
      </c>
      <c r="B1188" s="2" vm="6362">
        <f ca="1"/>
        <v>191.67</v>
      </c>
      <c r="C1188" s="2" vm="6363">
        <f ca="1"/>
        <v>197</v>
      </c>
      <c r="D1188" s="2" vm="6364">
        <f ca="1"/>
        <v>191.1</v>
      </c>
      <c r="E1188" s="2" vm="6365">
        <f ca="1"/>
        <v>192.08</v>
      </c>
      <c r="F1188" vm="6366">
        <f ca="1"/>
        <v>10875803</v>
      </c>
    </row>
    <row r="1189" spans="1:6" x14ac:dyDescent="0.2">
      <c r="A1189" s="1" vm="6367">
        <f ca="1"/>
        <v>46168</v>
      </c>
      <c r="B1189" s="2" vm="6368">
        <f ca="1"/>
        <v>193.3</v>
      </c>
      <c r="C1189" s="2" vm="6369">
        <f ca="1"/>
        <v>195.2</v>
      </c>
      <c r="D1189" s="2" vm="6370">
        <f ca="1"/>
        <v>190.56</v>
      </c>
      <c r="E1189" s="2" vm="6371">
        <f ca="1"/>
        <v>193.06</v>
      </c>
      <c r="F1189" vm="6372">
        <f ca="1"/>
        <v>12856100</v>
      </c>
    </row>
    <row r="1190" spans="1:6" x14ac:dyDescent="0.2">
      <c r="A1190" s="1" vm="6373">
        <f ca="1"/>
        <v>46169</v>
      </c>
      <c r="B1190" s="2" vm="6374">
        <f ca="1"/>
        <v>191.48</v>
      </c>
      <c r="C1190" s="2" vm="6375">
        <f ca="1"/>
        <v>192.14</v>
      </c>
      <c r="D1190" s="2" vm="6376">
        <f ca="1"/>
        <v>187.9161</v>
      </c>
      <c r="E1190" s="2" vm="6377">
        <f ca="1"/>
        <v>190.96</v>
      </c>
      <c r="F1190" vm="6378">
        <f ca="1"/>
        <v>12125998</v>
      </c>
    </row>
    <row r="1191" spans="1:6" x14ac:dyDescent="0.2">
      <c r="A1191" s="1" vm="6379">
        <f ca="1"/>
        <v>46170</v>
      </c>
      <c r="B1191" s="2" vm="6380">
        <f ca="1"/>
        <v>194.04</v>
      </c>
      <c r="C1191" s="2" vm="5871">
        <f ca="1"/>
        <v>205</v>
      </c>
      <c r="D1191" s="2" vm="6381">
        <f ca="1"/>
        <v>193.37719999999999</v>
      </c>
      <c r="E1191" s="2" vm="6382">
        <f ca="1"/>
        <v>203.7</v>
      </c>
      <c r="F1191" vm="6383">
        <f ca="1"/>
        <v>25339881</v>
      </c>
    </row>
    <row r="1192" spans="1:6" x14ac:dyDescent="0.2">
      <c r="A1192" s="1" vm="6384">
        <f ca="1"/>
        <v>46171</v>
      </c>
      <c r="B1192" s="2" vm="6385">
        <f ca="1"/>
        <v>209</v>
      </c>
      <c r="C1192" s="2" vm="6386">
        <f ca="1"/>
        <v>226.29</v>
      </c>
      <c r="D1192" s="2" vm="6387">
        <f ca="1"/>
        <v>208.01</v>
      </c>
      <c r="E1192" s="2" vm="6388">
        <f ca="1"/>
        <v>225.78</v>
      </c>
      <c r="F1192" vm="6389">
        <f ca="1"/>
        <v>41082199</v>
      </c>
    </row>
    <row r="1193" spans="1:6" x14ac:dyDescent="0.2">
      <c r="A1193" s="1" vm="6390">
        <f ca="1"/>
        <v>46174</v>
      </c>
      <c r="B1193" s="2" vm="6391">
        <f ca="1"/>
        <v>230.5</v>
      </c>
      <c r="C1193" s="2" vm="6392">
        <f ca="1"/>
        <v>250.25</v>
      </c>
      <c r="D1193" s="2" vm="6393">
        <f ca="1"/>
        <v>224.6</v>
      </c>
      <c r="E1193" s="2" vm="6394">
        <f ca="1"/>
        <v>248.15</v>
      </c>
      <c r="F1193" vm="6395">
        <f ca="1"/>
        <v>48389992</v>
      </c>
    </row>
    <row r="1194" spans="1:6" x14ac:dyDescent="0.2">
      <c r="A1194" s="1" vm="6396">
        <f ca="1"/>
        <v>46175</v>
      </c>
      <c r="B1194" s="2" vm="6397">
        <f ca="1"/>
        <v>242.8</v>
      </c>
      <c r="C1194" s="2" vm="6398">
        <f ca="1"/>
        <v>249</v>
      </c>
      <c r="D1194" s="2" vm="6399">
        <f ca="1"/>
        <v>238.84</v>
      </c>
      <c r="E1194" s="2" vm="6400">
        <f ca="1"/>
        <v>244.58</v>
      </c>
      <c r="F1194" vm="6401">
        <f ca="1"/>
        <v>30294766</v>
      </c>
    </row>
    <row r="1195" spans="1:6" x14ac:dyDescent="0.2">
      <c r="A1195" s="1" vm="6402">
        <f ca="1"/>
        <v>46176</v>
      </c>
      <c r="B1195" s="2" vm="6403">
        <f ca="1"/>
        <v>240.48</v>
      </c>
      <c r="C1195" s="2" vm="6404">
        <f ca="1"/>
        <v>240.51</v>
      </c>
      <c r="D1195" s="2" vm="6405">
        <f ca="1"/>
        <v>227.60499999999999</v>
      </c>
      <c r="E1195" s="2" vm="6406">
        <f ca="1"/>
        <v>230.33</v>
      </c>
      <c r="F1195" vm="6407">
        <f ca="1"/>
        <v>23644680</v>
      </c>
    </row>
    <row r="1196" spans="1:6" x14ac:dyDescent="0.2">
      <c r="A1196" s="1" vm="6408">
        <f ca="1"/>
        <v>46177</v>
      </c>
      <c r="B1196" s="2" vm="6409">
        <f ca="1"/>
        <v>227</v>
      </c>
      <c r="C1196" s="2" vm="6410">
        <f ca="1"/>
        <v>238.95</v>
      </c>
      <c r="D1196" s="2" vm="6411">
        <f ca="1"/>
        <v>224</v>
      </c>
      <c r="E1196" s="2" vm="6412">
        <f ca="1"/>
        <v>236.34</v>
      </c>
      <c r="F1196" vm="6413">
        <f ca="1"/>
        <v>19993753</v>
      </c>
    </row>
    <row r="1197" spans="1:6" x14ac:dyDescent="0.2">
      <c r="A1197" s="1" vm="6414">
        <f ca="1"/>
        <v>46178</v>
      </c>
      <c r="B1197" s="2" vm="6415">
        <f ca="1"/>
        <v>229.49</v>
      </c>
      <c r="C1197" s="2" vm="6416">
        <f ca="1"/>
        <v>231.44</v>
      </c>
      <c r="D1197" s="2" vm="6417">
        <f ca="1"/>
        <v>209.45009999999999</v>
      </c>
      <c r="E1197" s="2" vm="6418">
        <f ca="1"/>
        <v>213.68</v>
      </c>
      <c r="F1197" vm="6419">
        <f ca="1"/>
        <v>29019876</v>
      </c>
    </row>
    <row r="1198" spans="1:6" x14ac:dyDescent="0.2">
      <c r="A1198" s="1" vm="6420">
        <f ca="1"/>
        <v>46181</v>
      </c>
      <c r="B1198" s="2" vm="6421">
        <f ca="1"/>
        <v>217.75</v>
      </c>
      <c r="C1198" s="2" vm="5661">
        <f ca="1"/>
        <v>219.06</v>
      </c>
      <c r="D1198" s="2" vm="6422">
        <f ca="1"/>
        <v>209.33099999999999</v>
      </c>
      <c r="E1198" s="2" vm="6423">
        <f ca="1"/>
        <v>211.82</v>
      </c>
      <c r="F1198" vm="6424">
        <f ca="1"/>
        <v>17227241</v>
      </c>
    </row>
    <row r="1199" spans="1:6" x14ac:dyDescent="0.2">
      <c r="A1199" s="1" vm="6425">
        <f ca="1"/>
        <v>46182</v>
      </c>
      <c r="B1199" s="2" vm="6426">
        <f ca="1"/>
        <v>213.905</v>
      </c>
      <c r="C1199" s="2" vm="6427">
        <f ca="1"/>
        <v>220.5</v>
      </c>
      <c r="D1199" s="2" vm="6428">
        <f ca="1"/>
        <v>197.7901</v>
      </c>
      <c r="E1199" s="2" vm="6429">
        <f ca="1"/>
        <v>205.81</v>
      </c>
      <c r="F1199" vm="6430">
        <f ca="1"/>
        <v>26040722</v>
      </c>
    </row>
    <row r="1200" spans="1:6" x14ac:dyDescent="0.2">
      <c r="A1200" s="1" vm="6431">
        <f ca="1"/>
        <v>46183</v>
      </c>
      <c r="B1200" s="2" vm="6432">
        <f ca="1"/>
        <v>198.5</v>
      </c>
      <c r="C1200" s="2" vm="6433">
        <f ca="1"/>
        <v>212.47989999999999</v>
      </c>
      <c r="D1200" s="2" vm="6434">
        <f ca="1"/>
        <v>198.18</v>
      </c>
      <c r="E1200" s="2" vm="6435">
        <f ca="1"/>
        <v>201.26</v>
      </c>
      <c r="F1200" vm="6436">
        <f ca="1"/>
        <v>46108327</v>
      </c>
    </row>
    <row r="1201" spans="1:6" x14ac:dyDescent="0.2">
      <c r="A1201" s="1" vm="6437">
        <f ca="1"/>
        <v>46184</v>
      </c>
      <c r="B1201" s="2" vm="6438">
        <f ca="1"/>
        <v>179.67</v>
      </c>
      <c r="C1201" s="2" vm="6439">
        <f ca="1"/>
        <v>184.77</v>
      </c>
      <c r="D1201" s="2" vm="6440">
        <f ca="1"/>
        <v>175.28</v>
      </c>
      <c r="E1201" s="2" vm="6441">
        <f ca="1"/>
        <v>184.1</v>
      </c>
      <c r="F1201" vm="6442">
        <f ca="1"/>
        <v>63678509</v>
      </c>
    </row>
    <row r="1202" spans="1:6" x14ac:dyDescent="0.2">
      <c r="A1202" s="1" vm="6443">
        <f ca="1"/>
        <v>46185</v>
      </c>
      <c r="B1202" s="2" vm="6444">
        <f ca="1"/>
        <v>185.01</v>
      </c>
      <c r="C1202" s="2" vm="6445">
        <f ca="1"/>
        <v>185.58</v>
      </c>
      <c r="D1202" s="2" vm="6290">
        <f ca="1"/>
        <v>179</v>
      </c>
      <c r="E1202" s="2" vm="6446">
        <f ca="1"/>
        <v>184.13</v>
      </c>
      <c r="F1202" vm="6447">
        <f ca="1"/>
        <v>29562284</v>
      </c>
    </row>
    <row r="1203" spans="1:6" x14ac:dyDescent="0.2">
      <c r="A1203" s="1" vm="6448">
        <f ca="1"/>
        <v>46188</v>
      </c>
      <c r="B1203" s="2" vm="6449">
        <f ca="1"/>
        <v>187.39</v>
      </c>
      <c r="C1203" s="2" vm="6450">
        <f ca="1"/>
        <v>195.32</v>
      </c>
      <c r="D1203" s="2" vm="6451">
        <f ca="1"/>
        <v>186.21340000000001</v>
      </c>
      <c r="E1203" s="2" vm="5816">
        <f ca="1"/>
        <v>192.64</v>
      </c>
      <c r="F1203" vm="6452">
        <f ca="1"/>
        <v>20279863</v>
      </c>
    </row>
    <row r="1204" spans="1:6" x14ac:dyDescent="0.2">
      <c r="A1204" s="1" vm="6453">
        <f ca="1"/>
        <v>46189</v>
      </c>
      <c r="B1204" s="2" vm="6454">
        <f ca="1"/>
        <v>190.01</v>
      </c>
      <c r="C1204" s="2" vm="6450">
        <f ca="1"/>
        <v>195.32</v>
      </c>
      <c r="D1204" s="2" vm="6455">
        <f ca="1"/>
        <v>187.66</v>
      </c>
      <c r="E1204" s="2" vm="6456">
        <f ca="1"/>
        <v>188.33</v>
      </c>
      <c r="F1204" vm="6457">
        <f ca="1"/>
        <v>16985542</v>
      </c>
    </row>
    <row r="1205" spans="1:6" x14ac:dyDescent="0.2">
      <c r="A1205" s="1" vm="6458">
        <f ca="1"/>
        <v>46190</v>
      </c>
      <c r="B1205" s="2" vm="6459">
        <f ca="1"/>
        <v>186.155</v>
      </c>
      <c r="C1205" s="2" vm="6460">
        <f ca="1"/>
        <v>190.19</v>
      </c>
      <c r="D1205" s="2" vm="6461">
        <f ca="1"/>
        <v>182.58</v>
      </c>
      <c r="E1205" s="2" vm="6462">
        <f ca="1"/>
        <v>183.53</v>
      </c>
      <c r="F1205" vm="6463">
        <f ca="1"/>
        <v>16616626</v>
      </c>
    </row>
    <row r="1206" spans="1:6" x14ac:dyDescent="0.2">
      <c r="A1206" s="1" vm="6464">
        <f ca="1"/>
        <v>46191</v>
      </c>
      <c r="B1206" s="2" vm="6465">
        <f ca="1"/>
        <v>183.01</v>
      </c>
      <c r="C1206" s="2" vm="4280">
        <f ca="1"/>
        <v>187.99</v>
      </c>
      <c r="D1206" s="2" vm="6466">
        <f ca="1"/>
        <v>177.7</v>
      </c>
      <c r="E1206" s="2" vm="6467">
        <f ca="1"/>
        <v>184.29</v>
      </c>
      <c r="F1206" vm="6468">
        <f ca="1"/>
        <v>31386081</v>
      </c>
    </row>
    <row r="1207" spans="1:6" x14ac:dyDescent="0.2">
      <c r="A1207" s="1" vm="6469">
        <f ca="1"/>
        <v>46195</v>
      </c>
      <c r="B1207" s="2" vm="6470">
        <f ca="1"/>
        <v>182.31</v>
      </c>
      <c r="C1207" s="2" vm="6471">
        <f ca="1"/>
        <v>184.58</v>
      </c>
      <c r="D1207" s="2" vm="4099">
        <f ca="1"/>
        <v>174.4</v>
      </c>
      <c r="E1207" s="2" vm="6472">
        <f ca="1"/>
        <v>175.07</v>
      </c>
      <c r="F1207" vm="6473">
        <f ca="1"/>
        <v>22935420</v>
      </c>
    </row>
    <row r="1208" spans="1:6" x14ac:dyDescent="0.2">
      <c r="A1208" s="1" vm="6474">
        <f ca="1"/>
        <v>46196</v>
      </c>
      <c r="B1208" s="2" vm="5932">
        <f ca="1"/>
        <v>170.23</v>
      </c>
      <c r="C1208" s="2" vm="6475">
        <f ca="1"/>
        <v>174.33</v>
      </c>
      <c r="D1208" s="2" vm="6476">
        <f ca="1"/>
        <v>164.61</v>
      </c>
      <c r="E1208" s="2" vm="6477">
        <f ca="1"/>
        <v>165.16</v>
      </c>
      <c r="F1208" vm="6478">
        <f ca="1"/>
        <v>33327886</v>
      </c>
    </row>
    <row r="1209" spans="1:6" x14ac:dyDescent="0.2">
      <c r="A1209" s="1" vm="6479">
        <f ca="1"/>
        <v>46197</v>
      </c>
      <c r="B1209" s="2" vm="6480">
        <f ca="1"/>
        <v>162.47499999999999</v>
      </c>
      <c r="C1209" s="2" vm="4967">
        <f ca="1"/>
        <v>165.75</v>
      </c>
      <c r="D1209" s="2" vm="6481">
        <f ca="1"/>
        <v>155.35</v>
      </c>
      <c r="E1209" s="2" vm="4927">
        <f ca="1"/>
        <v>157.53</v>
      </c>
      <c r="F1209" vm="6482">
        <f ca="1"/>
        <v>38305028</v>
      </c>
    </row>
    <row r="1210" spans="1:6" x14ac:dyDescent="0.2">
      <c r="A1210" s="1" vm="6483">
        <f ca="1"/>
        <v>46198</v>
      </c>
      <c r="B1210" s="2" vm="6484">
        <f ca="1"/>
        <v>157.35</v>
      </c>
      <c r="C1210" s="2" vm="6485">
        <f ca="1"/>
        <v>157.62</v>
      </c>
      <c r="D1210" s="2" vm="6486">
        <f ca="1"/>
        <v>150.36000000000001</v>
      </c>
      <c r="E1210" s="2" vm="6487">
        <f ca="1"/>
        <v>152.46</v>
      </c>
      <c r="F1210" vm="6488">
        <f ca="1"/>
        <v>36914335</v>
      </c>
    </row>
    <row r="1211" spans="1:6" x14ac:dyDescent="0.2">
      <c r="A1211" s="1" vm="6489">
        <f ca="1"/>
        <v>46199</v>
      </c>
      <c r="B1211" s="2" vm="6490">
        <f ca="1"/>
        <v>150.26</v>
      </c>
      <c r="C1211" s="2" vm="6491">
        <f ca="1"/>
        <v>153.54</v>
      </c>
      <c r="D1211" s="2" vm="6492">
        <f ca="1"/>
        <v>148</v>
      </c>
      <c r="E1211" s="2" vm="6493">
        <f ca="1"/>
        <v>148.53</v>
      </c>
      <c r="F1211" vm="6494">
        <f ca="1"/>
        <v>36532141</v>
      </c>
    </row>
    <row r="1212" spans="1:6" x14ac:dyDescent="0.2">
      <c r="A1212" s="1" vm="6495">
        <f ca="1"/>
        <v>46202</v>
      </c>
      <c r="B1212" s="2" vm="5953">
        <f ca="1"/>
        <v>153.94</v>
      </c>
      <c r="C1212" s="2" vm="4446">
        <f ca="1"/>
        <v>154.5</v>
      </c>
      <c r="D1212" s="2" vm="6496">
        <f ca="1"/>
        <v>145.19999999999999</v>
      </c>
      <c r="E1212" s="2" vm="6497">
        <f ca="1"/>
        <v>147.76</v>
      </c>
      <c r="F1212" vm="6498">
        <f ca="1"/>
        <v>34310313</v>
      </c>
    </row>
    <row r="1213" spans="1:6" x14ac:dyDescent="0.2">
      <c r="A1213" s="1" vm="6499">
        <f ca="1"/>
        <v>46203</v>
      </c>
      <c r="B1213" s="2" vm="6500">
        <f ca="1"/>
        <v>147.25</v>
      </c>
      <c r="C1213" s="2" vm="6501">
        <f ca="1"/>
        <v>149.93</v>
      </c>
      <c r="D1213" s="2" vm="6502">
        <f ca="1"/>
        <v>144.47999999999999</v>
      </c>
      <c r="E1213" s="2" vm="5959">
        <f ca="1"/>
        <v>146.55000000000001</v>
      </c>
      <c r="F1213" vm="6503">
        <f ca="1"/>
        <v>35926860</v>
      </c>
    </row>
    <row r="1214" spans="1:6" x14ac:dyDescent="0.2">
      <c r="A1214" s="1" vm="6504">
        <f ca="1"/>
        <v>46204</v>
      </c>
      <c r="B1214" s="2" vm="6505">
        <f ca="1"/>
        <v>144.49</v>
      </c>
      <c r="C1214" s="2" vm="6506">
        <f ca="1"/>
        <v>147.55000000000001</v>
      </c>
      <c r="D1214" s="2" vm="6507">
        <f ca="1"/>
        <v>142.5</v>
      </c>
      <c r="E1214" s="2" vm="6507">
        <f ca="1"/>
        <v>142.5</v>
      </c>
      <c r="F1214" vm="6508">
        <f ca="1"/>
        <v>45963999</v>
      </c>
    </row>
    <row r="1215" spans="1:6" x14ac:dyDescent="0.2">
      <c r="A1215" s="1" vm="6509">
        <f ca="1"/>
        <v>46205</v>
      </c>
      <c r="B1215" s="2" vm="3957">
        <f ca="1"/>
        <v>143.30000000000001</v>
      </c>
      <c r="C1215" s="2" vm="6510">
        <f ca="1"/>
        <v>147.06</v>
      </c>
      <c r="D1215" s="2" vm="6511">
        <f ca="1"/>
        <v>138.8272</v>
      </c>
      <c r="E1215" s="2" vm="6512">
        <f ca="1"/>
        <v>140.27000000000001</v>
      </c>
      <c r="F1215" vm="6513">
        <f ca="1"/>
        <v>44273642</v>
      </c>
    </row>
    <row r="1216" spans="1:6" x14ac:dyDescent="0.2">
      <c r="A1216" s="1" vm="6514">
        <f ca="1"/>
        <v>46209</v>
      </c>
      <c r="B1216" s="2" vm="6515">
        <f ca="1"/>
        <v>144.30000000000001</v>
      </c>
      <c r="C1216" s="2" vm="6516">
        <f ca="1"/>
        <v>145.62219999999999</v>
      </c>
      <c r="D1216" s="2" vm="3927">
        <f ca="1"/>
        <v>141.16</v>
      </c>
      <c r="E1216" s="2" vm="6517">
        <f ca="1"/>
        <v>143.76</v>
      </c>
      <c r="F1216" vm="6518">
        <f ca="1"/>
        <v>36682951</v>
      </c>
    </row>
    <row r="1217" spans="1:6" x14ac:dyDescent="0.2">
      <c r="A1217" s="1" vm="6519">
        <f ca="1"/>
        <v>46210</v>
      </c>
      <c r="B1217" s="2" vm="3659">
        <f ca="1"/>
        <v>143.72</v>
      </c>
      <c r="C1217" s="2" vm="6520">
        <f ca="1"/>
        <v>145.56</v>
      </c>
      <c r="D1217" s="2" vm="6521">
        <f ca="1"/>
        <v>137.55000000000001</v>
      </c>
      <c r="E1217" s="2" vm="6522">
        <f ca="1"/>
        <v>141.6</v>
      </c>
      <c r="F1217" vm="6523">
        <f ca="1"/>
        <v>47199976</v>
      </c>
    </row>
    <row r="1218" spans="1:6" x14ac:dyDescent="0.2">
      <c r="A1218" s="1" vm="6524">
        <f ca="1"/>
        <v>46211</v>
      </c>
      <c r="B1218" s="2" vm="6525">
        <f ca="1"/>
        <v>139.05500000000001</v>
      </c>
      <c r="C1218" s="2" vm="6526">
        <f ca="1"/>
        <v>141.84</v>
      </c>
      <c r="D1218" s="2" vm="6527">
        <f ca="1"/>
        <v>137.54499999999999</v>
      </c>
      <c r="E1218" s="2" vm="6528">
        <f ca="1"/>
        <v>140.49</v>
      </c>
      <c r="F1218" vm="6529">
        <f ca="1"/>
        <v>34607304</v>
      </c>
    </row>
    <row r="1219" spans="1:6" x14ac:dyDescent="0.2">
      <c r="A1219" s="1" vm="6530">
        <f ca="1"/>
        <v>46212</v>
      </c>
      <c r="B1219" s="2" vm="3683">
        <f ca="1"/>
        <v>141.41999999999999</v>
      </c>
      <c r="C1219" s="2" vm="6531">
        <f ca="1"/>
        <v>149.07</v>
      </c>
      <c r="D1219" s="2" vm="6532">
        <f ca="1"/>
        <v>140.94</v>
      </c>
      <c r="E1219" s="2" vm="3701">
        <f ca="1"/>
        <v>144.22</v>
      </c>
      <c r="F1219" vm="6533">
        <f ca="1"/>
        <v>35221882</v>
      </c>
    </row>
    <row r="1220" spans="1:6" x14ac:dyDescent="0.2">
      <c r="A1220" s="1" vm="6534">
        <f ca="1"/>
        <v>46213</v>
      </c>
      <c r="B1220" s="2" vm="4737">
        <f ca="1"/>
        <v>145.65</v>
      </c>
      <c r="C1220" s="2" vm="6535">
        <f ca="1"/>
        <v>145.68</v>
      </c>
      <c r="D1220" s="2" vm="3637">
        <f ca="1"/>
        <v>139.26</v>
      </c>
      <c r="E1220" s="2" vm="6536">
        <f ca="1"/>
        <v>140.63999999999999</v>
      </c>
      <c r="F1220" vm="6537">
        <f ca="1"/>
        <v>29843309</v>
      </c>
    </row>
    <row r="1221" spans="1:6" x14ac:dyDescent="0.2">
      <c r="A1221" s="1" vm="6538">
        <f ca="1"/>
        <v>46216</v>
      </c>
      <c r="B1221" s="2" vm="6539">
        <f ca="1"/>
        <v>139.03</v>
      </c>
      <c r="C1221" s="2" vm="4840">
        <f ca="1"/>
        <v>139.65</v>
      </c>
      <c r="D1221" s="2" vm="6540">
        <f ca="1"/>
        <v>131.35</v>
      </c>
      <c r="E1221" s="2" vm="6541">
        <f ca="1"/>
        <v>131.54</v>
      </c>
      <c r="F1221" vm="6542">
        <f ca="1"/>
        <v>56690274</v>
      </c>
    </row>
    <row r="1222" spans="1:6" x14ac:dyDescent="0.2">
      <c r="A1222" s="1" vm="6543">
        <f ca="1"/>
        <v>46217</v>
      </c>
      <c r="B1222" s="2" vm="4832">
        <f ca="1"/>
        <v>132</v>
      </c>
      <c r="C1222" s="2" vm="6544">
        <f ca="1"/>
        <v>132.76</v>
      </c>
      <c r="D1222" s="2" vm="3395">
        <f ca="1"/>
        <v>127.6</v>
      </c>
      <c r="E1222" s="2" vm="6545">
        <f ca="1"/>
        <v>127.94</v>
      </c>
      <c r="F1222" vm="6546">
        <f ca="1"/>
        <v>52670410</v>
      </c>
    </row>
    <row r="1223" spans="1:6" x14ac:dyDescent="0.2">
      <c r="A1223" s="1" vm="6547">
        <f ca="1"/>
        <v>46218</v>
      </c>
      <c r="B1223" s="2" vm="6548">
        <f ca="1"/>
        <v>130.56</v>
      </c>
      <c r="C1223" s="2" vm="6549">
        <f ca="1"/>
        <v>133.9</v>
      </c>
      <c r="D1223" s="2" vm="4787">
        <f ca="1"/>
        <v>128.84</v>
      </c>
      <c r="E1223" s="2" vm="6550">
        <f ca="1"/>
        <v>132.49</v>
      </c>
      <c r="F1223" vm="6551">
        <f ca="1"/>
        <v>48520434</v>
      </c>
    </row>
    <row r="1224" spans="1:6" x14ac:dyDescent="0.2">
      <c r="A1224" s="1" vm="6552">
        <f ca="1"/>
        <v>46219</v>
      </c>
      <c r="B1224" s="2" vm="6553">
        <f ca="1"/>
        <v>131.47499999999999</v>
      </c>
      <c r="C1224" s="2" vm="6554">
        <f ca="1"/>
        <v>131.78</v>
      </c>
      <c r="D1224" s="2" vm="6555">
        <f ca="1"/>
        <v>123.66</v>
      </c>
      <c r="E1224" s="2" vm="3609">
        <f ca="1"/>
        <v>124.21</v>
      </c>
      <c r="F1224" vm="6556">
        <f ca="1"/>
        <v>54780940</v>
      </c>
    </row>
    <row r="1225" spans="1:6" x14ac:dyDescent="0.2">
      <c r="A1225" s="1" vm="6557">
        <f ca="1"/>
        <v>46220</v>
      </c>
      <c r="B1225" s="2" vm="6558">
        <f ca="1"/>
        <v>121.7</v>
      </c>
      <c r="C1225" s="2" vm="6559">
        <f ca="1"/>
        <v>128.435</v>
      </c>
      <c r="D1225" s="2" vm="6560">
        <f ca="1"/>
        <v>121.5</v>
      </c>
      <c r="E1225" s="2" vm="6561">
        <f ca="1"/>
        <v>126.41</v>
      </c>
      <c r="F1225" vm="6562">
        <f ca="1"/>
        <v>39917140</v>
      </c>
    </row>
    <row r="1226" spans="1:6" x14ac:dyDescent="0.2">
      <c r="A1226" s="1" vm="6563">
        <f ca="1"/>
        <v>46223</v>
      </c>
      <c r="B1226" s="2" vm="3605">
        <f ca="1"/>
        <v>124.27</v>
      </c>
      <c r="C1226" s="2" vm="6564">
        <f ca="1"/>
        <v>125.4897</v>
      </c>
      <c r="D1226" s="2" vm="6565">
        <f ca="1"/>
        <v>120.03</v>
      </c>
      <c r="E1226" s="2" vm="6566">
        <f ca="1"/>
        <v>121.38</v>
      </c>
      <c r="F1226" vm="6567">
        <f ca="1"/>
        <v>36793230</v>
      </c>
    </row>
    <row r="1227" spans="1:6" x14ac:dyDescent="0.2">
      <c r="A1227" s="1" vm="6568">
        <f ca="1"/>
        <v>46224</v>
      </c>
      <c r="B1227" s="2" vm="6569">
        <f ca="1"/>
        <v>122.81</v>
      </c>
      <c r="C1227" s="2" vm="6570">
        <f ca="1"/>
        <v>127.42</v>
      </c>
      <c r="D1227" s="2" vm="6571">
        <f ca="1"/>
        <v>122.21</v>
      </c>
      <c r="E1227" s="2" vm="6572">
        <f ca="1"/>
        <v>127.05</v>
      </c>
      <c r="F1227" vm="6573">
        <f ca="1"/>
        <v>27748087</v>
      </c>
    </row>
    <row r="1228" spans="1:6" x14ac:dyDescent="0.2">
      <c r="A1228" s="1" vm="6574">
        <f ca="1"/>
        <v>46225</v>
      </c>
      <c r="B1228" s="2" vm="6575">
        <f ca="1"/>
        <v>126.18</v>
      </c>
      <c r="C1228" s="2" vm="4787">
        <f ca="1"/>
        <v>128.84</v>
      </c>
      <c r="D1228" s="2" vm="6576">
        <f ca="1"/>
        <v>124.7</v>
      </c>
      <c r="E1228" s="2" vm="3362">
        <f ca="1"/>
        <v>125.84</v>
      </c>
      <c r="F1228" vm="6577">
        <f ca="1"/>
        <v>21096693</v>
      </c>
    </row>
    <row r="1229" spans="1:6" x14ac:dyDescent="0.2">
      <c r="A1229" s="1" vm="6578">
        <f ca="1"/>
        <v>46226</v>
      </c>
      <c r="B1229" s="2" vm="6579">
        <f ca="1"/>
        <v>123.96</v>
      </c>
      <c r="C1229" s="2" vm="6576">
        <f ca="1"/>
        <v>124.7</v>
      </c>
      <c r="D1229" s="2" vm="3438">
        <f ca="1"/>
        <v>119.44</v>
      </c>
      <c r="E1229" s="2" vm="6580">
        <f ca="1"/>
        <v>120.04</v>
      </c>
      <c r="F1229" vm="6581">
        <f ca="1"/>
        <v>30900642</v>
      </c>
    </row>
    <row r="1230" spans="1:6" x14ac:dyDescent="0.2">
      <c r="A1230" s="1" vm="6582">
        <f ca="1"/>
        <v>46227</v>
      </c>
      <c r="B1230" s="2" vm="3437">
        <f ca="1"/>
        <v>122.47</v>
      </c>
      <c r="C1230" s="2" vm="3419">
        <f ca="1"/>
        <v>123.08</v>
      </c>
      <c r="D1230" s="2" vm="3300">
        <f ca="1"/>
        <v>114.75</v>
      </c>
      <c r="E1230" s="2" vm="2983">
        <f ca="1"/>
        <v>114.99</v>
      </c>
      <c r="F1230" vm="6583">
        <f ca="1"/>
        <v>46405702</v>
      </c>
    </row>
    <row r="1231" spans="1:6" x14ac:dyDescent="0.2">
      <c r="A1231" s="1" vm="6584">
        <f ca="1"/>
        <v>46230</v>
      </c>
      <c r="B1231" s="2" vm="3500">
        <f ca="1"/>
        <v>118</v>
      </c>
      <c r="C1231" s="2" vm="6585">
        <f ca="1"/>
        <v>121.99</v>
      </c>
      <c r="D1231" s="2" vm="2958">
        <f ca="1"/>
        <v>116.8</v>
      </c>
      <c r="E1231" s="2" vm="2365">
        <f ca="1"/>
        <v>119.9</v>
      </c>
      <c r="F1231" vm="6586">
        <f ca="1"/>
        <v>36916623</v>
      </c>
    </row>
    <row r="1232" spans="1:6" x14ac:dyDescent="0.2">
      <c r="A1232" s="1" vm="6587">
        <f ca="1"/>
        <v>46231</v>
      </c>
      <c r="B1232" s="2" vm="2446">
        <f ca="1"/>
        <v>118.18</v>
      </c>
      <c r="C1232" s="2" vm="6588">
        <f ca="1"/>
        <v>122.33</v>
      </c>
      <c r="D1232" s="2" vm="2577">
        <f ca="1"/>
        <v>114.5</v>
      </c>
      <c r="E1232" s="2" vm="6589">
        <f ca="1"/>
        <v>119.96</v>
      </c>
      <c r="F1232" vm="6590">
        <f ca="1"/>
        <v>32665418</v>
      </c>
    </row>
    <row r="1233" spans="1:6" x14ac:dyDescent="0.2">
      <c r="A1233" s="1" vm="6591">
        <f ca="1"/>
        <v>46232</v>
      </c>
      <c r="B1233" s="2" vm="6592">
        <f ca="1"/>
        <v>119.42</v>
      </c>
      <c r="C1233" s="2" vm="6593">
        <f ca="1"/>
        <v>121.92</v>
      </c>
      <c r="D1233" s="2" vm="6594">
        <f ca="1"/>
        <v>116.2</v>
      </c>
      <c r="E1233" s="2" vm="6595">
        <f ca="1"/>
        <v>117.74</v>
      </c>
      <c r="F1233" vm="6596">
        <f ca="1"/>
        <v>28081771</v>
      </c>
    </row>
    <row r="1234" spans="1:6" x14ac:dyDescent="0.2">
      <c r="A1234" s="1" vm="6597">
        <f ca="1"/>
        <v>46233</v>
      </c>
      <c r="B1234" s="2" vm="6598">
        <f ca="1"/>
        <v>122.87</v>
      </c>
      <c r="C1234" s="2" vm="3852">
        <f ca="1"/>
        <v>128.34</v>
      </c>
      <c r="D1234" s="2" vm="6599">
        <f ca="1"/>
        <v>121.58</v>
      </c>
      <c r="E1234" s="2" vm="6600">
        <f ca="1"/>
        <v>127.56</v>
      </c>
      <c r="F1234" vm="6601">
        <f ca="1"/>
        <v>41338393</v>
      </c>
    </row>
    <row r="1235" spans="1:6" x14ac:dyDescent="0.2">
      <c r="A1235" s="1" vm="6602">
        <f ca="1"/>
        <v>46234</v>
      </c>
      <c r="B1235" s="2" vm="6603">
        <f ca="1"/>
        <v>130.07</v>
      </c>
      <c r="C1235" s="2" vm="6604">
        <f ca="1"/>
        <v>132.4</v>
      </c>
      <c r="D1235" s="2" vm="6605">
        <f ca="1"/>
        <v>125.7</v>
      </c>
      <c r="E1235" s="2" vm="6606">
        <f ca="1"/>
        <v>129.87</v>
      </c>
      <c r="F1235" vm="6607">
        <f ca="1"/>
        <v>34438662</v>
      </c>
    </row>
    <row r="1236" spans="1:6" x14ac:dyDescent="0.2">
      <c r="A1236" s="1" vm="6608">
        <f ca="1"/>
        <v>46237</v>
      </c>
      <c r="B1236" s="2" vm="6609">
        <f ca="1"/>
        <v>131.91999999999999</v>
      </c>
      <c r="C1236" s="2" vm="3750">
        <f ca="1"/>
        <v>143.07</v>
      </c>
      <c r="D1236" s="2" vm="6610">
        <f ca="1"/>
        <v>130.21</v>
      </c>
      <c r="E1236" s="2" vm="6611">
        <f ca="1"/>
        <v>141.85</v>
      </c>
      <c r="F1236" vm="6612">
        <f ca="1"/>
        <v>49696896</v>
      </c>
    </row>
    <row r="1237" spans="1:6" x14ac:dyDescent="0.2">
      <c r="A1237" s="1" vm="6613">
        <f ca="1"/>
        <v>46238</v>
      </c>
      <c r="B1237" s="2" vm="6614">
        <f ca="1"/>
        <v>141.01</v>
      </c>
      <c r="C1237" s="2" vm="6615">
        <f ca="1"/>
        <v>148.69999999999999</v>
      </c>
      <c r="D1237" s="2" vm="6614">
        <f ca="1"/>
        <v>141.01</v>
      </c>
      <c r="E1237" s="2" vm="6616">
        <f ca="1"/>
        <v>145.74</v>
      </c>
      <c r="F1237" vm="6617">
        <f ca="1"/>
        <v>43723491</v>
      </c>
    </row>
    <row r="1238" spans="1:6" x14ac:dyDescent="0.2">
      <c r="A1238" s="1" vm="6618">
        <f ca="1"/>
        <v>46239</v>
      </c>
      <c r="B1238" s="2" vm="6619">
        <f ca="1"/>
        <v>145</v>
      </c>
      <c r="C1238" s="2" vm="6620">
        <f ca="1"/>
        <v>146.38990000000001</v>
      </c>
      <c r="D1238" s="2" vm="6507">
        <f ca="1"/>
        <v>142.5</v>
      </c>
      <c r="E1238" s="2" vm="6621">
        <f ca="1"/>
        <v>144.38999999999999</v>
      </c>
      <c r="F1238" vm="6622">
        <f ca="1"/>
        <v>23524074</v>
      </c>
    </row>
    <row r="1239" spans="1:6" x14ac:dyDescent="0.2">
      <c r="A1239" s="1" vm="6623">
        <f ca="1"/>
        <v>46240</v>
      </c>
      <c r="B1239" s="2" vm="3682">
        <f ca="1"/>
        <v>139.25</v>
      </c>
      <c r="C1239" s="2" vm="6624">
        <f ca="1"/>
        <v>146.58000000000001</v>
      </c>
      <c r="D1239" s="2" vm="6625">
        <f ca="1"/>
        <v>138.72</v>
      </c>
      <c r="E1239" s="2" vm="6626">
        <f ca="1"/>
        <v>143.47</v>
      </c>
      <c r="F1239" vm="6627">
        <f ca="1"/>
        <v>23073334</v>
      </c>
    </row>
    <row r="1240" spans="1:6" x14ac:dyDescent="0.2">
      <c r="A1240" s="1" vm="6628">
        <f ca="1"/>
        <v>46241</v>
      </c>
      <c r="B1240" s="2" vm="3654">
        <f ca="1"/>
        <v>145.32</v>
      </c>
      <c r="C1240" s="2" vm="6629">
        <f ca="1"/>
        <v>147.16</v>
      </c>
      <c r="D1240" s="2" vm="6630">
        <f ca="1"/>
        <v>142.34</v>
      </c>
      <c r="E1240" s="2" vm="6631">
        <f ca="1"/>
        <v>147.02000000000001</v>
      </c>
      <c r="F1240" vm="6632">
        <f ca="1"/>
        <v>22874018</v>
      </c>
    </row>
    <row r="1241" spans="1:6" x14ac:dyDescent="0.2">
      <c r="A1241" s="1" vm="6633">
        <f ca="1"/>
        <v>46244</v>
      </c>
      <c r="B1241" s="2" vm="6634">
        <f ca="1"/>
        <v>148.26</v>
      </c>
      <c r="C1241" s="2" vm="6635">
        <f ca="1"/>
        <v>151.99</v>
      </c>
      <c r="D1241" s="2" vm="6636">
        <f ca="1"/>
        <v>146.62</v>
      </c>
      <c r="E1241" s="2" vm="6637">
        <f ca="1"/>
        <v>151.05000000000001</v>
      </c>
      <c r="F1241" vm="6638">
        <f ca="1"/>
        <v>24265023</v>
      </c>
    </row>
    <row r="1242" spans="1:6" x14ac:dyDescent="0.2">
      <c r="A1242" s="1" vm="6639">
        <f ca="1"/>
        <v>46245</v>
      </c>
      <c r="B1242" s="2" vm="6640">
        <f ca="1"/>
        <v>151.19999999999999</v>
      </c>
      <c r="C1242" s="2" vm="6635">
        <f ca="1"/>
        <v>151.99</v>
      </c>
      <c r="D1242" s="2" vm="6641">
        <f ca="1"/>
        <v>144.24</v>
      </c>
      <c r="E1242" s="2" vm="4675">
        <f ca="1"/>
        <v>145.47999999999999</v>
      </c>
      <c r="F1242" vm="6642">
        <f ca="1"/>
        <v>28761753</v>
      </c>
    </row>
    <row r="1243" spans="1:6" x14ac:dyDescent="0.2">
      <c r="A1243" s="1" vm="6643">
        <f ca="1"/>
        <v>46246</v>
      </c>
      <c r="B1243" s="2" vm="6644">
        <f ca="1"/>
        <v>152.81</v>
      </c>
      <c r="C1243" s="2" vm="6645">
        <f ca="1"/>
        <v>154.88999999999999</v>
      </c>
      <c r="D1243" s="2" vm="4755">
        <f ca="1"/>
        <v>147.88999999999999</v>
      </c>
      <c r="E1243" s="2" vm="6646">
        <f ca="1"/>
        <v>153.28</v>
      </c>
      <c r="F1243" vm="6647">
        <f ca="1"/>
        <v>43559358</v>
      </c>
    </row>
    <row r="1244" spans="1:6" x14ac:dyDescent="0.2">
      <c r="A1244" s="1" vm="6648">
        <f ca="1"/>
        <v>46247</v>
      </c>
      <c r="B1244" s="2" vm="6649">
        <f ca="1"/>
        <v>151.97999999999999</v>
      </c>
      <c r="C1244" s="2" vm="6650">
        <f ca="1"/>
        <v>159.26</v>
      </c>
      <c r="D1244" s="2" vm="6651">
        <f ca="1"/>
        <v>151.91</v>
      </c>
      <c r="E1244" s="2" vm="6652">
        <f ca="1"/>
        <v>156.22</v>
      </c>
      <c r="F1244" vm="6653">
        <f ca="1"/>
        <v>25739974</v>
      </c>
    </row>
    <row r="1245" spans="1:6" x14ac:dyDescent="0.2">
      <c r="A1245" s="1" vm="6654">
        <f ca="1"/>
        <v>46248</v>
      </c>
      <c r="B1245" s="2" vm="6655">
        <f ca="1"/>
        <v>155.84</v>
      </c>
      <c r="C1245" s="2" vm="6656">
        <f ca="1"/>
        <v>156.38999999999999</v>
      </c>
      <c r="D1245" s="2" vm="6657">
        <f ca="1"/>
        <v>148.80009999999999</v>
      </c>
      <c r="E1245" s="2" vm="6658">
        <f ca="1"/>
        <v>150.52000000000001</v>
      </c>
      <c r="F1245" vm="6659">
        <f ca="1"/>
        <v>21905468</v>
      </c>
    </row>
    <row r="1246" spans="1:6" x14ac:dyDescent="0.2">
      <c r="A1246" s="1" vm="6660">
        <f ca="1"/>
        <v>46251</v>
      </c>
      <c r="B1246" s="2" vm="6079">
        <f ca="1"/>
        <v>148.44999999999999</v>
      </c>
      <c r="C1246" s="2" vm="4685">
        <f ca="1"/>
        <v>150.4</v>
      </c>
      <c r="D1246" s="2" vm="6661">
        <f ca="1"/>
        <v>145.5</v>
      </c>
      <c r="E1246" s="2" vm="6662">
        <f ca="1"/>
        <v>146.65</v>
      </c>
      <c r="F1246" vm="6663">
        <f ca="1"/>
        <v>20667953</v>
      </c>
    </row>
    <row r="1247" spans="1:6" x14ac:dyDescent="0.2">
      <c r="A1247" s="1" vm="6664">
        <f ca="1"/>
        <v>46252</v>
      </c>
      <c r="B1247" s="2" vm="4749">
        <f ca="1"/>
        <v>143.25</v>
      </c>
      <c r="C1247" s="2" vm="6665">
        <f ca="1"/>
        <v>146</v>
      </c>
      <c r="D1247" s="2" vm="6666">
        <f ca="1"/>
        <v>142.35</v>
      </c>
      <c r="E1247" s="2" vm="6667">
        <f ca="1"/>
        <v>142.79</v>
      </c>
      <c r="F1247" vm="6668">
        <f ca="1"/>
        <v>19152301</v>
      </c>
    </row>
    <row r="1248" spans="1:6" x14ac:dyDescent="0.2">
      <c r="A1248" s="1" vm="6669">
        <f ca="1"/>
        <v>46253</v>
      </c>
      <c r="B1248" s="2" vm="6670">
        <f ca="1"/>
        <v>142.69499999999999</v>
      </c>
      <c r="C1248" s="2" vm="6039">
        <f ca="1"/>
        <v>146.08000000000001</v>
      </c>
      <c r="D1248" s="2" vm="6671">
        <f ca="1"/>
        <v>137.43</v>
      </c>
      <c r="E1248" s="2" vm="6672">
        <f ca="1"/>
        <v>143.81</v>
      </c>
      <c r="F1248" vm="6673">
        <f ca="1"/>
        <v>26552896</v>
      </c>
    </row>
    <row r="1249" spans="1:6" x14ac:dyDescent="0.2">
      <c r="A1249" s="1" vm="6674">
        <f ca="1"/>
        <v>46254</v>
      </c>
      <c r="B1249" s="2" vm="6515">
        <f ca="1"/>
        <v>144.30000000000001</v>
      </c>
      <c r="C1249" s="2" vm="6675">
        <f ca="1"/>
        <v>145.91999999999999</v>
      </c>
      <c r="D1249" s="2" vm="6676">
        <f ca="1"/>
        <v>141.02000000000001</v>
      </c>
      <c r="E1249" s="2" vm="3733">
        <f ca="1"/>
        <v>142.07</v>
      </c>
      <c r="F1249" vm="6677">
        <f ca="1"/>
        <v>15184406</v>
      </c>
    </row>
    <row r="1250" spans="1:6" x14ac:dyDescent="0.2">
      <c r="A1250" s="1" vm="6678">
        <f ca="1"/>
        <v>46255</v>
      </c>
      <c r="B1250" s="2" vm="6679">
        <f ca="1"/>
        <v>143.715</v>
      </c>
      <c r="C1250" s="2" vm="6680">
        <f ca="1"/>
        <v>148.35</v>
      </c>
      <c r="D1250" s="2" vm="6681">
        <f ca="1"/>
        <v>142.6</v>
      </c>
      <c r="E1250" s="2" vm="6145">
        <f ca="1"/>
        <v>146.47</v>
      </c>
      <c r="F1250" vm="6682">
        <f ca="1"/>
        <v>19635031</v>
      </c>
    </row>
    <row r="1251" spans="1:6" x14ac:dyDescent="0.2">
      <c r="A1251" s="1" vm="6683">
        <f ca="1"/>
        <v>46258</v>
      </c>
      <c r="B1251" s="2" vm="6684">
        <f ca="1"/>
        <v>145.12</v>
      </c>
      <c r="C1251" s="2" vm="6684">
        <f ca="1"/>
        <v>145.12</v>
      </c>
      <c r="D1251" s="2" vm="6685">
        <f ca="1"/>
        <v>141.25</v>
      </c>
      <c r="E1251" s="2" vm="6686">
        <f ca="1"/>
        <v>142.44999999999999</v>
      </c>
      <c r="F1251" vm="6687">
        <f ca="1"/>
        <v>14158571</v>
      </c>
    </row>
    <row r="1252" spans="1:6" x14ac:dyDescent="0.2">
      <c r="A1252" s="1" vm="6688">
        <f ca="1"/>
        <v>46259</v>
      </c>
      <c r="B1252" s="2" vm="3957">
        <f ca="1"/>
        <v>143.30000000000001</v>
      </c>
      <c r="C1252" s="2" vm="6689">
        <f ca="1"/>
        <v>146.33500000000001</v>
      </c>
      <c r="D1252" s="2" vm="6690">
        <f ca="1"/>
        <v>142.51</v>
      </c>
      <c r="E1252" s="2" vm="3718">
        <f ca="1"/>
        <v>144.76</v>
      </c>
      <c r="F1252" vm="6691">
        <f ca="1"/>
        <v>13329370</v>
      </c>
    </row>
    <row r="1253" spans="1:6" x14ac:dyDescent="0.2">
      <c r="A1253" s="1" vm="6692">
        <f ca="1"/>
        <v>46260</v>
      </c>
      <c r="B1253" s="2" vm="5971">
        <f ca="1"/>
        <v>147</v>
      </c>
      <c r="C1253" s="2" vm="6693">
        <f ca="1"/>
        <v>151.63</v>
      </c>
      <c r="D1253" s="2" vm="6694">
        <f ca="1"/>
        <v>146.82499999999999</v>
      </c>
      <c r="E1253" s="2" vm="6695">
        <f ca="1"/>
        <v>148.87</v>
      </c>
      <c r="F1253" vm="6696">
        <f ca="1"/>
        <v>18426066</v>
      </c>
    </row>
    <row r="1254" spans="1:6" x14ac:dyDescent="0.2">
      <c r="A1254" s="1" vm="6697">
        <f ca="1"/>
        <v>46261</v>
      </c>
      <c r="B1254" vm="6698">
        <f ca="1"/>
        <v>152.10599999999999</v>
      </c>
      <c r="C1254" vm="6699">
        <f ca="1"/>
        <v>153.83000000000001</v>
      </c>
      <c r="D1254" vm="6700">
        <f ca="1"/>
        <v>147.52000000000001</v>
      </c>
      <c r="E1254" vm="6701">
        <f ca="1"/>
        <v>151.94</v>
      </c>
      <c r="F1254" vm="6702">
        <f ca="1"/>
        <v>30251433</v>
      </c>
    </row>
    <row r="1255" spans="1:6" x14ac:dyDescent="0.2">
      <c r="A1255" s="1" vm="6703">
        <f ca="1"/>
        <v>46262</v>
      </c>
      <c r="B1255" vm="6704">
        <f ca="1"/>
        <v>153.6</v>
      </c>
      <c r="C1255" vm="6014">
        <f ca="1"/>
        <v>153.99</v>
      </c>
      <c r="D1255" vm="6705">
        <f ca="1"/>
        <v>149.71</v>
      </c>
      <c r="E1255" vm="6706">
        <f ca="1"/>
        <v>150.85</v>
      </c>
      <c r="F1255" vm="6707">
        <f ca="1"/>
        <v>17799963</v>
      </c>
    </row>
    <row r="1256" spans="1:6" x14ac:dyDescent="0.2">
      <c r="A1256" s="1" vm="6708">
        <f ca="1"/>
        <v>46265</v>
      </c>
      <c r="B1256" s="2" vm="6709">
        <f ca="1"/>
        <v>149.31</v>
      </c>
      <c r="C1256" s="2" vm="6710">
        <f ca="1"/>
        <v>151.26</v>
      </c>
      <c r="D1256" s="2" vm="6711">
        <f ca="1"/>
        <v>147.75</v>
      </c>
      <c r="E1256" s="2" vm="6712">
        <f ca="1"/>
        <v>149.12</v>
      </c>
      <c r="F1256" vm="6713">
        <f ca="1"/>
        <v>16118904</v>
      </c>
    </row>
    <row r="1257" spans="1:6" x14ac:dyDescent="0.2">
      <c r="A1257" s="1" vm="6714">
        <f ca="1"/>
        <v>46266</v>
      </c>
      <c r="B1257" s="2" vm="6715">
        <f ca="1"/>
        <v>146.75</v>
      </c>
      <c r="C1257" s="2" vm="6716">
        <f ca="1"/>
        <v>146.79</v>
      </c>
      <c r="D1257" s="2" vm="6717">
        <f ca="1"/>
        <v>139.94999999999999</v>
      </c>
      <c r="E1257" s="2" vm="6718">
        <f ca="1"/>
        <v>141.32</v>
      </c>
      <c r="F1257" vm="6719">
        <f ca="1"/>
        <v>25443267</v>
      </c>
    </row>
    <row r="1258" spans="1:6" x14ac:dyDescent="0.2">
      <c r="A1258" s="1" vm="6720">
        <f ca="1"/>
        <v>46267</v>
      </c>
      <c r="B1258" s="2" vm="6721">
        <f ca="1"/>
        <v>140.26</v>
      </c>
      <c r="C1258" s="2" vm="6722">
        <f ca="1"/>
        <v>146.69</v>
      </c>
      <c r="D1258" s="2" vm="6201">
        <f ca="1"/>
        <v>139.72</v>
      </c>
      <c r="E1258" s="2" vm="6723">
        <f ca="1"/>
        <v>145.75</v>
      </c>
      <c r="F1258" vm="6724">
        <f ca="1"/>
        <v>21906714</v>
      </c>
    </row>
    <row r="1259" spans="1:6" x14ac:dyDescent="0.2">
      <c r="A1259" s="1" vm="6725">
        <f ca="1"/>
        <v>46268</v>
      </c>
      <c r="B1259" s="2" vm="6726">
        <f ca="1"/>
        <v>147.27000000000001</v>
      </c>
      <c r="C1259" s="2" vm="6727">
        <f ca="1"/>
        <v>156.77000000000001</v>
      </c>
      <c r="D1259" s="2" vm="6728">
        <f ca="1"/>
        <v>146.91999999999999</v>
      </c>
      <c r="E1259" s="2" vm="6729">
        <f ca="1"/>
        <v>154.04</v>
      </c>
      <c r="F1259" vm="6730">
        <f ca="1"/>
        <v>25101731</v>
      </c>
    </row>
    <row r="1260" spans="1:6" x14ac:dyDescent="0.2">
      <c r="A1260" s="1" vm="6731">
        <f ca="1"/>
        <v>46269</v>
      </c>
      <c r="B1260" s="2" vm="6732">
        <f ca="1"/>
        <v>159.45500000000001</v>
      </c>
      <c r="C1260" s="2" vm="6733">
        <f ca="1"/>
        <v>159.69999999999999</v>
      </c>
      <c r="D1260" s="2" vm="6734">
        <f ca="1"/>
        <v>156.71</v>
      </c>
      <c r="E1260" s="2" vm="6735">
        <f ca="1"/>
        <v>158.78</v>
      </c>
      <c r="F1260" vm="6736">
        <f ca="1"/>
        <v>26511284</v>
      </c>
    </row>
    <row r="1261" spans="1:6" x14ac:dyDescent="0.2">
      <c r="A1261" s="1"/>
      <c r="B1261" s="2"/>
      <c r="C1261" s="2"/>
      <c r="D1261" s="2"/>
      <c r="E1261" s="2"/>
    </row>
    <row r="1262" spans="1:6" x14ac:dyDescent="0.2">
      <c r="A1262" s="1"/>
      <c r="B1262" s="2"/>
      <c r="C1262" s="2"/>
      <c r="D1262" s="2"/>
      <c r="E1262" s="2"/>
    </row>
    <row r="1263" spans="1:6" x14ac:dyDescent="0.2">
      <c r="A1263" s="1"/>
      <c r="B1263" s="2"/>
      <c r="C1263" s="2"/>
      <c r="D1263" s="2"/>
      <c r="E1263" s="2"/>
    </row>
    <row r="1264" spans="1:6" x14ac:dyDescent="0.2">
      <c r="A1264" s="1"/>
      <c r="B1264" s="2"/>
      <c r="C1264" s="2"/>
      <c r="D1264" s="2"/>
      <c r="E1264" s="2"/>
    </row>
    <row r="1265" spans="1:5" x14ac:dyDescent="0.2">
      <c r="A1265" s="1"/>
      <c r="B1265" s="2"/>
      <c r="C1265" s="2"/>
      <c r="D1265" s="2"/>
      <c r="E1265" s="2"/>
    </row>
    <row r="1266" spans="1:5" x14ac:dyDescent="0.2">
      <c r="A1266" s="1"/>
      <c r="B1266" s="2"/>
      <c r="C1266" s="2"/>
      <c r="D1266" s="2"/>
      <c r="E1266" s="2"/>
    </row>
    <row r="1267" spans="1:5" x14ac:dyDescent="0.2">
      <c r="A1267" s="1"/>
      <c r="B1267" s="2"/>
      <c r="C1267" s="2"/>
      <c r="D1267" s="2"/>
      <c r="E1267" s="2"/>
    </row>
    <row r="1268" spans="1:5" x14ac:dyDescent="0.2">
      <c r="A1268" s="1"/>
      <c r="B1268" s="2"/>
      <c r="C1268" s="2"/>
      <c r="D1268" s="2"/>
      <c r="E1268" s="2"/>
    </row>
    <row r="1269" spans="1:5" x14ac:dyDescent="0.2">
      <c r="A1269" s="1"/>
      <c r="B1269" s="2"/>
      <c r="C1269" s="2"/>
      <c r="D1269" s="2"/>
      <c r="E1269" s="2"/>
    </row>
    <row r="1270" spans="1:5" x14ac:dyDescent="0.2">
      <c r="A1270" s="1"/>
      <c r="B1270" s="2"/>
      <c r="C1270" s="2"/>
      <c r="D1270" s="2"/>
      <c r="E1270" s="2"/>
    </row>
    <row r="1271" spans="1:5" x14ac:dyDescent="0.2">
      <c r="A1271" s="1"/>
      <c r="B1271" s="2"/>
      <c r="C1271" s="2"/>
      <c r="D1271" s="2"/>
      <c r="E1271" s="2"/>
    </row>
    <row r="1272" spans="1:5" x14ac:dyDescent="0.2">
      <c r="A1272" s="1"/>
      <c r="B1272" s="2"/>
      <c r="C1272" s="2"/>
      <c r="D1272" s="2"/>
      <c r="E1272" s="2"/>
    </row>
    <row r="1273" spans="1:5" x14ac:dyDescent="0.2">
      <c r="A1273" s="1"/>
      <c r="B1273" s="2"/>
      <c r="C1273" s="2"/>
      <c r="D1273" s="2"/>
      <c r="E1273" s="2"/>
    </row>
    <row r="1274" spans="1:5" x14ac:dyDescent="0.2">
      <c r="A1274" s="1"/>
      <c r="B1274" s="2"/>
      <c r="C1274" s="2"/>
      <c r="D1274" s="2"/>
      <c r="E1274" s="2"/>
    </row>
    <row r="1275" spans="1:5" x14ac:dyDescent="0.2">
      <c r="A1275" s="1"/>
      <c r="B1275" s="2"/>
      <c r="C1275" s="2"/>
      <c r="D1275" s="2"/>
      <c r="E1275" s="2"/>
    </row>
    <row r="1276" spans="1:5" x14ac:dyDescent="0.2">
      <c r="A1276" s="1"/>
      <c r="B1276" s="2"/>
      <c r="C1276" s="2"/>
      <c r="D1276" s="2"/>
      <c r="E1276" s="2"/>
    </row>
    <row r="1277" spans="1:5" x14ac:dyDescent="0.2">
      <c r="A1277" s="1"/>
      <c r="B1277" s="2"/>
      <c r="C1277" s="2"/>
      <c r="D1277" s="2"/>
      <c r="E1277" s="2"/>
    </row>
    <row r="1278" spans="1:5" x14ac:dyDescent="0.2">
      <c r="A1278" s="1"/>
      <c r="B1278" s="2"/>
      <c r="C1278" s="2"/>
      <c r="D1278" s="2"/>
      <c r="E1278" s="2"/>
    </row>
    <row r="1279" spans="1:5" x14ac:dyDescent="0.2">
      <c r="A1279" s="1"/>
      <c r="B1279" s="2"/>
      <c r="C1279" s="2"/>
      <c r="D1279" s="2"/>
      <c r="E1279" s="2"/>
    </row>
    <row r="1280" spans="1:5" x14ac:dyDescent="0.2">
      <c r="A1280" s="1"/>
      <c r="B1280" s="2"/>
      <c r="C1280" s="2"/>
      <c r="D1280" s="2"/>
      <c r="E1280" s="2"/>
    </row>
    <row r="1281" spans="1:5" x14ac:dyDescent="0.2">
      <c r="A1281" s="1"/>
      <c r="B1281" s="2"/>
      <c r="C1281" s="2"/>
      <c r="D1281" s="2"/>
      <c r="E1281" s="2"/>
    </row>
    <row r="1282" spans="1:5" x14ac:dyDescent="0.2">
      <c r="A1282" s="1"/>
      <c r="B1282" s="2"/>
      <c r="C1282" s="2"/>
      <c r="D1282" s="2"/>
      <c r="E1282" s="2"/>
    </row>
    <row r="1283" spans="1:5" x14ac:dyDescent="0.2">
      <c r="A1283" s="1"/>
      <c r="B1283" s="2"/>
      <c r="C1283" s="2"/>
      <c r="D1283" s="2"/>
      <c r="E1283" s="2"/>
    </row>
    <row r="1284" spans="1:5" x14ac:dyDescent="0.2">
      <c r="A1284" s="1"/>
      <c r="B1284" s="2"/>
      <c r="C1284" s="2"/>
      <c r="D1284" s="2"/>
      <c r="E1284" s="2"/>
    </row>
    <row r="1285" spans="1:5" x14ac:dyDescent="0.2">
      <c r="A1285" s="1"/>
      <c r="B1285" s="2"/>
      <c r="C1285" s="2"/>
      <c r="D1285" s="2"/>
      <c r="E1285" s="2"/>
    </row>
    <row r="1286" spans="1:5" x14ac:dyDescent="0.2">
      <c r="A1286" s="1"/>
      <c r="B1286" s="2"/>
      <c r="C1286" s="2"/>
      <c r="D1286" s="2"/>
      <c r="E1286" s="2"/>
    </row>
    <row r="1287" spans="1:5" x14ac:dyDescent="0.2">
      <c r="A1287" s="1"/>
      <c r="B1287" s="2"/>
      <c r="C1287" s="2"/>
      <c r="D1287" s="2"/>
      <c r="E1287" s="2"/>
    </row>
    <row r="1288" spans="1:5" x14ac:dyDescent="0.2">
      <c r="A1288" s="1"/>
      <c r="B1288" s="2"/>
      <c r="C1288" s="2"/>
      <c r="D1288" s="2"/>
      <c r="E1288" s="2"/>
    </row>
    <row r="1289" spans="1:5" x14ac:dyDescent="0.2">
      <c r="A1289" s="1"/>
      <c r="B1289" s="2"/>
      <c r="C1289" s="2"/>
      <c r="D1289" s="2"/>
      <c r="E1289" s="2"/>
    </row>
    <row r="1290" spans="1:5" x14ac:dyDescent="0.2">
      <c r="A1290" s="1"/>
      <c r="B1290" s="2"/>
      <c r="C1290" s="2"/>
      <c r="D1290" s="2"/>
      <c r="E1290" s="2"/>
    </row>
    <row r="1291" spans="1:5" x14ac:dyDescent="0.2">
      <c r="A1291" s="1"/>
      <c r="B1291" s="2"/>
      <c r="C1291" s="2"/>
      <c r="D1291" s="2"/>
      <c r="E1291" s="2"/>
    </row>
    <row r="1292" spans="1:5" x14ac:dyDescent="0.2">
      <c r="A1292" s="1"/>
      <c r="B1292" s="2"/>
      <c r="C1292" s="2"/>
      <c r="D1292" s="2"/>
      <c r="E1292" s="2"/>
    </row>
    <row r="1293" spans="1:5" x14ac:dyDescent="0.2">
      <c r="A1293" s="1"/>
      <c r="B1293" s="2"/>
      <c r="C1293" s="2"/>
      <c r="D1293" s="2"/>
      <c r="E1293" s="2"/>
    </row>
    <row r="1294" spans="1:5" x14ac:dyDescent="0.2">
      <c r="A1294" s="1"/>
      <c r="B1294" s="2"/>
      <c r="C1294" s="2"/>
      <c r="D1294" s="2"/>
      <c r="E1294" s="2"/>
    </row>
    <row r="1295" spans="1:5" x14ac:dyDescent="0.2">
      <c r="A1295" s="1"/>
      <c r="B1295" s="2"/>
      <c r="C1295" s="2"/>
      <c r="D1295" s="2"/>
      <c r="E1295" s="2"/>
    </row>
    <row r="1296" spans="1:5" x14ac:dyDescent="0.2">
      <c r="A1296" s="1"/>
      <c r="B1296" s="2"/>
      <c r="C1296" s="2"/>
      <c r="D1296" s="2"/>
      <c r="E1296" s="2"/>
    </row>
    <row r="1297" spans="1:5" x14ac:dyDescent="0.2">
      <c r="A1297" s="1"/>
      <c r="B1297" s="2"/>
      <c r="C1297" s="2"/>
      <c r="D1297" s="2"/>
      <c r="E1297" s="2"/>
    </row>
    <row r="1298" spans="1:5" x14ac:dyDescent="0.2">
      <c r="A1298" s="1"/>
      <c r="B1298" s="2"/>
      <c r="C1298" s="2"/>
      <c r="D1298" s="2"/>
      <c r="E1298" s="2"/>
    </row>
    <row r="1299" spans="1:5" x14ac:dyDescent="0.2">
      <c r="A1299" s="1"/>
      <c r="B1299" s="2"/>
      <c r="C1299" s="2"/>
      <c r="D1299" s="2"/>
      <c r="E1299" s="2"/>
    </row>
    <row r="1300" spans="1:5" x14ac:dyDescent="0.2">
      <c r="A1300" s="1"/>
      <c r="B1300" s="2"/>
      <c r="C1300" s="2"/>
      <c r="D1300" s="2"/>
      <c r="E1300" s="2"/>
    </row>
    <row r="1301" spans="1:5" x14ac:dyDescent="0.2">
      <c r="A1301" s="1"/>
      <c r="B1301" s="2"/>
      <c r="C1301" s="2"/>
      <c r="D1301" s="2"/>
      <c r="E1301" s="2"/>
    </row>
    <row r="1302" spans="1:5" x14ac:dyDescent="0.2">
      <c r="A1302" s="1"/>
      <c r="B1302" s="2"/>
      <c r="C1302" s="2"/>
      <c r="D1302" s="2"/>
      <c r="E1302" s="2"/>
    </row>
    <row r="1303" spans="1:5" x14ac:dyDescent="0.2">
      <c r="A1303" s="1"/>
      <c r="B1303" s="2"/>
      <c r="C1303" s="2"/>
      <c r="D1303" s="2"/>
      <c r="E1303" s="2"/>
    </row>
    <row r="1304" spans="1:5" x14ac:dyDescent="0.2">
      <c r="A1304" s="1"/>
      <c r="B1304" s="2"/>
      <c r="C1304" s="2"/>
      <c r="D1304" s="2"/>
      <c r="E1304" s="2"/>
    </row>
    <row r="1305" spans="1:5" x14ac:dyDescent="0.2">
      <c r="A1305" s="1"/>
      <c r="B1305" s="2"/>
      <c r="C1305" s="2"/>
      <c r="D1305" s="2"/>
      <c r="E1305" s="2"/>
    </row>
    <row r="1306" spans="1:5" x14ac:dyDescent="0.2">
      <c r="A1306" s="1"/>
      <c r="B1306" s="2"/>
      <c r="C1306" s="2"/>
      <c r="D1306" s="2"/>
      <c r="E1306" s="2"/>
    </row>
    <row r="1307" spans="1:5" x14ac:dyDescent="0.2">
      <c r="A1307" s="1"/>
      <c r="B1307" s="2"/>
      <c r="C1307" s="2"/>
      <c r="D1307" s="2"/>
      <c r="E1307" s="2"/>
    </row>
    <row r="1308" spans="1:5" x14ac:dyDescent="0.2">
      <c r="A1308" s="1"/>
      <c r="B1308" s="2"/>
      <c r="C1308" s="2"/>
      <c r="D1308" s="2"/>
      <c r="E1308" s="2"/>
    </row>
    <row r="1309" spans="1:5" x14ac:dyDescent="0.2">
      <c r="A1309" s="1"/>
      <c r="B1309" s="2"/>
      <c r="C1309" s="2"/>
      <c r="D1309" s="2"/>
      <c r="E1309" s="2"/>
    </row>
    <row r="1310" spans="1:5" x14ac:dyDescent="0.2">
      <c r="A1310" s="1"/>
      <c r="B1310" s="2"/>
      <c r="C1310" s="2"/>
      <c r="D1310" s="2"/>
      <c r="E1310" s="2"/>
    </row>
    <row r="1311" spans="1:5" x14ac:dyDescent="0.2">
      <c r="A1311" s="1"/>
      <c r="B1311" s="2"/>
      <c r="C1311" s="2"/>
      <c r="D1311" s="2"/>
      <c r="E1311" s="2"/>
    </row>
    <row r="1312" spans="1:5" x14ac:dyDescent="0.2">
      <c r="A1312" s="1"/>
      <c r="B1312" s="2"/>
      <c r="C1312" s="2"/>
      <c r="D1312" s="2"/>
      <c r="E1312" s="2"/>
    </row>
    <row r="1313" spans="1:5" x14ac:dyDescent="0.2">
      <c r="A1313" s="1"/>
      <c r="B1313" s="2"/>
      <c r="C1313" s="2"/>
      <c r="D1313" s="2"/>
      <c r="E1313" s="2"/>
    </row>
    <row r="1314" spans="1:5" x14ac:dyDescent="0.2">
      <c r="A1314" s="1"/>
      <c r="B1314" s="2"/>
      <c r="C1314" s="2"/>
      <c r="D1314" s="2"/>
      <c r="E1314" s="2"/>
    </row>
    <row r="1315" spans="1:5" x14ac:dyDescent="0.2">
      <c r="A1315" s="1"/>
      <c r="B1315" s="2"/>
      <c r="C1315" s="2"/>
      <c r="D1315" s="2"/>
      <c r="E1315" s="2"/>
    </row>
    <row r="1316" spans="1:5" x14ac:dyDescent="0.2">
      <c r="A1316" s="1"/>
      <c r="B1316" s="2"/>
      <c r="C1316" s="2"/>
      <c r="D1316" s="2"/>
      <c r="E1316" s="2"/>
    </row>
    <row r="1317" spans="1:5" x14ac:dyDescent="0.2">
      <c r="A1317" s="1"/>
      <c r="B1317" s="2"/>
      <c r="C1317" s="2"/>
      <c r="D1317" s="2"/>
      <c r="E1317" s="2"/>
    </row>
    <row r="1318" spans="1:5" x14ac:dyDescent="0.2">
      <c r="A1318" s="1"/>
      <c r="B1318" s="2"/>
      <c r="C1318" s="2"/>
      <c r="D1318" s="2"/>
      <c r="E1318" s="2"/>
    </row>
    <row r="1319" spans="1:5" x14ac:dyDescent="0.2">
      <c r="A1319" s="1"/>
      <c r="B1319" s="2"/>
      <c r="C1319" s="2"/>
      <c r="D1319" s="2"/>
      <c r="E1319" s="2"/>
    </row>
    <row r="1320" spans="1:5" x14ac:dyDescent="0.2">
      <c r="A1320" s="1"/>
      <c r="B1320" s="2"/>
      <c r="C1320" s="2"/>
      <c r="D1320" s="2"/>
      <c r="E1320" s="2"/>
    </row>
    <row r="1321" spans="1:5" x14ac:dyDescent="0.2">
      <c r="A1321" s="1"/>
      <c r="B1321" s="2"/>
      <c r="C1321" s="2"/>
      <c r="D1321" s="2"/>
      <c r="E1321" s="2"/>
    </row>
    <row r="1322" spans="1:5" x14ac:dyDescent="0.2">
      <c r="A1322" s="1"/>
      <c r="B1322" s="2"/>
      <c r="C1322" s="2"/>
      <c r="D1322" s="2"/>
      <c r="E1322" s="2"/>
    </row>
    <row r="1323" spans="1:5" x14ac:dyDescent="0.2">
      <c r="A1323" s="1"/>
      <c r="B1323" s="2"/>
      <c r="C1323" s="2"/>
      <c r="D1323" s="2"/>
      <c r="E1323" s="2"/>
    </row>
    <row r="1324" spans="1:5" x14ac:dyDescent="0.2">
      <c r="A1324" s="1"/>
      <c r="B1324" s="2"/>
      <c r="C1324" s="2"/>
      <c r="D1324" s="2"/>
      <c r="E1324" s="2"/>
    </row>
    <row r="1325" spans="1:5" x14ac:dyDescent="0.2">
      <c r="A1325" s="1"/>
      <c r="B1325" s="2"/>
      <c r="C1325" s="2"/>
      <c r="D1325" s="2"/>
      <c r="E1325" s="2"/>
    </row>
    <row r="1326" spans="1:5" x14ac:dyDescent="0.2">
      <c r="A1326" s="1"/>
      <c r="B1326" s="2"/>
      <c r="C1326" s="2"/>
      <c r="D1326" s="2"/>
      <c r="E1326" s="2"/>
    </row>
    <row r="1327" spans="1:5" x14ac:dyDescent="0.2">
      <c r="A1327" s="1"/>
      <c r="B1327" s="2"/>
      <c r="C1327" s="2"/>
      <c r="D1327" s="2"/>
      <c r="E1327" s="2"/>
    </row>
    <row r="1328" spans="1:5" x14ac:dyDescent="0.2">
      <c r="A1328" s="1"/>
      <c r="B1328" s="2"/>
      <c r="C1328" s="2"/>
      <c r="D1328" s="2"/>
      <c r="E1328" s="2"/>
    </row>
    <row r="1329" spans="1:5" x14ac:dyDescent="0.2">
      <c r="A1329" s="1"/>
      <c r="B1329" s="2"/>
      <c r="C1329" s="2"/>
      <c r="D1329" s="2"/>
      <c r="E1329" s="2"/>
    </row>
    <row r="1330" spans="1:5" x14ac:dyDescent="0.2">
      <c r="A1330" s="1"/>
      <c r="B1330" s="2"/>
      <c r="C1330" s="2"/>
      <c r="D1330" s="2"/>
      <c r="E1330" s="2"/>
    </row>
    <row r="1331" spans="1:5" x14ac:dyDescent="0.2">
      <c r="A1331" s="1"/>
      <c r="B1331" s="2"/>
      <c r="C1331" s="2"/>
      <c r="D1331" s="2"/>
      <c r="E1331" s="2"/>
    </row>
    <row r="1332" spans="1:5" x14ac:dyDescent="0.2">
      <c r="A1332" s="1"/>
      <c r="B1332" s="2"/>
      <c r="C1332" s="2"/>
      <c r="D1332" s="2"/>
      <c r="E1332" s="2"/>
    </row>
    <row r="1333" spans="1:5" x14ac:dyDescent="0.2">
      <c r="A1333" s="1"/>
      <c r="B1333" s="2"/>
      <c r="C1333" s="2"/>
      <c r="D1333" s="2"/>
      <c r="E1333" s="2"/>
    </row>
    <row r="1334" spans="1:5" x14ac:dyDescent="0.2">
      <c r="A1334" s="1"/>
      <c r="B1334" s="2"/>
      <c r="C1334" s="2"/>
      <c r="D1334" s="2"/>
      <c r="E1334" s="2"/>
    </row>
    <row r="1335" spans="1:5" x14ac:dyDescent="0.2">
      <c r="A1335" s="1"/>
      <c r="B1335" s="2"/>
      <c r="C1335" s="2"/>
      <c r="D1335" s="2"/>
      <c r="E1335" s="2"/>
    </row>
    <row r="1336" spans="1:5" x14ac:dyDescent="0.2">
      <c r="A1336" s="1"/>
      <c r="B1336" s="2"/>
      <c r="C1336" s="2"/>
      <c r="D1336" s="2"/>
      <c r="E1336" s="2"/>
    </row>
    <row r="1337" spans="1:5" x14ac:dyDescent="0.2">
      <c r="A1337" s="1"/>
      <c r="B1337" s="2"/>
      <c r="C1337" s="2"/>
      <c r="D1337" s="2"/>
      <c r="E1337" s="2"/>
    </row>
    <row r="1338" spans="1:5" x14ac:dyDescent="0.2">
      <c r="A1338" s="1"/>
      <c r="B1338" s="2"/>
      <c r="C1338" s="2"/>
      <c r="D1338" s="2"/>
      <c r="E1338" s="2"/>
    </row>
    <row r="1339" spans="1:5" x14ac:dyDescent="0.2">
      <c r="A1339" s="1"/>
      <c r="B1339" s="2"/>
      <c r="C1339" s="2"/>
      <c r="D1339" s="2"/>
      <c r="E1339" s="2"/>
    </row>
    <row r="1340" spans="1:5" x14ac:dyDescent="0.2">
      <c r="A1340" s="1"/>
      <c r="B1340" s="2"/>
      <c r="C1340" s="2"/>
      <c r="D1340" s="2"/>
      <c r="E1340" s="2"/>
    </row>
    <row r="1341" spans="1:5" x14ac:dyDescent="0.2">
      <c r="A1341" s="1"/>
      <c r="B1341" s="2"/>
      <c r="C1341" s="2"/>
      <c r="D1341" s="2"/>
      <c r="E1341" s="2"/>
    </row>
    <row r="1342" spans="1:5" x14ac:dyDescent="0.2">
      <c r="A1342" s="1"/>
      <c r="B1342" s="2"/>
      <c r="C1342" s="2"/>
      <c r="D1342" s="2"/>
      <c r="E1342" s="2"/>
    </row>
    <row r="1343" spans="1:5" x14ac:dyDescent="0.2">
      <c r="A1343" s="1"/>
      <c r="B1343" s="2"/>
      <c r="C1343" s="2"/>
      <c r="D1343" s="2"/>
      <c r="E1343" s="2"/>
    </row>
    <row r="1344" spans="1:5" x14ac:dyDescent="0.2">
      <c r="A1344" s="1"/>
      <c r="B1344" s="2"/>
      <c r="C1344" s="2"/>
      <c r="D1344" s="2"/>
      <c r="E1344" s="2"/>
    </row>
    <row r="1345" spans="1:5" x14ac:dyDescent="0.2">
      <c r="A1345" s="1"/>
      <c r="B1345" s="2"/>
      <c r="C1345" s="2"/>
      <c r="D1345" s="2"/>
      <c r="E1345" s="2"/>
    </row>
    <row r="1346" spans="1:5" x14ac:dyDescent="0.2">
      <c r="A1346" s="1"/>
      <c r="B1346" s="2"/>
      <c r="C1346" s="2"/>
      <c r="D1346" s="2"/>
      <c r="E1346" s="2"/>
    </row>
    <row r="1347" spans="1:5" x14ac:dyDescent="0.2">
      <c r="A1347" s="1"/>
      <c r="B1347" s="2"/>
      <c r="C1347" s="2"/>
      <c r="D1347" s="2"/>
      <c r="E1347" s="2"/>
    </row>
    <row r="1348" spans="1:5" x14ac:dyDescent="0.2">
      <c r="A1348" s="1"/>
      <c r="B1348" s="2"/>
      <c r="C1348" s="2"/>
      <c r="D1348" s="2"/>
      <c r="E1348" s="2"/>
    </row>
    <row r="1349" spans="1:5" x14ac:dyDescent="0.2">
      <c r="A1349" s="1"/>
      <c r="B1349" s="2"/>
      <c r="C1349" s="2"/>
      <c r="D1349" s="2"/>
      <c r="E1349" s="2"/>
    </row>
    <row r="1350" spans="1:5" x14ac:dyDescent="0.2">
      <c r="A1350" s="1"/>
      <c r="B1350" s="2"/>
      <c r="C1350" s="2"/>
      <c r="D1350" s="2"/>
      <c r="E1350" s="2"/>
    </row>
    <row r="1351" spans="1:5" x14ac:dyDescent="0.2">
      <c r="A1351" s="1"/>
      <c r="B1351" s="2"/>
      <c r="C1351" s="2"/>
      <c r="D1351" s="2"/>
      <c r="E1351" s="2"/>
    </row>
    <row r="1352" spans="1:5" x14ac:dyDescent="0.2">
      <c r="A1352" s="1"/>
      <c r="B1352" s="2"/>
      <c r="C1352" s="2"/>
      <c r="D1352" s="2"/>
      <c r="E1352" s="2"/>
    </row>
    <row r="1353" spans="1:5" x14ac:dyDescent="0.2">
      <c r="A1353" s="1"/>
      <c r="B1353" s="2"/>
      <c r="C1353" s="2"/>
      <c r="D1353" s="2"/>
      <c r="E1353" s="2"/>
    </row>
    <row r="1354" spans="1:5" x14ac:dyDescent="0.2">
      <c r="A1354" s="1"/>
      <c r="B1354" s="2"/>
      <c r="C1354" s="2"/>
      <c r="D1354" s="2"/>
      <c r="E1354" s="2"/>
    </row>
    <row r="1355" spans="1:5" x14ac:dyDescent="0.2">
      <c r="A1355" s="1"/>
      <c r="B1355" s="2"/>
      <c r="C1355" s="2"/>
      <c r="D1355" s="2"/>
      <c r="E1355" s="2"/>
    </row>
    <row r="1356" spans="1:5" x14ac:dyDescent="0.2">
      <c r="A1356" s="1"/>
      <c r="B1356" s="2"/>
      <c r="C1356" s="2"/>
      <c r="D1356" s="2"/>
      <c r="E1356" s="2"/>
    </row>
    <row r="1357" spans="1:5" x14ac:dyDescent="0.2">
      <c r="A1357" s="1"/>
      <c r="B1357" s="2"/>
      <c r="C1357" s="2"/>
      <c r="D1357" s="2"/>
      <c r="E1357" s="2"/>
    </row>
    <row r="1358" spans="1:5" x14ac:dyDescent="0.2">
      <c r="A1358" s="1"/>
      <c r="B1358" s="2"/>
      <c r="C1358" s="2"/>
      <c r="D1358" s="2"/>
      <c r="E1358" s="2"/>
    </row>
    <row r="1359" spans="1:5" x14ac:dyDescent="0.2">
      <c r="A1359" s="1"/>
      <c r="B1359" s="2"/>
      <c r="C1359" s="2"/>
      <c r="D1359" s="2"/>
      <c r="E1359" s="2"/>
    </row>
    <row r="1360" spans="1:5" x14ac:dyDescent="0.2">
      <c r="A1360" s="1"/>
      <c r="B1360" s="2"/>
      <c r="C1360" s="2"/>
      <c r="D1360" s="2"/>
      <c r="E1360" s="2"/>
    </row>
    <row r="1361" spans="1:5" x14ac:dyDescent="0.2">
      <c r="A1361" s="1"/>
      <c r="B1361" s="2"/>
      <c r="C1361" s="2"/>
      <c r="D1361" s="2"/>
      <c r="E1361" s="2"/>
    </row>
    <row r="1362" spans="1:5" x14ac:dyDescent="0.2">
      <c r="A1362" s="1"/>
      <c r="B1362" s="2"/>
      <c r="C1362" s="2"/>
      <c r="D1362" s="2"/>
      <c r="E1362" s="2"/>
    </row>
    <row r="1363" spans="1:5" x14ac:dyDescent="0.2">
      <c r="A1363" s="1"/>
      <c r="B1363" s="2"/>
      <c r="C1363" s="2"/>
      <c r="D1363" s="2"/>
      <c r="E1363" s="2"/>
    </row>
    <row r="1364" spans="1:5" x14ac:dyDescent="0.2">
      <c r="A1364" s="1"/>
      <c r="B1364" s="2"/>
      <c r="C1364" s="2"/>
      <c r="D1364" s="2"/>
      <c r="E1364" s="2"/>
    </row>
    <row r="1365" spans="1:5" x14ac:dyDescent="0.2">
      <c r="A1365" s="1"/>
      <c r="B1365" s="2"/>
      <c r="C1365" s="2"/>
      <c r="D1365" s="2"/>
      <c r="E1365" s="2"/>
    </row>
    <row r="1366" spans="1:5" x14ac:dyDescent="0.2">
      <c r="A1366" s="1"/>
      <c r="B1366" s="2"/>
      <c r="C1366" s="2"/>
      <c r="D1366" s="2"/>
      <c r="E1366" s="2"/>
    </row>
    <row r="1367" spans="1:5" x14ac:dyDescent="0.2">
      <c r="A1367" s="1"/>
      <c r="B1367" s="2"/>
      <c r="C1367" s="2"/>
      <c r="D1367" s="2"/>
      <c r="E1367" s="2"/>
    </row>
    <row r="1368" spans="1:5" x14ac:dyDescent="0.2">
      <c r="A1368" s="1"/>
      <c r="B1368" s="2"/>
      <c r="C1368" s="2"/>
      <c r="D1368" s="2"/>
      <c r="E1368" s="2"/>
    </row>
    <row r="1369" spans="1:5" x14ac:dyDescent="0.2">
      <c r="A1369" s="1"/>
      <c r="B1369" s="2"/>
      <c r="C1369" s="2"/>
      <c r="D1369" s="2"/>
      <c r="E1369" s="2"/>
    </row>
    <row r="1370" spans="1:5" x14ac:dyDescent="0.2">
      <c r="A1370" s="1"/>
      <c r="B1370" s="2"/>
      <c r="C1370" s="2"/>
      <c r="D1370" s="2"/>
      <c r="E1370" s="2"/>
    </row>
    <row r="1371" spans="1:5" x14ac:dyDescent="0.2">
      <c r="A1371" s="1"/>
      <c r="B1371" s="2"/>
      <c r="C1371" s="2"/>
      <c r="D1371" s="2"/>
      <c r="E1371" s="2"/>
    </row>
    <row r="1372" spans="1:5" x14ac:dyDescent="0.2">
      <c r="A1372" s="1"/>
      <c r="B1372" s="2"/>
      <c r="C1372" s="2"/>
      <c r="D1372" s="2"/>
      <c r="E1372" s="2"/>
    </row>
    <row r="1373" spans="1:5" x14ac:dyDescent="0.2">
      <c r="A1373" s="1"/>
      <c r="B1373" s="2"/>
      <c r="C1373" s="2"/>
      <c r="D1373" s="2"/>
      <c r="E1373" s="2"/>
    </row>
    <row r="1374" spans="1:5" x14ac:dyDescent="0.2">
      <c r="A1374" s="1"/>
      <c r="B1374" s="2"/>
      <c r="C1374" s="2"/>
      <c r="D1374" s="2"/>
      <c r="E1374" s="2"/>
    </row>
    <row r="1375" spans="1:5" x14ac:dyDescent="0.2">
      <c r="A1375" s="1"/>
      <c r="B1375" s="2"/>
      <c r="C1375" s="2"/>
      <c r="D1375" s="2"/>
      <c r="E1375" s="2"/>
    </row>
    <row r="1376" spans="1:5" x14ac:dyDescent="0.2">
      <c r="A1376" s="1"/>
      <c r="B1376" s="2"/>
      <c r="C1376" s="2"/>
      <c r="D1376" s="2"/>
      <c r="E1376" s="2"/>
    </row>
    <row r="1377" spans="1:5" x14ac:dyDescent="0.2">
      <c r="A1377" s="1"/>
      <c r="B1377" s="2"/>
      <c r="C1377" s="2"/>
      <c r="D1377" s="2"/>
      <c r="E1377" s="2"/>
    </row>
    <row r="1378" spans="1:5" x14ac:dyDescent="0.2">
      <c r="A1378" s="1"/>
      <c r="B1378" s="2"/>
      <c r="C1378" s="2"/>
      <c r="D1378" s="2"/>
      <c r="E1378" s="2"/>
    </row>
    <row r="1379" spans="1:5" x14ac:dyDescent="0.2">
      <c r="A1379" s="1"/>
      <c r="B1379" s="2"/>
      <c r="C1379" s="2"/>
      <c r="D1379" s="2"/>
      <c r="E1379" s="2"/>
    </row>
    <row r="1380" spans="1:5" x14ac:dyDescent="0.2">
      <c r="A1380" s="1"/>
      <c r="B1380" s="2"/>
      <c r="C1380" s="2"/>
      <c r="D1380" s="2"/>
      <c r="E1380" s="2"/>
    </row>
    <row r="1381" spans="1:5" x14ac:dyDescent="0.2">
      <c r="A1381" s="1"/>
      <c r="B1381" s="2"/>
      <c r="C1381" s="2"/>
      <c r="D1381" s="2"/>
      <c r="E1381" s="2"/>
    </row>
    <row r="1382" spans="1:5" x14ac:dyDescent="0.2">
      <c r="A1382" s="1"/>
      <c r="B1382" s="2"/>
      <c r="C1382" s="2"/>
      <c r="D1382" s="2"/>
      <c r="E1382" s="2"/>
    </row>
    <row r="1383" spans="1:5" x14ac:dyDescent="0.2">
      <c r="A1383" s="1"/>
      <c r="B1383" s="2"/>
      <c r="C1383" s="2"/>
      <c r="D1383" s="2"/>
      <c r="E1383" s="2"/>
    </row>
    <row r="1384" spans="1:5" x14ac:dyDescent="0.2">
      <c r="A1384" s="1"/>
      <c r="B1384" s="2"/>
      <c r="C1384" s="2"/>
      <c r="D1384" s="2"/>
      <c r="E1384" s="2"/>
    </row>
    <row r="1385" spans="1:5" x14ac:dyDescent="0.2">
      <c r="A1385" s="1"/>
      <c r="B1385" s="2"/>
      <c r="C1385" s="2"/>
      <c r="D1385" s="2"/>
      <c r="E1385" s="2"/>
    </row>
    <row r="1386" spans="1:5" x14ac:dyDescent="0.2">
      <c r="A1386" s="1"/>
      <c r="B1386" s="2"/>
      <c r="C1386" s="2"/>
      <c r="D1386" s="2"/>
      <c r="E1386" s="2"/>
    </row>
    <row r="1387" spans="1:5" x14ac:dyDescent="0.2">
      <c r="A1387" s="1"/>
      <c r="B1387" s="2"/>
      <c r="C1387" s="2"/>
      <c r="D1387" s="2"/>
      <c r="E1387" s="2"/>
    </row>
    <row r="1388" spans="1:5" x14ac:dyDescent="0.2">
      <c r="A1388" s="1"/>
      <c r="B1388" s="2"/>
      <c r="C1388" s="2"/>
      <c r="D1388" s="2"/>
      <c r="E1388" s="2"/>
    </row>
    <row r="1389" spans="1:5" x14ac:dyDescent="0.2">
      <c r="A1389" s="1"/>
      <c r="B1389" s="2"/>
      <c r="C1389" s="2"/>
      <c r="D1389" s="2"/>
      <c r="E1389" s="2"/>
    </row>
    <row r="1390" spans="1:5" x14ac:dyDescent="0.2">
      <c r="A1390" s="1"/>
      <c r="B1390" s="2"/>
      <c r="C1390" s="2"/>
      <c r="D1390" s="2"/>
      <c r="E1390" s="2"/>
    </row>
    <row r="1391" spans="1:5" x14ac:dyDescent="0.2">
      <c r="A1391" s="1"/>
      <c r="B1391" s="2"/>
      <c r="C1391" s="2"/>
      <c r="D1391" s="2"/>
      <c r="E1391" s="2"/>
    </row>
    <row r="1392" spans="1:5" x14ac:dyDescent="0.2">
      <c r="A1392" s="1"/>
      <c r="B1392" s="2"/>
      <c r="C1392" s="2"/>
      <c r="D1392" s="2"/>
      <c r="E1392" s="2"/>
    </row>
    <row r="1393" spans="1:5" x14ac:dyDescent="0.2">
      <c r="A1393" s="1"/>
      <c r="B1393" s="2"/>
      <c r="C1393" s="2"/>
      <c r="D1393" s="2"/>
      <c r="E1393" s="2"/>
    </row>
    <row r="1394" spans="1:5" x14ac:dyDescent="0.2">
      <c r="A1394" s="1"/>
      <c r="B1394" s="2"/>
      <c r="C1394" s="2"/>
      <c r="D1394" s="2"/>
      <c r="E1394" s="2"/>
    </row>
    <row r="1395" spans="1:5" x14ac:dyDescent="0.2">
      <c r="A1395" s="1"/>
      <c r="B1395" s="2"/>
      <c r="C1395" s="2"/>
      <c r="D1395" s="2"/>
      <c r="E1395" s="2"/>
    </row>
    <row r="1396" spans="1:5" x14ac:dyDescent="0.2">
      <c r="A1396" s="1"/>
      <c r="B1396" s="2"/>
      <c r="C1396" s="2"/>
      <c r="D1396" s="2"/>
      <c r="E1396" s="2"/>
    </row>
    <row r="1397" spans="1:5" x14ac:dyDescent="0.2">
      <c r="A1397" s="1"/>
      <c r="B1397" s="2"/>
      <c r="C1397" s="2"/>
      <c r="D1397" s="2"/>
      <c r="E1397" s="2"/>
    </row>
    <row r="1398" spans="1:5" x14ac:dyDescent="0.2">
      <c r="A1398" s="1"/>
      <c r="B1398" s="2"/>
      <c r="C1398" s="2"/>
      <c r="D1398" s="2"/>
      <c r="E1398" s="2"/>
    </row>
    <row r="1399" spans="1:5" x14ac:dyDescent="0.2">
      <c r="A1399" s="1"/>
      <c r="B1399" s="2"/>
      <c r="C1399" s="2"/>
      <c r="D1399" s="2"/>
      <c r="E1399" s="2"/>
    </row>
    <row r="1400" spans="1:5" x14ac:dyDescent="0.2">
      <c r="A1400" s="1"/>
      <c r="B1400" s="2"/>
      <c r="C1400" s="2"/>
      <c r="D1400" s="2"/>
      <c r="E1400" s="2"/>
    </row>
    <row r="1401" spans="1:5" x14ac:dyDescent="0.2">
      <c r="A1401" s="1"/>
      <c r="B1401" s="2"/>
      <c r="C1401" s="2"/>
      <c r="D1401" s="2"/>
      <c r="E1401" s="2"/>
    </row>
    <row r="1402" spans="1:5" x14ac:dyDescent="0.2">
      <c r="A1402" s="1"/>
      <c r="B1402" s="2"/>
      <c r="C1402" s="2"/>
      <c r="D1402" s="2"/>
      <c r="E1402" s="2"/>
    </row>
    <row r="1403" spans="1:5" x14ac:dyDescent="0.2">
      <c r="A1403" s="1"/>
      <c r="B1403" s="2"/>
      <c r="C1403" s="2"/>
      <c r="D1403" s="2"/>
      <c r="E1403" s="2"/>
    </row>
    <row r="1404" spans="1:5" x14ac:dyDescent="0.2">
      <c r="A1404" s="1"/>
      <c r="B1404" s="2"/>
      <c r="C1404" s="2"/>
      <c r="D1404" s="2"/>
      <c r="E1404" s="2"/>
    </row>
    <row r="1405" spans="1:5" x14ac:dyDescent="0.2">
      <c r="A1405" s="1"/>
      <c r="B1405" s="2"/>
      <c r="C1405" s="2"/>
      <c r="D1405" s="2"/>
      <c r="E1405" s="2"/>
    </row>
    <row r="1406" spans="1:5" x14ac:dyDescent="0.2">
      <c r="A1406" s="1"/>
      <c r="B1406" s="2"/>
      <c r="C1406" s="2"/>
      <c r="D1406" s="2"/>
      <c r="E1406" s="2"/>
    </row>
    <row r="1407" spans="1:5" x14ac:dyDescent="0.2">
      <c r="A1407" s="1"/>
      <c r="B1407" s="2"/>
      <c r="C1407" s="2"/>
      <c r="D1407" s="2"/>
      <c r="E1407" s="2"/>
    </row>
    <row r="1408" spans="1:5" x14ac:dyDescent="0.2">
      <c r="A1408" s="1"/>
      <c r="B1408" s="2"/>
      <c r="C1408" s="2"/>
      <c r="D1408" s="2"/>
      <c r="E1408" s="2"/>
    </row>
    <row r="1409" spans="1:5" x14ac:dyDescent="0.2">
      <c r="A1409" s="1"/>
      <c r="B1409" s="2"/>
      <c r="C1409" s="2"/>
      <c r="D1409" s="2"/>
      <c r="E1409" s="2"/>
    </row>
    <row r="1410" spans="1:5" x14ac:dyDescent="0.2">
      <c r="A1410" s="1"/>
      <c r="B1410" s="2"/>
      <c r="C1410" s="2"/>
      <c r="D1410" s="2"/>
      <c r="E1410" s="2"/>
    </row>
    <row r="1411" spans="1:5" x14ac:dyDescent="0.2">
      <c r="A1411" s="1"/>
      <c r="B1411" s="2"/>
      <c r="C1411" s="2"/>
      <c r="D1411" s="2"/>
      <c r="E1411" s="2"/>
    </row>
    <row r="1412" spans="1:5" x14ac:dyDescent="0.2">
      <c r="A1412" s="1"/>
      <c r="B1412" s="2"/>
      <c r="C1412" s="2"/>
      <c r="D1412" s="2"/>
      <c r="E1412" s="2"/>
    </row>
    <row r="1413" spans="1:5" x14ac:dyDescent="0.2">
      <c r="A1413" s="1"/>
      <c r="B1413" s="2"/>
      <c r="C1413" s="2"/>
      <c r="D1413" s="2"/>
      <c r="E1413" s="2"/>
    </row>
    <row r="1414" spans="1:5" x14ac:dyDescent="0.2">
      <c r="A1414" s="1"/>
      <c r="B1414" s="2"/>
      <c r="C1414" s="2"/>
      <c r="D1414" s="2"/>
      <c r="E1414" s="2"/>
    </row>
    <row r="1415" spans="1:5" x14ac:dyDescent="0.2">
      <c r="A1415" s="1"/>
      <c r="B1415" s="2"/>
      <c r="C1415" s="2"/>
      <c r="D1415" s="2"/>
      <c r="E1415" s="2"/>
    </row>
    <row r="1416" spans="1:5" x14ac:dyDescent="0.2">
      <c r="A1416" s="1"/>
      <c r="B1416" s="2"/>
      <c r="C1416" s="2"/>
      <c r="D1416" s="2"/>
      <c r="E1416" s="2"/>
    </row>
    <row r="1417" spans="1:5" x14ac:dyDescent="0.2">
      <c r="A1417" s="1"/>
      <c r="B1417" s="2"/>
      <c r="C1417" s="2"/>
      <c r="D1417" s="2"/>
      <c r="E1417" s="2"/>
    </row>
    <row r="1418" spans="1:5" x14ac:dyDescent="0.2">
      <c r="A1418" s="1"/>
      <c r="B1418" s="2"/>
      <c r="C1418" s="2"/>
      <c r="D1418" s="2"/>
      <c r="E1418" s="2"/>
    </row>
    <row r="1419" spans="1:5" x14ac:dyDescent="0.2">
      <c r="A1419" s="1"/>
      <c r="B1419" s="2"/>
      <c r="C1419" s="2"/>
      <c r="D1419" s="2"/>
      <c r="E1419" s="2"/>
    </row>
    <row r="1420" spans="1:5" x14ac:dyDescent="0.2">
      <c r="A1420" s="1"/>
      <c r="B1420" s="2"/>
      <c r="C1420" s="2"/>
      <c r="D1420" s="2"/>
      <c r="E1420" s="2"/>
    </row>
    <row r="1421" spans="1:5" x14ac:dyDescent="0.2">
      <c r="A1421" s="1"/>
      <c r="B1421" s="2"/>
      <c r="C1421" s="2"/>
      <c r="D1421" s="2"/>
      <c r="E1421" s="2"/>
    </row>
    <row r="1422" spans="1:5" x14ac:dyDescent="0.2">
      <c r="A1422" s="1"/>
      <c r="B1422" s="2"/>
      <c r="C1422" s="2"/>
      <c r="D1422" s="2"/>
      <c r="E1422" s="2"/>
    </row>
    <row r="1423" spans="1:5" x14ac:dyDescent="0.2">
      <c r="A1423" s="1"/>
      <c r="B1423" s="2"/>
      <c r="C1423" s="2"/>
      <c r="D1423" s="2"/>
      <c r="E1423" s="2"/>
    </row>
    <row r="1424" spans="1:5" x14ac:dyDescent="0.2">
      <c r="A1424" s="1"/>
      <c r="B1424" s="2"/>
      <c r="C1424" s="2"/>
      <c r="D1424" s="2"/>
      <c r="E1424" s="2"/>
    </row>
    <row r="1425" spans="1:5" x14ac:dyDescent="0.2">
      <c r="A1425" s="1"/>
      <c r="B1425" s="2"/>
      <c r="C1425" s="2"/>
      <c r="D1425" s="2"/>
      <c r="E1425" s="2"/>
    </row>
    <row r="1426" spans="1:5" x14ac:dyDescent="0.2">
      <c r="A1426" s="1"/>
      <c r="B1426" s="2"/>
      <c r="C1426" s="2"/>
      <c r="D1426" s="2"/>
      <c r="E1426" s="2"/>
    </row>
    <row r="1427" spans="1:5" x14ac:dyDescent="0.2">
      <c r="A1427" s="1"/>
      <c r="B1427" s="2"/>
      <c r="C1427" s="2"/>
      <c r="D1427" s="2"/>
      <c r="E1427" s="2"/>
    </row>
  </sheetData>
  <dataValidations disablePrompts="1" count="1">
    <dataValidation type="list" allowBlank="1" showInputMessage="1" showErrorMessage="1" sqref="O4" xr:uid="{DBD1E524-7072-479A-BD61-9B364EFB03FB}">
      <formula1>$R$1:$R$3</formula1>
    </dataValidation>
  </dataValidation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EF020-B9AF-4230-B92E-93B62703AC7B}">
  <dimension ref="A1:AH1427"/>
  <sheetViews>
    <sheetView workbookViewId="0">
      <selection activeCell="K14" sqref="K14"/>
    </sheetView>
  </sheetViews>
  <sheetFormatPr baseColWidth="10" defaultColWidth="8.83203125" defaultRowHeight="15" x14ac:dyDescent="0.2"/>
  <cols>
    <col min="1" max="1" width="11.33203125" bestFit="1" customWidth="1"/>
    <col min="15" max="15" width="27" bestFit="1" customWidth="1"/>
    <col min="18" max="18" width="9.5" hidden="1" customWidth="1"/>
    <col min="19" max="19" width="9.1640625" hidden="1" customWidth="1"/>
    <col min="34" max="34" width="10.5" bestFit="1" customWidth="1"/>
  </cols>
  <sheetData>
    <row r="1" spans="1:34" ht="16" thickBot="1" x14ac:dyDescent="0.25">
      <c r="A1" t="str" cm="1">
        <f t="array" aca="1" ref="A1:E1287" ca="1">_xlfn.STOCKHISTORY(O1,O2,O3,VLOOKUP(O4,R1:S3,2,FALSE),1,0,2,3,4,1)</f>
        <v>Date</v>
      </c>
      <c r="B1" t="str">
        <f ca="1"/>
        <v>Open</v>
      </c>
      <c r="C1" t="str">
        <f ca="1"/>
        <v>High</v>
      </c>
      <c r="D1" t="str">
        <f ca="1"/>
        <v>Low</v>
      </c>
      <c r="E1" t="str">
        <f ca="1"/>
        <v>Close</v>
      </c>
      <c r="O1" s="26" t="e" vm="6737">
        <v>#VALUE!</v>
      </c>
      <c r="R1" t="s">
        <v>1</v>
      </c>
      <c r="S1">
        <v>0</v>
      </c>
    </row>
    <row r="2" spans="1:34" x14ac:dyDescent="0.2">
      <c r="A2" s="1" vm="1">
        <f ca="1"/>
        <v>44439</v>
      </c>
      <c r="B2" s="2" vm="6738">
        <f ca="1"/>
        <v>15.98</v>
      </c>
      <c r="C2" s="2" vm="6739">
        <f ca="1"/>
        <v>17.07</v>
      </c>
      <c r="D2" s="2" vm="6740">
        <f ca="1"/>
        <v>15.91</v>
      </c>
      <c r="E2" s="2" vm="6741">
        <f ca="1"/>
        <v>16.48</v>
      </c>
      <c r="H2" s="18" cm="1">
        <f t="array" aca="1" ref="H2" ca="1">_FV(O1,"Price")</f>
        <v>15.2</v>
      </c>
      <c r="O2" s="25">
        <f ca="1">Data!O2</f>
        <v>44439</v>
      </c>
      <c r="R2" t="s">
        <v>0</v>
      </c>
      <c r="S2">
        <v>1</v>
      </c>
    </row>
    <row r="3" spans="1:34" x14ac:dyDescent="0.2">
      <c r="A3" s="1" vm="7">
        <f ca="1"/>
        <v>44440</v>
      </c>
      <c r="B3" s="2" vm="6742">
        <f ca="1"/>
        <v>16.059999999999999</v>
      </c>
      <c r="C3" s="2" vm="6743">
        <f ca="1"/>
        <v>16.71</v>
      </c>
      <c r="D3" s="2" vm="6744">
        <f ca="1"/>
        <v>15.68</v>
      </c>
      <c r="E3" s="2" vm="6745">
        <f ca="1"/>
        <v>16.11</v>
      </c>
      <c r="O3" s="5">
        <f ca="1">TODAY()</f>
        <v>46279</v>
      </c>
      <c r="R3" t="s">
        <v>2</v>
      </c>
      <c r="S3">
        <v>2</v>
      </c>
    </row>
    <row r="4" spans="1:34" ht="16" thickBot="1" x14ac:dyDescent="0.25">
      <c r="A4" s="1" vm="13">
        <f ca="1"/>
        <v>44441</v>
      </c>
      <c r="B4" s="2" vm="6746">
        <f ca="1"/>
        <v>16.27</v>
      </c>
      <c r="C4" s="2" vm="6747">
        <f ca="1"/>
        <v>16.98</v>
      </c>
      <c r="D4" s="2" vm="6748">
        <f ca="1"/>
        <v>15.73</v>
      </c>
      <c r="E4" s="2" vm="6749">
        <f ca="1"/>
        <v>16.41</v>
      </c>
      <c r="O4" s="6" t="str">
        <f>Data!O4</f>
        <v>DAILY</v>
      </c>
    </row>
    <row r="5" spans="1:34" x14ac:dyDescent="0.2">
      <c r="A5" s="1" vm="18">
        <f ca="1"/>
        <v>44442</v>
      </c>
      <c r="B5" s="2" vm="6746">
        <f ca="1"/>
        <v>16.27</v>
      </c>
      <c r="C5" s="2" vm="6750">
        <f ca="1"/>
        <v>17.059999999999999</v>
      </c>
      <c r="D5" s="2" vm="6751">
        <f ca="1"/>
        <v>16.079999999999998</v>
      </c>
      <c r="E5" s="2" vm="6749">
        <f ca="1"/>
        <v>16.41</v>
      </c>
    </row>
    <row r="6" spans="1:34" x14ac:dyDescent="0.2">
      <c r="A6" s="1" vm="6752">
        <f ca="1"/>
        <v>44445</v>
      </c>
      <c r="B6" s="2" t="e" vm="6753">
        <f ca="1"/>
        <v>#N/A</v>
      </c>
      <c r="C6" s="2" t="e" vm="6753">
        <f ca="1"/>
        <v>#N/A</v>
      </c>
      <c r="D6" s="2" t="e" vm="6753">
        <f ca="1"/>
        <v>#N/A</v>
      </c>
      <c r="E6" s="2" vm="6749">
        <f ca="1"/>
        <v>16.41</v>
      </c>
      <c r="AH6" s="1"/>
    </row>
    <row r="7" spans="1:34" x14ac:dyDescent="0.2">
      <c r="A7" s="1" vm="24">
        <f ca="1"/>
        <v>44446</v>
      </c>
      <c r="B7" s="2" vm="6754">
        <f ca="1"/>
        <v>16.940000000000001</v>
      </c>
      <c r="C7" s="2" vm="6755">
        <f ca="1"/>
        <v>18.39</v>
      </c>
      <c r="D7" s="2" vm="6756">
        <f ca="1"/>
        <v>16.89</v>
      </c>
      <c r="E7" s="2" vm="6757">
        <f ca="1"/>
        <v>18.14</v>
      </c>
    </row>
    <row r="8" spans="1:34" x14ac:dyDescent="0.2">
      <c r="A8" s="1" vm="30">
        <f ca="1"/>
        <v>44447</v>
      </c>
      <c r="B8" s="2" vm="6758">
        <f ca="1"/>
        <v>18.97</v>
      </c>
      <c r="C8" s="2" vm="6759">
        <f ca="1"/>
        <v>19.64</v>
      </c>
      <c r="D8" s="2" vm="6760">
        <f ca="1"/>
        <v>17.78</v>
      </c>
      <c r="E8" s="2" vm="6761">
        <f ca="1"/>
        <v>17.96</v>
      </c>
    </row>
    <row r="9" spans="1:34" x14ac:dyDescent="0.2">
      <c r="A9" s="1" vm="36">
        <f ca="1"/>
        <v>44448</v>
      </c>
      <c r="B9" s="2" vm="6762">
        <f ca="1"/>
        <v>19.440000000000001</v>
      </c>
      <c r="C9" s="2" vm="6763">
        <f ca="1"/>
        <v>19.54</v>
      </c>
      <c r="D9" s="2" vm="6764">
        <f ca="1"/>
        <v>17.170000000000002</v>
      </c>
      <c r="E9" s="2" vm="6765">
        <f ca="1"/>
        <v>18.8</v>
      </c>
    </row>
    <row r="10" spans="1:34" x14ac:dyDescent="0.2">
      <c r="A10" s="1" vm="40">
        <f ca="1"/>
        <v>44449</v>
      </c>
      <c r="B10" s="2" vm="6766">
        <f ca="1"/>
        <v>17.940000000000001</v>
      </c>
      <c r="C10" s="2" vm="6767">
        <f ca="1"/>
        <v>21.13</v>
      </c>
      <c r="D10" s="2" vm="6768">
        <f ca="1"/>
        <v>16.989999999999998</v>
      </c>
      <c r="E10" s="2" vm="6769">
        <f ca="1"/>
        <v>20.95</v>
      </c>
    </row>
    <row r="11" spans="1:34" x14ac:dyDescent="0.2">
      <c r="A11" s="1" vm="46">
        <f ca="1"/>
        <v>44452</v>
      </c>
      <c r="B11" s="2" vm="6759">
        <f ca="1"/>
        <v>19.64</v>
      </c>
      <c r="C11" s="2" vm="6770">
        <f ca="1"/>
        <v>21.18</v>
      </c>
      <c r="D11" s="2" vm="6771">
        <f ca="1"/>
        <v>18.760000000000002</v>
      </c>
      <c r="E11" s="2" vm="6772">
        <f ca="1"/>
        <v>19.37</v>
      </c>
    </row>
    <row r="12" spans="1:34" x14ac:dyDescent="0.2">
      <c r="A12" s="1" vm="52">
        <f ca="1"/>
        <v>44453</v>
      </c>
      <c r="B12" s="2" vm="6773">
        <f ca="1"/>
        <v>19.579999999999998</v>
      </c>
      <c r="C12" s="2" vm="6774">
        <f ca="1"/>
        <v>20.47</v>
      </c>
      <c r="D12" s="2" vm="6755">
        <f ca="1"/>
        <v>18.39</v>
      </c>
      <c r="E12" s="2" vm="6775">
        <f ca="1"/>
        <v>19.46</v>
      </c>
    </row>
    <row r="13" spans="1:34" x14ac:dyDescent="0.2">
      <c r="A13" s="1" vm="58">
        <f ca="1"/>
        <v>44454</v>
      </c>
      <c r="B13" s="2" vm="6776">
        <f ca="1"/>
        <v>19.3</v>
      </c>
      <c r="C13" s="2" vm="6777">
        <f ca="1"/>
        <v>20.27</v>
      </c>
      <c r="D13" s="2" vm="6778">
        <f ca="1"/>
        <v>18.010000000000002</v>
      </c>
      <c r="E13" s="2" vm="6779">
        <f ca="1"/>
        <v>18.18</v>
      </c>
    </row>
    <row r="14" spans="1:34" x14ac:dyDescent="0.2">
      <c r="A14" s="1" vm="64">
        <f ca="1"/>
        <v>44455</v>
      </c>
      <c r="B14" s="2" vm="6780">
        <f ca="1"/>
        <v>18.41</v>
      </c>
      <c r="C14" s="2" vm="6781">
        <f ca="1"/>
        <v>19.760000000000002</v>
      </c>
      <c r="D14" s="2" vm="6782">
        <f ca="1"/>
        <v>17.649999999999999</v>
      </c>
      <c r="E14" s="2" vm="6783">
        <f ca="1"/>
        <v>18.690000000000001</v>
      </c>
    </row>
    <row r="15" spans="1:34" x14ac:dyDescent="0.2">
      <c r="A15" s="1" vm="68">
        <f ca="1"/>
        <v>44456</v>
      </c>
      <c r="B15" s="2" vm="6784">
        <f ca="1"/>
        <v>18.37</v>
      </c>
      <c r="C15" s="2" vm="6785">
        <f ca="1"/>
        <v>21.51</v>
      </c>
      <c r="D15" s="2" vm="6786">
        <f ca="1"/>
        <v>18.350000000000001</v>
      </c>
      <c r="E15" s="2" vm="6787">
        <f ca="1"/>
        <v>20.81</v>
      </c>
    </row>
    <row r="16" spans="1:34" x14ac:dyDescent="0.2">
      <c r="A16" s="1" vm="73">
        <f ca="1"/>
        <v>44459</v>
      </c>
      <c r="B16" s="2" vm="6788">
        <f ca="1"/>
        <v>24.25</v>
      </c>
      <c r="C16" s="2" vm="6789">
        <f ca="1"/>
        <v>28.79</v>
      </c>
      <c r="D16" s="2" vm="6790">
        <f ca="1"/>
        <v>23.9</v>
      </c>
      <c r="E16" s="2" vm="6791">
        <f ca="1"/>
        <v>25.71</v>
      </c>
    </row>
    <row r="17" spans="1:5" x14ac:dyDescent="0.2">
      <c r="A17" s="1" vm="78">
        <f ca="1"/>
        <v>44460</v>
      </c>
      <c r="B17" s="2" vm="6792">
        <f ca="1"/>
        <v>23.41</v>
      </c>
      <c r="C17" s="2" vm="6793">
        <f ca="1"/>
        <v>25.6</v>
      </c>
      <c r="D17" s="2" vm="6794">
        <f ca="1"/>
        <v>21.71</v>
      </c>
      <c r="E17" s="2" vm="6795">
        <f ca="1"/>
        <v>24.36</v>
      </c>
    </row>
    <row r="18" spans="1:5" x14ac:dyDescent="0.2">
      <c r="A18" s="1" vm="84">
        <f ca="1"/>
        <v>44461</v>
      </c>
      <c r="B18" s="2" vm="6796">
        <f ca="1"/>
        <v>22.72</v>
      </c>
      <c r="C18" s="2" vm="6797">
        <f ca="1"/>
        <v>23.4</v>
      </c>
      <c r="D18" s="2" vm="6798">
        <f ca="1"/>
        <v>20.75</v>
      </c>
      <c r="E18" s="2" vm="6799">
        <f ca="1"/>
        <v>20.87</v>
      </c>
    </row>
    <row r="19" spans="1:5" x14ac:dyDescent="0.2">
      <c r="A19" s="1" vm="90">
        <f ca="1"/>
        <v>44462</v>
      </c>
      <c r="B19" s="2" vm="6800">
        <f ca="1"/>
        <v>19.91</v>
      </c>
      <c r="C19" s="2" vm="6801">
        <f ca="1"/>
        <v>20.21</v>
      </c>
      <c r="D19" s="2" vm="6802">
        <f ca="1"/>
        <v>18.420000000000002</v>
      </c>
      <c r="E19" s="2" vm="6803">
        <f ca="1"/>
        <v>18.63</v>
      </c>
    </row>
    <row r="20" spans="1:5" x14ac:dyDescent="0.2">
      <c r="A20" s="1" vm="96">
        <f ca="1"/>
        <v>44463</v>
      </c>
      <c r="B20" s="2" vm="6804">
        <f ca="1"/>
        <v>19.329999999999998</v>
      </c>
      <c r="C20" s="2" vm="6805">
        <f ca="1"/>
        <v>20.41</v>
      </c>
      <c r="D20" s="2" vm="6806">
        <f ca="1"/>
        <v>17.63</v>
      </c>
      <c r="E20" s="2" vm="6807">
        <f ca="1"/>
        <v>17.75</v>
      </c>
    </row>
    <row r="21" spans="1:5" x14ac:dyDescent="0.2">
      <c r="A21" s="1" vm="100">
        <f ca="1"/>
        <v>44466</v>
      </c>
      <c r="B21" s="2" vm="6760">
        <f ca="1"/>
        <v>17.78</v>
      </c>
      <c r="C21" s="2" vm="6808">
        <f ca="1"/>
        <v>19.32</v>
      </c>
      <c r="D21" s="2" vm="6809">
        <f ca="1"/>
        <v>17.739999999999998</v>
      </c>
      <c r="E21" s="2" vm="6771">
        <f ca="1"/>
        <v>18.760000000000002</v>
      </c>
    </row>
    <row r="22" spans="1:5" x14ac:dyDescent="0.2">
      <c r="A22" s="1" vm="106">
        <f ca="1"/>
        <v>44467</v>
      </c>
      <c r="B22" s="2" vm="6810">
        <f ca="1"/>
        <v>19.739999999999998</v>
      </c>
      <c r="C22" s="2" vm="6811">
        <f ca="1"/>
        <v>24.82</v>
      </c>
      <c r="D22" s="2" vm="6812">
        <f ca="1"/>
        <v>19.71</v>
      </c>
      <c r="E22" s="2" vm="6813">
        <f ca="1"/>
        <v>23.25</v>
      </c>
    </row>
    <row r="23" spans="1:5" x14ac:dyDescent="0.2">
      <c r="A23" s="1" vm="112">
        <f ca="1"/>
        <v>44468</v>
      </c>
      <c r="B23" s="2" vm="6814">
        <f ca="1"/>
        <v>22.07</v>
      </c>
      <c r="C23" s="2" vm="6815">
        <f ca="1"/>
        <v>23.79</v>
      </c>
      <c r="D23" s="2" vm="6816">
        <f ca="1"/>
        <v>21.45</v>
      </c>
      <c r="E23" s="2" vm="6817">
        <f ca="1"/>
        <v>22.56</v>
      </c>
    </row>
    <row r="24" spans="1:5" x14ac:dyDescent="0.2">
      <c r="A24" s="1" vm="118">
        <f ca="1"/>
        <v>44469</v>
      </c>
      <c r="B24" s="2" vm="6818">
        <f ca="1"/>
        <v>21.48</v>
      </c>
      <c r="C24" s="2" vm="6819">
        <f ca="1"/>
        <v>24.71</v>
      </c>
      <c r="D24" s="2" vm="6820">
        <f ca="1"/>
        <v>20.6</v>
      </c>
      <c r="E24" s="2" vm="6821">
        <f ca="1"/>
        <v>23.14</v>
      </c>
    </row>
    <row r="25" spans="1:5" x14ac:dyDescent="0.2">
      <c r="A25" s="1" vm="123">
        <f ca="1"/>
        <v>44470</v>
      </c>
      <c r="B25" s="2" vm="6822">
        <f ca="1"/>
        <v>24.78</v>
      </c>
      <c r="C25" s="2" vm="6823">
        <f ca="1"/>
        <v>24.89</v>
      </c>
      <c r="D25" s="2" vm="6824">
        <f ca="1"/>
        <v>20.64</v>
      </c>
      <c r="E25" s="2" vm="6825">
        <f ca="1"/>
        <v>21.15</v>
      </c>
    </row>
    <row r="26" spans="1:5" x14ac:dyDescent="0.2">
      <c r="A26" s="1" vm="129">
        <f ca="1"/>
        <v>44473</v>
      </c>
      <c r="B26" s="2" vm="6826">
        <f ca="1"/>
        <v>22.9</v>
      </c>
      <c r="C26" s="2" vm="6827">
        <f ca="1"/>
        <v>24.58</v>
      </c>
      <c r="D26" s="2" vm="6828">
        <f ca="1"/>
        <v>21.88</v>
      </c>
      <c r="E26" s="2" vm="6829">
        <f ca="1"/>
        <v>22.96</v>
      </c>
    </row>
    <row r="27" spans="1:5" x14ac:dyDescent="0.2">
      <c r="A27" s="1" vm="134">
        <f ca="1"/>
        <v>44474</v>
      </c>
      <c r="B27" s="2" vm="6830">
        <f ca="1"/>
        <v>22.92</v>
      </c>
      <c r="C27" s="2" vm="6831">
        <f ca="1"/>
        <v>23.17</v>
      </c>
      <c r="D27" s="2" vm="6832">
        <f ca="1"/>
        <v>20.62</v>
      </c>
      <c r="E27" s="2" vm="6833">
        <f ca="1"/>
        <v>21.3</v>
      </c>
    </row>
    <row r="28" spans="1:5" x14ac:dyDescent="0.2">
      <c r="A28" s="1" vm="140">
        <f ca="1"/>
        <v>44475</v>
      </c>
      <c r="B28" s="2" vm="6834">
        <f ca="1"/>
        <v>22.95</v>
      </c>
      <c r="C28" s="2" vm="6835">
        <f ca="1"/>
        <v>24.4</v>
      </c>
      <c r="D28" s="2" vm="6836">
        <f ca="1"/>
        <v>20.99</v>
      </c>
      <c r="E28" s="2" vm="6837">
        <f ca="1"/>
        <v>21</v>
      </c>
    </row>
    <row r="29" spans="1:5" x14ac:dyDescent="0.2">
      <c r="A29" s="1" vm="145">
        <f ca="1"/>
        <v>44476</v>
      </c>
      <c r="B29" s="2" vm="6838">
        <f ca="1"/>
        <v>20.54</v>
      </c>
      <c r="C29" s="2" vm="6839">
        <f ca="1"/>
        <v>20.76</v>
      </c>
      <c r="D29" s="2" vm="6840">
        <f ca="1"/>
        <v>19.07</v>
      </c>
      <c r="E29" s="2" vm="6763">
        <f ca="1"/>
        <v>19.54</v>
      </c>
    </row>
    <row r="30" spans="1:5" x14ac:dyDescent="0.2">
      <c r="A30" s="1" vm="151">
        <f ca="1"/>
        <v>44477</v>
      </c>
      <c r="B30" s="2" vm="6775">
        <f ca="1"/>
        <v>19.46</v>
      </c>
      <c r="C30" s="2" vm="6841">
        <f ca="1"/>
        <v>19.940000000000001</v>
      </c>
      <c r="D30" s="2" vm="6842">
        <f ca="1"/>
        <v>18.2</v>
      </c>
      <c r="E30" s="2" vm="6843">
        <f ca="1"/>
        <v>18.77</v>
      </c>
    </row>
    <row r="31" spans="1:5" x14ac:dyDescent="0.2">
      <c r="A31" s="1" vm="157">
        <f ca="1"/>
        <v>44480</v>
      </c>
      <c r="B31" s="2" vm="6844">
        <f ca="1"/>
        <v>19.93</v>
      </c>
      <c r="C31" s="2" vm="6845">
        <f ca="1"/>
        <v>20.45</v>
      </c>
      <c r="D31" s="2" vm="6846">
        <f ca="1"/>
        <v>18.11</v>
      </c>
      <c r="E31" s="2" vm="6847">
        <f ca="1"/>
        <v>20</v>
      </c>
    </row>
    <row r="32" spans="1:5" x14ac:dyDescent="0.2">
      <c r="A32" s="1" vm="163">
        <f ca="1"/>
        <v>44481</v>
      </c>
      <c r="B32" s="2" vm="6832">
        <f ca="1"/>
        <v>20.62</v>
      </c>
      <c r="C32" s="2" vm="6787">
        <f ca="1"/>
        <v>20.81</v>
      </c>
      <c r="D32" s="2" vm="6758">
        <f ca="1"/>
        <v>18.97</v>
      </c>
      <c r="E32" s="2" vm="6848">
        <f ca="1"/>
        <v>19.850000000000001</v>
      </c>
    </row>
    <row r="33" spans="1:5" x14ac:dyDescent="0.2">
      <c r="A33" s="1" vm="169">
        <f ca="1"/>
        <v>44482</v>
      </c>
      <c r="B33" s="2" vm="6849">
        <f ca="1"/>
        <v>20.14</v>
      </c>
      <c r="C33" s="2" vm="6850">
        <f ca="1"/>
        <v>20.23</v>
      </c>
      <c r="D33" s="2" vm="6851">
        <f ca="1"/>
        <v>18.440000000000001</v>
      </c>
      <c r="E33" s="2" vm="6852">
        <f ca="1"/>
        <v>18.64</v>
      </c>
    </row>
    <row r="34" spans="1:5" x14ac:dyDescent="0.2">
      <c r="A34" s="1" vm="175">
        <f ca="1"/>
        <v>44483</v>
      </c>
      <c r="B34" s="2" vm="6778">
        <f ca="1"/>
        <v>18.010000000000002</v>
      </c>
      <c r="C34" s="2" vm="6853">
        <f ca="1"/>
        <v>18.079999999999998</v>
      </c>
      <c r="D34" s="2" vm="6854">
        <f ca="1"/>
        <v>16.8</v>
      </c>
      <c r="E34" s="2" vm="6855">
        <f ca="1"/>
        <v>16.86</v>
      </c>
    </row>
    <row r="35" spans="1:5" x14ac:dyDescent="0.2">
      <c r="A35" s="1" vm="180">
        <f ca="1"/>
        <v>44484</v>
      </c>
      <c r="B35" s="2" vm="6856">
        <f ca="1"/>
        <v>16.64</v>
      </c>
      <c r="C35" s="2" vm="6857">
        <f ca="1"/>
        <v>16.850000000000001</v>
      </c>
      <c r="D35" s="2" vm="6858">
        <f ca="1"/>
        <v>15.72</v>
      </c>
      <c r="E35" s="2" vm="6859">
        <f ca="1"/>
        <v>16.3</v>
      </c>
    </row>
    <row r="36" spans="1:5" x14ac:dyDescent="0.2">
      <c r="A36" s="1" vm="186">
        <f ca="1"/>
        <v>44487</v>
      </c>
      <c r="B36" s="2" vm="6860">
        <f ca="1"/>
        <v>17.29</v>
      </c>
      <c r="C36" s="2" vm="6861">
        <f ca="1"/>
        <v>17.93</v>
      </c>
      <c r="D36" s="2" vm="6746">
        <f ca="1"/>
        <v>16.27</v>
      </c>
      <c r="E36" s="2" vm="6862">
        <f ca="1"/>
        <v>16.309999999999999</v>
      </c>
    </row>
    <row r="37" spans="1:5" x14ac:dyDescent="0.2">
      <c r="A37" s="1" vm="192">
        <f ca="1"/>
        <v>44488</v>
      </c>
      <c r="B37" s="2" vm="6863">
        <f ca="1"/>
        <v>16.09</v>
      </c>
      <c r="C37" s="2" vm="6862">
        <f ca="1"/>
        <v>16.309999999999999</v>
      </c>
      <c r="D37" s="2" vm="6864">
        <f ca="1"/>
        <v>15.57</v>
      </c>
      <c r="E37" s="2" vm="6865">
        <f ca="1"/>
        <v>15.7</v>
      </c>
    </row>
    <row r="38" spans="1:5" x14ac:dyDescent="0.2">
      <c r="A38" s="1" vm="198">
        <f ca="1"/>
        <v>44489</v>
      </c>
      <c r="B38" s="2" vm="6866">
        <f ca="1"/>
        <v>15.82</v>
      </c>
      <c r="C38" s="2" vm="6867">
        <f ca="1"/>
        <v>15.89</v>
      </c>
      <c r="D38" s="2" vm="6868">
        <f ca="1"/>
        <v>15.29</v>
      </c>
      <c r="E38" s="2" vm="6869">
        <f ca="1"/>
        <v>15.49</v>
      </c>
    </row>
    <row r="39" spans="1:5" x14ac:dyDescent="0.2">
      <c r="A39" s="1" vm="204">
        <f ca="1"/>
        <v>44490</v>
      </c>
      <c r="B39" s="2" vm="6742">
        <f ca="1"/>
        <v>16.059999999999999</v>
      </c>
      <c r="C39" s="2" vm="6745">
        <f ca="1"/>
        <v>16.11</v>
      </c>
      <c r="D39" s="2" vm="6870">
        <f ca="1"/>
        <v>14.92</v>
      </c>
      <c r="E39" s="2" vm="6871">
        <f ca="1"/>
        <v>15.01</v>
      </c>
    </row>
    <row r="40" spans="1:5" x14ac:dyDescent="0.2">
      <c r="A40" s="1" vm="210">
        <f ca="1"/>
        <v>44491</v>
      </c>
      <c r="B40" s="2" vm="6872">
        <f ca="1"/>
        <v>15.35</v>
      </c>
      <c r="C40" s="2" vm="6873">
        <f ca="1"/>
        <v>16.39</v>
      </c>
      <c r="D40" s="2" vm="6874">
        <f ca="1"/>
        <v>14.84</v>
      </c>
      <c r="E40" s="2" vm="6875">
        <f ca="1"/>
        <v>15.43</v>
      </c>
    </row>
    <row r="41" spans="1:5" x14ac:dyDescent="0.2">
      <c r="A41" s="1" vm="216">
        <f ca="1"/>
        <v>44494</v>
      </c>
      <c r="B41" s="2" vm="6876">
        <f ca="1"/>
        <v>16.14</v>
      </c>
      <c r="C41" s="2" vm="6877">
        <f ca="1"/>
        <v>16.329999999999998</v>
      </c>
      <c r="D41" s="2" vm="6878">
        <f ca="1"/>
        <v>15.1</v>
      </c>
      <c r="E41" s="2" vm="6879">
        <f ca="1"/>
        <v>15.24</v>
      </c>
    </row>
    <row r="42" spans="1:5" x14ac:dyDescent="0.2">
      <c r="A42" s="1" vm="222">
        <f ca="1"/>
        <v>44495</v>
      </c>
      <c r="B42" s="2" vm="6880">
        <f ca="1"/>
        <v>15.02</v>
      </c>
      <c r="C42" s="2" vm="6743">
        <f ca="1"/>
        <v>16.71</v>
      </c>
      <c r="D42" s="2" vm="6881">
        <f ca="1"/>
        <v>14.9</v>
      </c>
      <c r="E42" s="2" vm="6738">
        <f ca="1"/>
        <v>15.98</v>
      </c>
    </row>
    <row r="43" spans="1:5" x14ac:dyDescent="0.2">
      <c r="A43" s="1" vm="228">
        <f ca="1"/>
        <v>44496</v>
      </c>
      <c r="B43" s="2" vm="6882">
        <f ca="1"/>
        <v>15.79</v>
      </c>
      <c r="C43" s="2" vm="6860">
        <f ca="1"/>
        <v>17.29</v>
      </c>
      <c r="D43" s="2" vm="6883">
        <f ca="1"/>
        <v>15.54</v>
      </c>
      <c r="E43" s="2" vm="6747">
        <f ca="1"/>
        <v>16.98</v>
      </c>
    </row>
    <row r="44" spans="1:5" x14ac:dyDescent="0.2">
      <c r="A44" s="1" vm="234">
        <f ca="1"/>
        <v>44497</v>
      </c>
      <c r="B44" s="2" vm="6750">
        <f ca="1"/>
        <v>17.059999999999999</v>
      </c>
      <c r="C44" s="2" vm="6884">
        <f ca="1"/>
        <v>17.16</v>
      </c>
      <c r="D44" s="2" vm="6885">
        <f ca="1"/>
        <v>16.23</v>
      </c>
      <c r="E44" s="2" vm="6886">
        <f ca="1"/>
        <v>16.53</v>
      </c>
    </row>
    <row r="45" spans="1:5" x14ac:dyDescent="0.2">
      <c r="A45" s="1" vm="239">
        <f ca="1"/>
        <v>44498</v>
      </c>
      <c r="B45" s="2" vm="6887">
        <f ca="1"/>
        <v>17.399999999999999</v>
      </c>
      <c r="C45" s="2" vm="6888">
        <f ca="1"/>
        <v>18.059999999999999</v>
      </c>
      <c r="D45" s="2" vm="6889">
        <f ca="1"/>
        <v>16.13</v>
      </c>
      <c r="E45" s="2" vm="6890">
        <f ca="1"/>
        <v>16.260000000000002</v>
      </c>
    </row>
    <row r="46" spans="1:5" x14ac:dyDescent="0.2">
      <c r="A46" s="1" vm="245">
        <f ca="1"/>
        <v>44501</v>
      </c>
      <c r="B46" s="2" vm="6857">
        <f ca="1"/>
        <v>16.850000000000001</v>
      </c>
      <c r="C46" s="2" vm="6891">
        <f ca="1"/>
        <v>17.7</v>
      </c>
      <c r="D46" s="2" vm="6892">
        <f ca="1"/>
        <v>16.32</v>
      </c>
      <c r="E46" s="2" vm="6749">
        <f ca="1"/>
        <v>16.41</v>
      </c>
    </row>
    <row r="47" spans="1:5" x14ac:dyDescent="0.2">
      <c r="A47" s="1" vm="249">
        <f ca="1"/>
        <v>44502</v>
      </c>
      <c r="B47" s="2" vm="6893">
        <f ca="1"/>
        <v>16.54</v>
      </c>
      <c r="C47" s="2" vm="6894">
        <f ca="1"/>
        <v>16.649999999999999</v>
      </c>
      <c r="D47" s="2" vm="6867">
        <f ca="1"/>
        <v>15.89</v>
      </c>
      <c r="E47" s="2" vm="6895">
        <f ca="1"/>
        <v>16.03</v>
      </c>
    </row>
    <row r="48" spans="1:5" x14ac:dyDescent="0.2">
      <c r="A48" s="1" vm="255">
        <f ca="1"/>
        <v>44503</v>
      </c>
      <c r="B48" s="2" vm="6745">
        <f ca="1"/>
        <v>16.11</v>
      </c>
      <c r="C48" s="2" vm="6873">
        <f ca="1"/>
        <v>16.39</v>
      </c>
      <c r="D48" s="2" vm="6881">
        <f ca="1"/>
        <v>14.9</v>
      </c>
      <c r="E48" s="2" vm="6878">
        <f ca="1"/>
        <v>15.1</v>
      </c>
    </row>
    <row r="49" spans="1:5" x14ac:dyDescent="0.2">
      <c r="A49" s="1" vm="261">
        <f ca="1"/>
        <v>44504</v>
      </c>
      <c r="B49" s="2" vm="6896">
        <f ca="1"/>
        <v>15.06</v>
      </c>
      <c r="C49" s="2" vm="6876">
        <f ca="1"/>
        <v>16.14</v>
      </c>
      <c r="D49" s="2" vm="6897">
        <f ca="1"/>
        <v>14.73</v>
      </c>
      <c r="E49" s="2" vm="6898">
        <f ca="1"/>
        <v>15.44</v>
      </c>
    </row>
    <row r="50" spans="1:5" x14ac:dyDescent="0.2">
      <c r="A50" s="1" vm="266">
        <f ca="1"/>
        <v>44505</v>
      </c>
      <c r="B50" s="2" vm="6899">
        <f ca="1"/>
        <v>15.59</v>
      </c>
      <c r="C50" s="2" vm="6900">
        <f ca="1"/>
        <v>17.02</v>
      </c>
      <c r="D50" s="2" vm="6901">
        <f ca="1"/>
        <v>14.95</v>
      </c>
      <c r="E50" s="2" vm="6741">
        <f ca="1"/>
        <v>16.48</v>
      </c>
    </row>
    <row r="51" spans="1:5" x14ac:dyDescent="0.2">
      <c r="A51" s="1" vm="272">
        <f ca="1"/>
        <v>44508</v>
      </c>
      <c r="B51" s="2" vm="6902">
        <f ca="1"/>
        <v>17.23</v>
      </c>
      <c r="C51" s="2" vm="6903">
        <f ca="1"/>
        <v>17.690000000000001</v>
      </c>
      <c r="D51" s="2" vm="6904">
        <f ca="1"/>
        <v>16.440000000000001</v>
      </c>
      <c r="E51" s="2" vm="6905">
        <f ca="1"/>
        <v>17.22</v>
      </c>
    </row>
    <row r="52" spans="1:5" x14ac:dyDescent="0.2">
      <c r="A52" s="1" vm="277">
        <f ca="1"/>
        <v>44509</v>
      </c>
      <c r="B52" s="2" vm="6906">
        <f ca="1"/>
        <v>17.43</v>
      </c>
      <c r="C52" s="2" vm="6907">
        <f ca="1"/>
        <v>18.57</v>
      </c>
      <c r="D52" s="2" vm="6908">
        <f ca="1"/>
        <v>17.21</v>
      </c>
      <c r="E52" s="2" vm="6760">
        <f ca="1"/>
        <v>17.78</v>
      </c>
    </row>
    <row r="53" spans="1:5" x14ac:dyDescent="0.2">
      <c r="A53" s="1" vm="283">
        <f ca="1"/>
        <v>44510</v>
      </c>
      <c r="B53" s="2" vm="6809">
        <f ca="1"/>
        <v>17.739999999999998</v>
      </c>
      <c r="C53" s="2" vm="6909">
        <f ca="1"/>
        <v>19.899999999999999</v>
      </c>
      <c r="D53" s="2" vm="6905">
        <f ca="1"/>
        <v>17.22</v>
      </c>
      <c r="E53" s="2" vm="6910">
        <f ca="1"/>
        <v>18.73</v>
      </c>
    </row>
    <row r="54" spans="1:5" x14ac:dyDescent="0.2">
      <c r="A54" s="1" vm="288">
        <f ca="1"/>
        <v>44511</v>
      </c>
      <c r="B54" s="2" vm="6911">
        <f ca="1"/>
        <v>18.34</v>
      </c>
      <c r="C54" s="2" vm="6755">
        <f ca="1"/>
        <v>18.39</v>
      </c>
      <c r="D54" s="2" vm="6912">
        <f ca="1"/>
        <v>17.27</v>
      </c>
      <c r="E54" s="2" vm="6913">
        <f ca="1"/>
        <v>17.66</v>
      </c>
    </row>
    <row r="55" spans="1:5" x14ac:dyDescent="0.2">
      <c r="A55" s="1" vm="294">
        <f ca="1"/>
        <v>44512</v>
      </c>
      <c r="B55" s="2" vm="6914">
        <f ca="1"/>
        <v>17.489999999999998</v>
      </c>
      <c r="C55" s="2" vm="6903">
        <f ca="1"/>
        <v>17.690000000000001</v>
      </c>
      <c r="D55" s="2" vm="6915">
        <f ca="1"/>
        <v>16.149999999999999</v>
      </c>
      <c r="E55" s="2" vm="6916">
        <f ca="1"/>
        <v>16.29</v>
      </c>
    </row>
    <row r="56" spans="1:5" x14ac:dyDescent="0.2">
      <c r="A56" s="1" vm="299">
        <f ca="1"/>
        <v>44515</v>
      </c>
      <c r="B56" s="2" vm="6917">
        <f ca="1"/>
        <v>17.03</v>
      </c>
      <c r="C56" s="2" vm="6918">
        <f ca="1"/>
        <v>17.46</v>
      </c>
      <c r="D56" s="2" vm="6919">
        <f ca="1"/>
        <v>16.489999999999998</v>
      </c>
      <c r="E56" s="2" vm="6919">
        <f ca="1"/>
        <v>16.489999999999998</v>
      </c>
    </row>
    <row r="57" spans="1:5" x14ac:dyDescent="0.2">
      <c r="A57" s="1" vm="305">
        <f ca="1"/>
        <v>44516</v>
      </c>
      <c r="B57" s="2" vm="6855">
        <f ca="1"/>
        <v>16.86</v>
      </c>
      <c r="C57" s="2" vm="6920">
        <f ca="1"/>
        <v>17.079999999999998</v>
      </c>
      <c r="D57" s="2" vm="6895">
        <f ca="1"/>
        <v>16.03</v>
      </c>
      <c r="E57" s="2" vm="6921">
        <f ca="1"/>
        <v>16.37</v>
      </c>
    </row>
    <row r="58" spans="1:5" x14ac:dyDescent="0.2">
      <c r="A58" s="1" vm="309">
        <f ca="1"/>
        <v>44517</v>
      </c>
      <c r="B58" s="2" vm="6922">
        <f ca="1"/>
        <v>16.36</v>
      </c>
      <c r="C58" s="2" vm="6923">
        <f ca="1"/>
        <v>17.190000000000001</v>
      </c>
      <c r="D58" s="2" vm="6924">
        <f ca="1"/>
        <v>16.28</v>
      </c>
      <c r="E58" s="2" vm="6925">
        <f ca="1"/>
        <v>17.11</v>
      </c>
    </row>
    <row r="59" spans="1:5" x14ac:dyDescent="0.2">
      <c r="A59" s="1" vm="314">
        <f ca="1"/>
        <v>44518</v>
      </c>
      <c r="B59" s="2" vm="6926">
        <f ca="1"/>
        <v>16.809999999999999</v>
      </c>
      <c r="C59" s="2" vm="6927">
        <f ca="1"/>
        <v>18.149999999999999</v>
      </c>
      <c r="D59" s="2" vm="6928">
        <f ca="1"/>
        <v>16.38</v>
      </c>
      <c r="E59" s="2" vm="6929">
        <f ca="1"/>
        <v>17.59</v>
      </c>
    </row>
    <row r="60" spans="1:5" x14ac:dyDescent="0.2">
      <c r="A60" s="1" vm="318">
        <f ca="1"/>
        <v>44519</v>
      </c>
      <c r="B60" s="2" vm="6930">
        <f ca="1"/>
        <v>17.36</v>
      </c>
      <c r="C60" s="2" vm="6931">
        <f ca="1"/>
        <v>19.010000000000002</v>
      </c>
      <c r="D60" s="2" vm="6902">
        <f ca="1"/>
        <v>17.23</v>
      </c>
      <c r="E60" s="2" vm="6932">
        <f ca="1"/>
        <v>17.91</v>
      </c>
    </row>
    <row r="61" spans="1:5" x14ac:dyDescent="0.2">
      <c r="A61" s="1" vm="324">
        <f ca="1"/>
        <v>44522</v>
      </c>
      <c r="B61" s="2" vm="6842">
        <f ca="1"/>
        <v>18.2</v>
      </c>
      <c r="C61" s="2" vm="6933">
        <f ca="1"/>
        <v>19.59</v>
      </c>
      <c r="D61" s="2" vm="6934">
        <f ca="1"/>
        <v>17.350000000000001</v>
      </c>
      <c r="E61" s="2" vm="6935">
        <f ca="1"/>
        <v>19.170000000000002</v>
      </c>
    </row>
    <row r="62" spans="1:5" x14ac:dyDescent="0.2">
      <c r="A62" s="1" vm="329">
        <f ca="1"/>
        <v>44523</v>
      </c>
      <c r="B62" s="2" vm="6936">
        <f ca="1"/>
        <v>20.239999999999998</v>
      </c>
      <c r="C62" s="2" vm="6937">
        <f ca="1"/>
        <v>20.91</v>
      </c>
      <c r="D62" s="2" vm="6938">
        <f ca="1"/>
        <v>19.03</v>
      </c>
      <c r="E62" s="2" vm="6939">
        <f ca="1"/>
        <v>19.38</v>
      </c>
    </row>
    <row r="63" spans="1:5" x14ac:dyDescent="0.2">
      <c r="A63" s="1" vm="334">
        <f ca="1"/>
        <v>44524</v>
      </c>
      <c r="B63" s="2" vm="6935">
        <f ca="1"/>
        <v>19.170000000000002</v>
      </c>
      <c r="C63" s="2" vm="6940">
        <f ca="1"/>
        <v>20.96</v>
      </c>
      <c r="D63" s="2" vm="6941">
        <f ca="1"/>
        <v>18.52</v>
      </c>
      <c r="E63" s="2" vm="6942">
        <f ca="1"/>
        <v>18.579999999999998</v>
      </c>
    </row>
    <row r="64" spans="1:5" x14ac:dyDescent="0.2">
      <c r="A64" s="1" vm="6943">
        <f ca="1"/>
        <v>44525</v>
      </c>
      <c r="B64" s="2" t="e" vm="6753">
        <f ca="1"/>
        <v>#N/A</v>
      </c>
      <c r="C64" s="2" t="e" vm="6753">
        <f ca="1"/>
        <v>#N/A</v>
      </c>
      <c r="D64" s="2" t="e" vm="6753">
        <f ca="1"/>
        <v>#N/A</v>
      </c>
      <c r="E64" s="2" vm="6942">
        <f ca="1"/>
        <v>18.579999999999998</v>
      </c>
    </row>
    <row r="65" spans="1:5" x14ac:dyDescent="0.2">
      <c r="A65" s="1" vm="340">
        <f ca="1"/>
        <v>44526</v>
      </c>
      <c r="B65" s="2" vm="6944">
        <f ca="1"/>
        <v>26.62</v>
      </c>
      <c r="C65" s="2" vm="6945">
        <f ca="1"/>
        <v>28.99</v>
      </c>
      <c r="D65" s="2" vm="6946">
        <f ca="1"/>
        <v>23.88</v>
      </c>
      <c r="E65" s="2" vm="6947">
        <f ca="1"/>
        <v>28.62</v>
      </c>
    </row>
    <row r="66" spans="1:5" x14ac:dyDescent="0.2">
      <c r="A66" s="1" vm="346">
        <f ca="1"/>
        <v>44529</v>
      </c>
      <c r="B66" s="2" vm="6948">
        <f ca="1"/>
        <v>25.31</v>
      </c>
      <c r="C66" s="2" vm="6949">
        <f ca="1"/>
        <v>25.69</v>
      </c>
      <c r="D66" s="2" vm="6794">
        <f ca="1"/>
        <v>21.71</v>
      </c>
      <c r="E66" s="2" vm="6829">
        <f ca="1"/>
        <v>22.96</v>
      </c>
    </row>
    <row r="67" spans="1:5" x14ac:dyDescent="0.2">
      <c r="A67" s="1" vm="351">
        <f ca="1"/>
        <v>44530</v>
      </c>
      <c r="B67" s="2" vm="6950">
        <f ca="1"/>
        <v>26.23</v>
      </c>
      <c r="C67" s="2" vm="6951">
        <f ca="1"/>
        <v>28.56</v>
      </c>
      <c r="D67" s="2" vm="6952">
        <f ca="1"/>
        <v>23.71</v>
      </c>
      <c r="E67" s="2" vm="6953">
        <f ca="1"/>
        <v>27.19</v>
      </c>
    </row>
    <row r="68" spans="1:5" x14ac:dyDescent="0.2">
      <c r="A68" s="1" vm="357">
        <f ca="1"/>
        <v>44531</v>
      </c>
      <c r="B68" s="2" vm="6954">
        <f ca="1"/>
        <v>24.92</v>
      </c>
      <c r="C68" s="2" vm="6955">
        <f ca="1"/>
        <v>32.61</v>
      </c>
      <c r="D68" s="2" vm="6956">
        <f ca="1"/>
        <v>22.38</v>
      </c>
      <c r="E68" s="2" vm="6957">
        <f ca="1"/>
        <v>31.12</v>
      </c>
    </row>
    <row r="69" spans="1:5" x14ac:dyDescent="0.2">
      <c r="A69" s="1" vm="363">
        <f ca="1"/>
        <v>44532</v>
      </c>
      <c r="B69" s="2" vm="6958">
        <f ca="1"/>
        <v>29.44</v>
      </c>
      <c r="C69" s="2" vm="6959">
        <f ca="1"/>
        <v>30.68</v>
      </c>
      <c r="D69" s="2" vm="6960">
        <f ca="1"/>
        <v>27.15</v>
      </c>
      <c r="E69" s="2" vm="6961">
        <f ca="1"/>
        <v>27.95</v>
      </c>
    </row>
    <row r="70" spans="1:5" x14ac:dyDescent="0.2">
      <c r="A70" s="1" vm="368">
        <f ca="1"/>
        <v>44533</v>
      </c>
      <c r="B70" s="2" vm="6962">
        <f ca="1"/>
        <v>26.95</v>
      </c>
      <c r="C70" s="2" vm="6963">
        <f ca="1"/>
        <v>35.32</v>
      </c>
      <c r="D70" s="2" vm="6964">
        <f ca="1"/>
        <v>25.89</v>
      </c>
      <c r="E70" s="2" vm="6965">
        <f ca="1"/>
        <v>30.67</v>
      </c>
    </row>
    <row r="71" spans="1:5" x14ac:dyDescent="0.2">
      <c r="A71" s="1" vm="374">
        <f ca="1"/>
        <v>44536</v>
      </c>
      <c r="B71" s="2" vm="6945">
        <f ca="1"/>
        <v>28.99</v>
      </c>
      <c r="C71" s="2" vm="6966">
        <f ca="1"/>
        <v>30.82</v>
      </c>
      <c r="D71" s="2" vm="6967">
        <f ca="1"/>
        <v>26.75</v>
      </c>
      <c r="E71" s="2" vm="6968">
        <f ca="1"/>
        <v>27.18</v>
      </c>
    </row>
    <row r="72" spans="1:5" x14ac:dyDescent="0.2">
      <c r="A72" s="1" vm="379">
        <f ca="1"/>
        <v>44537</v>
      </c>
      <c r="B72" s="2" vm="6827">
        <f ca="1"/>
        <v>24.58</v>
      </c>
      <c r="C72" s="2" vm="6969">
        <f ca="1"/>
        <v>24.69</v>
      </c>
      <c r="D72" s="2" vm="6970">
        <f ca="1"/>
        <v>21.58</v>
      </c>
      <c r="E72" s="2" vm="6971">
        <f ca="1"/>
        <v>21.89</v>
      </c>
    </row>
    <row r="73" spans="1:5" x14ac:dyDescent="0.2">
      <c r="A73" s="1" vm="385">
        <f ca="1"/>
        <v>44538</v>
      </c>
      <c r="B73" s="2" vm="6972">
        <f ca="1"/>
        <v>21.74</v>
      </c>
      <c r="C73" s="2" vm="6973">
        <f ca="1"/>
        <v>23.11</v>
      </c>
      <c r="D73" s="2" vm="6848">
        <f ca="1"/>
        <v>19.850000000000001</v>
      </c>
      <c r="E73" s="2" vm="6909">
        <f ca="1"/>
        <v>19.899999999999999</v>
      </c>
    </row>
    <row r="74" spans="1:5" x14ac:dyDescent="0.2">
      <c r="A74" s="1" vm="388">
        <f ca="1"/>
        <v>44539</v>
      </c>
      <c r="B74" s="2" vm="6974">
        <f ca="1"/>
        <v>20.309999999999999</v>
      </c>
      <c r="C74" s="2" vm="6975">
        <f ca="1"/>
        <v>22.12</v>
      </c>
      <c r="D74" s="2" vm="6841">
        <f ca="1"/>
        <v>19.940000000000001</v>
      </c>
      <c r="E74" s="2" vm="6970">
        <f ca="1"/>
        <v>21.58</v>
      </c>
    </row>
    <row r="75" spans="1:5" x14ac:dyDescent="0.2">
      <c r="A75" s="1" vm="392">
        <f ca="1"/>
        <v>44540</v>
      </c>
      <c r="B75" s="2" vm="6976">
        <f ca="1"/>
        <v>21.27</v>
      </c>
      <c r="C75" s="2" vm="6833">
        <f ca="1"/>
        <v>21.3</v>
      </c>
      <c r="D75" s="2" vm="6783">
        <f ca="1"/>
        <v>18.690000000000001</v>
      </c>
      <c r="E75" s="2" vm="6783">
        <f ca="1"/>
        <v>18.690000000000001</v>
      </c>
    </row>
    <row r="76" spans="1:5" x14ac:dyDescent="0.2">
      <c r="A76" s="1" vm="398">
        <f ca="1"/>
        <v>44543</v>
      </c>
      <c r="B76" s="2" vm="6977">
        <f ca="1"/>
        <v>19.29</v>
      </c>
      <c r="C76" s="2" vm="6770">
        <f ca="1"/>
        <v>21.18</v>
      </c>
      <c r="D76" s="2" vm="6978">
        <f ca="1"/>
        <v>18.96</v>
      </c>
      <c r="E76" s="2" vm="6974">
        <f ca="1"/>
        <v>20.309999999999999</v>
      </c>
    </row>
    <row r="77" spans="1:5" x14ac:dyDescent="0.2">
      <c r="A77" s="1" vm="404">
        <f ca="1"/>
        <v>44544</v>
      </c>
      <c r="B77" s="2" vm="6979">
        <f ca="1"/>
        <v>19.670000000000002</v>
      </c>
      <c r="C77" s="2" vm="6980">
        <f ca="1"/>
        <v>23</v>
      </c>
      <c r="D77" s="2" vm="6979">
        <f ca="1"/>
        <v>19.670000000000002</v>
      </c>
      <c r="E77" s="2" vm="6971">
        <f ca="1"/>
        <v>21.89</v>
      </c>
    </row>
    <row r="78" spans="1:5" x14ac:dyDescent="0.2">
      <c r="A78" s="1" vm="410">
        <f ca="1"/>
        <v>44545</v>
      </c>
      <c r="B78" s="2" vm="6981">
        <f ca="1"/>
        <v>21.6</v>
      </c>
      <c r="C78" s="2" vm="6982">
        <f ca="1"/>
        <v>23.47</v>
      </c>
      <c r="D78" s="2" vm="6983">
        <f ca="1"/>
        <v>19.02</v>
      </c>
      <c r="E78" s="2" vm="6977">
        <f ca="1"/>
        <v>19.29</v>
      </c>
    </row>
    <row r="79" spans="1:5" x14ac:dyDescent="0.2">
      <c r="A79" s="1" vm="416">
        <f ca="1"/>
        <v>44546</v>
      </c>
      <c r="B79" s="2" vm="6984">
        <f ca="1"/>
        <v>18.559999999999999</v>
      </c>
      <c r="C79" s="2" vm="6985">
        <f ca="1"/>
        <v>22.13</v>
      </c>
      <c r="D79" s="2" vm="6986">
        <f ca="1"/>
        <v>18.190000000000001</v>
      </c>
      <c r="E79" s="2" vm="6987">
        <f ca="1"/>
        <v>20.57</v>
      </c>
    </row>
    <row r="80" spans="1:5" x14ac:dyDescent="0.2">
      <c r="A80" s="1" vm="422">
        <f ca="1"/>
        <v>44547</v>
      </c>
      <c r="B80" s="2" vm="6988">
        <f ca="1"/>
        <v>20.7</v>
      </c>
      <c r="C80" s="2" vm="6989">
        <f ca="1"/>
        <v>23.26</v>
      </c>
      <c r="D80" s="2" vm="6990">
        <f ca="1"/>
        <v>20.49</v>
      </c>
      <c r="E80" s="2" vm="6991">
        <f ca="1"/>
        <v>21.57</v>
      </c>
    </row>
    <row r="81" spans="1:5" x14ac:dyDescent="0.2">
      <c r="A81" s="1" vm="428">
        <f ca="1"/>
        <v>44550</v>
      </c>
      <c r="B81" s="2" vm="6964">
        <f ca="1"/>
        <v>25.89</v>
      </c>
      <c r="C81" s="2" vm="6992">
        <f ca="1"/>
        <v>27.39</v>
      </c>
      <c r="D81" s="2" vm="6993">
        <f ca="1"/>
        <v>22.85</v>
      </c>
      <c r="E81" s="2" vm="6994">
        <f ca="1"/>
        <v>22.87</v>
      </c>
    </row>
    <row r="82" spans="1:5" x14ac:dyDescent="0.2">
      <c r="A82" s="1" vm="433">
        <f ca="1"/>
        <v>44551</v>
      </c>
      <c r="B82" s="2" vm="6995">
        <f ca="1"/>
        <v>22.28</v>
      </c>
      <c r="C82" s="2" vm="6996">
        <f ca="1"/>
        <v>22.68</v>
      </c>
      <c r="D82" s="2" vm="6997">
        <f ca="1"/>
        <v>20.9</v>
      </c>
      <c r="E82" s="2" vm="6998">
        <f ca="1"/>
        <v>21.01</v>
      </c>
    </row>
    <row r="83" spans="1:5" x14ac:dyDescent="0.2">
      <c r="A83" s="1" vm="439">
        <f ca="1"/>
        <v>44552</v>
      </c>
      <c r="B83" s="2" vm="6999">
        <f ca="1"/>
        <v>21.04</v>
      </c>
      <c r="C83" s="2" vm="7000">
        <f ca="1"/>
        <v>21.36</v>
      </c>
      <c r="D83" s="2" vm="7001">
        <f ca="1"/>
        <v>18.59</v>
      </c>
      <c r="E83" s="2" vm="6803">
        <f ca="1"/>
        <v>18.63</v>
      </c>
    </row>
    <row r="84" spans="1:5" x14ac:dyDescent="0.2">
      <c r="A84" s="1" vm="444">
        <f ca="1"/>
        <v>44553</v>
      </c>
      <c r="B84" s="2" vm="7002">
        <f ca="1"/>
        <v>18.809999999999999</v>
      </c>
      <c r="C84" s="2" vm="7003">
        <f ca="1"/>
        <v>18.93</v>
      </c>
      <c r="D84" s="2" vm="7004">
        <f ca="1"/>
        <v>17.62</v>
      </c>
      <c r="E84" s="2" vm="6761">
        <f ca="1"/>
        <v>17.96</v>
      </c>
    </row>
    <row r="85" spans="1:5" x14ac:dyDescent="0.2">
      <c r="A85" s="1" vm="7005">
        <f ca="1"/>
        <v>44554</v>
      </c>
      <c r="B85" s="2" t="e" vm="6753">
        <f ca="1"/>
        <v>#N/A</v>
      </c>
      <c r="C85" s="2" t="e" vm="6753">
        <f ca="1"/>
        <v>#N/A</v>
      </c>
      <c r="D85" s="2" t="e" vm="6753">
        <f ca="1"/>
        <v>#N/A</v>
      </c>
      <c r="E85" s="2" vm="6761">
        <f ca="1"/>
        <v>17.96</v>
      </c>
    </row>
    <row r="86" spans="1:5" x14ac:dyDescent="0.2">
      <c r="A86" s="1" vm="450">
        <f ca="1"/>
        <v>44557</v>
      </c>
      <c r="B86" s="2" vm="6772">
        <f ca="1"/>
        <v>19.37</v>
      </c>
      <c r="C86" s="2" vm="7006">
        <f ca="1"/>
        <v>19.41</v>
      </c>
      <c r="D86" s="2" vm="7007">
        <f ca="1"/>
        <v>17.55</v>
      </c>
      <c r="E86" s="2" vm="7008">
        <f ca="1"/>
        <v>17.68</v>
      </c>
    </row>
    <row r="87" spans="1:5" x14ac:dyDescent="0.2">
      <c r="A87" s="1" vm="455">
        <f ca="1"/>
        <v>44558</v>
      </c>
      <c r="B87" s="2" vm="6760">
        <f ca="1"/>
        <v>17.78</v>
      </c>
      <c r="C87" s="2" vm="7009">
        <f ca="1"/>
        <v>18.47</v>
      </c>
      <c r="D87" s="2" vm="7010">
        <f ca="1"/>
        <v>17.510000000000002</v>
      </c>
      <c r="E87" s="2" vm="7011">
        <f ca="1"/>
        <v>17.54</v>
      </c>
    </row>
    <row r="88" spans="1:5" x14ac:dyDescent="0.2">
      <c r="A88" s="1" vm="459">
        <f ca="1"/>
        <v>44559</v>
      </c>
      <c r="B88" s="2" vm="6806">
        <f ca="1"/>
        <v>17.63</v>
      </c>
      <c r="C88" s="2" vm="7012">
        <f ca="1"/>
        <v>18</v>
      </c>
      <c r="D88" s="2" vm="6743">
        <f ca="1"/>
        <v>16.71</v>
      </c>
      <c r="E88" s="2" vm="7013">
        <f ca="1"/>
        <v>16.95</v>
      </c>
    </row>
    <row r="89" spans="1:5" x14ac:dyDescent="0.2">
      <c r="A89" s="1" vm="465">
        <f ca="1"/>
        <v>44560</v>
      </c>
      <c r="B89" s="2" vm="7014">
        <f ca="1"/>
        <v>17.3</v>
      </c>
      <c r="C89" s="2" vm="7015">
        <f ca="1"/>
        <v>17.79</v>
      </c>
      <c r="D89" s="2" vm="7016">
        <f ca="1"/>
        <v>16.62</v>
      </c>
      <c r="E89" s="2" vm="7017">
        <f ca="1"/>
        <v>17.329999999999998</v>
      </c>
    </row>
    <row r="90" spans="1:5" x14ac:dyDescent="0.2">
      <c r="A90" s="1" vm="470">
        <f ca="1"/>
        <v>44561</v>
      </c>
      <c r="B90" s="2" vm="6806">
        <f ca="1"/>
        <v>17.63</v>
      </c>
      <c r="C90" s="2" vm="7018">
        <f ca="1"/>
        <v>18.27</v>
      </c>
      <c r="D90" s="2" vm="6768">
        <f ca="1"/>
        <v>16.989999999999998</v>
      </c>
      <c r="E90" s="2" vm="6905">
        <f ca="1"/>
        <v>17.22</v>
      </c>
    </row>
    <row r="91" spans="1:5" x14ac:dyDescent="0.2">
      <c r="A91" s="1" vm="476">
        <f ca="1"/>
        <v>44564</v>
      </c>
      <c r="B91" s="2" vm="7019">
        <f ca="1"/>
        <v>17.600000000000001</v>
      </c>
      <c r="C91" s="2" vm="7020">
        <f ca="1"/>
        <v>18.54</v>
      </c>
      <c r="D91" s="2" vm="7021">
        <f ca="1"/>
        <v>16.559999999999999</v>
      </c>
      <c r="E91" s="2" vm="7022">
        <f ca="1"/>
        <v>16.600000000000001</v>
      </c>
    </row>
    <row r="92" spans="1:5" x14ac:dyDescent="0.2">
      <c r="A92" s="1" vm="482">
        <f ca="1"/>
        <v>44565</v>
      </c>
      <c r="B92" s="2" vm="7023">
        <f ca="1"/>
        <v>16.57</v>
      </c>
      <c r="C92" s="2" vm="7024">
        <f ca="1"/>
        <v>17.809999999999999</v>
      </c>
      <c r="D92" s="2" vm="7025">
        <f ca="1"/>
        <v>16.34</v>
      </c>
      <c r="E92" s="2" vm="7026">
        <f ca="1"/>
        <v>16.91</v>
      </c>
    </row>
    <row r="93" spans="1:5" x14ac:dyDescent="0.2">
      <c r="A93" s="1" vm="486">
        <f ca="1"/>
        <v>44566</v>
      </c>
      <c r="B93" s="2" vm="6739">
        <f ca="1"/>
        <v>17.07</v>
      </c>
      <c r="C93" s="2" vm="7027">
        <f ca="1"/>
        <v>20.170000000000002</v>
      </c>
      <c r="D93" s="2" vm="7028">
        <f ca="1"/>
        <v>16.579999999999998</v>
      </c>
      <c r="E93" s="2" vm="7029">
        <f ca="1"/>
        <v>19.73</v>
      </c>
    </row>
    <row r="94" spans="1:5" x14ac:dyDescent="0.2">
      <c r="A94" s="1" vm="491">
        <f ca="1"/>
        <v>44567</v>
      </c>
      <c r="B94" s="2" vm="7030">
        <f ca="1"/>
        <v>20.29</v>
      </c>
      <c r="C94" s="2" vm="7031">
        <f ca="1"/>
        <v>21.06</v>
      </c>
      <c r="D94" s="2" vm="7032">
        <f ca="1"/>
        <v>19.079999999999998</v>
      </c>
      <c r="E94" s="2" vm="7033">
        <f ca="1"/>
        <v>19.61</v>
      </c>
    </row>
    <row r="95" spans="1:5" x14ac:dyDescent="0.2">
      <c r="A95" s="1" vm="497">
        <f ca="1"/>
        <v>44568</v>
      </c>
      <c r="B95" s="2" vm="6848">
        <f ca="1"/>
        <v>19.850000000000001</v>
      </c>
      <c r="C95" s="2" vm="7034">
        <f ca="1"/>
        <v>20.8</v>
      </c>
      <c r="D95" s="2" vm="6907">
        <f ca="1"/>
        <v>18.57</v>
      </c>
      <c r="E95" s="2" vm="6771">
        <f ca="1"/>
        <v>18.760000000000002</v>
      </c>
    </row>
    <row r="96" spans="1:5" x14ac:dyDescent="0.2">
      <c r="A96" s="1" vm="503">
        <f ca="1"/>
        <v>44571</v>
      </c>
      <c r="B96" s="2" vm="6773">
        <f ca="1"/>
        <v>19.579999999999998</v>
      </c>
      <c r="C96" s="2" vm="7035">
        <f ca="1"/>
        <v>23.33</v>
      </c>
      <c r="D96" s="2" vm="6977">
        <f ca="1"/>
        <v>19.29</v>
      </c>
      <c r="E96" s="2" vm="7036">
        <f ca="1"/>
        <v>19.399999999999999</v>
      </c>
    </row>
    <row r="97" spans="1:5" x14ac:dyDescent="0.2">
      <c r="A97" s="1" vm="509">
        <f ca="1"/>
        <v>44572</v>
      </c>
      <c r="B97" s="2" vm="7037">
        <f ca="1"/>
        <v>19.62</v>
      </c>
      <c r="C97" s="2" vm="6837">
        <f ca="1"/>
        <v>21</v>
      </c>
      <c r="D97" s="2" vm="6842">
        <f ca="1"/>
        <v>18.2</v>
      </c>
      <c r="E97" s="2" vm="6780">
        <f ca="1"/>
        <v>18.41</v>
      </c>
    </row>
    <row r="98" spans="1:5" x14ac:dyDescent="0.2">
      <c r="A98" s="1" vm="514">
        <f ca="1"/>
        <v>44573</v>
      </c>
      <c r="B98" s="2" vm="7038">
        <f ca="1"/>
        <v>18.170000000000002</v>
      </c>
      <c r="C98" s="2" vm="6783">
        <f ca="1"/>
        <v>18.690000000000001</v>
      </c>
      <c r="D98" s="2" vm="6930">
        <f ca="1"/>
        <v>17.36</v>
      </c>
      <c r="E98" s="2" vm="7004">
        <f ca="1"/>
        <v>17.62</v>
      </c>
    </row>
    <row r="99" spans="1:5" x14ac:dyDescent="0.2">
      <c r="A99" s="1" vm="518">
        <f ca="1"/>
        <v>44574</v>
      </c>
      <c r="B99" s="2" vm="6888">
        <f ca="1"/>
        <v>18.059999999999999</v>
      </c>
      <c r="C99" s="2" vm="7039">
        <f ca="1"/>
        <v>20.61</v>
      </c>
      <c r="D99" s="2" vm="7040">
        <f ca="1"/>
        <v>17.45</v>
      </c>
      <c r="E99" s="2" vm="6974">
        <f ca="1"/>
        <v>20.309999999999999</v>
      </c>
    </row>
    <row r="100" spans="1:5" x14ac:dyDescent="0.2">
      <c r="A100" s="1" vm="524">
        <f ca="1"/>
        <v>44575</v>
      </c>
      <c r="B100" s="2" vm="7041">
        <f ca="1"/>
        <v>20.11</v>
      </c>
      <c r="C100" s="2" vm="6814">
        <f ca="1"/>
        <v>22.07</v>
      </c>
      <c r="D100" s="2" vm="7042">
        <f ca="1"/>
        <v>19.05</v>
      </c>
      <c r="E100" s="2" vm="7043">
        <f ca="1"/>
        <v>19.190000000000001</v>
      </c>
    </row>
    <row r="101" spans="1:5" x14ac:dyDescent="0.2">
      <c r="A101" s="1" vm="7044">
        <f ca="1"/>
        <v>44578</v>
      </c>
      <c r="B101" s="2" t="e" vm="6753">
        <f ca="1"/>
        <v>#N/A</v>
      </c>
      <c r="C101" s="2" t="e" vm="6753">
        <f ca="1"/>
        <v>#N/A</v>
      </c>
      <c r="D101" s="2" t="e" vm="6753">
        <f ca="1"/>
        <v>#N/A</v>
      </c>
      <c r="E101" s="2" vm="7043">
        <f ca="1"/>
        <v>19.190000000000001</v>
      </c>
    </row>
    <row r="102" spans="1:5" x14ac:dyDescent="0.2">
      <c r="A102" s="1" vm="529">
        <f ca="1"/>
        <v>44579</v>
      </c>
      <c r="B102" s="2" vm="6770">
        <f ca="1"/>
        <v>21.18</v>
      </c>
      <c r="C102" s="2" vm="7045">
        <f ca="1"/>
        <v>23.2</v>
      </c>
      <c r="D102" s="2" vm="6770">
        <f ca="1"/>
        <v>21.18</v>
      </c>
      <c r="E102" s="2" vm="7046">
        <f ca="1"/>
        <v>22.79</v>
      </c>
    </row>
    <row r="103" spans="1:5" x14ac:dyDescent="0.2">
      <c r="A103" s="1" vm="534">
        <f ca="1"/>
        <v>44580</v>
      </c>
      <c r="B103" s="2" vm="7047">
        <f ca="1"/>
        <v>23.12</v>
      </c>
      <c r="C103" s="2" vm="7048">
        <f ca="1"/>
        <v>23.99</v>
      </c>
      <c r="D103" s="2" vm="7049">
        <f ca="1"/>
        <v>21.85</v>
      </c>
      <c r="E103" s="2" vm="7050">
        <f ca="1"/>
        <v>23.85</v>
      </c>
    </row>
    <row r="104" spans="1:5" x14ac:dyDescent="0.2">
      <c r="A104" s="1" vm="540">
        <f ca="1"/>
        <v>44581</v>
      </c>
      <c r="B104" s="2" vm="7051">
        <f ca="1"/>
        <v>23.46</v>
      </c>
      <c r="C104" s="2" vm="6964">
        <f ca="1"/>
        <v>25.89</v>
      </c>
      <c r="D104" s="2" vm="7052">
        <f ca="1"/>
        <v>21.68</v>
      </c>
      <c r="E104" s="2" vm="7053">
        <f ca="1"/>
        <v>25.59</v>
      </c>
    </row>
    <row r="105" spans="1:5" x14ac:dyDescent="0.2">
      <c r="A105" s="1" vm="546">
        <f ca="1"/>
        <v>44582</v>
      </c>
      <c r="B105" s="2" vm="7054">
        <f ca="1"/>
        <v>25.38</v>
      </c>
      <c r="C105" s="2" vm="7055">
        <f ca="1"/>
        <v>29.79</v>
      </c>
      <c r="D105" s="2" vm="6948">
        <f ca="1"/>
        <v>25.31</v>
      </c>
      <c r="E105" s="2" vm="7056">
        <f ca="1"/>
        <v>28.85</v>
      </c>
    </row>
    <row r="106" spans="1:5" x14ac:dyDescent="0.2">
      <c r="A106" s="1" vm="552">
        <f ca="1"/>
        <v>44585</v>
      </c>
      <c r="B106" s="2" vm="7057">
        <f ca="1"/>
        <v>28.2</v>
      </c>
      <c r="C106" s="2" vm="7058">
        <f ca="1"/>
        <v>38.94</v>
      </c>
      <c r="D106" s="2" vm="7059">
        <f ca="1"/>
        <v>28.02</v>
      </c>
      <c r="E106" s="2" vm="7060">
        <f ca="1"/>
        <v>29.9</v>
      </c>
    </row>
    <row r="107" spans="1:5" x14ac:dyDescent="0.2">
      <c r="A107" s="1" vm="557">
        <f ca="1"/>
        <v>44586</v>
      </c>
      <c r="B107" s="2" vm="7061">
        <f ca="1"/>
        <v>32.29</v>
      </c>
      <c r="C107" s="2" vm="7062">
        <f ca="1"/>
        <v>35.85</v>
      </c>
      <c r="D107" s="2" vm="7063">
        <f ca="1"/>
        <v>29.13</v>
      </c>
      <c r="E107" s="2" vm="7064">
        <f ca="1"/>
        <v>31.16</v>
      </c>
    </row>
    <row r="108" spans="1:5" x14ac:dyDescent="0.2">
      <c r="A108" s="1" vm="563">
        <f ca="1"/>
        <v>44587</v>
      </c>
      <c r="B108" s="2" vm="7065">
        <f ca="1"/>
        <v>29.35</v>
      </c>
      <c r="C108" s="2" vm="7066">
        <f ca="1"/>
        <v>33.04</v>
      </c>
      <c r="D108" s="2" vm="7067">
        <f ca="1"/>
        <v>26.9</v>
      </c>
      <c r="E108" s="2" vm="7068">
        <f ca="1"/>
        <v>31.96</v>
      </c>
    </row>
    <row r="109" spans="1:5" x14ac:dyDescent="0.2">
      <c r="A109" s="1" vm="567">
        <f ca="1"/>
        <v>44588</v>
      </c>
      <c r="B109" s="2" vm="7069">
        <f ca="1"/>
        <v>32.19</v>
      </c>
      <c r="C109" s="2" vm="7070">
        <f ca="1"/>
        <v>33</v>
      </c>
      <c r="D109" s="2" vm="7071">
        <f ca="1"/>
        <v>28.42</v>
      </c>
      <c r="E109" s="2" vm="7072">
        <f ca="1"/>
        <v>30.49</v>
      </c>
    </row>
    <row r="110" spans="1:5" x14ac:dyDescent="0.2">
      <c r="A110" s="1" vm="573">
        <f ca="1"/>
        <v>44589</v>
      </c>
      <c r="B110" s="2" vm="7073">
        <f ca="1"/>
        <v>30.27</v>
      </c>
      <c r="C110" s="2" vm="7074">
        <f ca="1"/>
        <v>32.82</v>
      </c>
      <c r="D110" s="2" vm="7075">
        <f ca="1"/>
        <v>27.28</v>
      </c>
      <c r="E110" s="2" vm="7076">
        <f ca="1"/>
        <v>27.66</v>
      </c>
    </row>
    <row r="111" spans="1:5" x14ac:dyDescent="0.2">
      <c r="A111" s="1" vm="579">
        <f ca="1"/>
        <v>44592</v>
      </c>
      <c r="B111" s="2" vm="7077">
        <f ca="1"/>
        <v>28.36</v>
      </c>
      <c r="C111" s="2" vm="7078">
        <f ca="1"/>
        <v>29.41</v>
      </c>
      <c r="D111" s="2" vm="6819">
        <f ca="1"/>
        <v>24.71</v>
      </c>
      <c r="E111" s="2" vm="7079">
        <f ca="1"/>
        <v>24.83</v>
      </c>
    </row>
    <row r="112" spans="1:5" x14ac:dyDescent="0.2">
      <c r="A112" s="1" vm="585">
        <f ca="1"/>
        <v>44593</v>
      </c>
      <c r="B112" s="2" vm="7080">
        <f ca="1"/>
        <v>24.57</v>
      </c>
      <c r="C112" s="2" vm="7081">
        <f ca="1"/>
        <v>25.33</v>
      </c>
      <c r="D112" s="2" vm="7082">
        <f ca="1"/>
        <v>21.96</v>
      </c>
      <c r="E112" s="2" vm="7082">
        <f ca="1"/>
        <v>21.96</v>
      </c>
    </row>
    <row r="113" spans="1:5" x14ac:dyDescent="0.2">
      <c r="A113" s="1" vm="590">
        <f ca="1"/>
        <v>44594</v>
      </c>
      <c r="B113" s="2" vm="7083">
        <f ca="1"/>
        <v>21.56</v>
      </c>
      <c r="C113" s="2" vm="7084">
        <f ca="1"/>
        <v>22.73</v>
      </c>
      <c r="D113" s="2" vm="7085">
        <f ca="1"/>
        <v>20.46</v>
      </c>
      <c r="E113" s="2" vm="7086">
        <f ca="1"/>
        <v>22.09</v>
      </c>
    </row>
    <row r="114" spans="1:5" x14ac:dyDescent="0.2">
      <c r="A114" s="1" vm="595">
        <f ca="1"/>
        <v>44595</v>
      </c>
      <c r="B114" s="2" vm="7087">
        <f ca="1"/>
        <v>22.63</v>
      </c>
      <c r="C114" s="2" vm="7088">
        <f ca="1"/>
        <v>25.81</v>
      </c>
      <c r="D114" s="2" vm="7089">
        <f ca="1"/>
        <v>22.3</v>
      </c>
      <c r="E114" s="2" vm="7090">
        <f ca="1"/>
        <v>24.35</v>
      </c>
    </row>
    <row r="115" spans="1:5" x14ac:dyDescent="0.2">
      <c r="A115" s="1" vm="600">
        <f ca="1"/>
        <v>44596</v>
      </c>
      <c r="B115" s="2" vm="7091">
        <f ca="1"/>
        <v>23.77</v>
      </c>
      <c r="C115" s="2" vm="7092">
        <f ca="1"/>
        <v>26.26</v>
      </c>
      <c r="D115" s="2" vm="6814">
        <f ca="1"/>
        <v>22.07</v>
      </c>
      <c r="E115" s="2" vm="7093">
        <f ca="1"/>
        <v>23.22</v>
      </c>
    </row>
    <row r="116" spans="1:5" x14ac:dyDescent="0.2">
      <c r="A116" s="1" vm="605">
        <f ca="1"/>
        <v>44599</v>
      </c>
      <c r="B116" s="2" vm="7094">
        <f ca="1"/>
        <v>24.09</v>
      </c>
      <c r="C116" s="2" vm="6811">
        <f ca="1"/>
        <v>24.82</v>
      </c>
      <c r="D116" s="2" vm="7095">
        <f ca="1"/>
        <v>22.02</v>
      </c>
      <c r="E116" s="2" vm="7096">
        <f ca="1"/>
        <v>22.86</v>
      </c>
    </row>
    <row r="117" spans="1:5" x14ac:dyDescent="0.2">
      <c r="A117" s="1" vm="611">
        <f ca="1"/>
        <v>44600</v>
      </c>
      <c r="B117" s="2" vm="7097">
        <f ca="1"/>
        <v>23.09</v>
      </c>
      <c r="C117" s="2" vm="7098">
        <f ca="1"/>
        <v>23.48</v>
      </c>
      <c r="D117" s="2" vm="7099">
        <f ca="1"/>
        <v>21.32</v>
      </c>
      <c r="E117" s="2" vm="7100">
        <f ca="1"/>
        <v>21.44</v>
      </c>
    </row>
    <row r="118" spans="1:5" x14ac:dyDescent="0.2">
      <c r="A118" s="1" vm="617">
        <f ca="1"/>
        <v>44601</v>
      </c>
      <c r="B118" s="2" vm="6976">
        <f ca="1"/>
        <v>21.27</v>
      </c>
      <c r="C118" s="2" vm="6833">
        <f ca="1"/>
        <v>21.3</v>
      </c>
      <c r="D118" s="2" vm="6844">
        <f ca="1"/>
        <v>19.93</v>
      </c>
      <c r="E118" s="2" vm="7101">
        <f ca="1"/>
        <v>19.96</v>
      </c>
    </row>
    <row r="119" spans="1:5" x14ac:dyDescent="0.2">
      <c r="A119" s="1" vm="623">
        <f ca="1"/>
        <v>44602</v>
      </c>
      <c r="B119" s="2" vm="7102">
        <f ca="1"/>
        <v>20.37</v>
      </c>
      <c r="C119" s="2" vm="7103">
        <f ca="1"/>
        <v>24.77</v>
      </c>
      <c r="D119" s="2" vm="7104">
        <f ca="1"/>
        <v>20.18</v>
      </c>
      <c r="E119" s="2" vm="7105">
        <f ca="1"/>
        <v>23.91</v>
      </c>
    </row>
    <row r="120" spans="1:5" x14ac:dyDescent="0.2">
      <c r="A120" s="1" vm="629">
        <f ca="1"/>
        <v>44603</v>
      </c>
      <c r="B120" s="2" vm="7106">
        <f ca="1"/>
        <v>24.39</v>
      </c>
      <c r="C120" s="2" vm="7107">
        <f ca="1"/>
        <v>30.99</v>
      </c>
      <c r="D120" s="2" vm="7035">
        <f ca="1"/>
        <v>23.33</v>
      </c>
      <c r="E120" s="2" vm="7108">
        <f ca="1"/>
        <v>27.36</v>
      </c>
    </row>
    <row r="121" spans="1:5" x14ac:dyDescent="0.2">
      <c r="A121" s="1" vm="635">
        <f ca="1"/>
        <v>44606</v>
      </c>
      <c r="B121" s="2" vm="7109">
        <f ca="1"/>
        <v>29.17</v>
      </c>
      <c r="C121" s="2" vm="7110">
        <f ca="1"/>
        <v>32.04</v>
      </c>
      <c r="D121" s="2" vm="7111">
        <f ca="1"/>
        <v>28.33</v>
      </c>
      <c r="E121" s="2" vm="7111">
        <f ca="1"/>
        <v>28.33</v>
      </c>
    </row>
    <row r="122" spans="1:5" x14ac:dyDescent="0.2">
      <c r="A122" s="1" vm="641">
        <f ca="1"/>
        <v>44607</v>
      </c>
      <c r="B122" s="2" vm="7112">
        <f ca="1"/>
        <v>28.09</v>
      </c>
      <c r="C122" s="2" vm="7112">
        <f ca="1"/>
        <v>28.09</v>
      </c>
      <c r="D122" s="2" vm="7081">
        <f ca="1"/>
        <v>25.33</v>
      </c>
      <c r="E122" s="2" vm="7113">
        <f ca="1"/>
        <v>25.7</v>
      </c>
    </row>
    <row r="123" spans="1:5" x14ac:dyDescent="0.2">
      <c r="A123" s="1" vm="647">
        <f ca="1"/>
        <v>44608</v>
      </c>
      <c r="B123" s="2" vm="7114">
        <f ca="1"/>
        <v>25.19</v>
      </c>
      <c r="C123" s="2" vm="7115">
        <f ca="1"/>
        <v>27.09</v>
      </c>
      <c r="D123" s="2" vm="6946">
        <f ca="1"/>
        <v>23.88</v>
      </c>
      <c r="E123" s="2" vm="7116">
        <f ca="1"/>
        <v>24.29</v>
      </c>
    </row>
    <row r="124" spans="1:5" x14ac:dyDescent="0.2">
      <c r="A124" s="1" vm="653">
        <f ca="1"/>
        <v>44609</v>
      </c>
      <c r="B124" s="2" vm="7079">
        <f ca="1"/>
        <v>24.83</v>
      </c>
      <c r="C124" s="2" vm="7117">
        <f ca="1"/>
        <v>28.37</v>
      </c>
      <c r="D124" s="2" vm="7118">
        <f ca="1"/>
        <v>24.76</v>
      </c>
      <c r="E124" s="2" vm="7119">
        <f ca="1"/>
        <v>28.11</v>
      </c>
    </row>
    <row r="125" spans="1:5" x14ac:dyDescent="0.2">
      <c r="A125" s="1" vm="659">
        <f ca="1"/>
        <v>44610</v>
      </c>
      <c r="B125" s="2" vm="7120">
        <f ca="1"/>
        <v>26.66</v>
      </c>
      <c r="C125" s="2" vm="7121">
        <f ca="1"/>
        <v>29.71</v>
      </c>
      <c r="D125" s="2" vm="7122">
        <f ca="1"/>
        <v>26.38</v>
      </c>
      <c r="E125" s="2" vm="7123">
        <f ca="1"/>
        <v>27.75</v>
      </c>
    </row>
    <row r="126" spans="1:5" x14ac:dyDescent="0.2">
      <c r="A126" s="1" vm="7124">
        <f ca="1"/>
        <v>44613</v>
      </c>
      <c r="B126" s="2" t="e" vm="6753">
        <f ca="1"/>
        <v>#N/A</v>
      </c>
      <c r="C126" s="2" t="e" vm="6753">
        <f ca="1"/>
        <v>#N/A</v>
      </c>
      <c r="D126" s="2" t="e" vm="6753">
        <f ca="1"/>
        <v>#N/A</v>
      </c>
      <c r="E126" s="2" vm="7123">
        <f ca="1"/>
        <v>27.75</v>
      </c>
    </row>
    <row r="127" spans="1:5" x14ac:dyDescent="0.2">
      <c r="A127" s="1" vm="665">
        <f ca="1"/>
        <v>44614</v>
      </c>
      <c r="B127" s="2" vm="7125">
        <f ca="1"/>
        <v>31.8</v>
      </c>
      <c r="C127" s="2" vm="7110">
        <f ca="1"/>
        <v>32.04</v>
      </c>
      <c r="D127" s="2" vm="7126">
        <f ca="1"/>
        <v>28.4</v>
      </c>
      <c r="E127" s="2" vm="7127">
        <f ca="1"/>
        <v>28.81</v>
      </c>
    </row>
    <row r="128" spans="1:5" x14ac:dyDescent="0.2">
      <c r="A128" s="1" vm="671">
        <f ca="1"/>
        <v>44615</v>
      </c>
      <c r="B128" s="2" vm="7128">
        <f ca="1"/>
        <v>28.04</v>
      </c>
      <c r="C128" s="2" vm="7129">
        <f ca="1"/>
        <v>31.07</v>
      </c>
      <c r="D128" s="2" vm="7130">
        <f ca="1"/>
        <v>27.2</v>
      </c>
      <c r="E128" s="2" vm="7131">
        <f ca="1"/>
        <v>31.02</v>
      </c>
    </row>
    <row r="129" spans="1:5" x14ac:dyDescent="0.2">
      <c r="A129" s="1" vm="677">
        <f ca="1"/>
        <v>44616</v>
      </c>
      <c r="B129" s="2" vm="7132">
        <f ca="1"/>
        <v>37.5</v>
      </c>
      <c r="C129" s="2" vm="7133">
        <f ca="1"/>
        <v>37.79</v>
      </c>
      <c r="D129" s="2" vm="7134">
        <f ca="1"/>
        <v>29.45</v>
      </c>
      <c r="E129" s="2" vm="7135">
        <f ca="1"/>
        <v>30.32</v>
      </c>
    </row>
    <row r="130" spans="1:5" x14ac:dyDescent="0.2">
      <c r="A130" s="1" vm="683">
        <f ca="1"/>
        <v>44617</v>
      </c>
      <c r="B130" s="2" vm="7136">
        <f ca="1"/>
        <v>31.68</v>
      </c>
      <c r="C130" s="2" vm="7137">
        <f ca="1"/>
        <v>32</v>
      </c>
      <c r="D130" s="2" vm="7138">
        <f ca="1"/>
        <v>26.93</v>
      </c>
      <c r="E130" s="2" vm="7139">
        <f ca="1"/>
        <v>27.59</v>
      </c>
    </row>
    <row r="131" spans="1:5" x14ac:dyDescent="0.2">
      <c r="A131" s="1" vm="689">
        <f ca="1"/>
        <v>44620</v>
      </c>
      <c r="B131" s="2" vm="7140">
        <f ca="1"/>
        <v>32.44</v>
      </c>
      <c r="C131" s="2" vm="7141">
        <f ca="1"/>
        <v>33.51</v>
      </c>
      <c r="D131" s="2" vm="7142">
        <f ca="1"/>
        <v>28.43</v>
      </c>
      <c r="E131" s="2" vm="7143">
        <f ca="1"/>
        <v>30.15</v>
      </c>
    </row>
    <row r="132" spans="1:5" x14ac:dyDescent="0.2">
      <c r="A132" s="1" vm="695">
        <f ca="1"/>
        <v>44621</v>
      </c>
      <c r="B132" s="2" vm="7134">
        <f ca="1"/>
        <v>29.45</v>
      </c>
      <c r="C132" s="2" vm="7144">
        <f ca="1"/>
        <v>35.19</v>
      </c>
      <c r="D132" s="2" vm="6958">
        <f ca="1"/>
        <v>29.44</v>
      </c>
      <c r="E132" s="2" vm="7145">
        <f ca="1"/>
        <v>33.32</v>
      </c>
    </row>
    <row r="133" spans="1:5" x14ac:dyDescent="0.2">
      <c r="A133" s="1" vm="701">
        <f ca="1"/>
        <v>44622</v>
      </c>
      <c r="B133" s="2" vm="7146">
        <f ca="1"/>
        <v>34.200000000000003</v>
      </c>
      <c r="C133" s="2" vm="7147">
        <f ca="1"/>
        <v>34.409999999999997</v>
      </c>
      <c r="D133" s="2" vm="7148">
        <f ca="1"/>
        <v>30.12</v>
      </c>
      <c r="E133" s="2" vm="7149">
        <f ca="1"/>
        <v>30.74</v>
      </c>
    </row>
    <row r="134" spans="1:5" x14ac:dyDescent="0.2">
      <c r="A134" s="1" vm="707">
        <f ca="1"/>
        <v>44623</v>
      </c>
      <c r="B134" s="2" vm="7150">
        <f ca="1"/>
        <v>30.52</v>
      </c>
      <c r="C134" s="2" vm="7151">
        <f ca="1"/>
        <v>32.01</v>
      </c>
      <c r="D134" s="2" vm="7152">
        <f ca="1"/>
        <v>29.31</v>
      </c>
      <c r="E134" s="2" vm="7153">
        <f ca="1"/>
        <v>30.48</v>
      </c>
    </row>
    <row r="135" spans="1:5" x14ac:dyDescent="0.2">
      <c r="A135" s="1" vm="713">
        <f ca="1"/>
        <v>44624</v>
      </c>
      <c r="B135" s="2" vm="7154">
        <f ca="1"/>
        <v>31.9</v>
      </c>
      <c r="C135" s="2" vm="7155">
        <f ca="1"/>
        <v>34.65</v>
      </c>
      <c r="D135" s="2" vm="7156">
        <f ca="1"/>
        <v>31.47</v>
      </c>
      <c r="E135" s="2" vm="7157">
        <f ca="1"/>
        <v>31.98</v>
      </c>
    </row>
    <row r="136" spans="1:5" x14ac:dyDescent="0.2">
      <c r="A136" s="1" vm="719">
        <f ca="1"/>
        <v>44627</v>
      </c>
      <c r="B136" s="2" vm="7158">
        <f ca="1"/>
        <v>35.880000000000003</v>
      </c>
      <c r="C136" s="2" vm="7159">
        <f ca="1"/>
        <v>36.549999999999997</v>
      </c>
      <c r="D136" s="2" vm="7160">
        <f ca="1"/>
        <v>32.590000000000003</v>
      </c>
      <c r="E136" s="2" vm="7161">
        <f ca="1"/>
        <v>36.450000000000003</v>
      </c>
    </row>
    <row r="137" spans="1:5" x14ac:dyDescent="0.2">
      <c r="A137" s="1" vm="724">
        <f ca="1"/>
        <v>44628</v>
      </c>
      <c r="B137" s="2" vm="7162">
        <f ca="1"/>
        <v>36.19</v>
      </c>
      <c r="C137" s="2" vm="7163">
        <f ca="1"/>
        <v>37.520000000000003</v>
      </c>
      <c r="D137" s="2" vm="7164">
        <f ca="1"/>
        <v>32.78</v>
      </c>
      <c r="E137" s="2" vm="7165">
        <f ca="1"/>
        <v>35.130000000000003</v>
      </c>
    </row>
    <row r="138" spans="1:5" x14ac:dyDescent="0.2">
      <c r="A138" s="1" vm="730">
        <f ca="1"/>
        <v>44629</v>
      </c>
      <c r="B138" s="2" vm="7166">
        <f ca="1"/>
        <v>33.74</v>
      </c>
      <c r="C138" s="2" vm="7167">
        <f ca="1"/>
        <v>34.119999999999997</v>
      </c>
      <c r="D138" s="2" vm="7168">
        <f ca="1"/>
        <v>31.39</v>
      </c>
      <c r="E138" s="2" vm="7169">
        <f ca="1"/>
        <v>32.450000000000003</v>
      </c>
    </row>
    <row r="139" spans="1:5" x14ac:dyDescent="0.2">
      <c r="A139" s="1" vm="736">
        <f ca="1"/>
        <v>44630</v>
      </c>
      <c r="B139" s="2" vm="7170">
        <f ca="1"/>
        <v>33.03</v>
      </c>
      <c r="C139" s="2" vm="7171">
        <f ca="1"/>
        <v>34.03</v>
      </c>
      <c r="D139" s="2" vm="7172">
        <f ca="1"/>
        <v>30.23</v>
      </c>
      <c r="E139" s="2" vm="7172">
        <f ca="1"/>
        <v>30.23</v>
      </c>
    </row>
    <row r="140" spans="1:5" x14ac:dyDescent="0.2">
      <c r="A140" s="1" vm="742">
        <f ca="1"/>
        <v>44631</v>
      </c>
      <c r="B140" s="2" vm="7173">
        <f ca="1"/>
        <v>30.43</v>
      </c>
      <c r="C140" s="2" vm="7174">
        <f ca="1"/>
        <v>31.04</v>
      </c>
      <c r="D140" s="2" vm="7175">
        <f ca="1"/>
        <v>28.84</v>
      </c>
      <c r="E140" s="2" vm="7176">
        <f ca="1"/>
        <v>30.75</v>
      </c>
    </row>
    <row r="141" spans="1:5" x14ac:dyDescent="0.2">
      <c r="A141" s="1" vm="748">
        <f ca="1"/>
        <v>44634</v>
      </c>
      <c r="B141" s="2" vm="7177">
        <f ca="1"/>
        <v>31.03</v>
      </c>
      <c r="C141" s="2" vm="7178">
        <f ca="1"/>
        <v>33.18</v>
      </c>
      <c r="D141" s="2" vm="7179">
        <f ca="1"/>
        <v>30.06</v>
      </c>
      <c r="E141" s="2" vm="7180">
        <f ca="1"/>
        <v>31.77</v>
      </c>
    </row>
    <row r="142" spans="1:5" x14ac:dyDescent="0.2">
      <c r="A142" s="1" vm="754">
        <f ca="1"/>
        <v>44635</v>
      </c>
      <c r="B142" s="2" vm="7181">
        <f ca="1"/>
        <v>33.130000000000003</v>
      </c>
      <c r="C142" s="2" vm="7182">
        <f ca="1"/>
        <v>33.83</v>
      </c>
      <c r="D142" s="2" vm="7183">
        <f ca="1"/>
        <v>29.57</v>
      </c>
      <c r="E142" s="2" vm="7184">
        <f ca="1"/>
        <v>29.83</v>
      </c>
    </row>
    <row r="143" spans="1:5" x14ac:dyDescent="0.2">
      <c r="A143" s="1" vm="759">
        <f ca="1"/>
        <v>44636</v>
      </c>
      <c r="B143" s="2" vm="7185">
        <f ca="1"/>
        <v>29.02</v>
      </c>
      <c r="C143" s="2" vm="7186">
        <f ca="1"/>
        <v>29.8</v>
      </c>
      <c r="D143" s="2" vm="7187">
        <f ca="1"/>
        <v>26.29</v>
      </c>
      <c r="E143" s="2" vm="7188">
        <f ca="1"/>
        <v>26.67</v>
      </c>
    </row>
    <row r="144" spans="1:5" x14ac:dyDescent="0.2">
      <c r="A144" s="1" vm="765">
        <f ca="1"/>
        <v>44637</v>
      </c>
      <c r="B144" s="2" vm="7189">
        <f ca="1"/>
        <v>26.51</v>
      </c>
      <c r="C144" s="2" vm="7190">
        <f ca="1"/>
        <v>27.47</v>
      </c>
      <c r="D144" s="2" vm="7191">
        <f ca="1"/>
        <v>25.25</v>
      </c>
      <c r="E144" s="2" vm="7192">
        <f ca="1"/>
        <v>25.67</v>
      </c>
    </row>
    <row r="145" spans="1:5" x14ac:dyDescent="0.2">
      <c r="A145" s="1" vm="769">
        <f ca="1"/>
        <v>44638</v>
      </c>
      <c r="B145" s="2" vm="7193">
        <f ca="1"/>
        <v>26.36</v>
      </c>
      <c r="C145" s="2" vm="7194">
        <f ca="1"/>
        <v>26.82</v>
      </c>
      <c r="D145" s="2" vm="7050">
        <f ca="1"/>
        <v>23.85</v>
      </c>
      <c r="E145" s="2" vm="7195">
        <f ca="1"/>
        <v>23.87</v>
      </c>
    </row>
    <row r="146" spans="1:5" x14ac:dyDescent="0.2">
      <c r="A146" s="1" vm="775">
        <f ca="1"/>
        <v>44641</v>
      </c>
      <c r="B146" s="2" vm="7196">
        <f ca="1"/>
        <v>25.14</v>
      </c>
      <c r="C146" s="2" vm="7197">
        <f ca="1"/>
        <v>25.36</v>
      </c>
      <c r="D146" s="2" vm="7198">
        <f ca="1"/>
        <v>22.99</v>
      </c>
      <c r="E146" s="2" vm="7199">
        <f ca="1"/>
        <v>23.53</v>
      </c>
    </row>
    <row r="147" spans="1:5" x14ac:dyDescent="0.2">
      <c r="A147" s="1" vm="781">
        <f ca="1"/>
        <v>44642</v>
      </c>
      <c r="B147" s="2" vm="7200">
        <f ca="1"/>
        <v>24.02</v>
      </c>
      <c r="C147" s="2" vm="7200">
        <f ca="1"/>
        <v>24.02</v>
      </c>
      <c r="D147" s="2" vm="7201">
        <f ca="1"/>
        <v>22.7</v>
      </c>
      <c r="E147" s="2" vm="7202">
        <f ca="1"/>
        <v>22.94</v>
      </c>
    </row>
    <row r="148" spans="1:5" x14ac:dyDescent="0.2">
      <c r="A148" s="1" vm="787">
        <f ca="1"/>
        <v>44643</v>
      </c>
      <c r="B148" s="2" vm="7203">
        <f ca="1"/>
        <v>23.04</v>
      </c>
      <c r="C148" s="2" vm="7204">
        <f ca="1"/>
        <v>24.03</v>
      </c>
      <c r="D148" s="2" vm="7205">
        <f ca="1"/>
        <v>22.64</v>
      </c>
      <c r="E148" s="2" vm="7206">
        <f ca="1"/>
        <v>23.57</v>
      </c>
    </row>
    <row r="149" spans="1:5" x14ac:dyDescent="0.2">
      <c r="A149" s="1" vm="793">
        <f ca="1"/>
        <v>44644</v>
      </c>
      <c r="B149" s="2" vm="7207">
        <f ca="1"/>
        <v>23.61</v>
      </c>
      <c r="C149" s="2" vm="6815">
        <f ca="1"/>
        <v>23.79</v>
      </c>
      <c r="D149" s="2" vm="7208">
        <f ca="1"/>
        <v>21.49</v>
      </c>
      <c r="E149" s="2" vm="7209">
        <f ca="1"/>
        <v>21.67</v>
      </c>
    </row>
    <row r="150" spans="1:5" x14ac:dyDescent="0.2">
      <c r="A150" s="1" vm="798">
        <f ca="1"/>
        <v>44645</v>
      </c>
      <c r="B150" s="2" vm="7210">
        <f ca="1"/>
        <v>21.87</v>
      </c>
      <c r="C150" s="2" vm="7096">
        <f ca="1"/>
        <v>22.86</v>
      </c>
      <c r="D150" s="2" vm="7034">
        <f ca="1"/>
        <v>20.8</v>
      </c>
      <c r="E150" s="2" vm="6787">
        <f ca="1"/>
        <v>20.81</v>
      </c>
    </row>
    <row r="151" spans="1:5" x14ac:dyDescent="0.2">
      <c r="A151" s="1" vm="803">
        <f ca="1"/>
        <v>44648</v>
      </c>
      <c r="B151" s="2" vm="7211">
        <f ca="1"/>
        <v>22.14</v>
      </c>
      <c r="C151" s="2" vm="7035">
        <f ca="1"/>
        <v>23.33</v>
      </c>
      <c r="D151" s="2" vm="6763">
        <f ca="1"/>
        <v>19.54</v>
      </c>
      <c r="E151" s="2" vm="7212">
        <f ca="1"/>
        <v>19.63</v>
      </c>
    </row>
    <row r="152" spans="1:5" x14ac:dyDescent="0.2">
      <c r="A152" s="1" vm="808">
        <f ca="1"/>
        <v>44649</v>
      </c>
      <c r="B152" s="2" vm="7213">
        <f ca="1"/>
        <v>19.7</v>
      </c>
      <c r="C152" s="2" vm="7029">
        <f ca="1"/>
        <v>19.73</v>
      </c>
      <c r="D152" s="2" vm="7214">
        <f ca="1"/>
        <v>18.670000000000002</v>
      </c>
      <c r="E152" s="2" vm="7215">
        <f ca="1"/>
        <v>18.899999999999999</v>
      </c>
    </row>
    <row r="153" spans="1:5" x14ac:dyDescent="0.2">
      <c r="A153" s="1" vm="814">
        <f ca="1"/>
        <v>44650</v>
      </c>
      <c r="B153" s="2" vm="6939">
        <f ca="1"/>
        <v>19.38</v>
      </c>
      <c r="C153" s="2" vm="7216">
        <f ca="1"/>
        <v>20.51</v>
      </c>
      <c r="D153" s="2" vm="7217">
        <f ca="1"/>
        <v>18.72</v>
      </c>
      <c r="E153" s="2" vm="6804">
        <f ca="1"/>
        <v>19.329999999999998</v>
      </c>
    </row>
    <row r="154" spans="1:5" x14ac:dyDescent="0.2">
      <c r="A154" s="1" vm="819">
        <f ca="1"/>
        <v>44651</v>
      </c>
      <c r="B154" s="2" vm="7218">
        <f ca="1"/>
        <v>19.68</v>
      </c>
      <c r="C154" s="2" vm="6818">
        <f ca="1"/>
        <v>21.48</v>
      </c>
      <c r="D154" s="2" vm="6763">
        <f ca="1"/>
        <v>19.54</v>
      </c>
      <c r="E154" s="2" vm="7219">
        <f ca="1"/>
        <v>20.56</v>
      </c>
    </row>
    <row r="155" spans="1:5" x14ac:dyDescent="0.2">
      <c r="A155" s="1" vm="825">
        <f ca="1"/>
        <v>44652</v>
      </c>
      <c r="B155" s="2" vm="6832">
        <f ca="1"/>
        <v>20.62</v>
      </c>
      <c r="C155" s="2" vm="7220">
        <f ca="1"/>
        <v>20.86</v>
      </c>
      <c r="D155" s="2" vm="7006">
        <f ca="1"/>
        <v>19.41</v>
      </c>
      <c r="E155" s="2" vm="7212">
        <f ca="1"/>
        <v>19.63</v>
      </c>
    </row>
    <row r="156" spans="1:5" x14ac:dyDescent="0.2">
      <c r="A156" s="1" vm="830">
        <f ca="1"/>
        <v>44655</v>
      </c>
      <c r="B156" s="2" vm="6798">
        <f ca="1"/>
        <v>20.75</v>
      </c>
      <c r="C156" s="2" vm="7221">
        <f ca="1"/>
        <v>20.78</v>
      </c>
      <c r="D156" s="2" vm="7222">
        <f ca="1"/>
        <v>18.45</v>
      </c>
      <c r="E156" s="2" vm="6907">
        <f ca="1"/>
        <v>18.57</v>
      </c>
    </row>
    <row r="157" spans="1:5" x14ac:dyDescent="0.2">
      <c r="A157" s="1" vm="835">
        <f ca="1"/>
        <v>44656</v>
      </c>
      <c r="B157" s="2" vm="7223">
        <f ca="1"/>
        <v>18.79</v>
      </c>
      <c r="C157" s="2" vm="6991">
        <f ca="1"/>
        <v>21.57</v>
      </c>
      <c r="D157" s="2" vm="7224">
        <f ca="1"/>
        <v>18.55</v>
      </c>
      <c r="E157" s="2" vm="7225">
        <f ca="1"/>
        <v>21.03</v>
      </c>
    </row>
    <row r="158" spans="1:5" x14ac:dyDescent="0.2">
      <c r="A158" s="1" vm="841">
        <f ca="1"/>
        <v>44657</v>
      </c>
      <c r="B158" s="2" vm="6976">
        <f ca="1"/>
        <v>21.27</v>
      </c>
      <c r="C158" s="2" vm="6822">
        <f ca="1"/>
        <v>24.78</v>
      </c>
      <c r="D158" s="2" vm="7226">
        <f ca="1"/>
        <v>21.24</v>
      </c>
      <c r="E158" s="2" vm="7227">
        <f ca="1"/>
        <v>22.1</v>
      </c>
    </row>
    <row r="159" spans="1:5" x14ac:dyDescent="0.2">
      <c r="A159" s="1" vm="847">
        <f ca="1"/>
        <v>44658</v>
      </c>
      <c r="B159" s="2" vm="7228">
        <f ca="1"/>
        <v>21.97</v>
      </c>
      <c r="C159" s="2" vm="7229">
        <f ca="1"/>
        <v>23.82</v>
      </c>
      <c r="D159" s="2" vm="7230">
        <f ca="1"/>
        <v>21.12</v>
      </c>
      <c r="E159" s="2" vm="7231">
        <f ca="1"/>
        <v>21.55</v>
      </c>
    </row>
    <row r="160" spans="1:5" x14ac:dyDescent="0.2">
      <c r="A160" s="1" vm="850">
        <f ca="1"/>
        <v>44659</v>
      </c>
      <c r="B160" s="2" vm="7232">
        <f ca="1"/>
        <v>21.25</v>
      </c>
      <c r="C160" s="2" vm="7233">
        <f ca="1"/>
        <v>22.34</v>
      </c>
      <c r="D160" s="2" vm="7234">
        <f ca="1"/>
        <v>20.28</v>
      </c>
      <c r="E160" s="2" vm="7235">
        <f ca="1"/>
        <v>21.16</v>
      </c>
    </row>
    <row r="161" spans="1:5" x14ac:dyDescent="0.2">
      <c r="A161" s="1" vm="856">
        <f ca="1"/>
        <v>44662</v>
      </c>
      <c r="B161" s="2" vm="7097">
        <f ca="1"/>
        <v>23.09</v>
      </c>
      <c r="C161" s="2" vm="7236">
        <f ca="1"/>
        <v>24.42</v>
      </c>
      <c r="D161" s="2" vm="7086">
        <f ca="1"/>
        <v>22.09</v>
      </c>
      <c r="E161" s="2" vm="7237">
        <f ca="1"/>
        <v>24.37</v>
      </c>
    </row>
    <row r="162" spans="1:5" x14ac:dyDescent="0.2">
      <c r="A162" s="1" vm="862">
        <f ca="1"/>
        <v>44663</v>
      </c>
      <c r="B162" s="2" vm="7238">
        <f ca="1"/>
        <v>24.94</v>
      </c>
      <c r="C162" s="2" vm="7054">
        <f ca="1"/>
        <v>25.38</v>
      </c>
      <c r="D162" s="2" vm="7239">
        <f ca="1"/>
        <v>22.27</v>
      </c>
      <c r="E162" s="2" vm="7240">
        <f ca="1"/>
        <v>24.26</v>
      </c>
    </row>
    <row r="163" spans="1:5" x14ac:dyDescent="0.2">
      <c r="A163" s="1" vm="868">
        <f ca="1"/>
        <v>44664</v>
      </c>
      <c r="B163" s="2" vm="7241">
        <f ca="1"/>
        <v>23.52</v>
      </c>
      <c r="C163" s="2" vm="7242">
        <f ca="1"/>
        <v>24.45</v>
      </c>
      <c r="D163" s="2" vm="7243">
        <f ca="1"/>
        <v>21.37</v>
      </c>
      <c r="E163" s="2" vm="7244">
        <f ca="1"/>
        <v>21.82</v>
      </c>
    </row>
    <row r="164" spans="1:5" x14ac:dyDescent="0.2">
      <c r="A164" s="1" vm="871">
        <f ca="1"/>
        <v>44665</v>
      </c>
      <c r="B164" s="2" vm="7245">
        <f ca="1"/>
        <v>21.72</v>
      </c>
      <c r="C164" s="2" vm="7201">
        <f ca="1"/>
        <v>22.7</v>
      </c>
      <c r="D164" s="2" vm="7246">
        <f ca="1"/>
        <v>20.85</v>
      </c>
      <c r="E164" s="2" vm="7201">
        <f ca="1"/>
        <v>22.7</v>
      </c>
    </row>
    <row r="165" spans="1:5" x14ac:dyDescent="0.2">
      <c r="A165" s="1" vm="7247">
        <f ca="1"/>
        <v>44666</v>
      </c>
      <c r="B165" s="2" t="e" vm="6753">
        <f ca="1"/>
        <v>#N/A</v>
      </c>
      <c r="C165" s="2" t="e" vm="6753">
        <f ca="1"/>
        <v>#N/A</v>
      </c>
      <c r="D165" s="2" t="e" vm="6753">
        <f ca="1"/>
        <v>#N/A</v>
      </c>
      <c r="E165" s="2" vm="7201">
        <f ca="1"/>
        <v>22.7</v>
      </c>
    </row>
    <row r="166" spans="1:5" x14ac:dyDescent="0.2">
      <c r="A166" s="1" vm="877">
        <f ca="1"/>
        <v>44669</v>
      </c>
      <c r="B166" s="2" vm="7248">
        <f ca="1"/>
        <v>24.52</v>
      </c>
      <c r="C166" s="2" vm="7249">
        <f ca="1"/>
        <v>24.6</v>
      </c>
      <c r="D166" s="2" vm="7250">
        <f ca="1"/>
        <v>21.98</v>
      </c>
      <c r="E166" s="2" vm="7251">
        <f ca="1"/>
        <v>22.17</v>
      </c>
    </row>
    <row r="167" spans="1:5" x14ac:dyDescent="0.2">
      <c r="A167" s="1" vm="881">
        <f ca="1"/>
        <v>44670</v>
      </c>
      <c r="B167" s="2" vm="7252">
        <f ca="1"/>
        <v>22.55</v>
      </c>
      <c r="C167" s="2" vm="6830">
        <f ca="1"/>
        <v>22.92</v>
      </c>
      <c r="D167" s="2" vm="7253">
        <f ca="1"/>
        <v>20.36</v>
      </c>
      <c r="E167" s="2" vm="7243">
        <f ca="1"/>
        <v>21.37</v>
      </c>
    </row>
    <row r="168" spans="1:5" x14ac:dyDescent="0.2">
      <c r="A168" s="1" vm="885">
        <f ca="1"/>
        <v>44671</v>
      </c>
      <c r="B168" s="2" vm="6767">
        <f ca="1"/>
        <v>21.13</v>
      </c>
      <c r="C168" s="2" vm="7099">
        <f ca="1"/>
        <v>21.32</v>
      </c>
      <c r="D168" s="2" vm="7254">
        <f ca="1"/>
        <v>19.75</v>
      </c>
      <c r="E168" s="2" vm="7255">
        <f ca="1"/>
        <v>20.32</v>
      </c>
    </row>
    <row r="169" spans="1:5" x14ac:dyDescent="0.2">
      <c r="A169" s="1" vm="889">
        <f ca="1"/>
        <v>44672</v>
      </c>
      <c r="B169" s="2" vm="6936">
        <f ca="1"/>
        <v>20.239999999999998</v>
      </c>
      <c r="C169" s="2" vm="7256">
        <f ca="1"/>
        <v>23.28</v>
      </c>
      <c r="D169" s="2" vm="7257">
        <f ca="1"/>
        <v>19.809999999999999</v>
      </c>
      <c r="E169" s="2" vm="6996">
        <f ca="1"/>
        <v>22.68</v>
      </c>
    </row>
    <row r="170" spans="1:5" x14ac:dyDescent="0.2">
      <c r="A170" s="1" vm="894">
        <f ca="1"/>
        <v>44673</v>
      </c>
      <c r="B170" s="2" vm="7258">
        <f ca="1"/>
        <v>22.71</v>
      </c>
      <c r="C170" s="2" vm="7259">
        <f ca="1"/>
        <v>28.27</v>
      </c>
      <c r="D170" s="2" vm="7260">
        <f ca="1"/>
        <v>22.62</v>
      </c>
      <c r="E170" s="2" vm="7261">
        <f ca="1"/>
        <v>28.21</v>
      </c>
    </row>
    <row r="171" spans="1:5" x14ac:dyDescent="0.2">
      <c r="A171" s="1" vm="899">
        <f ca="1"/>
        <v>44676</v>
      </c>
      <c r="B171" s="2" vm="7262">
        <f ca="1"/>
        <v>30.04</v>
      </c>
      <c r="C171" s="2" vm="7263">
        <f ca="1"/>
        <v>31.6</v>
      </c>
      <c r="D171" s="2" vm="7264">
        <f ca="1"/>
        <v>26.8</v>
      </c>
      <c r="E171" s="2" vm="7265">
        <f ca="1"/>
        <v>27.02</v>
      </c>
    </row>
    <row r="172" spans="1:5" x14ac:dyDescent="0.2">
      <c r="A172" s="1" vm="905">
        <f ca="1"/>
        <v>44677</v>
      </c>
      <c r="B172" s="2" vm="7266">
        <f ca="1"/>
        <v>27.38</v>
      </c>
      <c r="C172" s="2" vm="7267">
        <f ca="1"/>
        <v>33.81</v>
      </c>
      <c r="D172" s="2" vm="7268">
        <f ca="1"/>
        <v>27.06</v>
      </c>
      <c r="E172" s="2" vm="7269">
        <f ca="1"/>
        <v>33.520000000000003</v>
      </c>
    </row>
    <row r="173" spans="1:5" x14ac:dyDescent="0.2">
      <c r="A173" s="1" vm="909">
        <f ca="1"/>
        <v>44678</v>
      </c>
      <c r="B173" s="2" vm="7270">
        <f ca="1"/>
        <v>31.11</v>
      </c>
      <c r="C173" s="2" vm="7271">
        <f ca="1"/>
        <v>32.770000000000003</v>
      </c>
      <c r="D173" s="2" vm="7272">
        <f ca="1"/>
        <v>29.82</v>
      </c>
      <c r="E173" s="2" vm="7263">
        <f ca="1"/>
        <v>31.6</v>
      </c>
    </row>
    <row r="174" spans="1:5" x14ac:dyDescent="0.2">
      <c r="A174" s="1" vm="915">
        <f ca="1"/>
        <v>44679</v>
      </c>
      <c r="B174" s="2" vm="7273">
        <f ca="1"/>
        <v>29.91</v>
      </c>
      <c r="C174" s="2" vm="7137">
        <f ca="1"/>
        <v>32</v>
      </c>
      <c r="D174" s="2" vm="7274">
        <f ca="1"/>
        <v>28</v>
      </c>
      <c r="E174" s="2" vm="7275">
        <f ca="1"/>
        <v>29.99</v>
      </c>
    </row>
    <row r="175" spans="1:5" x14ac:dyDescent="0.2">
      <c r="A175" s="1" vm="921">
        <f ca="1"/>
        <v>44680</v>
      </c>
      <c r="B175" s="2" vm="7276">
        <f ca="1"/>
        <v>28.97</v>
      </c>
      <c r="C175" s="2" vm="7277">
        <f ca="1"/>
        <v>34.340000000000003</v>
      </c>
      <c r="D175" s="2" vm="7278">
        <f ca="1"/>
        <v>28.54</v>
      </c>
      <c r="E175" s="2" vm="7279">
        <f ca="1"/>
        <v>33.4</v>
      </c>
    </row>
    <row r="176" spans="1:5" x14ac:dyDescent="0.2">
      <c r="A176" s="1" vm="927">
        <f ca="1"/>
        <v>44683</v>
      </c>
      <c r="B176" s="2" vm="7280">
        <f ca="1"/>
        <v>33.35</v>
      </c>
      <c r="C176" s="2" vm="7281">
        <f ca="1"/>
        <v>36.64</v>
      </c>
      <c r="D176" s="2" vm="7282">
        <f ca="1"/>
        <v>31.74</v>
      </c>
      <c r="E176" s="2" vm="7283">
        <f ca="1"/>
        <v>32.340000000000003</v>
      </c>
    </row>
    <row r="177" spans="1:5" x14ac:dyDescent="0.2">
      <c r="A177" s="1" vm="931">
        <f ca="1"/>
        <v>44684</v>
      </c>
      <c r="B177" s="2" vm="7284">
        <f ca="1"/>
        <v>31.76</v>
      </c>
      <c r="C177" s="2" vm="7074">
        <f ca="1"/>
        <v>32.82</v>
      </c>
      <c r="D177" s="2" vm="7285">
        <f ca="1"/>
        <v>29.06</v>
      </c>
      <c r="E177" s="2" vm="7286">
        <f ca="1"/>
        <v>29.25</v>
      </c>
    </row>
    <row r="178" spans="1:5" x14ac:dyDescent="0.2">
      <c r="A178" s="1" vm="937">
        <f ca="1"/>
        <v>44685</v>
      </c>
      <c r="B178" s="2" vm="7287">
        <f ca="1"/>
        <v>29.12</v>
      </c>
      <c r="C178" s="2" vm="7288">
        <f ca="1"/>
        <v>29.42</v>
      </c>
      <c r="D178" s="2" vm="7238">
        <f ca="1"/>
        <v>24.94</v>
      </c>
      <c r="E178" s="2" vm="7289">
        <f ca="1"/>
        <v>25.42</v>
      </c>
    </row>
    <row r="179" spans="1:5" x14ac:dyDescent="0.2">
      <c r="A179" s="1" vm="943">
        <f ca="1"/>
        <v>44686</v>
      </c>
      <c r="B179" s="2" vm="7290">
        <f ca="1"/>
        <v>25.97</v>
      </c>
      <c r="C179" s="2" vm="7291">
        <f ca="1"/>
        <v>33.200000000000003</v>
      </c>
      <c r="D179" s="2" vm="7292">
        <f ca="1"/>
        <v>25.78</v>
      </c>
      <c r="E179" s="2" vm="7293">
        <f ca="1"/>
        <v>31.2</v>
      </c>
    </row>
    <row r="180" spans="1:5" x14ac:dyDescent="0.2">
      <c r="A180" s="1" vm="948">
        <f ca="1"/>
        <v>44687</v>
      </c>
      <c r="B180" s="2" vm="7294">
        <f ca="1"/>
        <v>32.229999999999997</v>
      </c>
      <c r="C180" s="2" vm="7295">
        <f ca="1"/>
        <v>35.340000000000003</v>
      </c>
      <c r="D180" s="2" vm="7184">
        <f ca="1"/>
        <v>29.83</v>
      </c>
      <c r="E180" s="2" vm="7296">
        <f ca="1"/>
        <v>30.19</v>
      </c>
    </row>
    <row r="181" spans="1:5" x14ac:dyDescent="0.2">
      <c r="A181" s="1" vm="954">
        <f ca="1"/>
        <v>44690</v>
      </c>
      <c r="B181" s="2" vm="7154">
        <f ca="1"/>
        <v>31.9</v>
      </c>
      <c r="C181" s="2" vm="7297">
        <f ca="1"/>
        <v>35.479999999999997</v>
      </c>
      <c r="D181" s="2" vm="7154">
        <f ca="1"/>
        <v>31.9</v>
      </c>
      <c r="E181" s="2" vm="7298">
        <f ca="1"/>
        <v>34.75</v>
      </c>
    </row>
    <row r="182" spans="1:5" x14ac:dyDescent="0.2">
      <c r="A182" s="1" vm="960">
        <f ca="1"/>
        <v>44691</v>
      </c>
      <c r="B182" s="2" vm="7299">
        <f ca="1"/>
        <v>33.659999999999997</v>
      </c>
      <c r="C182" s="2" vm="7300">
        <f ca="1"/>
        <v>34.840000000000003</v>
      </c>
      <c r="D182" s="2" vm="7301">
        <f ca="1"/>
        <v>32.24</v>
      </c>
      <c r="E182" s="2" vm="7302">
        <f ca="1"/>
        <v>32.99</v>
      </c>
    </row>
    <row r="183" spans="1:5" x14ac:dyDescent="0.2">
      <c r="A183" s="1" vm="965">
        <f ca="1"/>
        <v>44692</v>
      </c>
      <c r="B183" s="2" vm="7303">
        <f ca="1"/>
        <v>32.869999999999997</v>
      </c>
      <c r="C183" s="2" vm="7304">
        <f ca="1"/>
        <v>34.39</v>
      </c>
      <c r="D183" s="2" vm="7305">
        <f ca="1"/>
        <v>30.69</v>
      </c>
      <c r="E183" s="2" vm="7306">
        <f ca="1"/>
        <v>32.56</v>
      </c>
    </row>
    <row r="184" spans="1:5" x14ac:dyDescent="0.2">
      <c r="A184" s="1" vm="971">
        <f ca="1"/>
        <v>44693</v>
      </c>
      <c r="B184" s="2" vm="7166">
        <f ca="1"/>
        <v>33.74</v>
      </c>
      <c r="C184" s="2" vm="7307">
        <f ca="1"/>
        <v>34.76</v>
      </c>
      <c r="D184" s="2" vm="7308">
        <f ca="1"/>
        <v>31.7</v>
      </c>
      <c r="E184" s="2" vm="7180">
        <f ca="1"/>
        <v>31.77</v>
      </c>
    </row>
    <row r="185" spans="1:5" x14ac:dyDescent="0.2">
      <c r="A185" s="1" vm="977">
        <f ca="1"/>
        <v>44694</v>
      </c>
      <c r="B185" s="2" vm="7309">
        <f ca="1"/>
        <v>31.09</v>
      </c>
      <c r="C185" s="2" vm="7293">
        <f ca="1"/>
        <v>31.2</v>
      </c>
      <c r="D185" s="2" vm="7310">
        <f ca="1"/>
        <v>28.78</v>
      </c>
      <c r="E185" s="2" vm="7311">
        <f ca="1"/>
        <v>28.87</v>
      </c>
    </row>
    <row r="186" spans="1:5" x14ac:dyDescent="0.2">
      <c r="A186" s="1" vm="982">
        <f ca="1"/>
        <v>44697</v>
      </c>
      <c r="B186" s="2" vm="7312">
        <f ca="1"/>
        <v>30.01</v>
      </c>
      <c r="C186" s="2" vm="7172">
        <f ca="1"/>
        <v>30.23</v>
      </c>
      <c r="D186" s="2" vm="7108">
        <f ca="1"/>
        <v>27.36</v>
      </c>
      <c r="E186" s="2" vm="7190">
        <f ca="1"/>
        <v>27.47</v>
      </c>
    </row>
    <row r="187" spans="1:5" x14ac:dyDescent="0.2">
      <c r="A187" s="1" vm="988">
        <f ca="1"/>
        <v>44698</v>
      </c>
      <c r="B187" s="2" vm="7313">
        <f ca="1"/>
        <v>27.07</v>
      </c>
      <c r="C187" s="2" vm="7314">
        <f ca="1"/>
        <v>27.17</v>
      </c>
      <c r="D187" s="2" vm="7315">
        <f ca="1"/>
        <v>25.51</v>
      </c>
      <c r="E187" s="2" vm="7316">
        <f ca="1"/>
        <v>26.1</v>
      </c>
    </row>
    <row r="188" spans="1:5" x14ac:dyDescent="0.2">
      <c r="A188" s="1" vm="994">
        <f ca="1"/>
        <v>44699</v>
      </c>
      <c r="B188" s="2" vm="7317">
        <f ca="1"/>
        <v>26.74</v>
      </c>
      <c r="C188" s="2" vm="7318">
        <f ca="1"/>
        <v>31.49</v>
      </c>
      <c r="D188" s="2" vm="7319">
        <f ca="1"/>
        <v>26.21</v>
      </c>
      <c r="E188" s="2" vm="7320">
        <f ca="1"/>
        <v>30.96</v>
      </c>
    </row>
    <row r="189" spans="1:5" x14ac:dyDescent="0.2">
      <c r="A189" s="1" vm="999">
        <f ca="1"/>
        <v>44700</v>
      </c>
      <c r="B189" s="2" vm="7321">
        <f ca="1"/>
        <v>31.24</v>
      </c>
      <c r="C189" s="2" vm="7322">
        <f ca="1"/>
        <v>33.11</v>
      </c>
      <c r="D189" s="2" vm="7285">
        <f ca="1"/>
        <v>29.06</v>
      </c>
      <c r="E189" s="2" vm="7065">
        <f ca="1"/>
        <v>29.35</v>
      </c>
    </row>
    <row r="190" spans="1:5" x14ac:dyDescent="0.2">
      <c r="A190" s="1" vm="1005">
        <f ca="1"/>
        <v>44701</v>
      </c>
      <c r="B190" s="2" vm="7310">
        <f ca="1"/>
        <v>28.78</v>
      </c>
      <c r="C190" s="2" vm="7323">
        <f ca="1"/>
        <v>32.909999999999997</v>
      </c>
      <c r="D190" s="2" vm="7324">
        <f ca="1"/>
        <v>28.06</v>
      </c>
      <c r="E190" s="2" vm="7325">
        <f ca="1"/>
        <v>29.43</v>
      </c>
    </row>
    <row r="191" spans="1:5" x14ac:dyDescent="0.2">
      <c r="A191" s="1" vm="1011">
        <f ca="1"/>
        <v>44704</v>
      </c>
      <c r="B191" s="2" vm="7326">
        <f ca="1"/>
        <v>28.98</v>
      </c>
      <c r="C191" s="2" vm="7327">
        <f ca="1"/>
        <v>30.39</v>
      </c>
      <c r="D191" s="2" vm="7328">
        <f ca="1"/>
        <v>28.29</v>
      </c>
      <c r="E191" s="2" vm="7329">
        <f ca="1"/>
        <v>28.48</v>
      </c>
    </row>
    <row r="192" spans="1:5" x14ac:dyDescent="0.2">
      <c r="A192" s="1" vm="1017">
        <f ca="1"/>
        <v>44705</v>
      </c>
      <c r="B192" s="2" vm="7325">
        <f ca="1"/>
        <v>29.43</v>
      </c>
      <c r="C192" s="2" vm="7129">
        <f ca="1"/>
        <v>31.07</v>
      </c>
      <c r="D192" s="2" vm="7330">
        <f ca="1"/>
        <v>29.04</v>
      </c>
      <c r="E192" s="2" vm="7134">
        <f ca="1"/>
        <v>29.45</v>
      </c>
    </row>
    <row r="193" spans="1:5" x14ac:dyDescent="0.2">
      <c r="A193" s="1" vm="1022">
        <f ca="1"/>
        <v>44706</v>
      </c>
      <c r="B193" s="2" vm="7331">
        <f ca="1"/>
        <v>29.33</v>
      </c>
      <c r="C193" s="2" vm="7172">
        <f ca="1"/>
        <v>30.23</v>
      </c>
      <c r="D193" s="2" vm="7332">
        <f ca="1"/>
        <v>28.16</v>
      </c>
      <c r="E193" s="2" vm="7117">
        <f ca="1"/>
        <v>28.37</v>
      </c>
    </row>
    <row r="194" spans="1:5" x14ac:dyDescent="0.2">
      <c r="A194" s="1" vm="1028">
        <f ca="1"/>
        <v>44707</v>
      </c>
      <c r="B194" s="2" vm="7071">
        <f ca="1"/>
        <v>28.42</v>
      </c>
      <c r="C194" s="2" vm="7333">
        <f ca="1"/>
        <v>28.46</v>
      </c>
      <c r="D194" s="2" vm="7334">
        <f ca="1"/>
        <v>27.11</v>
      </c>
      <c r="E194" s="2" vm="7335">
        <f ca="1"/>
        <v>27.5</v>
      </c>
    </row>
    <row r="195" spans="1:5" x14ac:dyDescent="0.2">
      <c r="A195" s="1" vm="1034">
        <f ca="1"/>
        <v>44708</v>
      </c>
      <c r="B195" s="2" vm="7335">
        <f ca="1"/>
        <v>27.5</v>
      </c>
      <c r="C195" s="2" vm="7336">
        <f ca="1"/>
        <v>27.54</v>
      </c>
      <c r="D195" s="2" vm="7337">
        <f ca="1"/>
        <v>25.57</v>
      </c>
      <c r="E195" s="2" vm="7338">
        <f ca="1"/>
        <v>25.72</v>
      </c>
    </row>
    <row r="196" spans="1:5" x14ac:dyDescent="0.2">
      <c r="A196" s="1" vm="7339">
        <f ca="1"/>
        <v>44711</v>
      </c>
      <c r="B196" s="2" vm="7340">
        <f ca="1"/>
        <v>26.16</v>
      </c>
      <c r="C196" s="2" vm="7341">
        <f ca="1"/>
        <v>26.81</v>
      </c>
      <c r="D196" s="2" vm="7342">
        <f ca="1"/>
        <v>26.08</v>
      </c>
      <c r="E196" s="2" vm="7343">
        <f ca="1"/>
        <v>26.54</v>
      </c>
    </row>
    <row r="197" spans="1:5" x14ac:dyDescent="0.2">
      <c r="A197" s="1" vm="1040">
        <f ca="1"/>
        <v>44712</v>
      </c>
      <c r="B197" s="2" vm="7190">
        <f ca="1"/>
        <v>27.47</v>
      </c>
      <c r="C197" s="2" vm="7344">
        <f ca="1"/>
        <v>28.35</v>
      </c>
      <c r="D197" s="2" vm="7345">
        <f ca="1"/>
        <v>25.94</v>
      </c>
      <c r="E197" s="2" vm="7346">
        <f ca="1"/>
        <v>26.19</v>
      </c>
    </row>
    <row r="198" spans="1:5" x14ac:dyDescent="0.2">
      <c r="A198" s="1" vm="1046">
        <f ca="1"/>
        <v>44713</v>
      </c>
      <c r="B198" s="2" vm="7347">
        <f ca="1"/>
        <v>26.05</v>
      </c>
      <c r="C198" s="2" vm="7348">
        <f ca="1"/>
        <v>27.73</v>
      </c>
      <c r="D198" s="2" vm="7054">
        <f ca="1"/>
        <v>25.38</v>
      </c>
      <c r="E198" s="2" vm="6949">
        <f ca="1"/>
        <v>25.69</v>
      </c>
    </row>
    <row r="199" spans="1:5" x14ac:dyDescent="0.2">
      <c r="A199" s="1" vm="1052">
        <f ca="1"/>
        <v>44714</v>
      </c>
      <c r="B199" s="2" vm="7349">
        <f ca="1"/>
        <v>25.73</v>
      </c>
      <c r="C199" s="2" vm="7350">
        <f ca="1"/>
        <v>26.5</v>
      </c>
      <c r="D199" s="2" vm="7351">
        <f ca="1"/>
        <v>24.33</v>
      </c>
      <c r="E199" s="2" vm="7352">
        <f ca="1"/>
        <v>24.72</v>
      </c>
    </row>
    <row r="200" spans="1:5" x14ac:dyDescent="0.2">
      <c r="A200" s="1" vm="1058">
        <f ca="1"/>
        <v>44715</v>
      </c>
      <c r="B200" s="2" vm="7353">
        <f ca="1"/>
        <v>24.91</v>
      </c>
      <c r="C200" s="2" vm="7354">
        <f ca="1"/>
        <v>25.96</v>
      </c>
      <c r="D200" s="2" vm="7118">
        <f ca="1"/>
        <v>24.76</v>
      </c>
      <c r="E200" s="2" vm="7355">
        <f ca="1"/>
        <v>24.79</v>
      </c>
    </row>
    <row r="201" spans="1:5" x14ac:dyDescent="0.2">
      <c r="A201" s="1" vm="1064">
        <f ca="1"/>
        <v>44718</v>
      </c>
      <c r="B201" s="2" vm="7356">
        <f ca="1"/>
        <v>25.37</v>
      </c>
      <c r="C201" s="2" vm="7088">
        <f ca="1"/>
        <v>25.81</v>
      </c>
      <c r="D201" s="2" vm="6811">
        <f ca="1"/>
        <v>24.82</v>
      </c>
      <c r="E201" s="2" vm="7357">
        <f ca="1"/>
        <v>25.07</v>
      </c>
    </row>
    <row r="202" spans="1:5" x14ac:dyDescent="0.2">
      <c r="A202" s="1" vm="1069">
        <f ca="1"/>
        <v>44719</v>
      </c>
      <c r="B202" s="2" vm="7358">
        <f ca="1"/>
        <v>25.54</v>
      </c>
      <c r="C202" s="2" vm="7359">
        <f ca="1"/>
        <v>26.24</v>
      </c>
      <c r="D202" s="2" vm="6946">
        <f ca="1"/>
        <v>23.88</v>
      </c>
      <c r="E202" s="2" vm="7200">
        <f ca="1"/>
        <v>24.02</v>
      </c>
    </row>
    <row r="203" spans="1:5" x14ac:dyDescent="0.2">
      <c r="A203" s="1" vm="1074">
        <f ca="1"/>
        <v>44720</v>
      </c>
      <c r="B203" s="2" vm="7237">
        <f ca="1"/>
        <v>24.37</v>
      </c>
      <c r="C203" s="2" vm="6822">
        <f ca="1"/>
        <v>24.78</v>
      </c>
      <c r="D203" s="2" vm="7360">
        <f ca="1"/>
        <v>23.74</v>
      </c>
      <c r="E203" s="2" vm="7361">
        <f ca="1"/>
        <v>23.96</v>
      </c>
    </row>
    <row r="204" spans="1:5" x14ac:dyDescent="0.2">
      <c r="A204" s="1" vm="1079">
        <f ca="1"/>
        <v>44721</v>
      </c>
      <c r="B204" s="2" vm="7116">
        <f ca="1"/>
        <v>24.29</v>
      </c>
      <c r="C204" s="2" vm="7359">
        <f ca="1"/>
        <v>26.24</v>
      </c>
      <c r="D204" s="2" vm="7229">
        <f ca="1"/>
        <v>23.82</v>
      </c>
      <c r="E204" s="2" vm="7362">
        <f ca="1"/>
        <v>26.09</v>
      </c>
    </row>
    <row r="205" spans="1:5" x14ac:dyDescent="0.2">
      <c r="A205" s="1" vm="1085">
        <f ca="1"/>
        <v>44722</v>
      </c>
      <c r="B205" s="2" vm="7092">
        <f ca="1"/>
        <v>26.26</v>
      </c>
      <c r="C205" s="2" vm="7363">
        <f ca="1"/>
        <v>29.63</v>
      </c>
      <c r="D205" s="2" vm="7347">
        <f ca="1"/>
        <v>26.05</v>
      </c>
      <c r="E205" s="2" vm="7123">
        <f ca="1"/>
        <v>27.75</v>
      </c>
    </row>
    <row r="206" spans="1:5" x14ac:dyDescent="0.2">
      <c r="A206" s="1" vm="1091">
        <f ca="1"/>
        <v>44725</v>
      </c>
      <c r="B206" s="2" vm="7364">
        <f ca="1"/>
        <v>31.37</v>
      </c>
      <c r="C206" s="2" vm="7365">
        <f ca="1"/>
        <v>35.049999999999997</v>
      </c>
      <c r="D206" s="2" vm="7366">
        <f ca="1"/>
        <v>31.29</v>
      </c>
      <c r="E206" s="2" vm="7367">
        <f ca="1"/>
        <v>34.020000000000003</v>
      </c>
    </row>
    <row r="207" spans="1:5" x14ac:dyDescent="0.2">
      <c r="A207" s="1" vm="1097">
        <f ca="1"/>
        <v>44726</v>
      </c>
      <c r="B207" s="2" vm="7368">
        <f ca="1"/>
        <v>33.01</v>
      </c>
      <c r="C207" s="2" vm="7369">
        <f ca="1"/>
        <v>34</v>
      </c>
      <c r="D207" s="2" vm="7370">
        <f ca="1"/>
        <v>32.06</v>
      </c>
      <c r="E207" s="2" vm="7371">
        <f ca="1"/>
        <v>32.69</v>
      </c>
    </row>
    <row r="208" spans="1:5" x14ac:dyDescent="0.2">
      <c r="A208" s="1" vm="1103">
        <f ca="1"/>
        <v>44727</v>
      </c>
      <c r="B208" s="2" vm="7372">
        <f ca="1"/>
        <v>32.39</v>
      </c>
      <c r="C208" s="2" vm="7271">
        <f ca="1"/>
        <v>32.770000000000003</v>
      </c>
      <c r="D208" s="2" vm="7373">
        <f ca="1"/>
        <v>27.76</v>
      </c>
      <c r="E208" s="2" vm="7374">
        <f ca="1"/>
        <v>29.62</v>
      </c>
    </row>
    <row r="209" spans="1:5" x14ac:dyDescent="0.2">
      <c r="A209" s="1" vm="1108">
        <f ca="1"/>
        <v>44728</v>
      </c>
      <c r="B209" s="2" vm="7375">
        <f ca="1"/>
        <v>30.35</v>
      </c>
      <c r="C209" s="2" vm="7376">
        <f ca="1"/>
        <v>34.82</v>
      </c>
      <c r="D209" s="2" vm="7375">
        <f ca="1"/>
        <v>30.35</v>
      </c>
      <c r="E209" s="2" vm="7377">
        <f ca="1"/>
        <v>32.950000000000003</v>
      </c>
    </row>
    <row r="210" spans="1:5" x14ac:dyDescent="0.2">
      <c r="A210" s="1" vm="1114">
        <f ca="1"/>
        <v>44729</v>
      </c>
      <c r="B210" s="2" vm="7378">
        <f ca="1"/>
        <v>32.840000000000003</v>
      </c>
      <c r="C210" s="2" vm="7379">
        <f ca="1"/>
        <v>33.31</v>
      </c>
      <c r="D210" s="2" vm="7380">
        <f ca="1"/>
        <v>30.47</v>
      </c>
      <c r="E210" s="2" vm="7381">
        <f ca="1"/>
        <v>31.13</v>
      </c>
    </row>
    <row r="211" spans="1:5" x14ac:dyDescent="0.2">
      <c r="A211" s="1" vm="7382">
        <f ca="1"/>
        <v>44732</v>
      </c>
      <c r="B211" s="2" vm="7370">
        <f ca="1"/>
        <v>32.06</v>
      </c>
      <c r="C211" s="2" vm="7383">
        <f ca="1"/>
        <v>32.159999999999997</v>
      </c>
      <c r="D211" s="2" vm="7384">
        <f ca="1"/>
        <v>30.98</v>
      </c>
      <c r="E211" s="2" vm="7177">
        <f ca="1"/>
        <v>31.03</v>
      </c>
    </row>
    <row r="212" spans="1:5" x14ac:dyDescent="0.2">
      <c r="A212" s="1" vm="1120">
        <f ca="1"/>
        <v>44733</v>
      </c>
      <c r="B212" s="2" vm="7385">
        <f ca="1"/>
        <v>30.63</v>
      </c>
      <c r="C212" s="2" vm="7386">
        <f ca="1"/>
        <v>30.65</v>
      </c>
      <c r="D212" s="2" vm="7331">
        <f ca="1"/>
        <v>29.33</v>
      </c>
      <c r="E212" s="2" vm="7296">
        <f ca="1"/>
        <v>30.19</v>
      </c>
    </row>
    <row r="213" spans="1:5" x14ac:dyDescent="0.2">
      <c r="A213" s="1" vm="1126">
        <f ca="1"/>
        <v>44734</v>
      </c>
      <c r="B213" s="2" vm="7387">
        <f ca="1"/>
        <v>31.45</v>
      </c>
      <c r="C213" s="2" vm="7388">
        <f ca="1"/>
        <v>31.57</v>
      </c>
      <c r="D213" s="2" vm="7310">
        <f ca="1"/>
        <v>28.78</v>
      </c>
      <c r="E213" s="2" vm="7389">
        <f ca="1"/>
        <v>28.95</v>
      </c>
    </row>
    <row r="214" spans="1:5" x14ac:dyDescent="0.2">
      <c r="A214" s="1" vm="1132">
        <f ca="1"/>
        <v>44735</v>
      </c>
      <c r="B214" s="2" vm="7390">
        <f ca="1"/>
        <v>29.29</v>
      </c>
      <c r="C214" s="2" vm="7391">
        <f ca="1"/>
        <v>29.77</v>
      </c>
      <c r="D214" s="2" vm="7392">
        <f ca="1"/>
        <v>28.74</v>
      </c>
      <c r="E214" s="2" vm="7393">
        <f ca="1"/>
        <v>29.05</v>
      </c>
    </row>
    <row r="215" spans="1:5" x14ac:dyDescent="0.2">
      <c r="A215" s="1" vm="1138">
        <f ca="1"/>
        <v>44736</v>
      </c>
      <c r="B215" s="2" vm="7394">
        <f ca="1"/>
        <v>29.07</v>
      </c>
      <c r="C215" s="2" vm="7395">
        <f ca="1"/>
        <v>29.72</v>
      </c>
      <c r="D215" s="2" vm="7396">
        <f ca="1"/>
        <v>26.83</v>
      </c>
      <c r="E215" s="2" vm="7397">
        <f ca="1"/>
        <v>27.23</v>
      </c>
    </row>
    <row r="216" spans="1:5" x14ac:dyDescent="0.2">
      <c r="A216" s="1" vm="1143">
        <f ca="1"/>
        <v>44739</v>
      </c>
      <c r="B216" s="2" vm="7398">
        <f ca="1"/>
        <v>28.3</v>
      </c>
      <c r="C216" s="2" vm="7399">
        <f ca="1"/>
        <v>28.66</v>
      </c>
      <c r="D216" s="2" vm="7138">
        <f ca="1"/>
        <v>26.93</v>
      </c>
      <c r="E216" s="2" vm="6962">
        <f ca="1"/>
        <v>26.95</v>
      </c>
    </row>
    <row r="217" spans="1:5" x14ac:dyDescent="0.2">
      <c r="A217" s="1" vm="1148">
        <f ca="1"/>
        <v>44740</v>
      </c>
      <c r="B217" s="2" vm="7067">
        <f ca="1"/>
        <v>26.9</v>
      </c>
      <c r="C217" s="2" vm="7400">
        <f ca="1"/>
        <v>28.68</v>
      </c>
      <c r="D217" s="2" vm="7401">
        <f ca="1"/>
        <v>26.47</v>
      </c>
      <c r="E217" s="2" vm="7077">
        <f ca="1"/>
        <v>28.36</v>
      </c>
    </row>
    <row r="218" spans="1:5" x14ac:dyDescent="0.2">
      <c r="A218" s="1" vm="1154">
        <f ca="1"/>
        <v>44741</v>
      </c>
      <c r="B218" s="2" vm="7402">
        <f ca="1"/>
        <v>28.8</v>
      </c>
      <c r="C218" s="2" vm="7403">
        <f ca="1"/>
        <v>29.36</v>
      </c>
      <c r="D218" s="2" vm="7404">
        <f ca="1"/>
        <v>27.85</v>
      </c>
      <c r="E218" s="2" vm="7332">
        <f ca="1"/>
        <v>28.16</v>
      </c>
    </row>
    <row r="219" spans="1:5" x14ac:dyDescent="0.2">
      <c r="A219" s="1" vm="1159">
        <f ca="1"/>
        <v>44742</v>
      </c>
      <c r="B219" s="2" vm="7288">
        <f ca="1"/>
        <v>29.42</v>
      </c>
      <c r="C219" s="2" vm="7405">
        <f ca="1"/>
        <v>30.22</v>
      </c>
      <c r="D219" s="2" vm="7406">
        <f ca="1"/>
        <v>28.28</v>
      </c>
      <c r="E219" s="2" vm="7407">
        <f ca="1"/>
        <v>28.71</v>
      </c>
    </row>
    <row r="220" spans="1:5" x14ac:dyDescent="0.2">
      <c r="A220" s="1" vm="1164">
        <f ca="1"/>
        <v>44743</v>
      </c>
      <c r="B220" s="2" vm="7408">
        <f ca="1"/>
        <v>29.53</v>
      </c>
      <c r="C220" s="2" vm="7409">
        <f ca="1"/>
        <v>29.59</v>
      </c>
      <c r="D220" s="2" vm="7410">
        <f ca="1"/>
        <v>26.69</v>
      </c>
      <c r="E220" s="2" vm="7411">
        <f ca="1"/>
        <v>26.7</v>
      </c>
    </row>
    <row r="221" spans="1:5" x14ac:dyDescent="0.2">
      <c r="A221" s="1" vm="7412">
        <f ca="1"/>
        <v>44746</v>
      </c>
      <c r="B221" s="2" vm="7413">
        <f ca="1"/>
        <v>27.96</v>
      </c>
      <c r="C221" s="2" vm="7414">
        <f ca="1"/>
        <v>28.1</v>
      </c>
      <c r="D221" s="2" vm="7415">
        <f ca="1"/>
        <v>27.46</v>
      </c>
      <c r="E221" s="2" vm="7416">
        <f ca="1"/>
        <v>27.53</v>
      </c>
    </row>
    <row r="222" spans="1:5" x14ac:dyDescent="0.2">
      <c r="A222" s="1" vm="1169">
        <f ca="1"/>
        <v>44747</v>
      </c>
      <c r="B222" s="2" vm="7417">
        <f ca="1"/>
        <v>27.37</v>
      </c>
      <c r="C222" s="2" vm="7272">
        <f ca="1"/>
        <v>29.82</v>
      </c>
      <c r="D222" s="2" vm="7418">
        <f ca="1"/>
        <v>27.3</v>
      </c>
      <c r="E222" s="2" vm="7336">
        <f ca="1"/>
        <v>27.54</v>
      </c>
    </row>
    <row r="223" spans="1:5" x14ac:dyDescent="0.2">
      <c r="A223" s="1" vm="1173">
        <f ca="1"/>
        <v>44748</v>
      </c>
      <c r="B223" s="2" vm="7419">
        <f ca="1"/>
        <v>27.84</v>
      </c>
      <c r="C223" s="2" vm="7420">
        <f ca="1"/>
        <v>28.07</v>
      </c>
      <c r="D223" s="2" vm="7421">
        <f ca="1"/>
        <v>26.43</v>
      </c>
      <c r="E223" s="2" vm="7422">
        <f ca="1"/>
        <v>26.73</v>
      </c>
    </row>
    <row r="224" spans="1:5" x14ac:dyDescent="0.2">
      <c r="A224" s="1" vm="1178">
        <f ca="1"/>
        <v>44749</v>
      </c>
      <c r="B224" s="2" vm="7422">
        <f ca="1"/>
        <v>26.73</v>
      </c>
      <c r="C224" s="2" vm="7423">
        <f ca="1"/>
        <v>26.79</v>
      </c>
      <c r="D224" s="2" vm="7424">
        <f ca="1"/>
        <v>25.66</v>
      </c>
      <c r="E224" s="2" vm="7342">
        <f ca="1"/>
        <v>26.08</v>
      </c>
    </row>
    <row r="225" spans="1:5" x14ac:dyDescent="0.2">
      <c r="A225" s="1" vm="1182">
        <f ca="1"/>
        <v>44750</v>
      </c>
      <c r="B225" s="2" vm="7425">
        <f ca="1"/>
        <v>26.41</v>
      </c>
      <c r="C225" s="2" vm="7426">
        <f ca="1"/>
        <v>26.61</v>
      </c>
      <c r="D225" s="2" vm="7427">
        <f ca="1"/>
        <v>24.43</v>
      </c>
      <c r="E225" s="2" vm="7428">
        <f ca="1"/>
        <v>24.64</v>
      </c>
    </row>
    <row r="226" spans="1:5" x14ac:dyDescent="0.2">
      <c r="A226" s="1" vm="1188">
        <f ca="1"/>
        <v>44753</v>
      </c>
      <c r="B226" s="2" vm="7429">
        <f ca="1"/>
        <v>26.42</v>
      </c>
      <c r="C226" s="2" vm="7317">
        <f ca="1"/>
        <v>26.74</v>
      </c>
      <c r="D226" s="2" vm="7430">
        <f ca="1"/>
        <v>25.79</v>
      </c>
      <c r="E226" s="2" vm="7431">
        <f ca="1"/>
        <v>26.17</v>
      </c>
    </row>
    <row r="227" spans="1:5" x14ac:dyDescent="0.2">
      <c r="A227" s="1" vm="1194">
        <f ca="1"/>
        <v>44754</v>
      </c>
      <c r="B227" s="2" vm="7432">
        <f ca="1"/>
        <v>27.14</v>
      </c>
      <c r="C227" s="2" vm="7123">
        <f ca="1"/>
        <v>27.75</v>
      </c>
      <c r="D227" s="2" vm="7433">
        <f ca="1"/>
        <v>25.82</v>
      </c>
      <c r="E227" s="2" vm="7434">
        <f ca="1"/>
        <v>27.29</v>
      </c>
    </row>
    <row r="228" spans="1:5" x14ac:dyDescent="0.2">
      <c r="A228" s="1" vm="1198">
        <f ca="1"/>
        <v>44755</v>
      </c>
      <c r="B228" s="2" vm="7435">
        <f ca="1"/>
        <v>27.35</v>
      </c>
      <c r="C228" s="2" vm="7285">
        <f ca="1"/>
        <v>29.06</v>
      </c>
      <c r="D228" s="2" vm="6950">
        <f ca="1"/>
        <v>26.23</v>
      </c>
      <c r="E228" s="2" vm="7194">
        <f ca="1"/>
        <v>26.82</v>
      </c>
    </row>
    <row r="229" spans="1:5" x14ac:dyDescent="0.2">
      <c r="A229" s="1" vm="1203">
        <f ca="1"/>
        <v>44756</v>
      </c>
      <c r="B229" s="2" vm="7190">
        <f ca="1"/>
        <v>27.47</v>
      </c>
      <c r="C229" s="2" vm="7436">
        <f ca="1"/>
        <v>28.45</v>
      </c>
      <c r="D229" s="2" vm="7437">
        <f ca="1"/>
        <v>26.2</v>
      </c>
      <c r="E229" s="2" vm="7438">
        <f ca="1"/>
        <v>26.4</v>
      </c>
    </row>
    <row r="230" spans="1:5" x14ac:dyDescent="0.2">
      <c r="A230" s="1" vm="1209">
        <f ca="1"/>
        <v>44757</v>
      </c>
      <c r="B230" s="2" vm="7439">
        <f ca="1"/>
        <v>26.72</v>
      </c>
      <c r="C230" s="2" vm="7439">
        <f ca="1"/>
        <v>26.72</v>
      </c>
      <c r="D230" s="2" vm="7440">
        <f ca="1"/>
        <v>24.13</v>
      </c>
      <c r="E230" s="2" vm="7441">
        <f ca="1"/>
        <v>24.23</v>
      </c>
    </row>
    <row r="231" spans="1:5" x14ac:dyDescent="0.2">
      <c r="A231" s="1" vm="1214">
        <f ca="1"/>
        <v>44760</v>
      </c>
      <c r="B231" s="2" vm="7079">
        <f ca="1"/>
        <v>24.83</v>
      </c>
      <c r="C231" s="2" vm="7442">
        <f ca="1"/>
        <v>25.91</v>
      </c>
      <c r="D231" s="2" vm="7443">
        <f ca="1"/>
        <v>24.38</v>
      </c>
      <c r="E231" s="2" vm="7444">
        <f ca="1"/>
        <v>25.3</v>
      </c>
    </row>
    <row r="232" spans="1:5" x14ac:dyDescent="0.2">
      <c r="A232" s="1" vm="1220">
        <f ca="1"/>
        <v>44761</v>
      </c>
      <c r="B232" s="2" vm="7445">
        <f ca="1"/>
        <v>25.12</v>
      </c>
      <c r="C232" s="2" vm="7446">
        <f ca="1"/>
        <v>25.41</v>
      </c>
      <c r="D232" s="2" vm="7441">
        <f ca="1"/>
        <v>24.23</v>
      </c>
      <c r="E232" s="2" vm="7447">
        <f ca="1"/>
        <v>24.5</v>
      </c>
    </row>
    <row r="233" spans="1:5" x14ac:dyDescent="0.2">
      <c r="A233" s="1" vm="1224">
        <f ca="1"/>
        <v>44762</v>
      </c>
      <c r="B233" s="2" vm="7441">
        <f ca="1"/>
        <v>24.23</v>
      </c>
      <c r="C233" s="2" vm="7448">
        <f ca="1"/>
        <v>24.73</v>
      </c>
      <c r="D233" s="2" vm="6797">
        <f ca="1"/>
        <v>23.4</v>
      </c>
      <c r="E233" s="2" vm="6946">
        <f ca="1"/>
        <v>23.88</v>
      </c>
    </row>
    <row r="234" spans="1:5" x14ac:dyDescent="0.2">
      <c r="A234" s="1" vm="1229">
        <f ca="1"/>
        <v>44763</v>
      </c>
      <c r="B234" s="2" vm="7449">
        <f ca="1"/>
        <v>24.07</v>
      </c>
      <c r="C234" s="2" vm="7450">
        <f ca="1"/>
        <v>24.67</v>
      </c>
      <c r="D234" s="2" vm="6830">
        <f ca="1"/>
        <v>22.92</v>
      </c>
      <c r="E234" s="2" vm="6973">
        <f ca="1"/>
        <v>23.11</v>
      </c>
    </row>
    <row r="235" spans="1:5" x14ac:dyDescent="0.2">
      <c r="A235" s="1" vm="1234">
        <f ca="1"/>
        <v>44764</v>
      </c>
      <c r="B235" s="2" vm="7451">
        <f ca="1"/>
        <v>23.3</v>
      </c>
      <c r="C235" s="2" vm="7452">
        <f ca="1"/>
        <v>23.81</v>
      </c>
      <c r="D235" s="2" vm="7453">
        <f ca="1"/>
        <v>22.41</v>
      </c>
      <c r="E235" s="2" vm="7454">
        <f ca="1"/>
        <v>23.03</v>
      </c>
    </row>
    <row r="236" spans="1:5" x14ac:dyDescent="0.2">
      <c r="A236" s="1" vm="1240">
        <f ca="1"/>
        <v>44767</v>
      </c>
      <c r="B236" s="2" vm="7351">
        <f ca="1"/>
        <v>24.33</v>
      </c>
      <c r="C236" s="2" vm="7080">
        <f ca="1"/>
        <v>24.57</v>
      </c>
      <c r="D236" s="2" vm="7455">
        <f ca="1"/>
        <v>23.19</v>
      </c>
      <c r="E236" s="2" vm="7456">
        <f ca="1"/>
        <v>23.36</v>
      </c>
    </row>
    <row r="237" spans="1:5" x14ac:dyDescent="0.2">
      <c r="A237" s="1" vm="1245">
        <f ca="1"/>
        <v>44768</v>
      </c>
      <c r="B237" s="2" vm="7457">
        <f ca="1"/>
        <v>23.95</v>
      </c>
      <c r="C237" s="2" vm="6948">
        <f ca="1"/>
        <v>25.31</v>
      </c>
      <c r="D237" s="2" vm="7229">
        <f ca="1"/>
        <v>23.82</v>
      </c>
      <c r="E237" s="2" vm="6969">
        <f ca="1"/>
        <v>24.69</v>
      </c>
    </row>
    <row r="238" spans="1:5" x14ac:dyDescent="0.2">
      <c r="A238" s="1" vm="1251">
        <f ca="1"/>
        <v>44769</v>
      </c>
      <c r="B238" s="2" vm="7458">
        <f ca="1"/>
        <v>24.27</v>
      </c>
      <c r="C238" s="2" vm="7459">
        <f ca="1"/>
        <v>24.41</v>
      </c>
      <c r="D238" s="2" vm="7460">
        <f ca="1"/>
        <v>23.02</v>
      </c>
      <c r="E238" s="2" vm="7461">
        <f ca="1"/>
        <v>23.24</v>
      </c>
    </row>
    <row r="239" spans="1:5" x14ac:dyDescent="0.2">
      <c r="A239" s="1" vm="1254">
        <f ca="1"/>
        <v>44770</v>
      </c>
      <c r="B239" s="2" vm="7035">
        <f ca="1"/>
        <v>23.33</v>
      </c>
      <c r="C239" s="2" vm="7462">
        <f ca="1"/>
        <v>23.54</v>
      </c>
      <c r="D239" s="2" vm="7463">
        <f ca="1"/>
        <v>22.22</v>
      </c>
      <c r="E239" s="2" vm="7464">
        <f ca="1"/>
        <v>22.33</v>
      </c>
    </row>
    <row r="240" spans="1:5" x14ac:dyDescent="0.2">
      <c r="A240" s="1" vm="1260">
        <f ca="1"/>
        <v>44771</v>
      </c>
      <c r="B240" s="2" vm="6985">
        <f ca="1"/>
        <v>22.13</v>
      </c>
      <c r="C240" s="2" vm="7465">
        <f ca="1"/>
        <v>22.16</v>
      </c>
      <c r="D240" s="2" vm="7466">
        <f ca="1"/>
        <v>21.21</v>
      </c>
      <c r="E240" s="2" vm="7467">
        <f ca="1"/>
        <v>21.33</v>
      </c>
    </row>
    <row r="241" spans="1:5" x14ac:dyDescent="0.2">
      <c r="A241" s="1" vm="1266">
        <f ca="1"/>
        <v>44774</v>
      </c>
      <c r="B241" s="2" vm="7453">
        <f ca="1"/>
        <v>22.41</v>
      </c>
      <c r="C241" s="2" vm="7468">
        <f ca="1"/>
        <v>23.27</v>
      </c>
      <c r="D241" s="2" vm="7469">
        <f ca="1"/>
        <v>22.26</v>
      </c>
      <c r="E241" s="2" vm="7470">
        <f ca="1"/>
        <v>22.84</v>
      </c>
    </row>
    <row r="242" spans="1:5" x14ac:dyDescent="0.2">
      <c r="A242" s="1" vm="1271">
        <f ca="1"/>
        <v>44775</v>
      </c>
      <c r="B242" s="2" vm="7471">
        <f ca="1"/>
        <v>24.08</v>
      </c>
      <c r="C242" s="2" vm="7472">
        <f ca="1"/>
        <v>24.68</v>
      </c>
      <c r="D242" s="2" vm="7473">
        <f ca="1"/>
        <v>22.67</v>
      </c>
      <c r="E242" s="2" vm="7474">
        <f ca="1"/>
        <v>23.93</v>
      </c>
    </row>
    <row r="243" spans="1:5" x14ac:dyDescent="0.2">
      <c r="A243" s="1" vm="1276">
        <f ca="1"/>
        <v>44776</v>
      </c>
      <c r="B243" s="2" vm="7475">
        <f ca="1"/>
        <v>23.86</v>
      </c>
      <c r="C243" s="2" vm="7476">
        <f ca="1"/>
        <v>23.92</v>
      </c>
      <c r="D243" s="2" vm="7052">
        <f ca="1"/>
        <v>21.68</v>
      </c>
      <c r="E243" s="2" vm="7477">
        <f ca="1"/>
        <v>21.95</v>
      </c>
    </row>
    <row r="244" spans="1:5" x14ac:dyDescent="0.2">
      <c r="A244" s="1" vm="1282">
        <f ca="1"/>
        <v>44777</v>
      </c>
      <c r="B244" s="2" vm="7478">
        <f ca="1"/>
        <v>22.06</v>
      </c>
      <c r="C244" s="2" vm="7479">
        <f ca="1"/>
        <v>22.66</v>
      </c>
      <c r="D244" s="2" vm="7100">
        <f ca="1"/>
        <v>21.44</v>
      </c>
      <c r="E244" s="2" vm="7100">
        <f ca="1"/>
        <v>21.44</v>
      </c>
    </row>
    <row r="245" spans="1:5" x14ac:dyDescent="0.2">
      <c r="A245" s="1" vm="1288">
        <f ca="1"/>
        <v>44778</v>
      </c>
      <c r="B245" s="2" vm="7480">
        <f ca="1"/>
        <v>21.5</v>
      </c>
      <c r="C245" s="2" vm="7481">
        <f ca="1"/>
        <v>22.58</v>
      </c>
      <c r="D245" s="2" vm="6839">
        <f ca="1"/>
        <v>20.76</v>
      </c>
      <c r="E245" s="2" vm="6825">
        <f ca="1"/>
        <v>21.15</v>
      </c>
    </row>
    <row r="246" spans="1:5" x14ac:dyDescent="0.2">
      <c r="A246" s="1" vm="1293">
        <f ca="1"/>
        <v>44781</v>
      </c>
      <c r="B246" s="2" vm="6972">
        <f ca="1"/>
        <v>21.74</v>
      </c>
      <c r="C246" s="2" vm="7482">
        <f ca="1"/>
        <v>22.01</v>
      </c>
      <c r="D246" s="2" vm="7483">
        <f ca="1"/>
        <v>20.83</v>
      </c>
      <c r="E246" s="2" vm="7484">
        <f ca="1"/>
        <v>21.29</v>
      </c>
    </row>
    <row r="247" spans="1:5" x14ac:dyDescent="0.2">
      <c r="A247" s="1" vm="1298">
        <f ca="1"/>
        <v>44782</v>
      </c>
      <c r="B247" s="2" vm="7485">
        <f ca="1"/>
        <v>21.41</v>
      </c>
      <c r="C247" s="2" vm="7486">
        <f ca="1"/>
        <v>22.23</v>
      </c>
      <c r="D247" s="2" vm="7485">
        <f ca="1"/>
        <v>21.41</v>
      </c>
      <c r="E247" s="2" vm="7487">
        <f ca="1"/>
        <v>21.77</v>
      </c>
    </row>
    <row r="248" spans="1:5" x14ac:dyDescent="0.2">
      <c r="A248" s="1" vm="1303">
        <f ca="1"/>
        <v>44783</v>
      </c>
      <c r="B248" s="2" vm="6995">
        <f ca="1"/>
        <v>22.28</v>
      </c>
      <c r="C248" s="2" vm="7233">
        <f ca="1"/>
        <v>22.34</v>
      </c>
      <c r="D248" s="2" vm="6763">
        <f ca="1"/>
        <v>19.54</v>
      </c>
      <c r="E248" s="2" vm="6810">
        <f ca="1"/>
        <v>19.739999999999998</v>
      </c>
    </row>
    <row r="249" spans="1:5" x14ac:dyDescent="0.2">
      <c r="A249" s="1" vm="1309">
        <f ca="1"/>
        <v>44784</v>
      </c>
      <c r="B249" s="2" vm="7488">
        <f ca="1"/>
        <v>19.84</v>
      </c>
      <c r="C249" s="2" vm="7246">
        <f ca="1"/>
        <v>20.85</v>
      </c>
      <c r="D249" s="2" vm="6812">
        <f ca="1"/>
        <v>19.71</v>
      </c>
      <c r="E249" s="2" vm="7489">
        <f ca="1"/>
        <v>20.2</v>
      </c>
    </row>
    <row r="250" spans="1:5" x14ac:dyDescent="0.2">
      <c r="A250" s="1" vm="1315">
        <f ca="1"/>
        <v>44785</v>
      </c>
      <c r="B250" s="2" vm="7490">
        <f ca="1"/>
        <v>20.34</v>
      </c>
      <c r="C250" s="2" vm="7491">
        <f ca="1"/>
        <v>20.350000000000001</v>
      </c>
      <c r="D250" s="2" vm="7492">
        <f ca="1"/>
        <v>19.12</v>
      </c>
      <c r="E250" s="2" vm="7493">
        <f ca="1"/>
        <v>19.53</v>
      </c>
    </row>
    <row r="251" spans="1:5" x14ac:dyDescent="0.2">
      <c r="A251" s="1" vm="1319">
        <f ca="1"/>
        <v>44788</v>
      </c>
      <c r="B251" s="2" vm="7494">
        <f ca="1"/>
        <v>20.74</v>
      </c>
      <c r="C251" s="2" vm="7235">
        <f ca="1"/>
        <v>21.16</v>
      </c>
      <c r="D251" s="2" vm="7257">
        <f ca="1"/>
        <v>19.809999999999999</v>
      </c>
      <c r="E251" s="2" vm="7495">
        <f ca="1"/>
        <v>19.95</v>
      </c>
    </row>
    <row r="252" spans="1:5" x14ac:dyDescent="0.2">
      <c r="A252" s="1" vm="1324">
        <f ca="1"/>
        <v>44789</v>
      </c>
      <c r="B252" s="2" vm="6850">
        <f ca="1"/>
        <v>20.23</v>
      </c>
      <c r="C252" s="2" vm="7496">
        <f ca="1"/>
        <v>20.39</v>
      </c>
      <c r="D252" s="2" vm="7497">
        <f ca="1"/>
        <v>19.5</v>
      </c>
      <c r="E252" s="2" vm="7498">
        <f ca="1"/>
        <v>19.690000000000001</v>
      </c>
    </row>
    <row r="253" spans="1:5" x14ac:dyDescent="0.2">
      <c r="A253" s="1" vm="1330">
        <f ca="1"/>
        <v>44790</v>
      </c>
      <c r="B253" s="2" vm="6810">
        <f ca="1"/>
        <v>19.739999999999998</v>
      </c>
      <c r="C253" s="2" vm="7499">
        <f ca="1"/>
        <v>20.63</v>
      </c>
      <c r="D253" s="2" vm="7006">
        <f ca="1"/>
        <v>19.41</v>
      </c>
      <c r="E253" s="2" vm="6909">
        <f ca="1"/>
        <v>19.899999999999999</v>
      </c>
    </row>
    <row r="254" spans="1:5" x14ac:dyDescent="0.2">
      <c r="A254" s="1" vm="1334">
        <f ca="1"/>
        <v>44791</v>
      </c>
      <c r="B254" s="2" vm="7216">
        <f ca="1"/>
        <v>20.51</v>
      </c>
      <c r="C254" s="2" vm="7039">
        <f ca="1"/>
        <v>20.61</v>
      </c>
      <c r="D254" s="2" vm="7500">
        <f ca="1"/>
        <v>19.43</v>
      </c>
      <c r="E254" s="2" vm="7501">
        <f ca="1"/>
        <v>19.559999999999999</v>
      </c>
    </row>
    <row r="255" spans="1:5" x14ac:dyDescent="0.2">
      <c r="A255" s="1" vm="1339">
        <f ca="1"/>
        <v>44792</v>
      </c>
      <c r="B255" s="2" vm="7502">
        <f ca="1"/>
        <v>20.16</v>
      </c>
      <c r="C255" s="2" vm="6976">
        <f ca="1"/>
        <v>21.27</v>
      </c>
      <c r="D255" s="2" vm="7503">
        <f ca="1"/>
        <v>20.079999999999998</v>
      </c>
      <c r="E255" s="2" vm="6820">
        <f ca="1"/>
        <v>20.6</v>
      </c>
    </row>
    <row r="256" spans="1:5" x14ac:dyDescent="0.2">
      <c r="A256" s="1" vm="1345">
        <f ca="1"/>
        <v>44795</v>
      </c>
      <c r="B256" s="2" vm="7453">
        <f ca="1"/>
        <v>22.41</v>
      </c>
      <c r="C256" s="2" vm="7504">
        <f ca="1"/>
        <v>24.62</v>
      </c>
      <c r="D256" s="2" vm="7505">
        <f ca="1"/>
        <v>22.39</v>
      </c>
      <c r="E256" s="2" vm="7506">
        <f ca="1"/>
        <v>23.8</v>
      </c>
    </row>
    <row r="257" spans="1:5" x14ac:dyDescent="0.2">
      <c r="A257" s="1" vm="1350">
        <f ca="1"/>
        <v>44796</v>
      </c>
      <c r="B257" s="2" vm="7440">
        <f ca="1"/>
        <v>24.13</v>
      </c>
      <c r="C257" s="2" vm="7507">
        <f ca="1"/>
        <v>24.21</v>
      </c>
      <c r="D257" s="2" vm="7508">
        <f ca="1"/>
        <v>23.07</v>
      </c>
      <c r="E257" s="2" vm="7509">
        <f ca="1"/>
        <v>24.11</v>
      </c>
    </row>
    <row r="258" spans="1:5" x14ac:dyDescent="0.2">
      <c r="A258" s="1" vm="1353">
        <f ca="1"/>
        <v>44797</v>
      </c>
      <c r="B258" s="2" vm="7237">
        <f ca="1"/>
        <v>24.37</v>
      </c>
      <c r="C258" s="2" vm="7510">
        <f ca="1"/>
        <v>24.86</v>
      </c>
      <c r="D258" s="2" vm="7084">
        <f ca="1"/>
        <v>22.73</v>
      </c>
      <c r="E258" s="2" vm="7511">
        <f ca="1"/>
        <v>22.82</v>
      </c>
    </row>
    <row r="259" spans="1:5" x14ac:dyDescent="0.2">
      <c r="A259" s="1" vm="1357">
        <f ca="1"/>
        <v>44798</v>
      </c>
      <c r="B259" s="2" vm="7453">
        <f ca="1"/>
        <v>22.41</v>
      </c>
      <c r="C259" s="2" vm="7512">
        <f ca="1"/>
        <v>23.13</v>
      </c>
      <c r="D259" s="2" vm="7487">
        <f ca="1"/>
        <v>21.77</v>
      </c>
      <c r="E259" s="2" vm="7513">
        <f ca="1"/>
        <v>21.78</v>
      </c>
    </row>
    <row r="260" spans="1:5" x14ac:dyDescent="0.2">
      <c r="A260" s="1" vm="1361">
        <f ca="1"/>
        <v>44799</v>
      </c>
      <c r="B260" s="2" vm="6814">
        <f ca="1"/>
        <v>22.07</v>
      </c>
      <c r="C260" s="2" vm="7514">
        <f ca="1"/>
        <v>25.9</v>
      </c>
      <c r="D260" s="2" vm="7209">
        <f ca="1"/>
        <v>21.67</v>
      </c>
      <c r="E260" s="2" vm="7515">
        <f ca="1"/>
        <v>25.56</v>
      </c>
    </row>
    <row r="261" spans="1:5" x14ac:dyDescent="0.2">
      <c r="A261" s="1" vm="1363">
        <f ca="1"/>
        <v>44802</v>
      </c>
      <c r="B261" s="2" vm="7516">
        <f ca="1"/>
        <v>26.86</v>
      </c>
      <c r="C261" s="2" vm="7517">
        <f ca="1"/>
        <v>27.67</v>
      </c>
      <c r="D261" s="2" vm="7518">
        <f ca="1"/>
        <v>25.47</v>
      </c>
      <c r="E261" s="2" vm="7319">
        <f ca="1"/>
        <v>26.21</v>
      </c>
    </row>
    <row r="262" spans="1:5" x14ac:dyDescent="0.2">
      <c r="A262" s="1" vm="1367">
        <f ca="1"/>
        <v>44803</v>
      </c>
      <c r="B262" s="2" vm="7519">
        <f ca="1"/>
        <v>25.75</v>
      </c>
      <c r="C262" s="2" vm="7520">
        <f ca="1"/>
        <v>27.69</v>
      </c>
      <c r="D262" s="2" vm="7521">
        <f ca="1"/>
        <v>25.13</v>
      </c>
      <c r="E262" s="2" vm="7319">
        <f ca="1"/>
        <v>26.21</v>
      </c>
    </row>
    <row r="263" spans="1:5" x14ac:dyDescent="0.2">
      <c r="A263" s="1" vm="1371">
        <f ca="1"/>
        <v>44804</v>
      </c>
      <c r="B263" s="2" vm="7522">
        <f ca="1"/>
        <v>25.86</v>
      </c>
      <c r="C263" s="2" vm="6944">
        <f ca="1"/>
        <v>26.62</v>
      </c>
      <c r="D263" s="2" vm="6948">
        <f ca="1"/>
        <v>25.31</v>
      </c>
      <c r="E263" s="2" vm="7523">
        <f ca="1"/>
        <v>25.87</v>
      </c>
    </row>
    <row r="264" spans="1:5" x14ac:dyDescent="0.2">
      <c r="A264" s="1" vm="1377">
        <f ca="1"/>
        <v>44805</v>
      </c>
      <c r="B264" s="2" vm="7524">
        <f ca="1"/>
        <v>26.88</v>
      </c>
      <c r="C264" s="2" vm="7525">
        <f ca="1"/>
        <v>27.45</v>
      </c>
      <c r="D264" s="2" vm="7191">
        <f ca="1"/>
        <v>25.25</v>
      </c>
      <c r="E264" s="2" vm="7515">
        <f ca="1"/>
        <v>25.56</v>
      </c>
    </row>
    <row r="265" spans="1:5" x14ac:dyDescent="0.2">
      <c r="A265" s="1" vm="1381">
        <f ca="1"/>
        <v>44806</v>
      </c>
      <c r="B265" s="2" vm="7315">
        <f ca="1"/>
        <v>25.51</v>
      </c>
      <c r="C265" s="2" vm="7526">
        <f ca="1"/>
        <v>26.28</v>
      </c>
      <c r="D265" s="2" vm="7455">
        <f ca="1"/>
        <v>23.19</v>
      </c>
      <c r="E265" s="2" vm="7518">
        <f ca="1"/>
        <v>25.47</v>
      </c>
    </row>
    <row r="266" spans="1:5" x14ac:dyDescent="0.2">
      <c r="A266" s="1" vm="7527">
        <f ca="1"/>
        <v>44809</v>
      </c>
      <c r="B266" s="2" vm="7189">
        <f ca="1"/>
        <v>26.51</v>
      </c>
      <c r="C266" s="2" vm="7528">
        <f ca="1"/>
        <v>26.85</v>
      </c>
      <c r="D266" s="2" vm="7529">
        <f ca="1"/>
        <v>25.84</v>
      </c>
      <c r="E266" s="2" vm="7530">
        <f ca="1"/>
        <v>25.99</v>
      </c>
    </row>
    <row r="267" spans="1:5" x14ac:dyDescent="0.2">
      <c r="A267" s="1" vm="1385">
        <f ca="1"/>
        <v>44810</v>
      </c>
      <c r="B267" s="2" vm="7531">
        <f ca="1"/>
        <v>25.46</v>
      </c>
      <c r="C267" s="2" vm="7532">
        <f ca="1"/>
        <v>27.8</v>
      </c>
      <c r="D267" s="2" vm="7081">
        <f ca="1"/>
        <v>25.33</v>
      </c>
      <c r="E267" s="2" vm="7533">
        <f ca="1"/>
        <v>26.91</v>
      </c>
    </row>
    <row r="268" spans="1:5" x14ac:dyDescent="0.2">
      <c r="A268" s="1" vm="1390">
        <f ca="1"/>
        <v>44811</v>
      </c>
      <c r="B268" s="2" vm="7138">
        <f ca="1"/>
        <v>26.93</v>
      </c>
      <c r="C268" s="2" vm="6960">
        <f ca="1"/>
        <v>27.15</v>
      </c>
      <c r="D268" s="2" vm="7534">
        <f ca="1"/>
        <v>24.54</v>
      </c>
      <c r="E268" s="2" vm="7428">
        <f ca="1"/>
        <v>24.64</v>
      </c>
    </row>
    <row r="269" spans="1:5" x14ac:dyDescent="0.2">
      <c r="A269" s="1" vm="1395">
        <f ca="1"/>
        <v>44812</v>
      </c>
      <c r="B269" s="2" vm="7535">
        <f ca="1"/>
        <v>24.7</v>
      </c>
      <c r="C269" s="2" vm="7514">
        <f ca="1"/>
        <v>25.9</v>
      </c>
      <c r="D269" s="2" vm="7536">
        <f ca="1"/>
        <v>23.56</v>
      </c>
      <c r="E269" s="2" vm="7207">
        <f ca="1"/>
        <v>23.61</v>
      </c>
    </row>
    <row r="270" spans="1:5" x14ac:dyDescent="0.2">
      <c r="A270" s="1" vm="1398">
        <f ca="1"/>
        <v>44813</v>
      </c>
      <c r="B270" s="2" vm="7537">
        <f ca="1"/>
        <v>23.49</v>
      </c>
      <c r="C270" s="2" vm="7206">
        <f ca="1"/>
        <v>23.57</v>
      </c>
      <c r="D270" s="2" vm="7205">
        <f ca="1"/>
        <v>22.64</v>
      </c>
      <c r="E270" s="2" vm="7046">
        <f ca="1"/>
        <v>22.79</v>
      </c>
    </row>
    <row r="271" spans="1:5" x14ac:dyDescent="0.2">
      <c r="A271" s="1" vm="1402">
        <f ca="1"/>
        <v>44816</v>
      </c>
      <c r="B271" s="2" vm="7538">
        <f ca="1"/>
        <v>23.58</v>
      </c>
      <c r="C271" s="2" vm="7441">
        <f ca="1"/>
        <v>24.23</v>
      </c>
      <c r="D271" s="2" vm="7539">
        <f ca="1"/>
        <v>23.16</v>
      </c>
      <c r="E271" s="2" vm="7195">
        <f ca="1"/>
        <v>23.87</v>
      </c>
    </row>
    <row r="272" spans="1:5" x14ac:dyDescent="0.2">
      <c r="A272" s="1" vm="1405">
        <f ca="1"/>
        <v>44817</v>
      </c>
      <c r="B272" s="2" vm="7540">
        <f ca="1"/>
        <v>23.67</v>
      </c>
      <c r="C272" s="2" vm="7541">
        <f ca="1"/>
        <v>28.15</v>
      </c>
      <c r="D272" s="2" vm="7199">
        <f ca="1"/>
        <v>23.53</v>
      </c>
      <c r="E272" s="2" vm="7542">
        <f ca="1"/>
        <v>27.27</v>
      </c>
    </row>
    <row r="273" spans="1:5" x14ac:dyDescent="0.2">
      <c r="A273" s="1" vm="1410">
        <f ca="1"/>
        <v>44818</v>
      </c>
      <c r="B273" s="2" vm="7422">
        <f ca="1"/>
        <v>26.73</v>
      </c>
      <c r="C273" s="2" vm="7543">
        <f ca="1"/>
        <v>27.56</v>
      </c>
      <c r="D273" s="2" vm="7340">
        <f ca="1"/>
        <v>26.16</v>
      </c>
      <c r="E273" s="2" vm="7340">
        <f ca="1"/>
        <v>26.16</v>
      </c>
    </row>
    <row r="274" spans="1:5" x14ac:dyDescent="0.2">
      <c r="A274" s="1" vm="1414">
        <f ca="1"/>
        <v>44819</v>
      </c>
      <c r="B274" s="2" vm="7316">
        <f ca="1"/>
        <v>26.1</v>
      </c>
      <c r="C274" s="2" vm="7138">
        <f ca="1"/>
        <v>26.93</v>
      </c>
      <c r="D274" s="2" vm="7289">
        <f ca="1"/>
        <v>25.42</v>
      </c>
      <c r="E274" s="2" vm="7544">
        <f ca="1"/>
        <v>26.27</v>
      </c>
    </row>
    <row r="275" spans="1:5" x14ac:dyDescent="0.2">
      <c r="A275" s="1" vm="1420">
        <f ca="1"/>
        <v>44820</v>
      </c>
      <c r="B275" s="2" vm="7190">
        <f ca="1"/>
        <v>27.47</v>
      </c>
      <c r="C275" s="2" vm="7436">
        <f ca="1"/>
        <v>28.45</v>
      </c>
      <c r="D275" s="2" vm="7545">
        <f ca="1"/>
        <v>26.14</v>
      </c>
      <c r="E275" s="2" vm="7546">
        <f ca="1"/>
        <v>26.3</v>
      </c>
    </row>
    <row r="276" spans="1:5" x14ac:dyDescent="0.2">
      <c r="A276" s="1" vm="1426">
        <f ca="1"/>
        <v>44823</v>
      </c>
      <c r="B276" s="2" vm="7520">
        <f ca="1"/>
        <v>27.69</v>
      </c>
      <c r="C276" s="2" vm="6961">
        <f ca="1"/>
        <v>27.95</v>
      </c>
      <c r="D276" s="2" vm="7515">
        <f ca="1"/>
        <v>25.56</v>
      </c>
      <c r="E276" s="2" vm="7547">
        <f ca="1"/>
        <v>25.76</v>
      </c>
    </row>
    <row r="277" spans="1:5" x14ac:dyDescent="0.2">
      <c r="A277" s="1" vm="1432">
        <f ca="1"/>
        <v>44824</v>
      </c>
      <c r="B277" s="2" vm="7548">
        <f ca="1"/>
        <v>25.65</v>
      </c>
      <c r="C277" s="2" vm="7549">
        <f ca="1"/>
        <v>27.81</v>
      </c>
      <c r="D277" s="2" vm="7550">
        <f ca="1"/>
        <v>25.61</v>
      </c>
      <c r="E277" s="2" vm="7551">
        <f ca="1"/>
        <v>27.16</v>
      </c>
    </row>
    <row r="278" spans="1:5" x14ac:dyDescent="0.2">
      <c r="A278" s="1" vm="1438">
        <f ca="1"/>
        <v>44825</v>
      </c>
      <c r="B278" s="2" vm="7552">
        <f ca="1"/>
        <v>28.03</v>
      </c>
      <c r="C278" s="2" vm="7553">
        <f ca="1"/>
        <v>30.18</v>
      </c>
      <c r="D278" s="2" vm="7554">
        <f ca="1"/>
        <v>25.55</v>
      </c>
      <c r="E278" s="2" vm="7555">
        <f ca="1"/>
        <v>27.99</v>
      </c>
    </row>
    <row r="279" spans="1:5" x14ac:dyDescent="0.2">
      <c r="A279" s="1" vm="1442">
        <f ca="1"/>
        <v>44826</v>
      </c>
      <c r="B279" s="2" vm="7332">
        <f ca="1"/>
        <v>28.16</v>
      </c>
      <c r="C279" s="2" vm="7556">
        <f ca="1"/>
        <v>28.38</v>
      </c>
      <c r="D279" s="2" vm="7557">
        <f ca="1"/>
        <v>26.71</v>
      </c>
      <c r="E279" s="2" vm="7435">
        <f ca="1"/>
        <v>27.35</v>
      </c>
    </row>
    <row r="280" spans="1:5" x14ac:dyDescent="0.2">
      <c r="A280" s="1" vm="1447">
        <f ca="1"/>
        <v>44827</v>
      </c>
      <c r="B280" s="2" vm="7558">
        <f ca="1"/>
        <v>27.68</v>
      </c>
      <c r="C280" s="2" vm="7559">
        <f ca="1"/>
        <v>32.31</v>
      </c>
      <c r="D280" s="2" vm="7560">
        <f ca="1"/>
        <v>27.58</v>
      </c>
      <c r="E280" s="2" vm="7561">
        <f ca="1"/>
        <v>29.92</v>
      </c>
    </row>
    <row r="281" spans="1:5" x14ac:dyDescent="0.2">
      <c r="A281" s="1" vm="1453">
        <f ca="1"/>
        <v>44830</v>
      </c>
      <c r="B281" s="2" vm="7282">
        <f ca="1"/>
        <v>31.74</v>
      </c>
      <c r="C281" s="2" vm="7562">
        <f ca="1"/>
        <v>32.880000000000003</v>
      </c>
      <c r="D281" s="2" vm="7184">
        <f ca="1"/>
        <v>29.83</v>
      </c>
      <c r="E281" s="2" vm="7563">
        <f ca="1"/>
        <v>32.26</v>
      </c>
    </row>
    <row r="282" spans="1:5" x14ac:dyDescent="0.2">
      <c r="A282" s="1" vm="1459">
        <f ca="1"/>
        <v>44831</v>
      </c>
      <c r="B282" s="2" vm="7293">
        <f ca="1"/>
        <v>31.2</v>
      </c>
      <c r="C282" s="2" vm="7564">
        <f ca="1"/>
        <v>34.14</v>
      </c>
      <c r="D282" s="2" vm="7565">
        <f ca="1"/>
        <v>30.3</v>
      </c>
      <c r="E282" s="2" vm="7566">
        <f ca="1"/>
        <v>32.6</v>
      </c>
    </row>
    <row r="283" spans="1:5" x14ac:dyDescent="0.2">
      <c r="A283" s="1" vm="1465">
        <f ca="1"/>
        <v>44832</v>
      </c>
      <c r="B283" s="2" vm="7567">
        <f ca="1"/>
        <v>34.5</v>
      </c>
      <c r="C283" s="2" vm="7568">
        <f ca="1"/>
        <v>34.880000000000003</v>
      </c>
      <c r="D283" s="2" vm="7569">
        <f ca="1"/>
        <v>30.03</v>
      </c>
      <c r="E283" s="2" vm="7553">
        <f ca="1"/>
        <v>30.18</v>
      </c>
    </row>
    <row r="284" spans="1:5" x14ac:dyDescent="0.2">
      <c r="A284" s="1" vm="1477">
        <f ca="1"/>
        <v>44834</v>
      </c>
      <c r="B284" s="2" vm="7570">
        <f ca="1"/>
        <v>31.61</v>
      </c>
      <c r="C284" s="2" vm="7571">
        <f ca="1"/>
        <v>33.25</v>
      </c>
      <c r="D284" s="2" vm="7572">
        <f ca="1"/>
        <v>29.39</v>
      </c>
      <c r="E284" s="2" vm="7573">
        <f ca="1"/>
        <v>31.62</v>
      </c>
    </row>
    <row r="285" spans="1:5" x14ac:dyDescent="0.2">
      <c r="A285" s="1" vm="1483">
        <f ca="1"/>
        <v>44837</v>
      </c>
      <c r="B285" s="2" vm="7070">
        <f ca="1"/>
        <v>33</v>
      </c>
      <c r="C285" s="2" vm="7574">
        <f ca="1"/>
        <v>33.06</v>
      </c>
      <c r="D285" s="2" vm="7363">
        <f ca="1"/>
        <v>29.63</v>
      </c>
      <c r="E285" s="2" vm="7575">
        <f ca="1"/>
        <v>30.1</v>
      </c>
    </row>
    <row r="286" spans="1:5" x14ac:dyDescent="0.2">
      <c r="A286" s="1" vm="1489">
        <f ca="1"/>
        <v>44838</v>
      </c>
      <c r="B286" s="2" vm="7576">
        <f ca="1"/>
        <v>29.52</v>
      </c>
      <c r="C286" s="2" vm="7374">
        <f ca="1"/>
        <v>29.62</v>
      </c>
      <c r="D286" s="2" vm="6951">
        <f ca="1"/>
        <v>28.56</v>
      </c>
      <c r="E286" s="2" vm="7394">
        <f ca="1"/>
        <v>29.07</v>
      </c>
    </row>
    <row r="287" spans="1:5" x14ac:dyDescent="0.2">
      <c r="A287" s="1" vm="1494">
        <f ca="1"/>
        <v>44839</v>
      </c>
      <c r="B287" s="2" vm="7403">
        <f ca="1"/>
        <v>29.36</v>
      </c>
      <c r="C287" s="2" vm="7577">
        <f ca="1"/>
        <v>30.11</v>
      </c>
      <c r="D287" s="2" vm="7578">
        <f ca="1"/>
        <v>28.5</v>
      </c>
      <c r="E287" s="2" vm="7579">
        <f ca="1"/>
        <v>28.55</v>
      </c>
    </row>
    <row r="288" spans="1:5" x14ac:dyDescent="0.2">
      <c r="A288" s="1" vm="1500">
        <f ca="1"/>
        <v>44840</v>
      </c>
      <c r="B288" s="2" vm="7580">
        <f ca="1"/>
        <v>28.6</v>
      </c>
      <c r="C288" s="2" vm="7149">
        <f ca="1"/>
        <v>30.74</v>
      </c>
      <c r="D288" s="2" vm="6951">
        <f ca="1"/>
        <v>28.56</v>
      </c>
      <c r="E288" s="2" vm="7150">
        <f ca="1"/>
        <v>30.52</v>
      </c>
    </row>
    <row r="289" spans="1:5" x14ac:dyDescent="0.2">
      <c r="A289" s="1" vm="1506">
        <f ca="1"/>
        <v>44841</v>
      </c>
      <c r="B289" s="2" vm="7581">
        <f ca="1"/>
        <v>30.37</v>
      </c>
      <c r="C289" s="2" vm="7582">
        <f ca="1"/>
        <v>32.020000000000003</v>
      </c>
      <c r="D289" s="2" vm="7583">
        <f ca="1"/>
        <v>29.88</v>
      </c>
      <c r="E289" s="2" vm="7584">
        <f ca="1"/>
        <v>31.36</v>
      </c>
    </row>
    <row r="290" spans="1:5" x14ac:dyDescent="0.2">
      <c r="A290" s="1" vm="1512">
        <f ca="1"/>
        <v>44844</v>
      </c>
      <c r="B290" s="2" vm="7585">
        <f ca="1"/>
        <v>32.93</v>
      </c>
      <c r="C290" s="2" vm="7586">
        <f ca="1"/>
        <v>33.99</v>
      </c>
      <c r="D290" s="2" vm="7587">
        <f ca="1"/>
        <v>32.049999999999997</v>
      </c>
      <c r="E290" s="2" vm="7169">
        <f ca="1"/>
        <v>32.450000000000003</v>
      </c>
    </row>
    <row r="291" spans="1:5" x14ac:dyDescent="0.2">
      <c r="A291" s="1" vm="1518">
        <f ca="1"/>
        <v>44845</v>
      </c>
      <c r="B291" s="2" vm="7588">
        <f ca="1"/>
        <v>33.56</v>
      </c>
      <c r="C291" s="2" vm="7589">
        <f ca="1"/>
        <v>34.43</v>
      </c>
      <c r="D291" s="2" vm="7169">
        <f ca="1"/>
        <v>32.450000000000003</v>
      </c>
      <c r="E291" s="2" vm="7590">
        <f ca="1"/>
        <v>33.630000000000003</v>
      </c>
    </row>
    <row r="292" spans="1:5" x14ac:dyDescent="0.2">
      <c r="A292" s="1" vm="1524">
        <f ca="1"/>
        <v>44846</v>
      </c>
      <c r="B292" s="2" vm="7591">
        <f ca="1"/>
        <v>33.54</v>
      </c>
      <c r="C292" s="2" vm="7592">
        <f ca="1"/>
        <v>34.53</v>
      </c>
      <c r="D292" s="2" vm="7322">
        <f ca="1"/>
        <v>33.11</v>
      </c>
      <c r="E292" s="2" vm="7593">
        <f ca="1"/>
        <v>33.57</v>
      </c>
    </row>
    <row r="293" spans="1:5" x14ac:dyDescent="0.2">
      <c r="A293" s="1" vm="1529">
        <f ca="1"/>
        <v>44847</v>
      </c>
      <c r="B293" s="2" vm="7594">
        <f ca="1"/>
        <v>33.6</v>
      </c>
      <c r="C293" s="2" vm="7595">
        <f ca="1"/>
        <v>33.869999999999997</v>
      </c>
      <c r="D293" s="2" vm="7596">
        <f ca="1"/>
        <v>31.63</v>
      </c>
      <c r="E293" s="2" vm="7597">
        <f ca="1"/>
        <v>31.94</v>
      </c>
    </row>
    <row r="294" spans="1:5" x14ac:dyDescent="0.2">
      <c r="A294" s="1" vm="1535">
        <f ca="1"/>
        <v>44848</v>
      </c>
      <c r="B294" s="2" vm="7598">
        <f ca="1"/>
        <v>31.89</v>
      </c>
      <c r="C294" s="2" vm="7599">
        <f ca="1"/>
        <v>32.979999999999997</v>
      </c>
      <c r="D294" s="2" vm="7600">
        <f ca="1"/>
        <v>31.14</v>
      </c>
      <c r="E294" s="2" vm="7582">
        <f ca="1"/>
        <v>32.020000000000003</v>
      </c>
    </row>
    <row r="295" spans="1:5" x14ac:dyDescent="0.2">
      <c r="A295" s="1" vm="1541">
        <f ca="1"/>
        <v>44851</v>
      </c>
      <c r="B295" s="2" vm="7601">
        <f ca="1"/>
        <v>32.270000000000003</v>
      </c>
      <c r="C295" s="2" vm="7160">
        <f ca="1"/>
        <v>32.590000000000003</v>
      </c>
      <c r="D295" s="2" vm="7602">
        <f ca="1"/>
        <v>30.7</v>
      </c>
      <c r="E295" s="2" vm="7364">
        <f ca="1"/>
        <v>31.37</v>
      </c>
    </row>
    <row r="296" spans="1:5" x14ac:dyDescent="0.2">
      <c r="A296" s="1" vm="1547">
        <f ca="1"/>
        <v>44852</v>
      </c>
      <c r="B296" s="2" vm="7603">
        <f ca="1"/>
        <v>31.1</v>
      </c>
      <c r="C296" s="2" vm="7604">
        <f ca="1"/>
        <v>31.93</v>
      </c>
      <c r="D296" s="2" vm="7605">
        <f ca="1"/>
        <v>30.42</v>
      </c>
      <c r="E296" s="2" vm="7606">
        <f ca="1"/>
        <v>30.5</v>
      </c>
    </row>
    <row r="297" spans="1:5" x14ac:dyDescent="0.2">
      <c r="A297" s="1" vm="1551">
        <f ca="1"/>
        <v>44853</v>
      </c>
      <c r="B297" s="2" vm="7607">
        <f ca="1"/>
        <v>30.94</v>
      </c>
      <c r="C297" s="2" vm="7154">
        <f ca="1"/>
        <v>31.9</v>
      </c>
      <c r="D297" s="2" vm="7608">
        <f ca="1"/>
        <v>30.76</v>
      </c>
      <c r="E297" s="2" vm="7608">
        <f ca="1"/>
        <v>30.76</v>
      </c>
    </row>
    <row r="298" spans="1:5" x14ac:dyDescent="0.2">
      <c r="A298" s="1" vm="1556">
        <f ca="1"/>
        <v>44854</v>
      </c>
      <c r="B298" s="2" vm="7609">
        <f ca="1"/>
        <v>31.3</v>
      </c>
      <c r="C298" s="2" vm="7610">
        <f ca="1"/>
        <v>31.32</v>
      </c>
      <c r="D298" s="2" vm="7611">
        <f ca="1"/>
        <v>29.76</v>
      </c>
      <c r="E298" s="2" vm="7612">
        <f ca="1"/>
        <v>29.98</v>
      </c>
    </row>
    <row r="299" spans="1:5" x14ac:dyDescent="0.2">
      <c r="A299" s="1" vm="1561">
        <f ca="1"/>
        <v>44855</v>
      </c>
      <c r="B299" s="2" vm="7613">
        <f ca="1"/>
        <v>30.21</v>
      </c>
      <c r="C299" s="2" vm="7614">
        <f ca="1"/>
        <v>30.44</v>
      </c>
      <c r="D299" s="2" vm="7615">
        <f ca="1"/>
        <v>29.24</v>
      </c>
      <c r="E299" s="2" vm="7616">
        <f ca="1"/>
        <v>29.69</v>
      </c>
    </row>
    <row r="300" spans="1:5" x14ac:dyDescent="0.2">
      <c r="A300" s="1" vm="1565">
        <f ca="1"/>
        <v>44858</v>
      </c>
      <c r="B300" s="2" vm="7386">
        <f ca="1"/>
        <v>30.65</v>
      </c>
      <c r="C300" s="2" vm="7617">
        <f ca="1"/>
        <v>30.95</v>
      </c>
      <c r="D300" s="2" vm="7618">
        <f ca="1"/>
        <v>29.78</v>
      </c>
      <c r="E300" s="2" vm="7619">
        <f ca="1"/>
        <v>29.85</v>
      </c>
    </row>
    <row r="301" spans="1:5" x14ac:dyDescent="0.2">
      <c r="A301" s="1" vm="1571">
        <f ca="1"/>
        <v>44859</v>
      </c>
      <c r="B301" s="2" vm="7186">
        <f ca="1"/>
        <v>29.8</v>
      </c>
      <c r="C301" s="2" vm="7620">
        <f ca="1"/>
        <v>30</v>
      </c>
      <c r="D301" s="2" vm="7621">
        <f ca="1"/>
        <v>28.22</v>
      </c>
      <c r="E301" s="2" vm="7333">
        <f ca="1"/>
        <v>28.46</v>
      </c>
    </row>
    <row r="302" spans="1:5" x14ac:dyDescent="0.2">
      <c r="A302" s="1" vm="1575">
        <f ca="1"/>
        <v>44860</v>
      </c>
      <c r="B302" s="2" vm="7622">
        <f ca="1"/>
        <v>28.44</v>
      </c>
      <c r="C302" s="2" vm="7623">
        <f ca="1"/>
        <v>28.52</v>
      </c>
      <c r="D302" s="2" vm="7542">
        <f ca="1"/>
        <v>27.27</v>
      </c>
      <c r="E302" s="2" vm="7075">
        <f ca="1"/>
        <v>27.28</v>
      </c>
    </row>
    <row r="303" spans="1:5" x14ac:dyDescent="0.2">
      <c r="A303" s="1" vm="1578">
        <f ca="1"/>
        <v>44861</v>
      </c>
      <c r="B303" s="2" vm="7624">
        <f ca="1"/>
        <v>27.51</v>
      </c>
      <c r="C303" s="2" vm="7517">
        <f ca="1"/>
        <v>27.67</v>
      </c>
      <c r="D303" s="2" vm="7625">
        <f ca="1"/>
        <v>26.94</v>
      </c>
      <c r="E303" s="2" vm="6992">
        <f ca="1"/>
        <v>27.39</v>
      </c>
    </row>
    <row r="304" spans="1:5" x14ac:dyDescent="0.2">
      <c r="A304" s="1" vm="1583">
        <f ca="1"/>
        <v>44862</v>
      </c>
      <c r="B304" s="2" vm="7626">
        <f ca="1"/>
        <v>27.43</v>
      </c>
      <c r="C304" s="2" vm="7139">
        <f ca="1"/>
        <v>27.59</v>
      </c>
      <c r="D304" s="2" vm="7519">
        <f ca="1"/>
        <v>25.75</v>
      </c>
      <c r="E304" s="2" vm="7519">
        <f ca="1"/>
        <v>25.75</v>
      </c>
    </row>
    <row r="305" spans="1:5" x14ac:dyDescent="0.2">
      <c r="A305" s="1" vm="1587">
        <f ca="1"/>
        <v>44865</v>
      </c>
      <c r="B305" s="2" vm="7533">
        <f ca="1"/>
        <v>26.91</v>
      </c>
      <c r="C305" s="2" vm="7313">
        <f ca="1"/>
        <v>27.07</v>
      </c>
      <c r="D305" s="2" vm="7529">
        <f ca="1"/>
        <v>25.84</v>
      </c>
      <c r="E305" s="2" vm="7627">
        <f ca="1"/>
        <v>25.88</v>
      </c>
    </row>
    <row r="306" spans="1:5" x14ac:dyDescent="0.2">
      <c r="A306" s="1" vm="1593">
        <f ca="1"/>
        <v>44866</v>
      </c>
      <c r="B306" s="2" vm="7354">
        <f ca="1"/>
        <v>25.96</v>
      </c>
      <c r="C306" s="2" vm="7628">
        <f ca="1"/>
        <v>26.35</v>
      </c>
      <c r="D306" s="2" vm="7424">
        <f ca="1"/>
        <v>25.66</v>
      </c>
      <c r="E306" s="2" vm="7088">
        <f ca="1"/>
        <v>25.81</v>
      </c>
    </row>
    <row r="307" spans="1:5" x14ac:dyDescent="0.2">
      <c r="A307" s="1" vm="1596">
        <f ca="1"/>
        <v>44867</v>
      </c>
      <c r="B307" s="2" vm="7629">
        <f ca="1"/>
        <v>26.04</v>
      </c>
      <c r="C307" s="2" vm="6944">
        <f ca="1"/>
        <v>26.62</v>
      </c>
      <c r="D307" s="2" vm="7630">
        <f ca="1"/>
        <v>25.39</v>
      </c>
      <c r="E307" s="2" vm="7522">
        <f ca="1"/>
        <v>25.86</v>
      </c>
    </row>
    <row r="308" spans="1:5" x14ac:dyDescent="0.2">
      <c r="A308" s="1" vm="1600">
        <f ca="1"/>
        <v>44868</v>
      </c>
      <c r="B308" s="2" vm="7631">
        <f ca="1"/>
        <v>25.98</v>
      </c>
      <c r="C308" s="2" vm="7632">
        <f ca="1"/>
        <v>26.87</v>
      </c>
      <c r="D308" s="2" vm="7633">
        <f ca="1"/>
        <v>25.1</v>
      </c>
      <c r="E308" s="2" vm="7444">
        <f ca="1"/>
        <v>25.3</v>
      </c>
    </row>
    <row r="309" spans="1:5" x14ac:dyDescent="0.2">
      <c r="A309" s="1" vm="1604">
        <f ca="1"/>
        <v>44869</v>
      </c>
      <c r="B309" s="2" vm="7634">
        <f ca="1"/>
        <v>25.63</v>
      </c>
      <c r="C309" s="2" vm="6791">
        <f ca="1"/>
        <v>25.71</v>
      </c>
      <c r="D309" s="2" vm="7635">
        <f ca="1"/>
        <v>24</v>
      </c>
      <c r="E309" s="2" vm="7636">
        <f ca="1"/>
        <v>24.55</v>
      </c>
    </row>
    <row r="310" spans="1:5" x14ac:dyDescent="0.2">
      <c r="A310" s="1" vm="1609">
        <f ca="1"/>
        <v>44872</v>
      </c>
      <c r="B310" s="2" vm="7192">
        <f ca="1"/>
        <v>25.67</v>
      </c>
      <c r="C310" s="2" vm="7192">
        <f ca="1"/>
        <v>25.67</v>
      </c>
      <c r="D310" s="2" vm="7637">
        <f ca="1"/>
        <v>24.34</v>
      </c>
      <c r="E310" s="2" vm="7090">
        <f ca="1"/>
        <v>24.35</v>
      </c>
    </row>
    <row r="311" spans="1:5" x14ac:dyDescent="0.2">
      <c r="A311" s="1" vm="1615">
        <f ca="1"/>
        <v>44873</v>
      </c>
      <c r="B311" s="2" vm="6819">
        <f ca="1"/>
        <v>24.71</v>
      </c>
      <c r="C311" s="2" vm="7340">
        <f ca="1"/>
        <v>26.16</v>
      </c>
      <c r="D311" s="2" vm="7638">
        <f ca="1"/>
        <v>24.24</v>
      </c>
      <c r="E311" s="2" vm="7358">
        <f ca="1"/>
        <v>25.54</v>
      </c>
    </row>
    <row r="312" spans="1:5" x14ac:dyDescent="0.2">
      <c r="A312" s="1" vm="1618">
        <f ca="1"/>
        <v>44874</v>
      </c>
      <c r="B312" s="2" vm="7639">
        <f ca="1"/>
        <v>25.34</v>
      </c>
      <c r="C312" s="2" vm="7628">
        <f ca="1"/>
        <v>26.35</v>
      </c>
      <c r="D312" s="2" vm="7640">
        <f ca="1"/>
        <v>25.02</v>
      </c>
      <c r="E312" s="2" vm="7362">
        <f ca="1"/>
        <v>26.09</v>
      </c>
    </row>
    <row r="313" spans="1:5" x14ac:dyDescent="0.2">
      <c r="A313" s="1" vm="1624">
        <f ca="1"/>
        <v>44875</v>
      </c>
      <c r="B313" s="2" vm="7189">
        <f ca="1"/>
        <v>26.51</v>
      </c>
      <c r="C313" s="2" vm="7641">
        <f ca="1"/>
        <v>26.59</v>
      </c>
      <c r="D313" s="2" vm="7470">
        <f ca="1"/>
        <v>22.84</v>
      </c>
      <c r="E313" s="2" vm="7199">
        <f ca="1"/>
        <v>23.53</v>
      </c>
    </row>
    <row r="314" spans="1:5" x14ac:dyDescent="0.2">
      <c r="A314" s="1" vm="1630">
        <f ca="1"/>
        <v>44876</v>
      </c>
      <c r="B314" s="2" vm="7642">
        <f ca="1"/>
        <v>23.89</v>
      </c>
      <c r="C314" s="2" vm="7105">
        <f ca="1"/>
        <v>23.91</v>
      </c>
      <c r="D314" s="2" vm="7643">
        <f ca="1"/>
        <v>22.37</v>
      </c>
      <c r="E314" s="2" vm="7644">
        <f ca="1"/>
        <v>22.52</v>
      </c>
    </row>
    <row r="315" spans="1:5" x14ac:dyDescent="0.2">
      <c r="A315" s="1" vm="1636">
        <f ca="1"/>
        <v>44879</v>
      </c>
      <c r="B315" s="2" vm="7048">
        <f ca="1"/>
        <v>23.99</v>
      </c>
      <c r="C315" s="2" vm="7351">
        <f ca="1"/>
        <v>24.33</v>
      </c>
      <c r="D315" s="2" vm="7096">
        <f ca="1"/>
        <v>22.86</v>
      </c>
      <c r="E315" s="2" vm="7645">
        <f ca="1"/>
        <v>23.73</v>
      </c>
    </row>
    <row r="316" spans="1:5" x14ac:dyDescent="0.2">
      <c r="A316" s="1" vm="1642">
        <f ca="1"/>
        <v>44880</v>
      </c>
      <c r="B316" s="2" vm="7091">
        <f ca="1"/>
        <v>23.77</v>
      </c>
      <c r="C316" s="2" vm="7646">
        <f ca="1"/>
        <v>26.22</v>
      </c>
      <c r="D316" s="2" vm="7647">
        <f ca="1"/>
        <v>23.18</v>
      </c>
      <c r="E316" s="2" vm="7534">
        <f ca="1"/>
        <v>24.54</v>
      </c>
    </row>
    <row r="317" spans="1:5" x14ac:dyDescent="0.2">
      <c r="A317" s="1" vm="1648">
        <f ca="1"/>
        <v>44881</v>
      </c>
      <c r="B317" s="2" vm="7116">
        <f ca="1"/>
        <v>24.29</v>
      </c>
      <c r="C317" s="2" vm="7352">
        <f ca="1"/>
        <v>24.72</v>
      </c>
      <c r="D317" s="2" vm="7048">
        <f ca="1"/>
        <v>23.99</v>
      </c>
      <c r="E317" s="2" vm="7509">
        <f ca="1"/>
        <v>24.11</v>
      </c>
    </row>
    <row r="318" spans="1:5" x14ac:dyDescent="0.2">
      <c r="A318" s="1" vm="1654">
        <f ca="1"/>
        <v>44882</v>
      </c>
      <c r="B318" s="2" vm="7648">
        <f ca="1"/>
        <v>24.05</v>
      </c>
      <c r="C318" s="2" vm="7649">
        <f ca="1"/>
        <v>25.18</v>
      </c>
      <c r="D318" s="2" vm="7452">
        <f ca="1"/>
        <v>23.81</v>
      </c>
      <c r="E318" s="2" vm="7474">
        <f ca="1"/>
        <v>23.93</v>
      </c>
    </row>
    <row r="319" spans="1:5" x14ac:dyDescent="0.2">
      <c r="A319" s="1" vm="1659">
        <f ca="1"/>
        <v>44883</v>
      </c>
      <c r="B319" s="2" vm="7204">
        <f ca="1"/>
        <v>24.03</v>
      </c>
      <c r="C319" s="2" vm="7650">
        <f ca="1"/>
        <v>24.12</v>
      </c>
      <c r="D319" s="2" vm="7651">
        <f ca="1"/>
        <v>22.98</v>
      </c>
      <c r="E319" s="2" vm="7047">
        <f ca="1"/>
        <v>23.12</v>
      </c>
    </row>
    <row r="320" spans="1:5" x14ac:dyDescent="0.2">
      <c r="A320" s="1" vm="1663">
        <f ca="1"/>
        <v>44886</v>
      </c>
      <c r="B320" s="2" vm="7648">
        <f ca="1"/>
        <v>24.05</v>
      </c>
      <c r="C320" s="2" vm="7650">
        <f ca="1"/>
        <v>24.12</v>
      </c>
      <c r="D320" s="2" vm="7089">
        <f ca="1"/>
        <v>22.3</v>
      </c>
      <c r="E320" s="2" vm="7652">
        <f ca="1"/>
        <v>22.36</v>
      </c>
    </row>
    <row r="321" spans="1:5" x14ac:dyDescent="0.2">
      <c r="A321" s="1" vm="1668">
        <f ca="1"/>
        <v>44887</v>
      </c>
      <c r="B321" s="2" vm="7653">
        <f ca="1"/>
        <v>22.59</v>
      </c>
      <c r="C321" s="2" vm="7258">
        <f ca="1"/>
        <v>22.71</v>
      </c>
      <c r="D321" s="2" vm="7654">
        <f ca="1"/>
        <v>21.28</v>
      </c>
      <c r="E321" s="2" vm="7484">
        <f ca="1"/>
        <v>21.29</v>
      </c>
    </row>
    <row r="322" spans="1:5" x14ac:dyDescent="0.2">
      <c r="A322" s="1" vm="1671">
        <f ca="1"/>
        <v>44888</v>
      </c>
      <c r="B322" s="2" vm="7208">
        <f ca="1"/>
        <v>21.49</v>
      </c>
      <c r="C322" s="2" vm="7513">
        <f ca="1"/>
        <v>21.78</v>
      </c>
      <c r="D322" s="2" vm="7255">
        <f ca="1"/>
        <v>20.32</v>
      </c>
      <c r="E322" s="2" vm="7491">
        <f ca="1"/>
        <v>20.350000000000001</v>
      </c>
    </row>
    <row r="323" spans="1:5" x14ac:dyDescent="0.2">
      <c r="A323" s="1" vm="7655">
        <f ca="1"/>
        <v>44889</v>
      </c>
      <c r="B323" s="2" vm="7656">
        <f ca="1"/>
        <v>20.5</v>
      </c>
      <c r="C323" s="2" vm="6838">
        <f ca="1"/>
        <v>20.54</v>
      </c>
      <c r="D323" s="2" vm="6974">
        <f ca="1"/>
        <v>20.309999999999999</v>
      </c>
      <c r="E323" s="2" vm="7657">
        <f ca="1"/>
        <v>20.420000000000002</v>
      </c>
    </row>
    <row r="324" spans="1:5" x14ac:dyDescent="0.2">
      <c r="A324" s="1" vm="1676">
        <f ca="1"/>
        <v>44890</v>
      </c>
      <c r="B324" s="2" vm="7039">
        <f ca="1"/>
        <v>20.61</v>
      </c>
      <c r="C324" s="2" vm="7658">
        <f ca="1"/>
        <v>21.11</v>
      </c>
      <c r="D324" s="2" vm="7085">
        <f ca="1"/>
        <v>20.46</v>
      </c>
      <c r="E324" s="2" vm="7656">
        <f ca="1"/>
        <v>20.5</v>
      </c>
    </row>
    <row r="325" spans="1:5" x14ac:dyDescent="0.2">
      <c r="A325" s="1" vm="1681">
        <f ca="1"/>
        <v>44893</v>
      </c>
      <c r="B325" s="2" vm="7086">
        <f ca="1"/>
        <v>22.09</v>
      </c>
      <c r="C325" s="2" vm="7659">
        <f ca="1"/>
        <v>22.5</v>
      </c>
      <c r="D325" s="2" vm="7660">
        <f ca="1"/>
        <v>21.65</v>
      </c>
      <c r="E325" s="2" vm="7661">
        <f ca="1"/>
        <v>22.21</v>
      </c>
    </row>
    <row r="326" spans="1:5" x14ac:dyDescent="0.2">
      <c r="A326" s="1" vm="1684">
        <f ca="1"/>
        <v>44894</v>
      </c>
      <c r="B326" s="2" vm="7086">
        <f ca="1"/>
        <v>22.09</v>
      </c>
      <c r="C326" s="2" vm="7662">
        <f ca="1"/>
        <v>22.57</v>
      </c>
      <c r="D326" s="2" vm="7663">
        <f ca="1"/>
        <v>21.83</v>
      </c>
      <c r="E326" s="2" vm="6971">
        <f ca="1"/>
        <v>21.89</v>
      </c>
    </row>
    <row r="327" spans="1:5" x14ac:dyDescent="0.2">
      <c r="A327" s="1" vm="1689">
        <f ca="1"/>
        <v>44895</v>
      </c>
      <c r="B327" s="2" vm="7664">
        <f ca="1"/>
        <v>21.7</v>
      </c>
      <c r="C327" s="2" vm="7087">
        <f ca="1"/>
        <v>22.63</v>
      </c>
      <c r="D327" s="2" vm="6974">
        <f ca="1"/>
        <v>20.309999999999999</v>
      </c>
      <c r="E327" s="2" vm="7665">
        <f ca="1"/>
        <v>20.58</v>
      </c>
    </row>
    <row r="328" spans="1:5" x14ac:dyDescent="0.2">
      <c r="A328" s="1" vm="1694">
        <f ca="1"/>
        <v>44896</v>
      </c>
      <c r="B328" s="2" vm="7483">
        <f ca="1"/>
        <v>20.83</v>
      </c>
      <c r="C328" s="2" vm="7031">
        <f ca="1"/>
        <v>21.06</v>
      </c>
      <c r="D328" s="2" vm="7666">
        <f ca="1"/>
        <v>19.8</v>
      </c>
      <c r="E328" s="2" vm="7488">
        <f ca="1"/>
        <v>19.84</v>
      </c>
    </row>
    <row r="329" spans="1:5" x14ac:dyDescent="0.2">
      <c r="A329" s="1" vm="1700">
        <f ca="1"/>
        <v>44897</v>
      </c>
      <c r="B329" s="2" vm="7657">
        <f ca="1"/>
        <v>20.420000000000002</v>
      </c>
      <c r="C329" s="2" vm="6940">
        <f ca="1"/>
        <v>20.96</v>
      </c>
      <c r="D329" s="2" vm="7667">
        <f ca="1"/>
        <v>18.95</v>
      </c>
      <c r="E329" s="2" vm="7668">
        <f ca="1"/>
        <v>19.059999999999999</v>
      </c>
    </row>
    <row r="330" spans="1:5" x14ac:dyDescent="0.2">
      <c r="A330" s="1" vm="1706">
        <f ca="1"/>
        <v>44900</v>
      </c>
      <c r="B330" s="2" vm="7669">
        <f ca="1"/>
        <v>20.3</v>
      </c>
      <c r="C330" s="2" vm="7484">
        <f ca="1"/>
        <v>21.29</v>
      </c>
      <c r="D330" s="2" vm="7670">
        <f ca="1"/>
        <v>19.78</v>
      </c>
      <c r="E330" s="2" vm="6798">
        <f ca="1"/>
        <v>20.75</v>
      </c>
    </row>
    <row r="331" spans="1:5" x14ac:dyDescent="0.2">
      <c r="A331" s="1" vm="1711">
        <f ca="1"/>
        <v>44901</v>
      </c>
      <c r="B331" s="2" vm="7671">
        <f ca="1"/>
        <v>20.69</v>
      </c>
      <c r="C331" s="2" vm="7672">
        <f ca="1"/>
        <v>22.6</v>
      </c>
      <c r="D331" s="2" vm="7673">
        <f ca="1"/>
        <v>20.38</v>
      </c>
      <c r="E331" s="2" vm="7251">
        <f ca="1"/>
        <v>22.17</v>
      </c>
    </row>
    <row r="332" spans="1:5" x14ac:dyDescent="0.2">
      <c r="A332" s="1" vm="1716">
        <f ca="1"/>
        <v>44902</v>
      </c>
      <c r="B332" s="2" vm="7674">
        <f ca="1"/>
        <v>22.32</v>
      </c>
      <c r="C332" s="2" vm="7675">
        <f ca="1"/>
        <v>23.01</v>
      </c>
      <c r="D332" s="2" vm="7676">
        <f ca="1"/>
        <v>22.18</v>
      </c>
      <c r="E332" s="2" vm="6996">
        <f ca="1"/>
        <v>22.68</v>
      </c>
    </row>
    <row r="333" spans="1:5" x14ac:dyDescent="0.2">
      <c r="A333" s="1" vm="1722">
        <f ca="1"/>
        <v>44903</v>
      </c>
      <c r="B333" s="2" vm="7677">
        <f ca="1"/>
        <v>22.81</v>
      </c>
      <c r="C333" s="2" vm="7256">
        <f ca="1"/>
        <v>23.28</v>
      </c>
      <c r="D333" s="2" vm="7478">
        <f ca="1"/>
        <v>22.06</v>
      </c>
      <c r="E333" s="2" vm="7678">
        <f ca="1"/>
        <v>22.29</v>
      </c>
    </row>
    <row r="334" spans="1:5" x14ac:dyDescent="0.2">
      <c r="A334" s="1" vm="1726">
        <f ca="1"/>
        <v>44904</v>
      </c>
      <c r="B334" s="2" vm="7252">
        <f ca="1"/>
        <v>22.55</v>
      </c>
      <c r="C334" s="2" vm="7679">
        <f ca="1"/>
        <v>23.21</v>
      </c>
      <c r="D334" s="2" vm="7676">
        <f ca="1"/>
        <v>22.18</v>
      </c>
      <c r="E334" s="2" vm="7680">
        <f ca="1"/>
        <v>22.83</v>
      </c>
    </row>
    <row r="335" spans="1:5" x14ac:dyDescent="0.2">
      <c r="A335" s="1" vm="1731">
        <f ca="1"/>
        <v>44907</v>
      </c>
      <c r="B335" s="2" vm="6835">
        <f ca="1"/>
        <v>24.4</v>
      </c>
      <c r="C335" s="2" vm="7681">
        <f ca="1"/>
        <v>25.05</v>
      </c>
      <c r="D335" s="2" vm="7682">
        <f ca="1"/>
        <v>24.18</v>
      </c>
      <c r="E335" s="2" vm="7683">
        <f ca="1"/>
        <v>25</v>
      </c>
    </row>
    <row r="336" spans="1:5" x14ac:dyDescent="0.2">
      <c r="A336" s="1" vm="1735">
        <f ca="1"/>
        <v>44908</v>
      </c>
      <c r="B336" s="2" vm="7684">
        <f ca="1"/>
        <v>25.24</v>
      </c>
      <c r="C336" s="2" vm="7529">
        <f ca="1"/>
        <v>25.84</v>
      </c>
      <c r="D336" s="2" vm="7685">
        <f ca="1"/>
        <v>21.46</v>
      </c>
      <c r="E336" s="2" vm="7252">
        <f ca="1"/>
        <v>22.55</v>
      </c>
    </row>
    <row r="337" spans="1:5" x14ac:dyDescent="0.2">
      <c r="A337" s="1" vm="1740">
        <f ca="1"/>
        <v>44909</v>
      </c>
      <c r="B337" s="2" vm="7680">
        <f ca="1"/>
        <v>22.83</v>
      </c>
      <c r="C337" s="2" vm="6982">
        <f ca="1"/>
        <v>23.47</v>
      </c>
      <c r="D337" s="2" vm="7686">
        <f ca="1"/>
        <v>21.07</v>
      </c>
      <c r="E337" s="2" vm="7687">
        <f ca="1"/>
        <v>21.14</v>
      </c>
    </row>
    <row r="338" spans="1:5" x14ac:dyDescent="0.2">
      <c r="A338" s="1" vm="1746">
        <f ca="1"/>
        <v>44910</v>
      </c>
      <c r="B338" s="2" vm="7688">
        <f ca="1"/>
        <v>21.52</v>
      </c>
      <c r="C338" s="2" vm="7540">
        <f ca="1"/>
        <v>23.67</v>
      </c>
      <c r="D338" s="2" vm="7232">
        <f ca="1"/>
        <v>21.25</v>
      </c>
      <c r="E338" s="2" vm="7680">
        <f ca="1"/>
        <v>22.83</v>
      </c>
    </row>
    <row r="339" spans="1:5" x14ac:dyDescent="0.2">
      <c r="A339" s="1" vm="1750">
        <f ca="1"/>
        <v>44911</v>
      </c>
      <c r="B339" s="2" vm="6989">
        <f ca="1"/>
        <v>23.26</v>
      </c>
      <c r="C339" s="2" vm="7689">
        <f ca="1"/>
        <v>23.83</v>
      </c>
      <c r="D339" s="2" vm="7086">
        <f ca="1"/>
        <v>22.09</v>
      </c>
      <c r="E339" s="2" vm="7260">
        <f ca="1"/>
        <v>22.62</v>
      </c>
    </row>
    <row r="340" spans="1:5" x14ac:dyDescent="0.2">
      <c r="A340" s="1" vm="1752">
        <f ca="1"/>
        <v>44914</v>
      </c>
      <c r="B340" s="2" vm="7087">
        <f ca="1"/>
        <v>22.63</v>
      </c>
      <c r="C340" s="2" vm="7096">
        <f ca="1"/>
        <v>22.86</v>
      </c>
      <c r="D340" s="2" vm="7690">
        <f ca="1"/>
        <v>21.61</v>
      </c>
      <c r="E340" s="2" vm="7691">
        <f ca="1"/>
        <v>22.42</v>
      </c>
    </row>
    <row r="341" spans="1:5" x14ac:dyDescent="0.2">
      <c r="A341" s="1" vm="1757">
        <f ca="1"/>
        <v>44915</v>
      </c>
      <c r="B341" s="2" vm="6831">
        <f ca="1"/>
        <v>23.17</v>
      </c>
      <c r="C341" s="2" vm="7692">
        <f ca="1"/>
        <v>23.39</v>
      </c>
      <c r="D341" s="2" vm="7693">
        <f ca="1"/>
        <v>21.35</v>
      </c>
      <c r="E341" s="2" vm="6818">
        <f ca="1"/>
        <v>21.48</v>
      </c>
    </row>
    <row r="342" spans="1:5" x14ac:dyDescent="0.2">
      <c r="A342" s="1" vm="1760">
        <f ca="1"/>
        <v>44916</v>
      </c>
      <c r="B342" s="2" vm="7232">
        <f ca="1"/>
        <v>21.25</v>
      </c>
      <c r="C342" s="2" vm="7484">
        <f ca="1"/>
        <v>21.29</v>
      </c>
      <c r="D342" s="2" vm="6841">
        <f ca="1"/>
        <v>19.940000000000001</v>
      </c>
      <c r="E342" s="2" vm="7694">
        <f ca="1"/>
        <v>20.07</v>
      </c>
    </row>
    <row r="343" spans="1:5" x14ac:dyDescent="0.2">
      <c r="A343" s="1" vm="1763">
        <f ca="1"/>
        <v>44917</v>
      </c>
      <c r="B343" s="2" vm="7503">
        <f ca="1"/>
        <v>20.079999999999998</v>
      </c>
      <c r="C343" s="2" vm="7695">
        <f ca="1"/>
        <v>24.3</v>
      </c>
      <c r="D343" s="2" vm="7696">
        <f ca="1"/>
        <v>20.010000000000002</v>
      </c>
      <c r="E343" s="2" vm="7228">
        <f ca="1"/>
        <v>21.97</v>
      </c>
    </row>
    <row r="344" spans="1:5" x14ac:dyDescent="0.2">
      <c r="A344" s="1" vm="1766">
        <f ca="1"/>
        <v>44918</v>
      </c>
      <c r="B344" s="2" vm="7251">
        <f ca="1"/>
        <v>22.17</v>
      </c>
      <c r="C344" s="2" vm="7205">
        <f ca="1"/>
        <v>22.64</v>
      </c>
      <c r="D344" s="2" vm="7221">
        <f ca="1"/>
        <v>20.78</v>
      </c>
      <c r="E344" s="2" vm="6799">
        <f ca="1"/>
        <v>20.87</v>
      </c>
    </row>
    <row r="345" spans="1:5" x14ac:dyDescent="0.2">
      <c r="A345" s="1" vm="7697">
        <f ca="1"/>
        <v>44921</v>
      </c>
      <c r="B345" s="2" t="e" vm="6753">
        <f ca="1"/>
        <v>#N/A</v>
      </c>
      <c r="C345" s="2" t="e" vm="6753">
        <f ca="1"/>
        <v>#N/A</v>
      </c>
      <c r="D345" s="2" t="e" vm="6753">
        <f ca="1"/>
        <v>#N/A</v>
      </c>
      <c r="E345" s="2" vm="6799">
        <f ca="1"/>
        <v>20.87</v>
      </c>
    </row>
    <row r="346" spans="1:5" x14ac:dyDescent="0.2">
      <c r="A346" s="1" vm="1770">
        <f ca="1"/>
        <v>44922</v>
      </c>
      <c r="B346" s="2" vm="7209">
        <f ca="1"/>
        <v>21.67</v>
      </c>
      <c r="C346" s="2" vm="7698">
        <f ca="1"/>
        <v>22.8</v>
      </c>
      <c r="D346" s="2" vm="7699">
        <f ca="1"/>
        <v>21.59</v>
      </c>
      <c r="E346" s="2" vm="7660">
        <f ca="1"/>
        <v>21.65</v>
      </c>
    </row>
    <row r="347" spans="1:5" x14ac:dyDescent="0.2">
      <c r="A347" s="1" vm="1775">
        <f ca="1"/>
        <v>44923</v>
      </c>
      <c r="B347" s="2" vm="7700">
        <f ca="1"/>
        <v>21.47</v>
      </c>
      <c r="C347" s="2" vm="7469">
        <f ca="1"/>
        <v>22.26</v>
      </c>
      <c r="D347" s="2" vm="6940">
        <f ca="1"/>
        <v>20.96</v>
      </c>
      <c r="E347" s="2" vm="7211">
        <f ca="1"/>
        <v>22.14</v>
      </c>
    </row>
    <row r="348" spans="1:5" x14ac:dyDescent="0.2">
      <c r="A348" s="1" vm="1781">
        <f ca="1"/>
        <v>44924</v>
      </c>
      <c r="B348" s="2" vm="7701">
        <f ca="1"/>
        <v>22.25</v>
      </c>
      <c r="C348" s="2" vm="7702">
        <f ca="1"/>
        <v>22.31</v>
      </c>
      <c r="D348" s="2" vm="7000">
        <f ca="1"/>
        <v>21.36</v>
      </c>
      <c r="E348" s="2" vm="7100">
        <f ca="1"/>
        <v>21.44</v>
      </c>
    </row>
    <row r="349" spans="1:5" x14ac:dyDescent="0.2">
      <c r="A349" s="1" vm="1785">
        <f ca="1"/>
        <v>44925</v>
      </c>
      <c r="B349" s="2" vm="7663">
        <f ca="1"/>
        <v>21.83</v>
      </c>
      <c r="C349" s="2" vm="7703">
        <f ca="1"/>
        <v>22.4</v>
      </c>
      <c r="D349" s="2" vm="7699">
        <f ca="1"/>
        <v>21.59</v>
      </c>
      <c r="E349" s="2" vm="7209">
        <f ca="1"/>
        <v>21.67</v>
      </c>
    </row>
    <row r="350" spans="1:5" x14ac:dyDescent="0.2">
      <c r="A350" s="1" vm="7704">
        <f ca="1"/>
        <v>44928</v>
      </c>
      <c r="B350" s="2" t="e" vm="6753">
        <f ca="1"/>
        <v>#N/A</v>
      </c>
      <c r="C350" s="2" t="e" vm="6753">
        <f ca="1"/>
        <v>#N/A</v>
      </c>
      <c r="D350" s="2" t="e" vm="6753">
        <f ca="1"/>
        <v>#N/A</v>
      </c>
      <c r="E350" s="2" vm="7209">
        <f ca="1"/>
        <v>21.67</v>
      </c>
    </row>
    <row r="351" spans="1:5" x14ac:dyDescent="0.2">
      <c r="A351" s="1" vm="1789">
        <f ca="1"/>
        <v>44929</v>
      </c>
      <c r="B351" s="2" vm="7097">
        <f ca="1"/>
        <v>23.09</v>
      </c>
      <c r="C351" s="2" vm="7705">
        <f ca="1"/>
        <v>23.76</v>
      </c>
      <c r="D351" s="2" vm="7084">
        <f ca="1"/>
        <v>22.73</v>
      </c>
      <c r="E351" s="2" vm="6826">
        <f ca="1"/>
        <v>22.9</v>
      </c>
    </row>
    <row r="352" spans="1:5" x14ac:dyDescent="0.2">
      <c r="A352" s="1" vm="1794">
        <f ca="1"/>
        <v>44930</v>
      </c>
      <c r="B352" s="2" vm="7706">
        <f ca="1"/>
        <v>22.93</v>
      </c>
      <c r="C352" s="2" vm="7468">
        <f ca="1"/>
        <v>23.27</v>
      </c>
      <c r="D352" s="2" vm="7707">
        <f ca="1"/>
        <v>21.94</v>
      </c>
      <c r="E352" s="2" vm="7482">
        <f ca="1"/>
        <v>22.01</v>
      </c>
    </row>
    <row r="353" spans="1:5" x14ac:dyDescent="0.2">
      <c r="A353" s="1" vm="1800">
        <f ca="1"/>
        <v>44931</v>
      </c>
      <c r="B353" s="2" vm="7708">
        <f ca="1"/>
        <v>22.2</v>
      </c>
      <c r="C353" s="2" vm="6830">
        <f ca="1"/>
        <v>22.92</v>
      </c>
      <c r="D353" s="2" vm="7228">
        <f ca="1"/>
        <v>21.97</v>
      </c>
      <c r="E353" s="2" vm="7709">
        <f ca="1"/>
        <v>22.46</v>
      </c>
    </row>
    <row r="354" spans="1:5" x14ac:dyDescent="0.2">
      <c r="A354" s="1" vm="1805">
        <f ca="1"/>
        <v>44932</v>
      </c>
      <c r="B354" s="2" vm="7710">
        <f ca="1"/>
        <v>22.69</v>
      </c>
      <c r="C354" s="2" vm="6826">
        <f ca="1"/>
        <v>22.9</v>
      </c>
      <c r="D354" s="2" vm="6837">
        <f ca="1"/>
        <v>21</v>
      </c>
      <c r="E354" s="2" vm="6767">
        <f ca="1"/>
        <v>21.13</v>
      </c>
    </row>
    <row r="355" spans="1:5" x14ac:dyDescent="0.2">
      <c r="A355" s="1" vm="1810">
        <f ca="1"/>
        <v>44935</v>
      </c>
      <c r="B355" s="2" vm="7711">
        <f ca="1"/>
        <v>21.75</v>
      </c>
      <c r="C355" s="2" vm="7250">
        <f ca="1"/>
        <v>21.98</v>
      </c>
      <c r="D355" s="2" vm="6976">
        <f ca="1"/>
        <v>21.27</v>
      </c>
      <c r="E355" s="2" vm="7228">
        <f ca="1"/>
        <v>21.97</v>
      </c>
    </row>
    <row r="356" spans="1:5" x14ac:dyDescent="0.2">
      <c r="A356" s="1" vm="1816">
        <f ca="1"/>
        <v>44936</v>
      </c>
      <c r="B356" s="2" vm="7463">
        <f ca="1"/>
        <v>22.22</v>
      </c>
      <c r="C356" s="2" vm="7709">
        <f ca="1"/>
        <v>22.46</v>
      </c>
      <c r="D356" s="2" vm="7665">
        <f ca="1"/>
        <v>20.58</v>
      </c>
      <c r="E356" s="2" vm="7665">
        <f ca="1"/>
        <v>20.58</v>
      </c>
    </row>
    <row r="357" spans="1:5" x14ac:dyDescent="0.2">
      <c r="A357" s="1" vm="1822">
        <f ca="1"/>
        <v>44937</v>
      </c>
      <c r="B357" s="2" vm="7034">
        <f ca="1"/>
        <v>20.8</v>
      </c>
      <c r="C357" s="2" vm="7232">
        <f ca="1"/>
        <v>21.25</v>
      </c>
      <c r="D357" s="2" vm="6832">
        <f ca="1"/>
        <v>20.62</v>
      </c>
      <c r="E357" s="2" vm="7712">
        <f ca="1"/>
        <v>21.09</v>
      </c>
    </row>
    <row r="358" spans="1:5" x14ac:dyDescent="0.2">
      <c r="A358" s="1" vm="1826">
        <f ca="1"/>
        <v>44938</v>
      </c>
      <c r="B358" s="2" vm="7083">
        <f ca="1"/>
        <v>21.56</v>
      </c>
      <c r="C358" s="2" vm="7713">
        <f ca="1"/>
        <v>21.8</v>
      </c>
      <c r="D358" s="2" vm="7714">
        <f ca="1"/>
        <v>18.829999999999998</v>
      </c>
      <c r="E358" s="2" vm="7714">
        <f ca="1"/>
        <v>18.829999999999998</v>
      </c>
    </row>
    <row r="359" spans="1:5" x14ac:dyDescent="0.2">
      <c r="A359" s="1" vm="1832">
        <f ca="1"/>
        <v>44939</v>
      </c>
      <c r="B359" s="2" vm="7715">
        <f ca="1"/>
        <v>19</v>
      </c>
      <c r="C359" s="2" vm="7006">
        <f ca="1"/>
        <v>19.41</v>
      </c>
      <c r="D359" s="2" vm="6778">
        <f ca="1"/>
        <v>18.010000000000002</v>
      </c>
      <c r="E359" s="2" vm="6786">
        <f ca="1"/>
        <v>18.350000000000001</v>
      </c>
    </row>
    <row r="360" spans="1:5" x14ac:dyDescent="0.2">
      <c r="A360" s="1" vm="7716">
        <f ca="1"/>
        <v>44942</v>
      </c>
      <c r="B360" s="2" vm="6762">
        <f ca="1"/>
        <v>19.440000000000001</v>
      </c>
      <c r="C360" s="2" vm="7212">
        <f ca="1"/>
        <v>19.63</v>
      </c>
      <c r="D360" s="2" vm="7006">
        <f ca="1"/>
        <v>19.41</v>
      </c>
      <c r="E360" s="2" vm="7717">
        <f ca="1"/>
        <v>19.489999999999998</v>
      </c>
    </row>
    <row r="361" spans="1:5" x14ac:dyDescent="0.2">
      <c r="A361" s="1" vm="1837">
        <f ca="1"/>
        <v>44943</v>
      </c>
      <c r="B361" s="2" vm="7718">
        <f ca="1"/>
        <v>19.89</v>
      </c>
      <c r="C361" s="2" vm="7719">
        <f ca="1"/>
        <v>20.22</v>
      </c>
      <c r="D361" s="2" vm="7720">
        <f ca="1"/>
        <v>19.21</v>
      </c>
      <c r="E361" s="2" vm="7721">
        <f ca="1"/>
        <v>19.36</v>
      </c>
    </row>
    <row r="362" spans="1:5" x14ac:dyDescent="0.2">
      <c r="A362" s="1" vm="1841">
        <f ca="1"/>
        <v>44944</v>
      </c>
      <c r="B362" s="2" vm="7722">
        <f ca="1"/>
        <v>19.28</v>
      </c>
      <c r="C362" s="2" vm="7665">
        <f ca="1"/>
        <v>20.58</v>
      </c>
      <c r="D362" s="2" vm="7723">
        <f ca="1"/>
        <v>18.71</v>
      </c>
      <c r="E362" s="2" vm="7490">
        <f ca="1"/>
        <v>20.34</v>
      </c>
    </row>
    <row r="363" spans="1:5" x14ac:dyDescent="0.2">
      <c r="A363" s="1" vm="1846">
        <f ca="1"/>
        <v>44945</v>
      </c>
      <c r="B363" s="2" vm="7724">
        <f ca="1"/>
        <v>20.43</v>
      </c>
      <c r="C363" s="2" vm="6794">
        <f ca="1"/>
        <v>21.71</v>
      </c>
      <c r="D363" s="2" vm="7027">
        <f ca="1"/>
        <v>20.170000000000002</v>
      </c>
      <c r="E363" s="2" vm="7725">
        <f ca="1"/>
        <v>20.52</v>
      </c>
    </row>
    <row r="364" spans="1:5" x14ac:dyDescent="0.2">
      <c r="A364" s="1" vm="1852">
        <f ca="1"/>
        <v>44946</v>
      </c>
      <c r="B364" s="2" vm="7234">
        <f ca="1"/>
        <v>20.28</v>
      </c>
      <c r="C364" s="2" vm="6988">
        <f ca="1"/>
        <v>20.7</v>
      </c>
      <c r="D364" s="2" vm="7006">
        <f ca="1"/>
        <v>19.41</v>
      </c>
      <c r="E364" s="2" vm="6848">
        <f ca="1"/>
        <v>19.850000000000001</v>
      </c>
    </row>
    <row r="365" spans="1:5" x14ac:dyDescent="0.2">
      <c r="A365" s="1" vm="1856">
        <f ca="1"/>
        <v>44949</v>
      </c>
      <c r="B365" s="2" vm="6801">
        <f ca="1"/>
        <v>20.21</v>
      </c>
      <c r="C365" s="2" vm="7726">
        <f ca="1"/>
        <v>20.329999999999998</v>
      </c>
      <c r="D365" s="2" vm="7727">
        <f ca="1"/>
        <v>19.55</v>
      </c>
      <c r="E365" s="2" vm="7257">
        <f ca="1"/>
        <v>19.809999999999999</v>
      </c>
    </row>
    <row r="366" spans="1:5" x14ac:dyDescent="0.2">
      <c r="A366" s="1" vm="1860">
        <f ca="1"/>
        <v>44950</v>
      </c>
      <c r="B366" s="2" vm="7718">
        <f ca="1"/>
        <v>19.89</v>
      </c>
      <c r="C366" s="2" vm="6774">
        <f ca="1"/>
        <v>20.47</v>
      </c>
      <c r="D366" s="2" vm="7728">
        <f ca="1"/>
        <v>18.91</v>
      </c>
      <c r="E366" s="2" vm="7729">
        <f ca="1"/>
        <v>19.2</v>
      </c>
    </row>
    <row r="367" spans="1:5" x14ac:dyDescent="0.2">
      <c r="A367" s="1" vm="1864">
        <f ca="1"/>
        <v>44951</v>
      </c>
      <c r="B367" s="2" vm="7501">
        <f ca="1"/>
        <v>19.559999999999999</v>
      </c>
      <c r="C367" s="2" vm="6997">
        <f ca="1"/>
        <v>20.9</v>
      </c>
      <c r="D367" s="2" vm="7730">
        <f ca="1"/>
        <v>18.989999999999998</v>
      </c>
      <c r="E367" s="2" vm="7032">
        <f ca="1"/>
        <v>19.079999999999998</v>
      </c>
    </row>
    <row r="368" spans="1:5" x14ac:dyDescent="0.2">
      <c r="A368" s="1" vm="1868">
        <f ca="1"/>
        <v>44952</v>
      </c>
      <c r="B368" s="2" vm="7042">
        <f ca="1"/>
        <v>19.05</v>
      </c>
      <c r="C368" s="2" vm="7731">
        <f ca="1"/>
        <v>19.48</v>
      </c>
      <c r="D368" s="2" vm="7214">
        <f ca="1"/>
        <v>18.670000000000002</v>
      </c>
      <c r="E368" s="2" vm="6910">
        <f ca="1"/>
        <v>18.73</v>
      </c>
    </row>
    <row r="369" spans="1:5" x14ac:dyDescent="0.2">
      <c r="A369" s="1" vm="1873">
        <f ca="1"/>
        <v>44953</v>
      </c>
      <c r="B369" s="2" vm="7215">
        <f ca="1"/>
        <v>18.899999999999999</v>
      </c>
      <c r="C369" s="2" vm="7715">
        <f ca="1"/>
        <v>19</v>
      </c>
      <c r="D369" s="2" vm="7732">
        <f ca="1"/>
        <v>17.97</v>
      </c>
      <c r="E369" s="2" vm="7733">
        <f ca="1"/>
        <v>18.510000000000002</v>
      </c>
    </row>
    <row r="370" spans="1:5" x14ac:dyDescent="0.2">
      <c r="A370" s="1" vm="1876">
        <f ca="1"/>
        <v>44956</v>
      </c>
      <c r="B370" s="2" vm="6781">
        <f ca="1"/>
        <v>19.760000000000002</v>
      </c>
      <c r="C370" s="2" vm="7734">
        <f ca="1"/>
        <v>20.25</v>
      </c>
      <c r="D370" s="2" vm="6763">
        <f ca="1"/>
        <v>19.54</v>
      </c>
      <c r="E370" s="2" vm="6841">
        <f ca="1"/>
        <v>19.940000000000001</v>
      </c>
    </row>
    <row r="371" spans="1:5" x14ac:dyDescent="0.2">
      <c r="A371" s="1" vm="1881">
        <f ca="1"/>
        <v>44957</v>
      </c>
      <c r="B371" s="2" vm="7735">
        <f ca="1"/>
        <v>20.12</v>
      </c>
      <c r="C371" s="2" vm="6988">
        <f ca="1"/>
        <v>20.7</v>
      </c>
      <c r="D371" s="2" vm="7736">
        <f ca="1"/>
        <v>19.13</v>
      </c>
      <c r="E371" s="2" vm="7036">
        <f ca="1"/>
        <v>19.399999999999999</v>
      </c>
    </row>
    <row r="372" spans="1:5" x14ac:dyDescent="0.2">
      <c r="A372" s="1" vm="1884">
        <f ca="1"/>
        <v>44958</v>
      </c>
      <c r="B372" s="2" vm="7037">
        <f ca="1"/>
        <v>19.62</v>
      </c>
      <c r="C372" s="2" vm="7737">
        <f ca="1"/>
        <v>20.04</v>
      </c>
      <c r="D372" s="2" vm="6891">
        <f ca="1"/>
        <v>17.7</v>
      </c>
      <c r="E372" s="2" vm="7738">
        <f ca="1"/>
        <v>17.87</v>
      </c>
    </row>
    <row r="373" spans="1:5" x14ac:dyDescent="0.2">
      <c r="A373" s="1" vm="1888">
        <f ca="1"/>
        <v>44959</v>
      </c>
      <c r="B373" s="2" vm="6809">
        <f ca="1"/>
        <v>17.739999999999998</v>
      </c>
      <c r="C373" s="2" vm="7739">
        <f ca="1"/>
        <v>19.25</v>
      </c>
      <c r="D373" s="2" vm="6750">
        <f ca="1"/>
        <v>17.059999999999999</v>
      </c>
      <c r="E373" s="2" vm="6910">
        <f ca="1"/>
        <v>18.73</v>
      </c>
    </row>
    <row r="374" spans="1:5" x14ac:dyDescent="0.2">
      <c r="A374" s="1" vm="1893">
        <f ca="1"/>
        <v>44960</v>
      </c>
      <c r="B374" s="2" vm="6907">
        <f ca="1"/>
        <v>18.57</v>
      </c>
      <c r="C374" s="2" vm="6776">
        <f ca="1"/>
        <v>19.3</v>
      </c>
      <c r="D374" s="2" vm="6861">
        <f ca="1"/>
        <v>17.93</v>
      </c>
      <c r="E374" s="2" vm="7740">
        <f ca="1"/>
        <v>18.329999999999998</v>
      </c>
    </row>
    <row r="375" spans="1:5" x14ac:dyDescent="0.2">
      <c r="A375" s="1" vm="1898">
        <f ca="1"/>
        <v>44963</v>
      </c>
      <c r="B375" s="2" vm="7741">
        <f ca="1"/>
        <v>19.23</v>
      </c>
      <c r="C375" s="2" vm="7257">
        <f ca="1"/>
        <v>19.809999999999999</v>
      </c>
      <c r="D375" s="2" vm="7720">
        <f ca="1"/>
        <v>19.21</v>
      </c>
      <c r="E375" s="2" vm="7500">
        <f ca="1"/>
        <v>19.43</v>
      </c>
    </row>
    <row r="376" spans="1:5" x14ac:dyDescent="0.2">
      <c r="A376" s="1" vm="1903">
        <f ca="1"/>
        <v>44964</v>
      </c>
      <c r="B376" s="2" vm="6763">
        <f ca="1"/>
        <v>19.54</v>
      </c>
      <c r="C376" s="2" vm="7742">
        <f ca="1"/>
        <v>19.989999999999998</v>
      </c>
      <c r="D376" s="2" vm="7743">
        <f ca="1"/>
        <v>18.43</v>
      </c>
      <c r="E376" s="2" vm="7744">
        <f ca="1"/>
        <v>18.66</v>
      </c>
    </row>
    <row r="377" spans="1:5" x14ac:dyDescent="0.2">
      <c r="A377" s="1" vm="1908">
        <f ca="1"/>
        <v>44965</v>
      </c>
      <c r="B377" s="2" vm="7745">
        <f ca="1"/>
        <v>18.88</v>
      </c>
      <c r="C377" s="2" vm="7735">
        <f ca="1"/>
        <v>20.12</v>
      </c>
      <c r="D377" s="2" vm="7224">
        <f ca="1"/>
        <v>18.55</v>
      </c>
      <c r="E377" s="2" vm="7212">
        <f ca="1"/>
        <v>19.63</v>
      </c>
    </row>
    <row r="378" spans="1:5" x14ac:dyDescent="0.2">
      <c r="A378" s="1" vm="1913">
        <f ca="1"/>
        <v>44966</v>
      </c>
      <c r="B378" s="2" vm="7746">
        <f ca="1"/>
        <v>19.239999999999998</v>
      </c>
      <c r="C378" s="2" vm="7747">
        <f ca="1"/>
        <v>21.08</v>
      </c>
      <c r="D378" s="2" vm="6983">
        <f ca="1"/>
        <v>19.02</v>
      </c>
      <c r="E378" s="2" vm="7748">
        <f ca="1"/>
        <v>20.71</v>
      </c>
    </row>
    <row r="379" spans="1:5" x14ac:dyDescent="0.2">
      <c r="A379" s="1" vm="1918">
        <f ca="1"/>
        <v>44967</v>
      </c>
      <c r="B379" s="2" vm="7494">
        <f ca="1"/>
        <v>20.74</v>
      </c>
      <c r="C379" s="2" vm="7707">
        <f ca="1"/>
        <v>21.94</v>
      </c>
      <c r="D379" s="2" vm="7749">
        <f ca="1"/>
        <v>20.440000000000001</v>
      </c>
      <c r="E379" s="2" vm="7750">
        <f ca="1"/>
        <v>20.53</v>
      </c>
    </row>
    <row r="380" spans="1:5" x14ac:dyDescent="0.2">
      <c r="A380" s="1" vm="1922">
        <f ca="1"/>
        <v>44970</v>
      </c>
      <c r="B380" s="2" vm="7751">
        <f ca="1"/>
        <v>21.66</v>
      </c>
      <c r="C380" s="2" vm="7752">
        <f ca="1"/>
        <v>21.69</v>
      </c>
      <c r="D380" s="2" vm="7726">
        <f ca="1"/>
        <v>20.329999999999998</v>
      </c>
      <c r="E380" s="2" vm="7490">
        <f ca="1"/>
        <v>20.34</v>
      </c>
    </row>
    <row r="381" spans="1:5" x14ac:dyDescent="0.2">
      <c r="A381" s="1" vm="1926">
        <f ca="1"/>
        <v>44971</v>
      </c>
      <c r="B381" s="2" vm="7753">
        <f ca="1"/>
        <v>20.72</v>
      </c>
      <c r="C381" s="2" vm="6798">
        <f ca="1"/>
        <v>20.75</v>
      </c>
      <c r="D381" s="2" vm="7754">
        <f ca="1"/>
        <v>18.48</v>
      </c>
      <c r="E381" s="2" vm="7728">
        <f ca="1"/>
        <v>18.91</v>
      </c>
    </row>
    <row r="382" spans="1:5" x14ac:dyDescent="0.2">
      <c r="A382" s="1" vm="1929">
        <f ca="1"/>
        <v>44972</v>
      </c>
      <c r="B382" s="2" vm="6772">
        <f ca="1"/>
        <v>19.37</v>
      </c>
      <c r="C382" s="2" vm="7006">
        <f ca="1"/>
        <v>19.41</v>
      </c>
      <c r="D382" s="2" vm="6846">
        <f ca="1"/>
        <v>18.11</v>
      </c>
      <c r="E382" s="2" vm="7755">
        <f ca="1"/>
        <v>18.23</v>
      </c>
    </row>
    <row r="383" spans="1:5" x14ac:dyDescent="0.2">
      <c r="A383" s="1" vm="1933">
        <f ca="1"/>
        <v>44973</v>
      </c>
      <c r="B383" s="2" vm="7756">
        <f ca="1"/>
        <v>18.260000000000002</v>
      </c>
      <c r="C383" s="2" vm="6777">
        <f ca="1"/>
        <v>20.27</v>
      </c>
      <c r="D383" s="2" vm="7755">
        <f ca="1"/>
        <v>18.23</v>
      </c>
      <c r="E383" s="2" vm="7027">
        <f ca="1"/>
        <v>20.170000000000002</v>
      </c>
    </row>
    <row r="384" spans="1:5" x14ac:dyDescent="0.2">
      <c r="A384" s="1" vm="1938">
        <f ca="1"/>
        <v>44974</v>
      </c>
      <c r="B384" s="2" vm="7757">
        <f ca="1"/>
        <v>20.94</v>
      </c>
      <c r="C384" s="2" vm="6833">
        <f ca="1"/>
        <v>21.3</v>
      </c>
      <c r="D384" s="2" vm="7758">
        <f ca="1"/>
        <v>19.82</v>
      </c>
      <c r="E384" s="2" vm="7759">
        <f ca="1"/>
        <v>20.02</v>
      </c>
    </row>
    <row r="385" spans="1:5" x14ac:dyDescent="0.2">
      <c r="A385" s="1" vm="7760">
        <f ca="1"/>
        <v>44977</v>
      </c>
      <c r="B385" s="2" vm="7031">
        <f ca="1"/>
        <v>21.06</v>
      </c>
      <c r="C385" s="2" vm="7654">
        <f ca="1"/>
        <v>21.28</v>
      </c>
      <c r="D385" s="2" vm="6940">
        <f ca="1"/>
        <v>20.96</v>
      </c>
      <c r="E385" s="2" vm="7761">
        <f ca="1"/>
        <v>21.23</v>
      </c>
    </row>
    <row r="386" spans="1:5" x14ac:dyDescent="0.2">
      <c r="A386" s="1" vm="1941">
        <f ca="1"/>
        <v>44978</v>
      </c>
      <c r="B386" s="2" vm="7713">
        <f ca="1"/>
        <v>21.8</v>
      </c>
      <c r="C386" s="2" vm="7762">
        <f ca="1"/>
        <v>23.34</v>
      </c>
      <c r="D386" s="2" vm="7713">
        <f ca="1"/>
        <v>21.8</v>
      </c>
      <c r="E386" s="2" vm="6994">
        <f ca="1"/>
        <v>22.87</v>
      </c>
    </row>
    <row r="387" spans="1:5" x14ac:dyDescent="0.2">
      <c r="A387" s="1" vm="1947">
        <f ca="1"/>
        <v>44979</v>
      </c>
      <c r="B387" s="2" vm="7454">
        <f ca="1"/>
        <v>23.03</v>
      </c>
      <c r="C387" s="2" vm="7763">
        <f ca="1"/>
        <v>23.63</v>
      </c>
      <c r="D387" s="2" vm="7095">
        <f ca="1"/>
        <v>22.02</v>
      </c>
      <c r="E387" s="2" vm="7678">
        <f ca="1"/>
        <v>22.29</v>
      </c>
    </row>
    <row r="388" spans="1:5" x14ac:dyDescent="0.2">
      <c r="A388" s="1" vm="1952">
        <f ca="1"/>
        <v>44980</v>
      </c>
      <c r="B388" s="2" vm="7082">
        <f ca="1"/>
        <v>21.96</v>
      </c>
      <c r="C388" s="2" vm="7764">
        <f ca="1"/>
        <v>22.43</v>
      </c>
      <c r="D388" s="2" vm="7765">
        <f ca="1"/>
        <v>20.89</v>
      </c>
      <c r="E388" s="2" vm="7687">
        <f ca="1"/>
        <v>21.14</v>
      </c>
    </row>
    <row r="389" spans="1:5" x14ac:dyDescent="0.2">
      <c r="A389" s="1" vm="1957">
        <f ca="1"/>
        <v>44981</v>
      </c>
      <c r="B389" s="2" vm="7693">
        <f ca="1"/>
        <v>21.35</v>
      </c>
      <c r="C389" s="2" vm="6826">
        <f ca="1"/>
        <v>22.9</v>
      </c>
      <c r="D389" s="2" vm="7099">
        <f ca="1"/>
        <v>21.32</v>
      </c>
      <c r="E389" s="2" vm="7209">
        <f ca="1"/>
        <v>21.67</v>
      </c>
    </row>
    <row r="390" spans="1:5" x14ac:dyDescent="0.2">
      <c r="A390" s="1" vm="1960">
        <f ca="1"/>
        <v>44984</v>
      </c>
      <c r="B390" s="2" vm="7766">
        <f ca="1"/>
        <v>21.99</v>
      </c>
      <c r="C390" s="2" vm="7095">
        <f ca="1"/>
        <v>22.02</v>
      </c>
      <c r="D390" s="2" vm="7767">
        <f ca="1"/>
        <v>20.68</v>
      </c>
      <c r="E390" s="2" vm="6769">
        <f ca="1"/>
        <v>20.95</v>
      </c>
    </row>
    <row r="391" spans="1:5" x14ac:dyDescent="0.2">
      <c r="A391" s="1" vm="1965">
        <f ca="1"/>
        <v>44985</v>
      </c>
      <c r="B391" s="2" vm="6833">
        <f ca="1"/>
        <v>21.3</v>
      </c>
      <c r="C391" s="2" vm="7243">
        <f ca="1"/>
        <v>21.37</v>
      </c>
      <c r="D391" s="2" vm="7768">
        <f ca="1"/>
        <v>20.100000000000001</v>
      </c>
      <c r="E391" s="2" vm="6988">
        <f ca="1"/>
        <v>20.7</v>
      </c>
    </row>
    <row r="392" spans="1:5" x14ac:dyDescent="0.2">
      <c r="A392" s="1" vm="1969">
        <f ca="1"/>
        <v>44986</v>
      </c>
      <c r="B392" s="2" vm="7496">
        <f ca="1"/>
        <v>20.39</v>
      </c>
      <c r="C392" s="2" vm="7099">
        <f ca="1"/>
        <v>21.32</v>
      </c>
      <c r="D392" s="2" vm="7719">
        <f ca="1"/>
        <v>20.22</v>
      </c>
      <c r="E392" s="2" vm="7665">
        <f ca="1"/>
        <v>20.58</v>
      </c>
    </row>
    <row r="393" spans="1:5" x14ac:dyDescent="0.2">
      <c r="A393" s="1" vm="1973">
        <f ca="1"/>
        <v>44987</v>
      </c>
      <c r="B393" s="2" vm="7485">
        <f ca="1"/>
        <v>21.41</v>
      </c>
      <c r="C393" s="2" vm="7769">
        <f ca="1"/>
        <v>21.42</v>
      </c>
      <c r="D393" s="2" vm="7727">
        <f ca="1"/>
        <v>19.55</v>
      </c>
      <c r="E393" s="2" vm="6933">
        <f ca="1"/>
        <v>19.59</v>
      </c>
    </row>
    <row r="394" spans="1:5" x14ac:dyDescent="0.2">
      <c r="A394" s="1" vm="1977">
        <f ca="1"/>
        <v>44988</v>
      </c>
      <c r="B394" s="2" vm="6781">
        <f ca="1"/>
        <v>19.760000000000002</v>
      </c>
      <c r="C394" s="2" vm="6781">
        <f ca="1"/>
        <v>19.760000000000002</v>
      </c>
      <c r="D394" s="2" vm="7770">
        <f ca="1"/>
        <v>18.16</v>
      </c>
      <c r="E394" s="2" vm="7771">
        <f ca="1"/>
        <v>18.489999999999998</v>
      </c>
    </row>
    <row r="395" spans="1:5" x14ac:dyDescent="0.2">
      <c r="A395" s="1" vm="1983">
        <f ca="1"/>
        <v>44991</v>
      </c>
      <c r="B395" s="2" vm="7042">
        <f ca="1"/>
        <v>19.05</v>
      </c>
      <c r="C395" s="2" vm="7043">
        <f ca="1"/>
        <v>19.190000000000001</v>
      </c>
      <c r="D395" s="2" vm="7771">
        <f ca="1"/>
        <v>18.489999999999998</v>
      </c>
      <c r="E395" s="2" vm="7772">
        <f ca="1"/>
        <v>18.61</v>
      </c>
    </row>
    <row r="396" spans="1:5" x14ac:dyDescent="0.2">
      <c r="A396" s="1" vm="1986">
        <f ca="1"/>
        <v>44992</v>
      </c>
      <c r="B396" s="2" vm="6852">
        <f ca="1"/>
        <v>18.64</v>
      </c>
      <c r="C396" s="2" vm="6810">
        <f ca="1"/>
        <v>19.739999999999998</v>
      </c>
      <c r="D396" s="2" vm="7733">
        <f ca="1"/>
        <v>18.510000000000002</v>
      </c>
      <c r="E396" s="2" vm="6933">
        <f ca="1"/>
        <v>19.59</v>
      </c>
    </row>
    <row r="397" spans="1:5" x14ac:dyDescent="0.2">
      <c r="A397" s="1" vm="1990">
        <f ca="1"/>
        <v>44993</v>
      </c>
      <c r="B397" s="2" vm="6812">
        <f ca="1"/>
        <v>19.71</v>
      </c>
      <c r="C397" s="2" vm="7696">
        <f ca="1"/>
        <v>20.010000000000002</v>
      </c>
      <c r="D397" s="2" vm="7715">
        <f ca="1"/>
        <v>19</v>
      </c>
      <c r="E397" s="2" vm="7773">
        <f ca="1"/>
        <v>19.11</v>
      </c>
    </row>
    <row r="398" spans="1:5" x14ac:dyDescent="0.2">
      <c r="A398" s="1" vm="1994">
        <f ca="1"/>
        <v>44994</v>
      </c>
      <c r="B398" s="2" vm="6804">
        <f ca="1"/>
        <v>19.329999999999998</v>
      </c>
      <c r="C398" s="2" vm="6821">
        <f ca="1"/>
        <v>23.14</v>
      </c>
      <c r="D398" s="2" vm="7745">
        <f ca="1"/>
        <v>18.88</v>
      </c>
      <c r="E398" s="2" vm="7774">
        <f ca="1"/>
        <v>22.61</v>
      </c>
    </row>
    <row r="399" spans="1:5" x14ac:dyDescent="0.2">
      <c r="A399" s="1" vm="1997">
        <f ca="1"/>
        <v>44995</v>
      </c>
      <c r="B399" s="2" vm="7762">
        <f ca="1"/>
        <v>23.34</v>
      </c>
      <c r="C399" s="2" vm="7276">
        <f ca="1"/>
        <v>28.97</v>
      </c>
      <c r="D399" s="2" vm="7775">
        <f ca="1"/>
        <v>21.79</v>
      </c>
      <c r="E399" s="2" vm="7776">
        <f ca="1"/>
        <v>24.8</v>
      </c>
    </row>
    <row r="400" spans="1:5" x14ac:dyDescent="0.2">
      <c r="A400" s="1" vm="2001">
        <f ca="1"/>
        <v>44998</v>
      </c>
      <c r="B400" s="2" vm="7648">
        <f ca="1"/>
        <v>24.05</v>
      </c>
      <c r="C400" s="2" vm="7777">
        <f ca="1"/>
        <v>30.81</v>
      </c>
      <c r="D400" s="2" vm="7050">
        <f ca="1"/>
        <v>23.85</v>
      </c>
      <c r="E400" s="2" vm="7778">
        <f ca="1"/>
        <v>26.52</v>
      </c>
    </row>
    <row r="401" spans="1:5" x14ac:dyDescent="0.2">
      <c r="A401" s="1" vm="2005">
        <f ca="1"/>
        <v>44999</v>
      </c>
      <c r="B401" s="2" vm="7528">
        <f ca="1"/>
        <v>26.85</v>
      </c>
      <c r="C401" s="2" vm="7779">
        <f ca="1"/>
        <v>27.24</v>
      </c>
      <c r="D401" s="2" vm="7239">
        <f ca="1"/>
        <v>22.27</v>
      </c>
      <c r="E401" s="2" vm="7645">
        <f ca="1"/>
        <v>23.73</v>
      </c>
    </row>
    <row r="402" spans="1:5" x14ac:dyDescent="0.2">
      <c r="A402" s="1" vm="2010">
        <f ca="1"/>
        <v>45000</v>
      </c>
      <c r="B402" s="2" vm="7679">
        <f ca="1"/>
        <v>23.21</v>
      </c>
      <c r="C402" s="2" vm="7273">
        <f ca="1"/>
        <v>29.91</v>
      </c>
      <c r="D402" s="2" vm="7455">
        <f ca="1"/>
        <v>23.19</v>
      </c>
      <c r="E402" s="2" vm="7545">
        <f ca="1"/>
        <v>26.14</v>
      </c>
    </row>
    <row r="403" spans="1:5" x14ac:dyDescent="0.2">
      <c r="A403" s="1" vm="2015">
        <f ca="1"/>
        <v>45001</v>
      </c>
      <c r="B403" s="2" vm="7346">
        <f ca="1"/>
        <v>26.19</v>
      </c>
      <c r="C403" s="2" vm="7780">
        <f ca="1"/>
        <v>27.49</v>
      </c>
      <c r="D403" s="2" vm="7781">
        <f ca="1"/>
        <v>22.97</v>
      </c>
      <c r="E403" s="2" vm="7198">
        <f ca="1"/>
        <v>22.99</v>
      </c>
    </row>
    <row r="404" spans="1:5" x14ac:dyDescent="0.2">
      <c r="A404" s="1" vm="2020">
        <f ca="1"/>
        <v>45002</v>
      </c>
      <c r="B404" s="2" vm="6830">
        <f ca="1"/>
        <v>22.92</v>
      </c>
      <c r="C404" s="2" vm="7545">
        <f ca="1"/>
        <v>26.14</v>
      </c>
      <c r="D404" s="2" vm="7481">
        <f ca="1"/>
        <v>22.58</v>
      </c>
      <c r="E404" s="2" vm="7315">
        <f ca="1"/>
        <v>25.51</v>
      </c>
    </row>
    <row r="405" spans="1:5" x14ac:dyDescent="0.2">
      <c r="A405" s="1" vm="2024">
        <f ca="1"/>
        <v>45005</v>
      </c>
      <c r="B405" s="2" vm="7782">
        <f ca="1"/>
        <v>27.77</v>
      </c>
      <c r="C405" s="2" vm="7783">
        <f ca="1"/>
        <v>28.91</v>
      </c>
      <c r="D405" s="2" vm="7635">
        <f ca="1"/>
        <v>24</v>
      </c>
      <c r="E405" s="2" vm="7784">
        <f ca="1"/>
        <v>24.15</v>
      </c>
    </row>
    <row r="406" spans="1:5" x14ac:dyDescent="0.2">
      <c r="A406" s="1" vm="2028">
        <f ca="1"/>
        <v>45006</v>
      </c>
      <c r="B406" s="2" vm="7785">
        <f ca="1"/>
        <v>24.16</v>
      </c>
      <c r="C406" s="2" vm="7785">
        <f ca="1"/>
        <v>24.16</v>
      </c>
      <c r="D406" s="2" vm="7484">
        <f ca="1"/>
        <v>21.29</v>
      </c>
      <c r="E406" s="2" vm="7786">
        <f ca="1"/>
        <v>21.38</v>
      </c>
    </row>
    <row r="407" spans="1:5" x14ac:dyDescent="0.2">
      <c r="A407" s="1" vm="2033">
        <f ca="1"/>
        <v>45007</v>
      </c>
      <c r="B407" s="2" vm="7713">
        <f ca="1"/>
        <v>21.8</v>
      </c>
      <c r="C407" s="2" vm="6956">
        <f ca="1"/>
        <v>22.38</v>
      </c>
      <c r="D407" s="2" vm="6841">
        <f ca="1"/>
        <v>19.940000000000001</v>
      </c>
      <c r="E407" s="2" vm="7469">
        <f ca="1"/>
        <v>22.26</v>
      </c>
    </row>
    <row r="408" spans="1:5" x14ac:dyDescent="0.2">
      <c r="A408" s="1" vm="2038">
        <f ca="1"/>
        <v>45008</v>
      </c>
      <c r="B408" s="2" vm="7787">
        <f ca="1"/>
        <v>21.54</v>
      </c>
      <c r="C408" s="2" vm="7353">
        <f ca="1"/>
        <v>24.91</v>
      </c>
      <c r="D408" s="2" vm="7502">
        <f ca="1"/>
        <v>20.16</v>
      </c>
      <c r="E408" s="2" vm="7774">
        <f ca="1"/>
        <v>22.61</v>
      </c>
    </row>
    <row r="409" spans="1:5" x14ac:dyDescent="0.2">
      <c r="A409" s="1" vm="2042">
        <f ca="1"/>
        <v>45009</v>
      </c>
      <c r="B409" s="2" vm="7788">
        <f ca="1"/>
        <v>22.11</v>
      </c>
      <c r="C409" s="2" vm="7789">
        <f ca="1"/>
        <v>25.21</v>
      </c>
      <c r="D409" s="2" vm="6981">
        <f ca="1"/>
        <v>21.6</v>
      </c>
      <c r="E409" s="2" vm="6972">
        <f ca="1"/>
        <v>21.74</v>
      </c>
    </row>
    <row r="410" spans="1:5" x14ac:dyDescent="0.2">
      <c r="A410" s="1" vm="2045">
        <f ca="1"/>
        <v>45012</v>
      </c>
      <c r="B410" s="2" vm="7790">
        <f ca="1"/>
        <v>22.05</v>
      </c>
      <c r="C410" s="2" vm="7706">
        <f ca="1"/>
        <v>22.93</v>
      </c>
      <c r="D410" s="2" vm="6987">
        <f ca="1"/>
        <v>20.57</v>
      </c>
      <c r="E410" s="2" vm="6820">
        <f ca="1"/>
        <v>20.6</v>
      </c>
    </row>
    <row r="411" spans="1:5" x14ac:dyDescent="0.2">
      <c r="A411" s="1" vm="2049">
        <f ca="1"/>
        <v>45013</v>
      </c>
      <c r="B411" s="2" vm="7750">
        <f ca="1"/>
        <v>20.53</v>
      </c>
      <c r="C411" s="2" vm="7791">
        <f ca="1"/>
        <v>21.4</v>
      </c>
      <c r="D411" s="2" vm="6800">
        <f ca="1"/>
        <v>19.91</v>
      </c>
      <c r="E411" s="2" vm="7792">
        <f ca="1"/>
        <v>19.97</v>
      </c>
    </row>
    <row r="412" spans="1:5" x14ac:dyDescent="0.2">
      <c r="A412" s="1" vm="2054">
        <f ca="1"/>
        <v>45014</v>
      </c>
      <c r="B412" s="2" vm="7793">
        <f ca="1"/>
        <v>19.39</v>
      </c>
      <c r="C412" s="2" vm="7794">
        <f ca="1"/>
        <v>19.45</v>
      </c>
      <c r="D412" s="2" vm="7795">
        <f ca="1"/>
        <v>19.09</v>
      </c>
      <c r="E412" s="2" vm="7492">
        <f ca="1"/>
        <v>19.12</v>
      </c>
    </row>
    <row r="413" spans="1:5" x14ac:dyDescent="0.2">
      <c r="A413" s="1" vm="2059">
        <f ca="1"/>
        <v>45015</v>
      </c>
      <c r="B413" s="2" vm="7492">
        <f ca="1"/>
        <v>19.12</v>
      </c>
      <c r="C413" s="2" vm="7503">
        <f ca="1"/>
        <v>20.079999999999998</v>
      </c>
      <c r="D413" s="2" vm="7796">
        <f ca="1"/>
        <v>18.850000000000001</v>
      </c>
      <c r="E413" s="2" vm="6983">
        <f ca="1"/>
        <v>19.02</v>
      </c>
    </row>
    <row r="414" spans="1:5" x14ac:dyDescent="0.2">
      <c r="A414" s="1" vm="2063">
        <f ca="1"/>
        <v>45016</v>
      </c>
      <c r="B414" s="2" vm="7720">
        <f ca="1"/>
        <v>19.21</v>
      </c>
      <c r="C414" s="2" vm="7500">
        <f ca="1"/>
        <v>19.43</v>
      </c>
      <c r="D414" s="2" vm="6941">
        <f ca="1"/>
        <v>18.52</v>
      </c>
      <c r="E414" s="2" vm="7797">
        <f ca="1"/>
        <v>18.7</v>
      </c>
    </row>
    <row r="415" spans="1:5" x14ac:dyDescent="0.2">
      <c r="A415" s="1" vm="2068">
        <f ca="1"/>
        <v>45019</v>
      </c>
      <c r="B415" s="2" vm="7798">
        <f ca="1"/>
        <v>19.79</v>
      </c>
      <c r="C415" s="2" vm="7799">
        <f ca="1"/>
        <v>19.829999999999998</v>
      </c>
      <c r="D415" s="2" vm="7020">
        <f ca="1"/>
        <v>18.54</v>
      </c>
      <c r="E415" s="2" vm="7224">
        <f ca="1"/>
        <v>18.55</v>
      </c>
    </row>
    <row r="416" spans="1:5" x14ac:dyDescent="0.2">
      <c r="A416" s="1" vm="2073">
        <f ca="1"/>
        <v>45020</v>
      </c>
      <c r="B416" s="2" vm="7223">
        <f ca="1"/>
        <v>18.79</v>
      </c>
      <c r="C416" s="2" vm="7800">
        <f ca="1"/>
        <v>20.03</v>
      </c>
      <c r="D416" s="2" vm="6942">
        <f ca="1"/>
        <v>18.579999999999998</v>
      </c>
      <c r="E416" s="2" vm="7715">
        <f ca="1"/>
        <v>19</v>
      </c>
    </row>
    <row r="417" spans="1:5" x14ac:dyDescent="0.2">
      <c r="A417" s="1" vm="2077">
        <f ca="1"/>
        <v>45021</v>
      </c>
      <c r="B417" s="2" vm="7801">
        <f ca="1"/>
        <v>19.420000000000002</v>
      </c>
      <c r="C417" s="2" vm="7503">
        <f ca="1"/>
        <v>20.079999999999998</v>
      </c>
      <c r="D417" s="2" vm="7715">
        <f ca="1"/>
        <v>19</v>
      </c>
      <c r="E417" s="2" vm="7032">
        <f ca="1"/>
        <v>19.079999999999998</v>
      </c>
    </row>
    <row r="418" spans="1:5" x14ac:dyDescent="0.2">
      <c r="A418" s="1" vm="2083">
        <f ca="1"/>
        <v>45022</v>
      </c>
      <c r="B418" s="2" vm="6776">
        <f ca="1"/>
        <v>19.3</v>
      </c>
      <c r="C418" s="2" vm="7802">
        <f ca="1"/>
        <v>19.88</v>
      </c>
      <c r="D418" s="2" vm="6786">
        <f ca="1"/>
        <v>18.350000000000001</v>
      </c>
      <c r="E418" s="2" vm="7803">
        <f ca="1"/>
        <v>18.399999999999999</v>
      </c>
    </row>
    <row r="419" spans="1:5" x14ac:dyDescent="0.2">
      <c r="A419" s="1" vm="2089">
        <f ca="1"/>
        <v>45026</v>
      </c>
      <c r="B419" s="2" vm="7793">
        <f ca="1"/>
        <v>19.39</v>
      </c>
      <c r="C419" s="2" vm="7804">
        <f ca="1"/>
        <v>20.05</v>
      </c>
      <c r="D419" s="2" vm="7003">
        <f ca="1"/>
        <v>18.93</v>
      </c>
      <c r="E419" s="2" vm="6758">
        <f ca="1"/>
        <v>18.97</v>
      </c>
    </row>
    <row r="420" spans="1:5" x14ac:dyDescent="0.2">
      <c r="A420" s="1" vm="2094">
        <f ca="1"/>
        <v>45027</v>
      </c>
      <c r="B420" s="2" vm="7032">
        <f ca="1"/>
        <v>19.079999999999998</v>
      </c>
      <c r="C420" s="2" vm="7722">
        <f ca="1"/>
        <v>19.28</v>
      </c>
      <c r="D420" s="2" vm="6984">
        <f ca="1"/>
        <v>18.559999999999999</v>
      </c>
      <c r="E420" s="2" vm="7805">
        <f ca="1"/>
        <v>19.100000000000001</v>
      </c>
    </row>
    <row r="421" spans="1:5" x14ac:dyDescent="0.2">
      <c r="A421" s="1" vm="2098">
        <f ca="1"/>
        <v>45028</v>
      </c>
      <c r="B421" s="2" vm="6939">
        <f ca="1"/>
        <v>19.38</v>
      </c>
      <c r="C421" s="2" vm="7806">
        <f ca="1"/>
        <v>19.98</v>
      </c>
      <c r="D421" s="2" vm="7807">
        <f ca="1"/>
        <v>18.25</v>
      </c>
      <c r="E421" s="2" vm="7795">
        <f ca="1"/>
        <v>19.09</v>
      </c>
    </row>
    <row r="422" spans="1:5" x14ac:dyDescent="0.2">
      <c r="A422" s="1" vm="2102">
        <f ca="1"/>
        <v>45029</v>
      </c>
      <c r="B422" s="2" vm="7714">
        <f ca="1"/>
        <v>18.829999999999998</v>
      </c>
      <c r="C422" s="2" vm="7668">
        <f ca="1"/>
        <v>19.059999999999999</v>
      </c>
      <c r="D422" s="2" vm="7808">
        <f ca="1"/>
        <v>17.77</v>
      </c>
      <c r="E422" s="2" vm="7809">
        <f ca="1"/>
        <v>17.8</v>
      </c>
    </row>
    <row r="423" spans="1:5" x14ac:dyDescent="0.2">
      <c r="A423" s="1" vm="2107">
        <f ca="1"/>
        <v>45030</v>
      </c>
      <c r="B423" s="2" vm="6766">
        <f ca="1"/>
        <v>17.940000000000001</v>
      </c>
      <c r="C423" s="2" vm="7810">
        <f ca="1"/>
        <v>18.12</v>
      </c>
      <c r="D423" s="2" vm="6739">
        <f ca="1"/>
        <v>17.07</v>
      </c>
      <c r="E423" s="2" vm="6739">
        <f ca="1"/>
        <v>17.07</v>
      </c>
    </row>
    <row r="424" spans="1:5" x14ac:dyDescent="0.2">
      <c r="A424" s="1" vm="2110">
        <f ca="1"/>
        <v>45033</v>
      </c>
      <c r="B424" s="2" vm="7811">
        <f ca="1"/>
        <v>17.579999999999998</v>
      </c>
      <c r="C424" s="2" vm="7015">
        <f ca="1"/>
        <v>17.79</v>
      </c>
      <c r="D424" s="2" vm="7812">
        <f ca="1"/>
        <v>16.899999999999999</v>
      </c>
      <c r="E424" s="2" vm="7013">
        <f ca="1"/>
        <v>16.95</v>
      </c>
    </row>
    <row r="425" spans="1:5" x14ac:dyDescent="0.2">
      <c r="A425" s="1" vm="2115">
        <f ca="1"/>
        <v>45034</v>
      </c>
      <c r="B425" s="2" vm="6754">
        <f ca="1"/>
        <v>16.940000000000001</v>
      </c>
      <c r="C425" s="2" vm="7813">
        <f ca="1"/>
        <v>17.34</v>
      </c>
      <c r="D425" s="2" vm="7028">
        <f ca="1"/>
        <v>16.579999999999998</v>
      </c>
      <c r="E425" s="2" vm="7814">
        <f ca="1"/>
        <v>16.829999999999998</v>
      </c>
    </row>
    <row r="426" spans="1:5" x14ac:dyDescent="0.2">
      <c r="A426" s="1" vm="2120">
        <f ca="1"/>
        <v>45035</v>
      </c>
      <c r="B426" s="2" vm="7014">
        <f ca="1"/>
        <v>17.3</v>
      </c>
      <c r="C426" s="2" vm="7815">
        <f ca="1"/>
        <v>17.72</v>
      </c>
      <c r="D426" s="2" vm="7816">
        <f ca="1"/>
        <v>16.170000000000002</v>
      </c>
      <c r="E426" s="2" vm="7817">
        <f ca="1"/>
        <v>16.46</v>
      </c>
    </row>
    <row r="427" spans="1:5" x14ac:dyDescent="0.2">
      <c r="A427" s="1" vm="2122">
        <f ca="1"/>
        <v>45036</v>
      </c>
      <c r="B427" s="2" vm="6857">
        <f ca="1"/>
        <v>16.850000000000001</v>
      </c>
      <c r="C427" s="2" vm="6903">
        <f ca="1"/>
        <v>17.690000000000001</v>
      </c>
      <c r="D427" s="2" vm="6877">
        <f ca="1"/>
        <v>16.329999999999998</v>
      </c>
      <c r="E427" s="2" vm="6764">
        <f ca="1"/>
        <v>17.170000000000002</v>
      </c>
    </row>
    <row r="428" spans="1:5" x14ac:dyDescent="0.2">
      <c r="A428" s="1" vm="2126">
        <f ca="1"/>
        <v>45037</v>
      </c>
      <c r="B428" s="2" vm="7010">
        <f ca="1"/>
        <v>17.510000000000002</v>
      </c>
      <c r="C428" s="2" vm="7818">
        <f ca="1"/>
        <v>17.71</v>
      </c>
      <c r="D428" s="2" vm="7028">
        <f ca="1"/>
        <v>16.579999999999998</v>
      </c>
      <c r="E428" s="2" vm="7819">
        <f ca="1"/>
        <v>16.77</v>
      </c>
    </row>
    <row r="429" spans="1:5" x14ac:dyDescent="0.2">
      <c r="A429" s="1" vm="2130">
        <f ca="1"/>
        <v>45040</v>
      </c>
      <c r="B429" s="2" vm="7820">
        <f ca="1"/>
        <v>18.22</v>
      </c>
      <c r="C429" s="2" vm="7821">
        <f ca="1"/>
        <v>18.239999999999998</v>
      </c>
      <c r="D429" s="2" vm="7822">
        <f ca="1"/>
        <v>16.739999999999998</v>
      </c>
      <c r="E429" s="2" vm="6756">
        <f ca="1"/>
        <v>16.89</v>
      </c>
    </row>
    <row r="430" spans="1:5" x14ac:dyDescent="0.2">
      <c r="A430" s="1" vm="2136">
        <f ca="1"/>
        <v>45041</v>
      </c>
      <c r="B430" s="2" vm="7004">
        <f ca="1"/>
        <v>17.62</v>
      </c>
      <c r="C430" s="2" vm="7823">
        <f ca="1"/>
        <v>19.86</v>
      </c>
      <c r="D430" s="2" vm="7017">
        <f ca="1"/>
        <v>17.329999999999998</v>
      </c>
      <c r="E430" s="2" vm="6771">
        <f ca="1"/>
        <v>18.760000000000002</v>
      </c>
    </row>
    <row r="431" spans="1:5" x14ac:dyDescent="0.2">
      <c r="A431" s="1" vm="2140">
        <f ca="1"/>
        <v>45042</v>
      </c>
      <c r="B431" s="2" vm="7744">
        <f ca="1"/>
        <v>18.66</v>
      </c>
      <c r="C431" s="2" vm="7033">
        <f ca="1"/>
        <v>19.61</v>
      </c>
      <c r="D431" s="2" vm="7738">
        <f ca="1"/>
        <v>17.87</v>
      </c>
      <c r="E431" s="2" vm="7824">
        <f ca="1"/>
        <v>18.84</v>
      </c>
    </row>
    <row r="432" spans="1:5" x14ac:dyDescent="0.2">
      <c r="A432" s="1" vm="2145">
        <f ca="1"/>
        <v>45043</v>
      </c>
      <c r="B432" s="2" vm="7743">
        <f ca="1"/>
        <v>18.43</v>
      </c>
      <c r="C432" s="2" vm="7743">
        <f ca="1"/>
        <v>18.43</v>
      </c>
      <c r="D432" s="2" vm="7825">
        <f ca="1"/>
        <v>16.72</v>
      </c>
      <c r="E432" s="2" vm="6917">
        <f ca="1"/>
        <v>17.03</v>
      </c>
    </row>
    <row r="433" spans="1:5" x14ac:dyDescent="0.2">
      <c r="A433" s="1" vm="2149">
        <f ca="1"/>
        <v>45044</v>
      </c>
      <c r="B433" s="2" vm="6908">
        <f ca="1"/>
        <v>17.21</v>
      </c>
      <c r="C433" s="2" vm="6782">
        <f ca="1"/>
        <v>17.649999999999999</v>
      </c>
      <c r="D433" s="2" vm="6858">
        <f ca="1"/>
        <v>15.72</v>
      </c>
      <c r="E433" s="2" vm="7826">
        <f ca="1"/>
        <v>15.78</v>
      </c>
    </row>
    <row r="434" spans="1:5" x14ac:dyDescent="0.2">
      <c r="A434" s="1" vm="2155">
        <f ca="1"/>
        <v>45047</v>
      </c>
      <c r="B434" s="2" vm="6749">
        <f ca="1"/>
        <v>16.41</v>
      </c>
      <c r="C434" s="2" vm="7016">
        <f ca="1"/>
        <v>16.62</v>
      </c>
      <c r="D434" s="2" vm="7827">
        <f ca="1"/>
        <v>15.53</v>
      </c>
      <c r="E434" s="2" vm="6751">
        <f ca="1"/>
        <v>16.079999999999998</v>
      </c>
    </row>
    <row r="435" spans="1:5" x14ac:dyDescent="0.2">
      <c r="A435" s="1" vm="2161">
        <f ca="1"/>
        <v>45048</v>
      </c>
      <c r="B435" s="2" vm="6746">
        <f ca="1"/>
        <v>16.27</v>
      </c>
      <c r="C435" s="2" vm="7257">
        <f ca="1"/>
        <v>19.809999999999999</v>
      </c>
      <c r="D435" s="2" vm="6890">
        <f ca="1"/>
        <v>16.260000000000002</v>
      </c>
      <c r="E435" s="2" vm="6760">
        <f ca="1"/>
        <v>17.78</v>
      </c>
    </row>
    <row r="436" spans="1:5" x14ac:dyDescent="0.2">
      <c r="A436" s="1" vm="2165">
        <f ca="1"/>
        <v>45049</v>
      </c>
      <c r="B436" s="2" vm="7828">
        <f ca="1"/>
        <v>17.82</v>
      </c>
      <c r="C436" s="2" vm="7714">
        <f ca="1"/>
        <v>18.829999999999998</v>
      </c>
      <c r="D436" s="2" vm="6923">
        <f ca="1"/>
        <v>17.190000000000001</v>
      </c>
      <c r="E436" s="2" vm="6911">
        <f ca="1"/>
        <v>18.34</v>
      </c>
    </row>
    <row r="437" spans="1:5" x14ac:dyDescent="0.2">
      <c r="A437" s="1" vm="2171">
        <f ca="1"/>
        <v>45050</v>
      </c>
      <c r="B437" s="2" vm="6935">
        <f ca="1"/>
        <v>19.170000000000002</v>
      </c>
      <c r="C437" s="2" vm="7467">
        <f ca="1"/>
        <v>21.33</v>
      </c>
      <c r="D437" s="2" vm="7214">
        <f ca="1"/>
        <v>18.670000000000002</v>
      </c>
      <c r="E437" s="2" vm="7829">
        <f ca="1"/>
        <v>20.09</v>
      </c>
    </row>
    <row r="438" spans="1:5" x14ac:dyDescent="0.2">
      <c r="A438" s="1" vm="2176">
        <f ca="1"/>
        <v>45051</v>
      </c>
      <c r="B438" s="2" vm="7497">
        <f ca="1"/>
        <v>19.5</v>
      </c>
      <c r="C438" s="2" vm="7212">
        <f ca="1"/>
        <v>19.63</v>
      </c>
      <c r="D438" s="2" vm="7830">
        <f ca="1"/>
        <v>16.690000000000001</v>
      </c>
      <c r="E438" s="2" vm="6923">
        <f ca="1"/>
        <v>17.190000000000001</v>
      </c>
    </row>
    <row r="439" spans="1:5" x14ac:dyDescent="0.2">
      <c r="A439" s="1" vm="2180">
        <f ca="1"/>
        <v>45054</v>
      </c>
      <c r="B439" s="2" vm="7831">
        <f ca="1"/>
        <v>17.73</v>
      </c>
      <c r="C439" s="2" vm="7832">
        <f ca="1"/>
        <v>17.88</v>
      </c>
      <c r="D439" s="2" vm="7814">
        <f ca="1"/>
        <v>16.829999999999998</v>
      </c>
      <c r="E439" s="2" vm="6747">
        <f ca="1"/>
        <v>16.98</v>
      </c>
    </row>
    <row r="440" spans="1:5" x14ac:dyDescent="0.2">
      <c r="A440" s="1" vm="2186">
        <f ca="1"/>
        <v>45055</v>
      </c>
      <c r="B440" s="2" vm="6860">
        <f ca="1"/>
        <v>17.29</v>
      </c>
      <c r="C440" s="2" vm="7833">
        <f ca="1"/>
        <v>17.86</v>
      </c>
      <c r="D440" s="2" vm="6905">
        <f ca="1"/>
        <v>17.22</v>
      </c>
      <c r="E440" s="2" vm="7818">
        <f ca="1"/>
        <v>17.71</v>
      </c>
    </row>
    <row r="441" spans="1:5" x14ac:dyDescent="0.2">
      <c r="A441" s="1" vm="2190">
        <f ca="1"/>
        <v>45056</v>
      </c>
      <c r="B441" s="2" vm="7811">
        <f ca="1"/>
        <v>17.579999999999998</v>
      </c>
      <c r="C441" s="2" vm="7834">
        <f ca="1"/>
        <v>18.309999999999999</v>
      </c>
      <c r="D441" s="2" vm="6922">
        <f ca="1"/>
        <v>16.36</v>
      </c>
      <c r="E441" s="2" vm="6754">
        <f ca="1"/>
        <v>16.940000000000001</v>
      </c>
    </row>
    <row r="442" spans="1:5" x14ac:dyDescent="0.2">
      <c r="A442" s="1" vm="2195">
        <f ca="1"/>
        <v>45057</v>
      </c>
      <c r="B442" s="2" vm="6854">
        <f ca="1"/>
        <v>16.8</v>
      </c>
      <c r="C442" s="2" vm="6986">
        <f ca="1"/>
        <v>18.190000000000001</v>
      </c>
      <c r="D442" s="2" vm="7835">
        <f ca="1"/>
        <v>16.63</v>
      </c>
      <c r="E442" s="2" vm="7836">
        <f ca="1"/>
        <v>16.93</v>
      </c>
    </row>
    <row r="443" spans="1:5" x14ac:dyDescent="0.2">
      <c r="A443" s="1" vm="2201">
        <f ca="1"/>
        <v>45058</v>
      </c>
      <c r="B443" s="2" vm="7814">
        <f ca="1"/>
        <v>16.829999999999998</v>
      </c>
      <c r="C443" s="2" vm="7837">
        <f ca="1"/>
        <v>17.920000000000002</v>
      </c>
      <c r="D443" s="2" vm="6928">
        <f ca="1"/>
        <v>16.38</v>
      </c>
      <c r="E443" s="2" vm="6917">
        <f ca="1"/>
        <v>17.03</v>
      </c>
    </row>
    <row r="444" spans="1:5" x14ac:dyDescent="0.2">
      <c r="A444" s="1" vm="2207">
        <f ca="1"/>
        <v>45061</v>
      </c>
      <c r="B444" s="2" vm="7838">
        <f ca="1"/>
        <v>17.440000000000001</v>
      </c>
      <c r="C444" s="2" vm="7770">
        <f ca="1"/>
        <v>18.16</v>
      </c>
      <c r="D444" s="2" vm="6920">
        <f ca="1"/>
        <v>17.079999999999998</v>
      </c>
      <c r="E444" s="2" vm="7839">
        <f ca="1"/>
        <v>17.12</v>
      </c>
    </row>
    <row r="445" spans="1:5" x14ac:dyDescent="0.2">
      <c r="A445" s="1" vm="2213">
        <f ca="1"/>
        <v>45062</v>
      </c>
      <c r="B445" s="2" vm="7011">
        <f ca="1"/>
        <v>17.54</v>
      </c>
      <c r="C445" s="2" vm="7840">
        <f ca="1"/>
        <v>18.3</v>
      </c>
      <c r="D445" s="2" vm="7841">
        <f ca="1"/>
        <v>17.260000000000002</v>
      </c>
      <c r="E445" s="2" vm="7842">
        <f ca="1"/>
        <v>17.989999999999998</v>
      </c>
    </row>
    <row r="446" spans="1:5" x14ac:dyDescent="0.2">
      <c r="A446" s="1" vm="2218">
        <f ca="1"/>
        <v>45063</v>
      </c>
      <c r="B446" s="2" vm="6761">
        <f ca="1"/>
        <v>17.96</v>
      </c>
      <c r="C446" s="2" vm="7756">
        <f ca="1"/>
        <v>18.260000000000002</v>
      </c>
      <c r="D446" s="2" vm="7843">
        <f ca="1"/>
        <v>16.68</v>
      </c>
      <c r="E446" s="2" vm="7844">
        <f ca="1"/>
        <v>16.87</v>
      </c>
    </row>
    <row r="447" spans="1:5" x14ac:dyDescent="0.2">
      <c r="A447" s="1" vm="2224">
        <f ca="1"/>
        <v>45064</v>
      </c>
      <c r="B447" s="2" vm="7845">
        <f ca="1"/>
        <v>16.920000000000002</v>
      </c>
      <c r="C447" s="2" vm="7846">
        <f ca="1"/>
        <v>17.149999999999999</v>
      </c>
      <c r="D447" s="2" vm="7847">
        <f ca="1"/>
        <v>16.05</v>
      </c>
      <c r="E447" s="2" vm="7847">
        <f ca="1"/>
        <v>16.05</v>
      </c>
    </row>
    <row r="448" spans="1:5" x14ac:dyDescent="0.2">
      <c r="A448" s="1" vm="2229">
        <f ca="1"/>
        <v>45065</v>
      </c>
      <c r="B448" s="2" vm="6889">
        <f ca="1"/>
        <v>16.13</v>
      </c>
      <c r="C448" s="2" vm="6930">
        <f ca="1"/>
        <v>17.36</v>
      </c>
      <c r="D448" s="2" vm="7848">
        <f ca="1"/>
        <v>15.85</v>
      </c>
      <c r="E448" s="2" vm="6926">
        <f ca="1"/>
        <v>16.809999999999999</v>
      </c>
    </row>
    <row r="449" spans="1:5" x14ac:dyDescent="0.2">
      <c r="A449" s="1" vm="2235">
        <f ca="1"/>
        <v>45068</v>
      </c>
      <c r="B449" s="2" vm="7040">
        <f ca="1"/>
        <v>17.45</v>
      </c>
      <c r="C449" s="2" vm="7849">
        <f ca="1"/>
        <v>18.13</v>
      </c>
      <c r="D449" s="2" vm="7850">
        <f ca="1"/>
        <v>16.82</v>
      </c>
      <c r="E449" s="2" vm="6908">
        <f ca="1"/>
        <v>17.21</v>
      </c>
    </row>
    <row r="450" spans="1:5" x14ac:dyDescent="0.2">
      <c r="A450" s="1" vm="2241">
        <f ca="1"/>
        <v>45069</v>
      </c>
      <c r="B450" s="2" vm="6934">
        <f ca="1"/>
        <v>17.350000000000001</v>
      </c>
      <c r="C450" s="2" vm="7851">
        <f ca="1"/>
        <v>19.309999999999999</v>
      </c>
      <c r="D450" s="2" vm="7014">
        <f ca="1"/>
        <v>17.3</v>
      </c>
      <c r="E450" s="2" vm="7852">
        <f ca="1"/>
        <v>18.53</v>
      </c>
    </row>
    <row r="451" spans="1:5" x14ac:dyDescent="0.2">
      <c r="A451" s="1" vm="2247">
        <f ca="1"/>
        <v>45070</v>
      </c>
      <c r="B451" s="2" vm="6765">
        <f ca="1"/>
        <v>18.8</v>
      </c>
      <c r="C451" s="2" vm="6787">
        <f ca="1"/>
        <v>20.81</v>
      </c>
      <c r="D451" s="2" vm="6765">
        <f ca="1"/>
        <v>18.8</v>
      </c>
      <c r="E451" s="2" vm="7800">
        <f ca="1"/>
        <v>20.03</v>
      </c>
    </row>
    <row r="452" spans="1:5" x14ac:dyDescent="0.2">
      <c r="A452" s="1" vm="2253">
        <f ca="1"/>
        <v>45071</v>
      </c>
      <c r="B452" s="2" vm="6763">
        <f ca="1"/>
        <v>19.54</v>
      </c>
      <c r="C452" s="2" vm="7495">
        <f ca="1"/>
        <v>19.95</v>
      </c>
      <c r="D452" s="2" vm="7797">
        <f ca="1"/>
        <v>18.7</v>
      </c>
      <c r="E452" s="2" vm="7853">
        <f ca="1"/>
        <v>19.14</v>
      </c>
    </row>
    <row r="453" spans="1:5" x14ac:dyDescent="0.2">
      <c r="A453" s="1" vm="2258">
        <f ca="1"/>
        <v>45072</v>
      </c>
      <c r="B453" s="2" vm="6840">
        <f ca="1"/>
        <v>19.07</v>
      </c>
      <c r="C453" s="2" vm="7501">
        <f ca="1"/>
        <v>19.559999999999999</v>
      </c>
      <c r="D453" s="2" vm="6912">
        <f ca="1"/>
        <v>17.27</v>
      </c>
      <c r="E453" s="2" vm="7854">
        <f ca="1"/>
        <v>17.95</v>
      </c>
    </row>
    <row r="454" spans="1:5" x14ac:dyDescent="0.2">
      <c r="A454" s="1" vm="7855">
        <f ca="1"/>
        <v>45075</v>
      </c>
      <c r="B454" s="2" vm="7856">
        <f ca="1"/>
        <v>17.53</v>
      </c>
      <c r="C454" s="2" vm="7019">
        <f ca="1"/>
        <v>17.600000000000001</v>
      </c>
      <c r="D454" s="2" vm="7813">
        <f ca="1"/>
        <v>17.34</v>
      </c>
      <c r="E454" s="2" vm="6918">
        <f ca="1"/>
        <v>17.46</v>
      </c>
    </row>
    <row r="455" spans="1:5" x14ac:dyDescent="0.2">
      <c r="A455" s="1" vm="2264">
        <f ca="1"/>
        <v>45076</v>
      </c>
      <c r="B455" s="2" vm="7857">
        <f ca="1"/>
        <v>17.559999999999999</v>
      </c>
      <c r="C455" s="2" vm="6911">
        <f ca="1"/>
        <v>18.34</v>
      </c>
      <c r="D455" s="2" vm="6747">
        <f ca="1"/>
        <v>16.98</v>
      </c>
      <c r="E455" s="2" vm="6918">
        <f ca="1"/>
        <v>17.46</v>
      </c>
    </row>
    <row r="456" spans="1:5" x14ac:dyDescent="0.2">
      <c r="A456" s="1" vm="2270">
        <f ca="1"/>
        <v>45077</v>
      </c>
      <c r="B456" s="2" vm="7858">
        <f ca="1"/>
        <v>18.04</v>
      </c>
      <c r="C456" s="2" vm="7803">
        <f ca="1"/>
        <v>18.399999999999999</v>
      </c>
      <c r="D456" s="2" vm="7839">
        <f ca="1"/>
        <v>17.12</v>
      </c>
      <c r="E456" s="2" vm="6766">
        <f ca="1"/>
        <v>17.940000000000001</v>
      </c>
    </row>
    <row r="457" spans="1:5" x14ac:dyDescent="0.2">
      <c r="A457" s="1" vm="2276">
        <f ca="1"/>
        <v>45078</v>
      </c>
      <c r="B457" s="2" vm="7859">
        <f ca="1"/>
        <v>17.239999999999998</v>
      </c>
      <c r="C457" s="2" vm="6929">
        <f ca="1"/>
        <v>17.59</v>
      </c>
      <c r="D457" s="2" vm="7860">
        <f ca="1"/>
        <v>15.58</v>
      </c>
      <c r="E457" s="2" vm="7861">
        <f ca="1"/>
        <v>15.65</v>
      </c>
    </row>
    <row r="458" spans="1:5" x14ac:dyDescent="0.2">
      <c r="A458" s="1" vm="2282">
        <f ca="1"/>
        <v>45079</v>
      </c>
      <c r="B458" s="2" vm="7861">
        <f ca="1"/>
        <v>15.65</v>
      </c>
      <c r="C458" s="2" vm="7861">
        <f ca="1"/>
        <v>15.65</v>
      </c>
      <c r="D458" s="2" vm="7862">
        <f ca="1"/>
        <v>14.42</v>
      </c>
      <c r="E458" s="2" vm="7863">
        <f ca="1"/>
        <v>14.6</v>
      </c>
    </row>
    <row r="459" spans="1:5" x14ac:dyDescent="0.2">
      <c r="A459" s="1" vm="2288">
        <f ca="1"/>
        <v>45082</v>
      </c>
      <c r="B459" s="2" vm="7864">
        <f ca="1"/>
        <v>15.28</v>
      </c>
      <c r="C459" s="2" vm="6868">
        <f ca="1"/>
        <v>15.29</v>
      </c>
      <c r="D459" s="2" vm="7865">
        <f ca="1"/>
        <v>14.66</v>
      </c>
      <c r="E459" s="2" vm="6897">
        <f ca="1"/>
        <v>14.73</v>
      </c>
    </row>
    <row r="460" spans="1:5" x14ac:dyDescent="0.2">
      <c r="A460" s="1" vm="2293">
        <f ca="1"/>
        <v>45083</v>
      </c>
      <c r="B460" s="2" vm="7866">
        <f ca="1"/>
        <v>14.91</v>
      </c>
      <c r="C460" s="2" vm="7867">
        <f ca="1"/>
        <v>14.97</v>
      </c>
      <c r="D460" s="2" vm="7868">
        <f ca="1"/>
        <v>13.95</v>
      </c>
      <c r="E460" s="2" vm="7869">
        <f ca="1"/>
        <v>13.96</v>
      </c>
    </row>
    <row r="461" spans="1:5" x14ac:dyDescent="0.2">
      <c r="A461" s="1" vm="2299">
        <f ca="1"/>
        <v>45084</v>
      </c>
      <c r="B461" s="2" vm="7870">
        <f ca="1"/>
        <v>14.14</v>
      </c>
      <c r="C461" s="2" vm="7871">
        <f ca="1"/>
        <v>14.29</v>
      </c>
      <c r="D461" s="2" vm="7872">
        <f ca="1"/>
        <v>13.77</v>
      </c>
      <c r="E461" s="2" vm="7873">
        <f ca="1"/>
        <v>13.94</v>
      </c>
    </row>
    <row r="462" spans="1:5" x14ac:dyDescent="0.2">
      <c r="A462" s="1" vm="2305">
        <f ca="1"/>
        <v>45085</v>
      </c>
      <c r="B462" s="2" vm="7870">
        <f ca="1"/>
        <v>14.14</v>
      </c>
      <c r="C462" s="2" vm="7874">
        <f ca="1"/>
        <v>14.21</v>
      </c>
      <c r="D462" s="2" vm="7875">
        <f ca="1"/>
        <v>13.53</v>
      </c>
      <c r="E462" s="2" vm="7876">
        <f ca="1"/>
        <v>13.65</v>
      </c>
    </row>
    <row r="463" spans="1:5" x14ac:dyDescent="0.2">
      <c r="A463" s="1" vm="2311">
        <f ca="1"/>
        <v>45086</v>
      </c>
      <c r="B463" s="2" vm="7877">
        <f ca="1"/>
        <v>13.78</v>
      </c>
      <c r="C463" s="2" vm="7870">
        <f ca="1"/>
        <v>14.14</v>
      </c>
      <c r="D463" s="2" vm="7878">
        <f ca="1"/>
        <v>13.5</v>
      </c>
      <c r="E463" s="2" vm="7879">
        <f ca="1"/>
        <v>13.83</v>
      </c>
    </row>
    <row r="464" spans="1:5" x14ac:dyDescent="0.2">
      <c r="A464" s="1" vm="2317">
        <f ca="1"/>
        <v>45089</v>
      </c>
      <c r="B464" s="2" vm="7880">
        <f ca="1"/>
        <v>14.44</v>
      </c>
      <c r="C464" s="2" vm="6880">
        <f ca="1"/>
        <v>15.02</v>
      </c>
      <c r="D464" s="2" vm="7881">
        <f ca="1"/>
        <v>14.32</v>
      </c>
      <c r="E464" s="2" vm="6871">
        <f ca="1"/>
        <v>15.01</v>
      </c>
    </row>
    <row r="465" spans="1:5" x14ac:dyDescent="0.2">
      <c r="A465" s="1" vm="2322">
        <f ca="1"/>
        <v>45090</v>
      </c>
      <c r="B465" s="2" vm="7882">
        <f ca="1"/>
        <v>14.99</v>
      </c>
      <c r="C465" s="2" vm="6896">
        <f ca="1"/>
        <v>15.06</v>
      </c>
      <c r="D465" s="2" vm="7883">
        <f ca="1"/>
        <v>14.47</v>
      </c>
      <c r="E465" s="2" vm="7884">
        <f ca="1"/>
        <v>14.61</v>
      </c>
    </row>
    <row r="466" spans="1:5" x14ac:dyDescent="0.2">
      <c r="A466" s="1" vm="2328">
        <f ca="1"/>
        <v>45091</v>
      </c>
      <c r="B466" s="2" vm="7885">
        <f ca="1"/>
        <v>14.48</v>
      </c>
      <c r="C466" s="2" vm="6897">
        <f ca="1"/>
        <v>14.73</v>
      </c>
      <c r="D466" s="2" vm="7879">
        <f ca="1"/>
        <v>13.83</v>
      </c>
      <c r="E466" s="2" vm="7886">
        <f ca="1"/>
        <v>13.88</v>
      </c>
    </row>
    <row r="467" spans="1:5" x14ac:dyDescent="0.2">
      <c r="A467" s="1" vm="2334">
        <f ca="1"/>
        <v>45092</v>
      </c>
      <c r="B467" s="2" vm="7887">
        <f ca="1"/>
        <v>14.09</v>
      </c>
      <c r="C467" s="2" vm="7888">
        <f ca="1"/>
        <v>14.52</v>
      </c>
      <c r="D467" s="2" vm="7889">
        <f ca="1"/>
        <v>13.79</v>
      </c>
      <c r="E467" s="2" vm="7890">
        <f ca="1"/>
        <v>14.5</v>
      </c>
    </row>
    <row r="468" spans="1:5" x14ac:dyDescent="0.2">
      <c r="A468" s="1" vm="2340">
        <f ca="1"/>
        <v>45093</v>
      </c>
      <c r="B468" s="2" vm="7891">
        <f ca="1"/>
        <v>14.49</v>
      </c>
      <c r="C468" s="2" vm="7892">
        <f ca="1"/>
        <v>14.54</v>
      </c>
      <c r="D468" s="2" vm="7893">
        <f ca="1"/>
        <v>13.48</v>
      </c>
      <c r="E468" s="2" vm="7894">
        <f ca="1"/>
        <v>13.54</v>
      </c>
    </row>
    <row r="469" spans="1:5" x14ac:dyDescent="0.2">
      <c r="A469" s="1" vm="7895">
        <f ca="1"/>
        <v>45096</v>
      </c>
      <c r="B469" s="2" vm="7887">
        <f ca="1"/>
        <v>14.09</v>
      </c>
      <c r="C469" s="2" vm="7896">
        <f ca="1"/>
        <v>14.19</v>
      </c>
      <c r="D469" s="2" vm="7897">
        <f ca="1"/>
        <v>14.01</v>
      </c>
      <c r="E469" s="2" vm="7896">
        <f ca="1"/>
        <v>14.19</v>
      </c>
    </row>
    <row r="470" spans="1:5" x14ac:dyDescent="0.2">
      <c r="A470" s="1" vm="2346">
        <f ca="1"/>
        <v>45097</v>
      </c>
      <c r="B470" s="2" vm="7898">
        <f ca="1"/>
        <v>14.36</v>
      </c>
      <c r="C470" s="2" vm="7899">
        <f ca="1"/>
        <v>14.67</v>
      </c>
      <c r="D470" s="2" vm="7900">
        <f ca="1"/>
        <v>13.86</v>
      </c>
      <c r="E470" s="2" vm="7886">
        <f ca="1"/>
        <v>13.88</v>
      </c>
    </row>
    <row r="471" spans="1:5" x14ac:dyDescent="0.2">
      <c r="A471" s="1" vm="2352">
        <f ca="1"/>
        <v>45098</v>
      </c>
      <c r="B471" s="2" vm="7886">
        <f ca="1"/>
        <v>13.88</v>
      </c>
      <c r="C471" s="2" vm="7901">
        <f ca="1"/>
        <v>13.89</v>
      </c>
      <c r="D471" s="2" vm="7902">
        <f ca="1"/>
        <v>13.1</v>
      </c>
      <c r="E471" s="2" vm="7903">
        <f ca="1"/>
        <v>13.2</v>
      </c>
    </row>
    <row r="472" spans="1:5" x14ac:dyDescent="0.2">
      <c r="A472" s="1" vm="2357">
        <f ca="1"/>
        <v>45099</v>
      </c>
      <c r="B472" s="2" vm="7886">
        <f ca="1"/>
        <v>13.88</v>
      </c>
      <c r="C472" s="2" vm="7904">
        <f ca="1"/>
        <v>13.98</v>
      </c>
      <c r="D472" s="2" vm="7905">
        <f ca="1"/>
        <v>12.73</v>
      </c>
      <c r="E472" s="2" vm="7906">
        <f ca="1"/>
        <v>12.91</v>
      </c>
    </row>
    <row r="473" spans="1:5" x14ac:dyDescent="0.2">
      <c r="A473" s="1" vm="2363">
        <f ca="1"/>
        <v>45100</v>
      </c>
      <c r="B473" s="2" vm="7907">
        <f ca="1"/>
        <v>13.24</v>
      </c>
      <c r="C473" s="2" vm="7908">
        <f ca="1"/>
        <v>13.8</v>
      </c>
      <c r="D473" s="2" vm="7909">
        <f ca="1"/>
        <v>12.88</v>
      </c>
      <c r="E473" s="2" vm="7910">
        <f ca="1"/>
        <v>13.44</v>
      </c>
    </row>
    <row r="474" spans="1:5" x14ac:dyDescent="0.2">
      <c r="A474" s="1" vm="2369">
        <f ca="1"/>
        <v>45103</v>
      </c>
      <c r="B474" s="2" vm="7911">
        <f ca="1"/>
        <v>14.43</v>
      </c>
      <c r="C474" s="2" vm="7912">
        <f ca="1"/>
        <v>14.71</v>
      </c>
      <c r="D474" s="2" vm="7877">
        <f ca="1"/>
        <v>13.78</v>
      </c>
      <c r="E474" s="2" vm="7913">
        <f ca="1"/>
        <v>14.25</v>
      </c>
    </row>
    <row r="475" spans="1:5" x14ac:dyDescent="0.2">
      <c r="A475" s="1" vm="2375">
        <f ca="1"/>
        <v>45104</v>
      </c>
      <c r="B475" s="2" vm="7914">
        <f ca="1"/>
        <v>14.11</v>
      </c>
      <c r="C475" s="2" vm="7915">
        <f ca="1"/>
        <v>14.34</v>
      </c>
      <c r="D475" s="2" vm="7916">
        <f ca="1"/>
        <v>13.59</v>
      </c>
      <c r="E475" s="2" vm="7917">
        <f ca="1"/>
        <v>13.74</v>
      </c>
    </row>
    <row r="476" spans="1:5" x14ac:dyDescent="0.2">
      <c r="A476" s="1" vm="2381">
        <f ca="1"/>
        <v>45105</v>
      </c>
      <c r="B476" s="2" vm="7918">
        <f ca="1"/>
        <v>13.9</v>
      </c>
      <c r="C476" s="2" vm="7869">
        <f ca="1"/>
        <v>13.96</v>
      </c>
      <c r="D476" s="2" vm="7919">
        <f ca="1"/>
        <v>13.36</v>
      </c>
      <c r="E476" s="2" vm="7920">
        <f ca="1"/>
        <v>13.43</v>
      </c>
    </row>
    <row r="477" spans="1:5" x14ac:dyDescent="0.2">
      <c r="A477" s="1" vm="2386">
        <f ca="1"/>
        <v>45106</v>
      </c>
      <c r="B477" s="2" vm="7921">
        <f ca="1"/>
        <v>13.64</v>
      </c>
      <c r="C477" s="2" vm="7922">
        <f ca="1"/>
        <v>13.85</v>
      </c>
      <c r="D477" s="2" vm="7923">
        <f ca="1"/>
        <v>13.41</v>
      </c>
      <c r="E477" s="2" vm="7894">
        <f ca="1"/>
        <v>13.54</v>
      </c>
    </row>
    <row r="478" spans="1:5" x14ac:dyDescent="0.2">
      <c r="A478" s="1" vm="2392">
        <f ca="1"/>
        <v>45107</v>
      </c>
      <c r="B478" s="2" vm="7924">
        <f ca="1"/>
        <v>13.51</v>
      </c>
      <c r="C478" s="2" vm="7916">
        <f ca="1"/>
        <v>13.59</v>
      </c>
      <c r="D478" s="2" vm="7925">
        <f ca="1"/>
        <v>12.96</v>
      </c>
      <c r="E478" s="2" vm="7916">
        <f ca="1"/>
        <v>13.59</v>
      </c>
    </row>
    <row r="479" spans="1:5" x14ac:dyDescent="0.2">
      <c r="A479" s="1" vm="2398">
        <f ca="1"/>
        <v>45110</v>
      </c>
      <c r="B479" s="2" vm="7922">
        <f ca="1"/>
        <v>13.85</v>
      </c>
      <c r="C479" s="2" vm="7922">
        <f ca="1"/>
        <v>13.85</v>
      </c>
      <c r="D479" s="2" vm="7926">
        <f ca="1"/>
        <v>13.47</v>
      </c>
      <c r="E479" s="2" vm="7927">
        <f ca="1"/>
        <v>13.57</v>
      </c>
    </row>
    <row r="480" spans="1:5" x14ac:dyDescent="0.2">
      <c r="A480" s="1" vm="7928">
        <f ca="1"/>
        <v>45111</v>
      </c>
      <c r="B480" s="2" vm="7894">
        <f ca="1"/>
        <v>13.54</v>
      </c>
      <c r="C480" s="2" vm="7929">
        <f ca="1"/>
        <v>13.71</v>
      </c>
      <c r="D480" s="2" vm="7930">
        <f ca="1"/>
        <v>13.52</v>
      </c>
      <c r="E480" s="2" vm="7931">
        <f ca="1"/>
        <v>13.7</v>
      </c>
    </row>
    <row r="481" spans="1:5" x14ac:dyDescent="0.2">
      <c r="A481" s="1" vm="2404">
        <f ca="1"/>
        <v>45112</v>
      </c>
      <c r="B481" s="2" vm="7896">
        <f ca="1"/>
        <v>14.19</v>
      </c>
      <c r="C481" s="2" vm="7932">
        <f ca="1"/>
        <v>14.74</v>
      </c>
      <c r="D481" s="2" vm="7933">
        <f ca="1"/>
        <v>14.05</v>
      </c>
      <c r="E481" s="2" vm="7934">
        <f ca="1"/>
        <v>14.18</v>
      </c>
    </row>
    <row r="482" spans="1:5" x14ac:dyDescent="0.2">
      <c r="A482" s="1" vm="2410">
        <f ca="1"/>
        <v>45113</v>
      </c>
      <c r="B482" s="2" vm="7935">
        <f ca="1"/>
        <v>14.85</v>
      </c>
      <c r="C482" s="2" vm="6920">
        <f ca="1"/>
        <v>17.079999999999998</v>
      </c>
      <c r="D482" s="2" vm="7936">
        <f ca="1"/>
        <v>14.79</v>
      </c>
      <c r="E482" s="2" vm="6898">
        <f ca="1"/>
        <v>15.44</v>
      </c>
    </row>
    <row r="483" spans="1:5" x14ac:dyDescent="0.2">
      <c r="A483" s="1" vm="2416">
        <f ca="1"/>
        <v>45114</v>
      </c>
      <c r="B483" s="2" vm="7937">
        <f ca="1"/>
        <v>15.97</v>
      </c>
      <c r="C483" s="2" vm="6742">
        <f ca="1"/>
        <v>16.059999999999999</v>
      </c>
      <c r="D483" s="2" vm="7938">
        <f ca="1"/>
        <v>14.33</v>
      </c>
      <c r="E483" s="2" vm="7939">
        <f ca="1"/>
        <v>14.83</v>
      </c>
    </row>
    <row r="484" spans="1:5" x14ac:dyDescent="0.2">
      <c r="A484" s="1" vm="2422">
        <f ca="1"/>
        <v>45117</v>
      </c>
      <c r="B484" s="2" vm="6751">
        <f ca="1"/>
        <v>16.079999999999998</v>
      </c>
      <c r="C484" s="2" vm="7940">
        <f ca="1"/>
        <v>16.21</v>
      </c>
      <c r="D484" s="2" vm="7941">
        <f ca="1"/>
        <v>15.04</v>
      </c>
      <c r="E484" s="2" vm="7942">
        <f ca="1"/>
        <v>15.07</v>
      </c>
    </row>
    <row r="485" spans="1:5" x14ac:dyDescent="0.2">
      <c r="A485" s="1" vm="2428">
        <f ca="1"/>
        <v>45118</v>
      </c>
      <c r="B485" s="2" vm="6880">
        <f ca="1"/>
        <v>15.02</v>
      </c>
      <c r="C485" s="2" vm="7943">
        <f ca="1"/>
        <v>15.25</v>
      </c>
      <c r="D485" s="2" vm="7944">
        <f ca="1"/>
        <v>14.63</v>
      </c>
      <c r="E485" s="2" vm="6874">
        <f ca="1"/>
        <v>14.84</v>
      </c>
    </row>
    <row r="486" spans="1:5" x14ac:dyDescent="0.2">
      <c r="A486" s="1" vm="2434">
        <f ca="1"/>
        <v>45119</v>
      </c>
      <c r="B486" s="2" vm="7945">
        <f ca="1"/>
        <v>14.82</v>
      </c>
      <c r="C486" s="2" vm="7945">
        <f ca="1"/>
        <v>14.82</v>
      </c>
      <c r="D486" s="2" vm="7924">
        <f ca="1"/>
        <v>13.51</v>
      </c>
      <c r="E486" s="2" vm="7894">
        <f ca="1"/>
        <v>13.54</v>
      </c>
    </row>
    <row r="487" spans="1:5" x14ac:dyDescent="0.2">
      <c r="A487" s="1" vm="2439">
        <f ca="1"/>
        <v>45120</v>
      </c>
      <c r="B487" s="2" vm="7910">
        <f ca="1"/>
        <v>13.44</v>
      </c>
      <c r="C487" s="2" vm="7946">
        <f ca="1"/>
        <v>13.61</v>
      </c>
      <c r="D487" s="2" vm="7947">
        <f ca="1"/>
        <v>13.12</v>
      </c>
      <c r="E487" s="2" vm="7946">
        <f ca="1"/>
        <v>13.61</v>
      </c>
    </row>
    <row r="488" spans="1:5" x14ac:dyDescent="0.2">
      <c r="A488" s="1" vm="2445">
        <f ca="1"/>
        <v>45121</v>
      </c>
      <c r="B488" s="2" vm="7948">
        <f ca="1"/>
        <v>13.72</v>
      </c>
      <c r="C488" s="2" vm="7949">
        <f ca="1"/>
        <v>13.76</v>
      </c>
      <c r="D488" s="2" vm="7950">
        <f ca="1"/>
        <v>13.22</v>
      </c>
      <c r="E488" s="2" vm="7951">
        <f ca="1"/>
        <v>13.34</v>
      </c>
    </row>
    <row r="489" spans="1:5" x14ac:dyDescent="0.2">
      <c r="A489" s="1" vm="2451">
        <f ca="1"/>
        <v>45124</v>
      </c>
      <c r="B489" s="2" vm="7877">
        <f ca="1"/>
        <v>13.78</v>
      </c>
      <c r="C489" s="2" vm="7952">
        <f ca="1"/>
        <v>14</v>
      </c>
      <c r="D489" s="2" vm="7920">
        <f ca="1"/>
        <v>13.43</v>
      </c>
      <c r="E489" s="2" vm="7893">
        <f ca="1"/>
        <v>13.48</v>
      </c>
    </row>
    <row r="490" spans="1:5" x14ac:dyDescent="0.2">
      <c r="A490" s="1" vm="2456">
        <f ca="1"/>
        <v>45125</v>
      </c>
      <c r="B490" s="2" vm="7946">
        <f ca="1"/>
        <v>13.61</v>
      </c>
      <c r="C490" s="2" vm="7953">
        <f ca="1"/>
        <v>13.67</v>
      </c>
      <c r="D490" s="2" vm="7954">
        <f ca="1"/>
        <v>13.29</v>
      </c>
      <c r="E490" s="2" vm="7955">
        <f ca="1"/>
        <v>13.3</v>
      </c>
    </row>
    <row r="491" spans="1:5" x14ac:dyDescent="0.2">
      <c r="A491" s="1" vm="2462">
        <f ca="1"/>
        <v>45126</v>
      </c>
      <c r="B491" s="2" vm="7956">
        <f ca="1"/>
        <v>13.32</v>
      </c>
      <c r="C491" s="2" vm="7957">
        <f ca="1"/>
        <v>13.84</v>
      </c>
      <c r="D491" s="2" vm="7947">
        <f ca="1"/>
        <v>13.12</v>
      </c>
      <c r="E491" s="2" vm="7949">
        <f ca="1"/>
        <v>13.76</v>
      </c>
    </row>
    <row r="492" spans="1:5" x14ac:dyDescent="0.2">
      <c r="A492" s="1" vm="2468">
        <f ca="1"/>
        <v>45127</v>
      </c>
      <c r="B492" s="2" vm="7869">
        <f ca="1"/>
        <v>13.96</v>
      </c>
      <c r="C492" s="2" vm="7958">
        <f ca="1"/>
        <v>14.23</v>
      </c>
      <c r="D492" s="2" vm="7959">
        <f ca="1"/>
        <v>13.58</v>
      </c>
      <c r="E492" s="2" vm="7960">
        <f ca="1"/>
        <v>13.99</v>
      </c>
    </row>
    <row r="493" spans="1:5" x14ac:dyDescent="0.2">
      <c r="A493" s="1" vm="2474">
        <f ca="1"/>
        <v>45128</v>
      </c>
      <c r="B493" s="2" vm="7961">
        <f ca="1"/>
        <v>13.87</v>
      </c>
      <c r="C493" s="2" vm="7901">
        <f ca="1"/>
        <v>13.89</v>
      </c>
      <c r="D493" s="2" vm="7962">
        <f ca="1"/>
        <v>13.37</v>
      </c>
      <c r="E493" s="2" vm="7963">
        <f ca="1"/>
        <v>13.6</v>
      </c>
    </row>
    <row r="494" spans="1:5" x14ac:dyDescent="0.2">
      <c r="A494" s="1" vm="2479">
        <f ca="1"/>
        <v>45131</v>
      </c>
      <c r="B494" s="2" vm="7871">
        <f ca="1"/>
        <v>14.29</v>
      </c>
      <c r="C494" s="2" vm="7964">
        <f ca="1"/>
        <v>14.3</v>
      </c>
      <c r="D494" s="2" vm="7965">
        <f ca="1"/>
        <v>13.73</v>
      </c>
      <c r="E494" s="2" vm="7966">
        <f ca="1"/>
        <v>13.91</v>
      </c>
    </row>
    <row r="495" spans="1:5" x14ac:dyDescent="0.2">
      <c r="A495" s="1" vm="2485">
        <f ca="1"/>
        <v>45132</v>
      </c>
      <c r="B495" s="2" vm="7967">
        <f ca="1"/>
        <v>14.02</v>
      </c>
      <c r="C495" s="2" vm="7887">
        <f ca="1"/>
        <v>14.09</v>
      </c>
      <c r="D495" s="2" vm="7968">
        <f ca="1"/>
        <v>13.82</v>
      </c>
      <c r="E495" s="2" vm="7900">
        <f ca="1"/>
        <v>13.86</v>
      </c>
    </row>
    <row r="496" spans="1:5" x14ac:dyDescent="0.2">
      <c r="A496" s="1" vm="2491">
        <f ca="1"/>
        <v>45133</v>
      </c>
      <c r="B496" s="2" vm="7900">
        <f ca="1"/>
        <v>13.86</v>
      </c>
      <c r="C496" s="2" vm="7969">
        <f ca="1"/>
        <v>14.16</v>
      </c>
      <c r="D496" s="2" vm="7970">
        <f ca="1"/>
        <v>13.15</v>
      </c>
      <c r="E496" s="2" vm="7971">
        <f ca="1"/>
        <v>13.19</v>
      </c>
    </row>
    <row r="497" spans="1:5" x14ac:dyDescent="0.2">
      <c r="A497" s="1" vm="2496">
        <f ca="1"/>
        <v>45134</v>
      </c>
      <c r="B497" s="2" vm="7972">
        <f ca="1"/>
        <v>13.14</v>
      </c>
      <c r="C497" s="2" vm="6880">
        <f ca="1"/>
        <v>15.02</v>
      </c>
      <c r="D497" s="2" vm="7973">
        <f ca="1"/>
        <v>12.74</v>
      </c>
      <c r="E497" s="2" vm="7974">
        <f ca="1"/>
        <v>14.41</v>
      </c>
    </row>
    <row r="498" spans="1:5" x14ac:dyDescent="0.2">
      <c r="A498" s="1" vm="2501">
        <f ca="1"/>
        <v>45135</v>
      </c>
      <c r="B498" s="2" vm="7975">
        <f ca="1"/>
        <v>14.03</v>
      </c>
      <c r="C498" s="2" vm="7934">
        <f ca="1"/>
        <v>14.18</v>
      </c>
      <c r="D498" s="2" vm="7976">
        <f ca="1"/>
        <v>13.27</v>
      </c>
      <c r="E498" s="2" vm="7977">
        <f ca="1"/>
        <v>13.33</v>
      </c>
    </row>
    <row r="499" spans="1:5" x14ac:dyDescent="0.2">
      <c r="A499" s="1" vm="2505">
        <f ca="1"/>
        <v>45138</v>
      </c>
      <c r="B499" s="2" vm="7904">
        <f ca="1"/>
        <v>13.98</v>
      </c>
      <c r="C499" s="2" vm="7887">
        <f ca="1"/>
        <v>14.09</v>
      </c>
      <c r="D499" s="2" vm="7927">
        <f ca="1"/>
        <v>13.57</v>
      </c>
      <c r="E499" s="2" vm="7978">
        <f ca="1"/>
        <v>13.63</v>
      </c>
    </row>
    <row r="500" spans="1:5" x14ac:dyDescent="0.2">
      <c r="A500" s="1" vm="2510">
        <f ca="1"/>
        <v>45139</v>
      </c>
      <c r="B500" s="2" vm="7979">
        <f ca="1"/>
        <v>13.75</v>
      </c>
      <c r="C500" s="2" vm="7964">
        <f ca="1"/>
        <v>14.3</v>
      </c>
      <c r="D500" s="2" vm="7979">
        <f ca="1"/>
        <v>13.75</v>
      </c>
      <c r="E500" s="2" vm="7980">
        <f ca="1"/>
        <v>13.93</v>
      </c>
    </row>
    <row r="501" spans="1:5" x14ac:dyDescent="0.2">
      <c r="A501" s="1" vm="2516">
        <f ca="1"/>
        <v>45140</v>
      </c>
      <c r="B501" s="2" vm="6865">
        <f ca="1"/>
        <v>15.7</v>
      </c>
      <c r="C501" s="2" vm="6741">
        <f ca="1"/>
        <v>16.48</v>
      </c>
      <c r="D501" s="2" vm="6901">
        <f ca="1"/>
        <v>14.95</v>
      </c>
      <c r="E501" s="2" vm="6863">
        <f ca="1"/>
        <v>16.09</v>
      </c>
    </row>
    <row r="502" spans="1:5" x14ac:dyDescent="0.2">
      <c r="A502" s="1" vm="2521">
        <f ca="1"/>
        <v>45141</v>
      </c>
      <c r="B502" s="2" vm="7819">
        <f ca="1"/>
        <v>16.77</v>
      </c>
      <c r="C502" s="2" vm="7981">
        <f ca="1"/>
        <v>17.420000000000002</v>
      </c>
      <c r="D502" s="2" vm="6858">
        <f ca="1"/>
        <v>15.72</v>
      </c>
      <c r="E502" s="2" vm="7982">
        <f ca="1"/>
        <v>15.92</v>
      </c>
    </row>
    <row r="503" spans="1:5" x14ac:dyDescent="0.2">
      <c r="A503" s="1" vm="2527">
        <f ca="1"/>
        <v>45142</v>
      </c>
      <c r="B503" s="2" vm="7983">
        <f ca="1"/>
        <v>16.010000000000002</v>
      </c>
      <c r="C503" s="2" vm="7984">
        <f ca="1"/>
        <v>17.39</v>
      </c>
      <c r="D503" s="2" vm="7985">
        <f ca="1"/>
        <v>14.57</v>
      </c>
      <c r="E503" s="2" vm="7986">
        <f ca="1"/>
        <v>17.100000000000001</v>
      </c>
    </row>
    <row r="504" spans="1:5" x14ac:dyDescent="0.2">
      <c r="A504" s="1" vm="2532">
        <f ca="1"/>
        <v>45145</v>
      </c>
      <c r="B504" s="2" vm="7812">
        <f ca="1"/>
        <v>16.899999999999999</v>
      </c>
      <c r="C504" s="2" vm="6930">
        <f ca="1"/>
        <v>17.36</v>
      </c>
      <c r="D504" s="2" vm="7987">
        <f ca="1"/>
        <v>15.77</v>
      </c>
      <c r="E504" s="2" vm="7987">
        <f ca="1"/>
        <v>15.77</v>
      </c>
    </row>
    <row r="505" spans="1:5" x14ac:dyDescent="0.2">
      <c r="A505" s="1" vm="2538">
        <f ca="1"/>
        <v>45146</v>
      </c>
      <c r="B505" s="2" vm="6924">
        <f ca="1"/>
        <v>16.28</v>
      </c>
      <c r="C505" s="2" vm="6757">
        <f ca="1"/>
        <v>18.14</v>
      </c>
      <c r="D505" s="2" vm="7988">
        <f ca="1"/>
        <v>15.96</v>
      </c>
      <c r="E505" s="2" vm="7989">
        <f ca="1"/>
        <v>15.99</v>
      </c>
    </row>
    <row r="506" spans="1:5" x14ac:dyDescent="0.2">
      <c r="A506" s="1" vm="2543">
        <f ca="1"/>
        <v>45147</v>
      </c>
      <c r="B506" s="2" vm="7990">
        <f ca="1"/>
        <v>15.81</v>
      </c>
      <c r="C506" s="2" vm="7844">
        <f ca="1"/>
        <v>16.87</v>
      </c>
      <c r="D506" s="2" vm="7991">
        <f ca="1"/>
        <v>15.38</v>
      </c>
      <c r="E506" s="2" vm="7988">
        <f ca="1"/>
        <v>15.96</v>
      </c>
    </row>
    <row r="507" spans="1:5" x14ac:dyDescent="0.2">
      <c r="A507" s="1" vm="2547">
        <f ca="1"/>
        <v>45148</v>
      </c>
      <c r="B507" s="2" vm="7860">
        <f ca="1"/>
        <v>15.58</v>
      </c>
      <c r="C507" s="2" vm="6855">
        <f ca="1"/>
        <v>16.86</v>
      </c>
      <c r="D507" s="2" vm="7863">
        <f ca="1"/>
        <v>14.6</v>
      </c>
      <c r="E507" s="2" vm="7848">
        <f ca="1"/>
        <v>15.85</v>
      </c>
    </row>
    <row r="508" spans="1:5" x14ac:dyDescent="0.2">
      <c r="A508" s="1" vm="2553">
        <f ca="1"/>
        <v>45149</v>
      </c>
      <c r="B508" s="2" vm="7827">
        <f ca="1"/>
        <v>15.53</v>
      </c>
      <c r="C508" s="2" vm="7992">
        <f ca="1"/>
        <v>16.510000000000002</v>
      </c>
      <c r="D508" s="2" vm="6874">
        <f ca="1"/>
        <v>14.84</v>
      </c>
      <c r="E508" s="2" vm="6874">
        <f ca="1"/>
        <v>14.84</v>
      </c>
    </row>
    <row r="509" spans="1:5" x14ac:dyDescent="0.2">
      <c r="A509" s="1" vm="2559">
        <f ca="1"/>
        <v>45152</v>
      </c>
      <c r="B509" s="2" vm="7993">
        <f ca="1"/>
        <v>15.88</v>
      </c>
      <c r="C509" s="2" vm="6742">
        <f ca="1"/>
        <v>16.059999999999999</v>
      </c>
      <c r="D509" s="2" vm="7994">
        <f ca="1"/>
        <v>14.77</v>
      </c>
      <c r="E509" s="2" vm="7945">
        <f ca="1"/>
        <v>14.82</v>
      </c>
    </row>
    <row r="510" spans="1:5" x14ac:dyDescent="0.2">
      <c r="A510" s="1" vm="2565">
        <f ca="1"/>
        <v>45153</v>
      </c>
      <c r="B510" s="2" vm="6901">
        <f ca="1"/>
        <v>14.95</v>
      </c>
      <c r="C510" s="2" vm="7023">
        <f ca="1"/>
        <v>16.57</v>
      </c>
      <c r="D510" s="2" vm="7866">
        <f ca="1"/>
        <v>14.91</v>
      </c>
      <c r="E510" s="2" vm="7817">
        <f ca="1"/>
        <v>16.46</v>
      </c>
    </row>
    <row r="511" spans="1:5" x14ac:dyDescent="0.2">
      <c r="A511" s="1" vm="2569">
        <f ca="1"/>
        <v>45154</v>
      </c>
      <c r="B511" s="2" vm="6893">
        <f ca="1"/>
        <v>16.54</v>
      </c>
      <c r="C511" s="2" vm="7836">
        <f ca="1"/>
        <v>16.93</v>
      </c>
      <c r="D511" s="2" vm="7995">
        <f ca="1"/>
        <v>15.8</v>
      </c>
      <c r="E511" s="2" vm="7996">
        <f ca="1"/>
        <v>16.78</v>
      </c>
    </row>
    <row r="512" spans="1:5" x14ac:dyDescent="0.2">
      <c r="A512" s="1" vm="2573">
        <f ca="1"/>
        <v>45155</v>
      </c>
      <c r="B512" s="2" vm="7997">
        <f ca="1"/>
        <v>16.96</v>
      </c>
      <c r="C512" s="2" vm="7849">
        <f ca="1"/>
        <v>18.13</v>
      </c>
      <c r="D512" s="2" vm="7998">
        <f ca="1"/>
        <v>16.399999999999999</v>
      </c>
      <c r="E512" s="2" vm="7999">
        <f ca="1"/>
        <v>17.89</v>
      </c>
    </row>
    <row r="513" spans="1:5" x14ac:dyDescent="0.2">
      <c r="A513" s="1" vm="2576">
        <f ca="1"/>
        <v>45156</v>
      </c>
      <c r="B513" s="2" vm="7809">
        <f ca="1"/>
        <v>17.8</v>
      </c>
      <c r="C513" s="2" vm="7745">
        <f ca="1"/>
        <v>18.88</v>
      </c>
      <c r="D513" s="2" vm="8000">
        <f ca="1"/>
        <v>17.14</v>
      </c>
      <c r="E513" s="2" vm="7014">
        <f ca="1"/>
        <v>17.3</v>
      </c>
    </row>
    <row r="514" spans="1:5" x14ac:dyDescent="0.2">
      <c r="A514" s="1" vm="2582">
        <f ca="1"/>
        <v>45159</v>
      </c>
      <c r="B514" s="2" vm="8001">
        <f ca="1"/>
        <v>18.03</v>
      </c>
      <c r="C514" s="2" vm="6846">
        <f ca="1"/>
        <v>18.11</v>
      </c>
      <c r="D514" s="2" vm="8002">
        <f ca="1"/>
        <v>16.88</v>
      </c>
      <c r="E514" s="2" vm="8003">
        <f ca="1"/>
        <v>17.13</v>
      </c>
    </row>
    <row r="515" spans="1:5" x14ac:dyDescent="0.2">
      <c r="A515" s="1" vm="2588">
        <f ca="1"/>
        <v>45160</v>
      </c>
      <c r="B515" s="2" vm="7997">
        <f ca="1"/>
        <v>16.96</v>
      </c>
      <c r="C515" s="2" vm="7811">
        <f ca="1"/>
        <v>17.579999999999998</v>
      </c>
      <c r="D515" s="2" vm="8004">
        <f ca="1"/>
        <v>16.61</v>
      </c>
      <c r="E515" s="2" vm="8005">
        <f ca="1"/>
        <v>16.97</v>
      </c>
    </row>
    <row r="516" spans="1:5" x14ac:dyDescent="0.2">
      <c r="A516" s="1" vm="2592">
        <f ca="1"/>
        <v>45161</v>
      </c>
      <c r="B516" s="2" vm="6856">
        <f ca="1"/>
        <v>16.64</v>
      </c>
      <c r="C516" s="2" vm="7986">
        <f ca="1"/>
        <v>17.100000000000001</v>
      </c>
      <c r="D516" s="2" vm="6740">
        <f ca="1"/>
        <v>15.91</v>
      </c>
      <c r="E516" s="2" vm="6738">
        <f ca="1"/>
        <v>15.98</v>
      </c>
    </row>
    <row r="517" spans="1:5" x14ac:dyDescent="0.2">
      <c r="A517" s="1" vm="2597">
        <f ca="1"/>
        <v>45162</v>
      </c>
      <c r="B517" s="2" vm="6864">
        <f ca="1"/>
        <v>15.57</v>
      </c>
      <c r="C517" s="2" vm="8006">
        <f ca="1"/>
        <v>17.32</v>
      </c>
      <c r="D517" s="2" vm="8007">
        <f ca="1"/>
        <v>15.48</v>
      </c>
      <c r="E517" s="2" vm="8008">
        <f ca="1"/>
        <v>17.2</v>
      </c>
    </row>
    <row r="518" spans="1:5" x14ac:dyDescent="0.2">
      <c r="A518" s="1" vm="2603">
        <f ca="1"/>
        <v>45163</v>
      </c>
      <c r="B518" s="2" vm="6908">
        <f ca="1"/>
        <v>17.21</v>
      </c>
      <c r="C518" s="2" vm="6930">
        <f ca="1"/>
        <v>17.36</v>
      </c>
      <c r="D518" s="2" vm="8009">
        <f ca="1"/>
        <v>15.45</v>
      </c>
      <c r="E518" s="2" vm="6744">
        <f ca="1"/>
        <v>15.68</v>
      </c>
    </row>
    <row r="519" spans="1:5" x14ac:dyDescent="0.2">
      <c r="A519" s="1" vm="2608">
        <f ca="1"/>
        <v>45166</v>
      </c>
      <c r="B519" s="2" vm="8010">
        <f ca="1"/>
        <v>16.239999999999998</v>
      </c>
      <c r="C519" s="2" vm="6924">
        <f ca="1"/>
        <v>16.28</v>
      </c>
      <c r="D519" s="2" vm="8011">
        <f ca="1"/>
        <v>15</v>
      </c>
      <c r="E519" s="2" vm="8012">
        <f ca="1"/>
        <v>15.08</v>
      </c>
    </row>
    <row r="520" spans="1:5" x14ac:dyDescent="0.2">
      <c r="A520" s="1" vm="2614">
        <f ca="1"/>
        <v>45167</v>
      </c>
      <c r="B520" s="2" vm="8012">
        <f ca="1"/>
        <v>15.08</v>
      </c>
      <c r="C520" s="2" vm="8013">
        <f ca="1"/>
        <v>15.3</v>
      </c>
      <c r="D520" s="2" vm="7915">
        <f ca="1"/>
        <v>14.34</v>
      </c>
      <c r="E520" s="2" vm="8014">
        <f ca="1"/>
        <v>14.45</v>
      </c>
    </row>
    <row r="521" spans="1:5" x14ac:dyDescent="0.2">
      <c r="A521" s="1" vm="2620">
        <f ca="1"/>
        <v>45168</v>
      </c>
      <c r="B521" s="2" vm="8015">
        <f ca="1"/>
        <v>14.53</v>
      </c>
      <c r="C521" s="2" vm="8016">
        <f ca="1"/>
        <v>14.7</v>
      </c>
      <c r="D521" s="2" vm="7879">
        <f ca="1"/>
        <v>13.83</v>
      </c>
      <c r="E521" s="2" vm="7886">
        <f ca="1"/>
        <v>13.88</v>
      </c>
    </row>
    <row r="522" spans="1:5" x14ac:dyDescent="0.2">
      <c r="A522" s="1" vm="2626">
        <f ca="1"/>
        <v>45169</v>
      </c>
      <c r="B522" s="2" vm="7904">
        <f ca="1"/>
        <v>13.98</v>
      </c>
      <c r="C522" s="2" vm="7952">
        <f ca="1"/>
        <v>14</v>
      </c>
      <c r="D522" s="2" vm="7910">
        <f ca="1"/>
        <v>13.44</v>
      </c>
      <c r="E522" s="2" vm="7927">
        <f ca="1"/>
        <v>13.57</v>
      </c>
    </row>
    <row r="523" spans="1:5" x14ac:dyDescent="0.2">
      <c r="A523" s="1" vm="2632">
        <f ca="1"/>
        <v>45170</v>
      </c>
      <c r="B523" s="2" vm="8017">
        <f ca="1"/>
        <v>13.56</v>
      </c>
      <c r="C523" s="2" vm="8017">
        <f ca="1"/>
        <v>13.56</v>
      </c>
      <c r="D523" s="2" vm="8018">
        <f ca="1"/>
        <v>13.02</v>
      </c>
      <c r="E523" s="2" vm="8019">
        <f ca="1"/>
        <v>13.09</v>
      </c>
    </row>
    <row r="524" spans="1:5" x14ac:dyDescent="0.2">
      <c r="A524" s="1" vm="8020">
        <f ca="1"/>
        <v>45173</v>
      </c>
      <c r="B524" s="2" vm="8021">
        <f ca="1"/>
        <v>13.62</v>
      </c>
      <c r="C524" s="2" vm="7968">
        <f ca="1"/>
        <v>13.82</v>
      </c>
      <c r="D524" s="2" vm="7924">
        <f ca="1"/>
        <v>13.51</v>
      </c>
      <c r="E524" s="2" vm="7968">
        <f ca="1"/>
        <v>13.82</v>
      </c>
    </row>
    <row r="525" spans="1:5" x14ac:dyDescent="0.2">
      <c r="A525" s="1" vm="2638">
        <f ca="1"/>
        <v>45174</v>
      </c>
      <c r="B525" s="2" vm="8022">
        <f ca="1"/>
        <v>14.15</v>
      </c>
      <c r="C525" s="2" vm="7883">
        <f ca="1"/>
        <v>14.47</v>
      </c>
      <c r="D525" s="2" vm="7931">
        <f ca="1"/>
        <v>13.7</v>
      </c>
      <c r="E525" s="2" vm="7897">
        <f ca="1"/>
        <v>14.01</v>
      </c>
    </row>
    <row r="526" spans="1:5" x14ac:dyDescent="0.2">
      <c r="A526" s="1" vm="2644">
        <f ca="1"/>
        <v>45175</v>
      </c>
      <c r="B526" s="2" vm="8023">
        <f ca="1"/>
        <v>14.27</v>
      </c>
      <c r="C526" s="2" vm="8013">
        <f ca="1"/>
        <v>15.3</v>
      </c>
      <c r="D526" s="2" vm="8024">
        <f ca="1"/>
        <v>14.13</v>
      </c>
      <c r="E526" s="2" vm="8014">
        <f ca="1"/>
        <v>14.45</v>
      </c>
    </row>
    <row r="527" spans="1:5" x14ac:dyDescent="0.2">
      <c r="A527" s="1" vm="2650">
        <f ca="1"/>
        <v>45176</v>
      </c>
      <c r="B527" s="2" vm="8025">
        <f ca="1"/>
        <v>14.81</v>
      </c>
      <c r="C527" s="2" vm="8026">
        <f ca="1"/>
        <v>15.69</v>
      </c>
      <c r="D527" s="2" vm="8027">
        <f ca="1"/>
        <v>14.4</v>
      </c>
      <c r="E527" s="2" vm="8027">
        <f ca="1"/>
        <v>14.4</v>
      </c>
    </row>
    <row r="528" spans="1:5" x14ac:dyDescent="0.2">
      <c r="A528" s="1" vm="2656">
        <f ca="1"/>
        <v>45177</v>
      </c>
      <c r="B528" s="2" vm="8028">
        <f ca="1"/>
        <v>14.22</v>
      </c>
      <c r="C528" s="2" vm="8029">
        <f ca="1"/>
        <v>14.87</v>
      </c>
      <c r="D528" s="2" vm="7959">
        <f ca="1"/>
        <v>13.58</v>
      </c>
      <c r="E528" s="2" vm="7957">
        <f ca="1"/>
        <v>13.84</v>
      </c>
    </row>
    <row r="529" spans="1:5" x14ac:dyDescent="0.2">
      <c r="A529" s="1" vm="2662">
        <f ca="1"/>
        <v>45180</v>
      </c>
      <c r="B529" s="2" vm="8030">
        <f ca="1"/>
        <v>14.17</v>
      </c>
      <c r="C529" s="2" vm="7938">
        <f ca="1"/>
        <v>14.33</v>
      </c>
      <c r="D529" s="2" vm="7917">
        <f ca="1"/>
        <v>13.74</v>
      </c>
      <c r="E529" s="2" vm="7908">
        <f ca="1"/>
        <v>13.8</v>
      </c>
    </row>
    <row r="530" spans="1:5" x14ac:dyDescent="0.2">
      <c r="A530" s="1" vm="2668">
        <f ca="1"/>
        <v>45181</v>
      </c>
      <c r="B530" s="2" vm="7967">
        <f ca="1"/>
        <v>14.02</v>
      </c>
      <c r="C530" s="2" vm="7862">
        <f ca="1"/>
        <v>14.42</v>
      </c>
      <c r="D530" s="2" vm="7929">
        <f ca="1"/>
        <v>13.71</v>
      </c>
      <c r="E530" s="2" vm="7958">
        <f ca="1"/>
        <v>14.23</v>
      </c>
    </row>
    <row r="531" spans="1:5" x14ac:dyDescent="0.2">
      <c r="A531" s="1" vm="2674">
        <f ca="1"/>
        <v>45182</v>
      </c>
      <c r="B531" s="2" vm="7862">
        <f ca="1"/>
        <v>14.42</v>
      </c>
      <c r="C531" s="2" vm="8031">
        <f ca="1"/>
        <v>14.68</v>
      </c>
      <c r="D531" s="2" vm="7923">
        <f ca="1"/>
        <v>13.41</v>
      </c>
      <c r="E531" s="2" vm="7893">
        <f ca="1"/>
        <v>13.48</v>
      </c>
    </row>
    <row r="532" spans="1:5" x14ac:dyDescent="0.2">
      <c r="A532" s="1" vm="2680">
        <f ca="1"/>
        <v>45183</v>
      </c>
      <c r="B532" s="2" vm="8032">
        <f ca="1"/>
        <v>13.39</v>
      </c>
      <c r="C532" s="2" vm="8033">
        <f ca="1"/>
        <v>13.46</v>
      </c>
      <c r="D532" s="2" vm="8034">
        <f ca="1"/>
        <v>12.79</v>
      </c>
      <c r="E532" s="2" vm="8035">
        <f ca="1"/>
        <v>12.82</v>
      </c>
    </row>
    <row r="533" spans="1:5" x14ac:dyDescent="0.2">
      <c r="A533" s="1" vm="2685">
        <f ca="1"/>
        <v>45184</v>
      </c>
      <c r="B533" s="2" vm="8036">
        <f ca="1"/>
        <v>12.7</v>
      </c>
      <c r="C533" s="2" vm="8030">
        <f ca="1"/>
        <v>14.17</v>
      </c>
      <c r="D533" s="2" vm="8037">
        <f ca="1"/>
        <v>12.68</v>
      </c>
      <c r="E533" s="2" vm="7889">
        <f ca="1"/>
        <v>13.79</v>
      </c>
    </row>
    <row r="534" spans="1:5" x14ac:dyDescent="0.2">
      <c r="A534" s="1" vm="2691">
        <f ca="1"/>
        <v>45187</v>
      </c>
      <c r="B534" s="2" vm="8027">
        <f ca="1"/>
        <v>14.4</v>
      </c>
      <c r="C534" s="2" vm="8038">
        <f ca="1"/>
        <v>14.75</v>
      </c>
      <c r="D534" s="2" vm="7900">
        <f ca="1"/>
        <v>13.86</v>
      </c>
      <c r="E534" s="2" vm="7952">
        <f ca="1"/>
        <v>14</v>
      </c>
    </row>
    <row r="535" spans="1:5" x14ac:dyDescent="0.2">
      <c r="A535" s="1" vm="2697">
        <f ca="1"/>
        <v>45188</v>
      </c>
      <c r="B535" s="2" vm="7914">
        <f ca="1"/>
        <v>14.11</v>
      </c>
      <c r="C535" s="2" vm="8039">
        <f ca="1"/>
        <v>14.88</v>
      </c>
      <c r="D535" s="2" vm="7900">
        <f ca="1"/>
        <v>13.86</v>
      </c>
      <c r="E535" s="2" vm="7914">
        <f ca="1"/>
        <v>14.11</v>
      </c>
    </row>
    <row r="536" spans="1:5" x14ac:dyDescent="0.2">
      <c r="A536" s="1" vm="2703">
        <f ca="1"/>
        <v>45189</v>
      </c>
      <c r="B536" s="2" vm="7934">
        <f ca="1"/>
        <v>14.18</v>
      </c>
      <c r="C536" s="2" vm="8040">
        <f ca="1"/>
        <v>15.15</v>
      </c>
      <c r="D536" s="2" vm="7927">
        <f ca="1"/>
        <v>13.57</v>
      </c>
      <c r="E536" s="2" vm="8041">
        <f ca="1"/>
        <v>15.14</v>
      </c>
    </row>
    <row r="537" spans="1:5" x14ac:dyDescent="0.2">
      <c r="A537" s="1" vm="2709">
        <f ca="1"/>
        <v>45190</v>
      </c>
      <c r="B537" s="2" vm="6869">
        <f ca="1"/>
        <v>15.49</v>
      </c>
      <c r="C537" s="2" vm="7011">
        <f ca="1"/>
        <v>17.54</v>
      </c>
      <c r="D537" s="2" vm="6878">
        <f ca="1"/>
        <v>15.1</v>
      </c>
      <c r="E537" s="2" vm="7011">
        <f ca="1"/>
        <v>17.54</v>
      </c>
    </row>
    <row r="538" spans="1:5" x14ac:dyDescent="0.2">
      <c r="A538" s="1" vm="2714">
        <f ca="1"/>
        <v>45191</v>
      </c>
      <c r="B538" s="2" vm="8042">
        <f ca="1"/>
        <v>17.309999999999999</v>
      </c>
      <c r="C538" s="2" vm="8043">
        <f ca="1"/>
        <v>17.41</v>
      </c>
      <c r="D538" s="2" vm="8044">
        <f ca="1"/>
        <v>15.93</v>
      </c>
      <c r="E538" s="2" vm="8008">
        <f ca="1"/>
        <v>17.2</v>
      </c>
    </row>
    <row r="539" spans="1:5" x14ac:dyDescent="0.2">
      <c r="A539" s="1" vm="2720">
        <f ca="1"/>
        <v>45194</v>
      </c>
      <c r="B539" s="2" vm="8045">
        <f ca="1"/>
        <v>17.25</v>
      </c>
      <c r="C539" s="2" vm="6780">
        <f ca="1"/>
        <v>18.41</v>
      </c>
      <c r="D539" s="2" vm="8046">
        <f ca="1"/>
        <v>16.79</v>
      </c>
      <c r="E539" s="2" vm="7812">
        <f ca="1"/>
        <v>16.899999999999999</v>
      </c>
    </row>
    <row r="540" spans="1:5" x14ac:dyDescent="0.2">
      <c r="A540" s="1" vm="2726">
        <f ca="1"/>
        <v>45195</v>
      </c>
      <c r="B540" s="2" vm="8001">
        <f ca="1"/>
        <v>18.03</v>
      </c>
      <c r="C540" s="2" vm="7497">
        <f ca="1"/>
        <v>19.5</v>
      </c>
      <c r="D540" s="2" vm="6764">
        <f ca="1"/>
        <v>17.170000000000002</v>
      </c>
      <c r="E540" s="2" vm="8047">
        <f ca="1"/>
        <v>18.940000000000001</v>
      </c>
    </row>
    <row r="541" spans="1:5" x14ac:dyDescent="0.2">
      <c r="A541" s="1" vm="2730">
        <f ca="1"/>
        <v>45196</v>
      </c>
      <c r="B541" s="2" vm="8048">
        <f ca="1"/>
        <v>18.29</v>
      </c>
      <c r="C541" s="2" vm="6812">
        <f ca="1"/>
        <v>19.71</v>
      </c>
      <c r="D541" s="2" vm="8001">
        <f ca="1"/>
        <v>18.03</v>
      </c>
      <c r="E541" s="2" vm="7820">
        <f ca="1"/>
        <v>18.22</v>
      </c>
    </row>
    <row r="542" spans="1:5" x14ac:dyDescent="0.2">
      <c r="A542" s="1" vm="2736">
        <f ca="1"/>
        <v>45197</v>
      </c>
      <c r="B542" s="2" vm="7820">
        <f ca="1"/>
        <v>18.22</v>
      </c>
      <c r="C542" s="2" vm="6843">
        <f ca="1"/>
        <v>18.77</v>
      </c>
      <c r="D542" s="2" vm="6750">
        <f ca="1"/>
        <v>17.059999999999999</v>
      </c>
      <c r="E542" s="2" vm="7813">
        <f ca="1"/>
        <v>17.34</v>
      </c>
    </row>
    <row r="543" spans="1:5" x14ac:dyDescent="0.2">
      <c r="A543" s="1" vm="2740">
        <f ca="1"/>
        <v>45198</v>
      </c>
      <c r="B543" s="2" vm="7844">
        <f ca="1"/>
        <v>16.87</v>
      </c>
      <c r="C543" s="2" vm="6809">
        <f ca="1"/>
        <v>17.739999999999998</v>
      </c>
      <c r="D543" s="2" vm="8049">
        <f ca="1"/>
        <v>15.83</v>
      </c>
      <c r="E543" s="2" vm="8050">
        <f ca="1"/>
        <v>17.52</v>
      </c>
    </row>
    <row r="544" spans="1:5" x14ac:dyDescent="0.2">
      <c r="A544" s="1" vm="2746">
        <f ca="1"/>
        <v>45201</v>
      </c>
      <c r="B544" s="2" vm="8042">
        <f ca="1"/>
        <v>17.309999999999999</v>
      </c>
      <c r="C544" s="2" vm="7224">
        <f ca="1"/>
        <v>18.55</v>
      </c>
      <c r="D544" s="2" vm="7836">
        <f ca="1"/>
        <v>16.93</v>
      </c>
      <c r="E544" s="2" vm="8051">
        <f ca="1"/>
        <v>17.61</v>
      </c>
    </row>
    <row r="545" spans="1:5" x14ac:dyDescent="0.2">
      <c r="A545" s="1" vm="2752">
        <f ca="1"/>
        <v>45202</v>
      </c>
      <c r="B545" s="2" vm="7024">
        <f ca="1"/>
        <v>17.809999999999999</v>
      </c>
      <c r="C545" s="2" vm="8052">
        <f ca="1"/>
        <v>20.48</v>
      </c>
      <c r="D545" s="2" vm="8050">
        <f ca="1"/>
        <v>17.52</v>
      </c>
      <c r="E545" s="2" vm="7670">
        <f ca="1"/>
        <v>19.78</v>
      </c>
    </row>
    <row r="546" spans="1:5" x14ac:dyDescent="0.2">
      <c r="A546" s="1" vm="2758">
        <f ca="1"/>
        <v>45203</v>
      </c>
      <c r="B546" s="2" vm="7753">
        <f ca="1"/>
        <v>20.72</v>
      </c>
      <c r="C546" s="2" vm="8053">
        <f ca="1"/>
        <v>20.88</v>
      </c>
      <c r="D546" s="2" vm="7840">
        <f ca="1"/>
        <v>18.3</v>
      </c>
      <c r="E546" s="2" vm="6942">
        <f ca="1"/>
        <v>18.579999999999998</v>
      </c>
    </row>
    <row r="547" spans="1:5" x14ac:dyDescent="0.2">
      <c r="A547" s="1" vm="2763">
        <f ca="1"/>
        <v>45204</v>
      </c>
      <c r="B547" s="2" vm="7214">
        <f ca="1"/>
        <v>18.670000000000002</v>
      </c>
      <c r="C547" s="2" vm="6773">
        <f ca="1"/>
        <v>19.579999999999998</v>
      </c>
      <c r="D547" s="2" vm="7756">
        <f ca="1"/>
        <v>18.260000000000002</v>
      </c>
      <c r="E547" s="2" vm="7771">
        <f ca="1"/>
        <v>18.489999999999998</v>
      </c>
    </row>
    <row r="548" spans="1:5" x14ac:dyDescent="0.2">
      <c r="A548" s="1" vm="2769">
        <f ca="1"/>
        <v>45205</v>
      </c>
      <c r="B548" s="2" vm="6910">
        <f ca="1"/>
        <v>18.73</v>
      </c>
      <c r="C548" s="2" vm="6844">
        <f ca="1"/>
        <v>19.93</v>
      </c>
      <c r="D548" s="2" vm="6923">
        <f ca="1"/>
        <v>17.190000000000001</v>
      </c>
      <c r="E548" s="2" vm="7040">
        <f ca="1"/>
        <v>17.45</v>
      </c>
    </row>
    <row r="549" spans="1:5" x14ac:dyDescent="0.2">
      <c r="A549" s="1" vm="2775">
        <f ca="1"/>
        <v>45208</v>
      </c>
      <c r="B549" s="2" vm="6763">
        <f ca="1"/>
        <v>19.54</v>
      </c>
      <c r="C549" s="2" vm="8054">
        <f ca="1"/>
        <v>19.600000000000001</v>
      </c>
      <c r="D549" s="2" vm="7857">
        <f ca="1"/>
        <v>17.559999999999999</v>
      </c>
      <c r="E549" s="2" vm="6891">
        <f ca="1"/>
        <v>17.7</v>
      </c>
    </row>
    <row r="550" spans="1:5" x14ac:dyDescent="0.2">
      <c r="A550" s="1" vm="2781">
        <f ca="1"/>
        <v>45209</v>
      </c>
      <c r="B550" s="2" vm="6891">
        <f ca="1"/>
        <v>17.7</v>
      </c>
      <c r="C550" s="2" vm="7833">
        <f ca="1"/>
        <v>17.86</v>
      </c>
      <c r="D550" s="2" vm="7992">
        <f ca="1"/>
        <v>16.510000000000002</v>
      </c>
      <c r="E550" s="2" vm="6917">
        <f ca="1"/>
        <v>17.03</v>
      </c>
    </row>
    <row r="551" spans="1:5" x14ac:dyDescent="0.2">
      <c r="A551" s="1" vm="2787">
        <f ca="1"/>
        <v>45210</v>
      </c>
      <c r="B551" s="2" vm="7013">
        <f ca="1"/>
        <v>16.95</v>
      </c>
      <c r="C551" s="2" vm="6760">
        <f ca="1"/>
        <v>17.78</v>
      </c>
      <c r="D551" s="2" vm="6863">
        <f ca="1"/>
        <v>16.09</v>
      </c>
      <c r="E551" s="2" vm="6863">
        <f ca="1"/>
        <v>16.09</v>
      </c>
    </row>
    <row r="552" spans="1:5" x14ac:dyDescent="0.2">
      <c r="A552" s="1" vm="2793">
        <f ca="1"/>
        <v>45211</v>
      </c>
      <c r="B552" s="2" vm="6751">
        <f ca="1"/>
        <v>16.079999999999998</v>
      </c>
      <c r="C552" s="2" vm="6853">
        <f ca="1"/>
        <v>18.079999999999998</v>
      </c>
      <c r="D552" s="2" vm="6898">
        <f ca="1"/>
        <v>15.44</v>
      </c>
      <c r="E552" s="2" vm="7830">
        <f ca="1"/>
        <v>16.690000000000001</v>
      </c>
    </row>
    <row r="553" spans="1:5" x14ac:dyDescent="0.2">
      <c r="A553" s="1" vm="2799">
        <f ca="1"/>
        <v>45212</v>
      </c>
      <c r="B553" s="2" vm="6886">
        <f ca="1"/>
        <v>16.53</v>
      </c>
      <c r="C553" s="2" vm="7221">
        <f ca="1"/>
        <v>20.78</v>
      </c>
      <c r="D553" s="2" vm="8055">
        <f ca="1"/>
        <v>16.5</v>
      </c>
      <c r="E553" s="2" vm="6808">
        <f ca="1"/>
        <v>19.32</v>
      </c>
    </row>
    <row r="554" spans="1:5" x14ac:dyDescent="0.2">
      <c r="A554" s="1" vm="2804">
        <f ca="1"/>
        <v>45215</v>
      </c>
      <c r="B554" s="2" vm="7805">
        <f ca="1"/>
        <v>19.100000000000001</v>
      </c>
      <c r="C554" s="2" vm="8056">
        <f ca="1"/>
        <v>19.57</v>
      </c>
      <c r="D554" s="2" vm="8000">
        <f ca="1"/>
        <v>17.14</v>
      </c>
      <c r="E554" s="2" vm="6908">
        <f ca="1"/>
        <v>17.21</v>
      </c>
    </row>
    <row r="555" spans="1:5" x14ac:dyDescent="0.2">
      <c r="A555" s="1" vm="2810">
        <f ca="1"/>
        <v>45216</v>
      </c>
      <c r="B555" s="2" vm="8043">
        <f ca="1"/>
        <v>17.41</v>
      </c>
      <c r="C555" s="2" vm="7020">
        <f ca="1"/>
        <v>18.54</v>
      </c>
      <c r="D555" s="2" vm="8005">
        <f ca="1"/>
        <v>16.97</v>
      </c>
      <c r="E555" s="2" vm="7832">
        <f ca="1"/>
        <v>17.88</v>
      </c>
    </row>
    <row r="556" spans="1:5" x14ac:dyDescent="0.2">
      <c r="A556" s="1" vm="2815">
        <f ca="1"/>
        <v>45217</v>
      </c>
      <c r="B556" s="2" vm="8057">
        <f ca="1"/>
        <v>18.36</v>
      </c>
      <c r="C556" s="2" vm="8058">
        <f ca="1"/>
        <v>20.149999999999999</v>
      </c>
      <c r="D556" s="2" vm="7832">
        <f ca="1"/>
        <v>17.88</v>
      </c>
      <c r="E556" s="2" vm="8059">
        <f ca="1"/>
        <v>19.22</v>
      </c>
    </row>
    <row r="557" spans="1:5" x14ac:dyDescent="0.2">
      <c r="A557" s="1" vm="2820">
        <f ca="1"/>
        <v>45218</v>
      </c>
      <c r="B557" s="2" vm="7029">
        <f ca="1"/>
        <v>19.73</v>
      </c>
      <c r="C557" s="2" vm="7791">
        <f ca="1"/>
        <v>21.4</v>
      </c>
      <c r="D557" s="2" vm="7224">
        <f ca="1"/>
        <v>18.55</v>
      </c>
      <c r="E557" s="2" vm="7791">
        <f ca="1"/>
        <v>21.4</v>
      </c>
    </row>
    <row r="558" spans="1:5" x14ac:dyDescent="0.2">
      <c r="A558" s="1" vm="2826">
        <f ca="1"/>
        <v>45219</v>
      </c>
      <c r="B558" s="2" vm="7699">
        <f ca="1"/>
        <v>21.59</v>
      </c>
      <c r="C558" s="2" vm="7663">
        <f ca="1"/>
        <v>21.83</v>
      </c>
      <c r="D558" s="2" vm="7657">
        <f ca="1"/>
        <v>20.420000000000002</v>
      </c>
      <c r="E558" s="2" vm="6794">
        <f ca="1"/>
        <v>21.71</v>
      </c>
    </row>
    <row r="559" spans="1:5" x14ac:dyDescent="0.2">
      <c r="A559" s="1" vm="2832">
        <f ca="1"/>
        <v>45222</v>
      </c>
      <c r="B559" s="2" vm="7663">
        <f ca="1"/>
        <v>21.83</v>
      </c>
      <c r="C559" s="2" vm="8060">
        <f ca="1"/>
        <v>23.08</v>
      </c>
      <c r="D559" s="2" vm="7731">
        <f ca="1"/>
        <v>19.48</v>
      </c>
      <c r="E559" s="2" vm="7102">
        <f ca="1"/>
        <v>20.37</v>
      </c>
    </row>
    <row r="560" spans="1:5" x14ac:dyDescent="0.2">
      <c r="A560" s="1" vm="2838">
        <f ca="1"/>
        <v>45223</v>
      </c>
      <c r="B560" s="2" vm="7800">
        <f ca="1"/>
        <v>20.03</v>
      </c>
      <c r="C560" s="2" vm="6936">
        <f ca="1"/>
        <v>20.239999999999998</v>
      </c>
      <c r="D560" s="2" vm="8061">
        <f ca="1"/>
        <v>18.649999999999999</v>
      </c>
      <c r="E560" s="2" vm="6758">
        <f ca="1"/>
        <v>18.97</v>
      </c>
    </row>
    <row r="561" spans="1:5" x14ac:dyDescent="0.2">
      <c r="A561" s="1" vm="2843">
        <f ca="1"/>
        <v>45224</v>
      </c>
      <c r="B561" s="2" vm="7793">
        <f ca="1"/>
        <v>19.39</v>
      </c>
      <c r="C561" s="2" vm="7226">
        <f ca="1"/>
        <v>21.24</v>
      </c>
      <c r="D561" s="2" vm="8062">
        <f ca="1"/>
        <v>18.86</v>
      </c>
      <c r="E561" s="2" vm="8063">
        <f ca="1"/>
        <v>20.190000000000001</v>
      </c>
    </row>
    <row r="562" spans="1:5" x14ac:dyDescent="0.2">
      <c r="A562" s="1" vm="2848">
        <f ca="1"/>
        <v>45225</v>
      </c>
      <c r="B562" s="2" vm="7513">
        <f ca="1"/>
        <v>21.78</v>
      </c>
      <c r="C562" s="2" vm="7082">
        <f ca="1"/>
        <v>21.96</v>
      </c>
      <c r="D562" s="2" vm="7719">
        <f ca="1"/>
        <v>20.22</v>
      </c>
      <c r="E562" s="2" vm="7767">
        <f ca="1"/>
        <v>20.68</v>
      </c>
    </row>
    <row r="563" spans="1:5" x14ac:dyDescent="0.2">
      <c r="A563" s="1" vm="2852">
        <f ca="1"/>
        <v>45226</v>
      </c>
      <c r="B563" s="2" vm="7496">
        <f ca="1"/>
        <v>20.39</v>
      </c>
      <c r="C563" s="2" vm="6814">
        <f ca="1"/>
        <v>22.07</v>
      </c>
      <c r="D563" s="2" vm="8064">
        <f ca="1"/>
        <v>19.72</v>
      </c>
      <c r="E563" s="2" vm="6976">
        <f ca="1"/>
        <v>21.27</v>
      </c>
    </row>
    <row r="564" spans="1:5" x14ac:dyDescent="0.2">
      <c r="A564" s="1" vm="2858">
        <f ca="1"/>
        <v>45229</v>
      </c>
      <c r="B564" s="2" vm="6767">
        <f ca="1"/>
        <v>21.13</v>
      </c>
      <c r="C564" s="2" vm="7235">
        <f ca="1"/>
        <v>21.16</v>
      </c>
      <c r="D564" s="2" vm="7727">
        <f ca="1"/>
        <v>19.55</v>
      </c>
      <c r="E564" s="2" vm="7254">
        <f ca="1"/>
        <v>19.75</v>
      </c>
    </row>
    <row r="565" spans="1:5" x14ac:dyDescent="0.2">
      <c r="A565" s="1" vm="2864">
        <f ca="1"/>
        <v>45230</v>
      </c>
      <c r="B565" s="2" vm="7823">
        <f ca="1"/>
        <v>19.86</v>
      </c>
      <c r="C565" s="2" vm="7823">
        <f ca="1"/>
        <v>19.86</v>
      </c>
      <c r="D565" s="2" vm="7732">
        <f ca="1"/>
        <v>17.97</v>
      </c>
      <c r="E565" s="2" vm="6757">
        <f ca="1"/>
        <v>18.14</v>
      </c>
    </row>
    <row r="566" spans="1:5" x14ac:dyDescent="0.2">
      <c r="A566" s="1" vm="2870">
        <f ca="1"/>
        <v>45231</v>
      </c>
      <c r="B566" s="2" vm="8065">
        <f ca="1"/>
        <v>18.02</v>
      </c>
      <c r="C566" s="2" vm="6802">
        <f ca="1"/>
        <v>18.420000000000002</v>
      </c>
      <c r="D566" s="2" vm="7835">
        <f ca="1"/>
        <v>16.63</v>
      </c>
      <c r="E566" s="2" vm="7844">
        <f ca="1"/>
        <v>16.87</v>
      </c>
    </row>
    <row r="567" spans="1:5" x14ac:dyDescent="0.2">
      <c r="A567" s="1" vm="2874">
        <f ca="1"/>
        <v>45232</v>
      </c>
      <c r="B567" s="2" vm="8066">
        <f ca="1"/>
        <v>16.59</v>
      </c>
      <c r="C567" s="2" vm="7016">
        <f ca="1"/>
        <v>16.62</v>
      </c>
      <c r="D567" s="2" vm="7860">
        <f ca="1"/>
        <v>15.58</v>
      </c>
      <c r="E567" s="2" vm="8067">
        <f ca="1"/>
        <v>15.66</v>
      </c>
    </row>
    <row r="568" spans="1:5" x14ac:dyDescent="0.2">
      <c r="A568" s="1" vm="2880">
        <f ca="1"/>
        <v>45233</v>
      </c>
      <c r="B568" s="2" vm="6865">
        <f ca="1"/>
        <v>15.7</v>
      </c>
      <c r="C568" s="2" vm="8049">
        <f ca="1"/>
        <v>15.83</v>
      </c>
      <c r="D568" s="2" vm="7866">
        <f ca="1"/>
        <v>14.91</v>
      </c>
      <c r="E568" s="2" vm="7866">
        <f ca="1"/>
        <v>14.91</v>
      </c>
    </row>
    <row r="569" spans="1:5" x14ac:dyDescent="0.2">
      <c r="A569" s="1" vm="2886">
        <f ca="1"/>
        <v>45236</v>
      </c>
      <c r="B569" s="2" vm="8068">
        <f ca="1"/>
        <v>15.39</v>
      </c>
      <c r="C569" s="2" vm="7860">
        <f ca="1"/>
        <v>15.58</v>
      </c>
      <c r="D569" s="2" vm="6874">
        <f ca="1"/>
        <v>14.84</v>
      </c>
      <c r="E569" s="2" vm="8069">
        <f ca="1"/>
        <v>14.89</v>
      </c>
    </row>
    <row r="570" spans="1:5" x14ac:dyDescent="0.2">
      <c r="A570" s="1" vm="2891">
        <f ca="1"/>
        <v>45237</v>
      </c>
      <c r="B570" s="2" vm="6878">
        <f ca="1"/>
        <v>15.1</v>
      </c>
      <c r="C570" s="2" vm="8070">
        <f ca="1"/>
        <v>15.17</v>
      </c>
      <c r="D570" s="2" vm="7912">
        <f ca="1"/>
        <v>14.71</v>
      </c>
      <c r="E570" s="2" vm="8025">
        <f ca="1"/>
        <v>14.81</v>
      </c>
    </row>
    <row r="571" spans="1:5" x14ac:dyDescent="0.2">
      <c r="A571" s="1" vm="2896">
        <f ca="1"/>
        <v>45238</v>
      </c>
      <c r="B571" s="2" vm="7866">
        <f ca="1"/>
        <v>14.91</v>
      </c>
      <c r="C571" s="2" vm="8071">
        <f ca="1"/>
        <v>15.09</v>
      </c>
      <c r="D571" s="2" vm="7964">
        <f ca="1"/>
        <v>14.3</v>
      </c>
      <c r="E571" s="2" vm="8014">
        <f ca="1"/>
        <v>14.45</v>
      </c>
    </row>
    <row r="572" spans="1:5" x14ac:dyDescent="0.2">
      <c r="A572" s="1" vm="2900">
        <f ca="1"/>
        <v>45239</v>
      </c>
      <c r="B572" s="2" vm="7884">
        <f ca="1"/>
        <v>14.61</v>
      </c>
      <c r="C572" s="2" vm="6864">
        <f ca="1"/>
        <v>15.57</v>
      </c>
      <c r="D572" s="2" vm="8024">
        <f ca="1"/>
        <v>14.13</v>
      </c>
      <c r="E572" s="2" vm="6868">
        <f ca="1"/>
        <v>15.29</v>
      </c>
    </row>
    <row r="573" spans="1:5" x14ac:dyDescent="0.2">
      <c r="A573" s="1" vm="2906">
        <f ca="1"/>
        <v>45240</v>
      </c>
      <c r="B573" s="2" vm="8071">
        <f ca="1"/>
        <v>15.09</v>
      </c>
      <c r="C573" s="2" vm="8009">
        <f ca="1"/>
        <v>15.45</v>
      </c>
      <c r="D573" s="2" vm="7969">
        <f ca="1"/>
        <v>14.16</v>
      </c>
      <c r="E573" s="2" vm="8030">
        <f ca="1"/>
        <v>14.17</v>
      </c>
    </row>
    <row r="574" spans="1:5" x14ac:dyDescent="0.2">
      <c r="A574" s="1" vm="2911">
        <f ca="1"/>
        <v>45243</v>
      </c>
      <c r="B574" s="2" vm="8072">
        <f ca="1"/>
        <v>15.16</v>
      </c>
      <c r="C574" s="2" vm="8073">
        <f ca="1"/>
        <v>15.19</v>
      </c>
      <c r="D574" s="2" vm="8074">
        <f ca="1"/>
        <v>14.58</v>
      </c>
      <c r="E574" s="2" vm="8075">
        <f ca="1"/>
        <v>14.76</v>
      </c>
    </row>
    <row r="575" spans="1:5" x14ac:dyDescent="0.2">
      <c r="A575" s="1" vm="2915">
        <f ca="1"/>
        <v>45244</v>
      </c>
      <c r="B575" s="2" vm="7939">
        <f ca="1"/>
        <v>14.83</v>
      </c>
      <c r="C575" s="2" vm="8076">
        <f ca="1"/>
        <v>14.86</v>
      </c>
      <c r="D575" s="2" vm="7966">
        <f ca="1"/>
        <v>13.91</v>
      </c>
      <c r="E575" s="2" vm="7969">
        <f ca="1"/>
        <v>14.16</v>
      </c>
    </row>
    <row r="576" spans="1:5" x14ac:dyDescent="0.2">
      <c r="A576" s="1" vm="2919">
        <f ca="1"/>
        <v>45245</v>
      </c>
      <c r="B576" s="2" vm="7874">
        <f ca="1"/>
        <v>14.21</v>
      </c>
      <c r="C576" s="2" vm="8077">
        <f ca="1"/>
        <v>14.35</v>
      </c>
      <c r="D576" s="2" vm="8078">
        <f ca="1"/>
        <v>13.97</v>
      </c>
      <c r="E576" s="2" vm="7934">
        <f ca="1"/>
        <v>14.18</v>
      </c>
    </row>
    <row r="577" spans="1:5" x14ac:dyDescent="0.2">
      <c r="A577" s="1" vm="2925">
        <f ca="1"/>
        <v>45246</v>
      </c>
      <c r="B577" s="2" vm="8079">
        <f ca="1"/>
        <v>14.12</v>
      </c>
      <c r="C577" s="2" vm="7862">
        <f ca="1"/>
        <v>14.42</v>
      </c>
      <c r="D577" s="2" vm="8080">
        <f ca="1"/>
        <v>13.68</v>
      </c>
      <c r="E577" s="2" vm="7881">
        <f ca="1"/>
        <v>14.32</v>
      </c>
    </row>
    <row r="578" spans="1:5" x14ac:dyDescent="0.2">
      <c r="A578" s="1" vm="2931">
        <f ca="1"/>
        <v>45247</v>
      </c>
      <c r="B578" s="2" vm="7934">
        <f ca="1"/>
        <v>14.18</v>
      </c>
      <c r="C578" s="2" vm="7896">
        <f ca="1"/>
        <v>14.19</v>
      </c>
      <c r="D578" s="2" vm="7953">
        <f ca="1"/>
        <v>13.67</v>
      </c>
      <c r="E578" s="2" vm="7908">
        <f ca="1"/>
        <v>13.8</v>
      </c>
    </row>
    <row r="579" spans="1:5" x14ac:dyDescent="0.2">
      <c r="A579" s="1" vm="2935">
        <f ca="1"/>
        <v>45250</v>
      </c>
      <c r="B579" s="2" vm="8081">
        <f ca="1"/>
        <v>14.26</v>
      </c>
      <c r="C579" s="2" vm="8082">
        <f ca="1"/>
        <v>14.31</v>
      </c>
      <c r="D579" s="2" vm="8032">
        <f ca="1"/>
        <v>13.39</v>
      </c>
      <c r="E579" s="2" vm="7923">
        <f ca="1"/>
        <v>13.41</v>
      </c>
    </row>
    <row r="580" spans="1:5" x14ac:dyDescent="0.2">
      <c r="A580" s="1" vm="2939">
        <f ca="1"/>
        <v>45251</v>
      </c>
      <c r="B580" s="2" vm="8083">
        <f ca="1"/>
        <v>13.45</v>
      </c>
      <c r="C580" s="2" vm="8082">
        <f ca="1"/>
        <v>14.31</v>
      </c>
      <c r="D580" s="2" vm="8084">
        <f ca="1"/>
        <v>13.13</v>
      </c>
      <c r="E580" s="2" vm="8085">
        <f ca="1"/>
        <v>13.35</v>
      </c>
    </row>
    <row r="581" spans="1:5" x14ac:dyDescent="0.2">
      <c r="A581" s="1" vm="2945">
        <f ca="1"/>
        <v>45252</v>
      </c>
      <c r="B581" s="2" vm="8086">
        <f ca="1"/>
        <v>13.08</v>
      </c>
      <c r="C581" s="2" vm="8087">
        <f ca="1"/>
        <v>13.25</v>
      </c>
      <c r="D581" s="2" vm="8035">
        <f ca="1"/>
        <v>12.82</v>
      </c>
      <c r="E581" s="2" vm="8088">
        <f ca="1"/>
        <v>12.85</v>
      </c>
    </row>
    <row r="582" spans="1:5" x14ac:dyDescent="0.2">
      <c r="A582" s="1" vm="8089">
        <f ca="1"/>
        <v>45253</v>
      </c>
      <c r="B582" s="2" vm="8090">
        <f ca="1"/>
        <v>12.84</v>
      </c>
      <c r="C582" s="2" vm="8091">
        <f ca="1"/>
        <v>12.87</v>
      </c>
      <c r="D582" s="2" vm="8092">
        <f ca="1"/>
        <v>12.75</v>
      </c>
      <c r="E582" s="2" vm="8093">
        <f ca="1"/>
        <v>12.8</v>
      </c>
    </row>
    <row r="583" spans="1:5" x14ac:dyDescent="0.2">
      <c r="A583" s="1" vm="2948">
        <f ca="1"/>
        <v>45254</v>
      </c>
      <c r="B583" s="2" vm="8094">
        <f ca="1"/>
        <v>13.03</v>
      </c>
      <c r="C583" s="2" vm="8095">
        <f ca="1"/>
        <v>13.17</v>
      </c>
      <c r="D583" s="2" vm="8096">
        <f ca="1"/>
        <v>12.45</v>
      </c>
      <c r="E583" s="2" vm="8097">
        <f ca="1"/>
        <v>12.46</v>
      </c>
    </row>
    <row r="584" spans="1:5" x14ac:dyDescent="0.2">
      <c r="A584" s="1" vm="2951">
        <f ca="1"/>
        <v>45257</v>
      </c>
      <c r="B584" s="2" vm="7972">
        <f ca="1"/>
        <v>13.14</v>
      </c>
      <c r="C584" s="2" vm="8098">
        <f ca="1"/>
        <v>13.28</v>
      </c>
      <c r="D584" s="2" vm="8099">
        <f ca="1"/>
        <v>12.64</v>
      </c>
      <c r="E584" s="2" vm="8100">
        <f ca="1"/>
        <v>12.69</v>
      </c>
    </row>
    <row r="585" spans="1:5" x14ac:dyDescent="0.2">
      <c r="A585" s="1" vm="2956">
        <f ca="1"/>
        <v>45258</v>
      </c>
      <c r="B585" s="2" vm="8101">
        <f ca="1"/>
        <v>12.78</v>
      </c>
      <c r="C585" s="2" vm="7964">
        <f ca="1"/>
        <v>14.3</v>
      </c>
      <c r="D585" s="2" vm="8102">
        <f ca="1"/>
        <v>12.56</v>
      </c>
      <c r="E585" s="2" vm="8100">
        <f ca="1"/>
        <v>12.69</v>
      </c>
    </row>
    <row r="586" spans="1:5" x14ac:dyDescent="0.2">
      <c r="A586" s="1" vm="2960">
        <f ca="1"/>
        <v>45259</v>
      </c>
      <c r="B586" s="2" vm="8103">
        <f ca="1"/>
        <v>12.71</v>
      </c>
      <c r="C586" s="2" vm="7902">
        <f ca="1"/>
        <v>13.1</v>
      </c>
      <c r="D586" s="2" vm="8104">
        <f ca="1"/>
        <v>12.48</v>
      </c>
      <c r="E586" s="2" vm="8105">
        <f ca="1"/>
        <v>12.98</v>
      </c>
    </row>
    <row r="587" spans="1:5" x14ac:dyDescent="0.2">
      <c r="A587" s="1" vm="2964">
        <f ca="1"/>
        <v>45260</v>
      </c>
      <c r="B587" s="2" vm="8106">
        <f ca="1"/>
        <v>13.07</v>
      </c>
      <c r="C587" s="2" vm="8032">
        <f ca="1"/>
        <v>13.39</v>
      </c>
      <c r="D587" s="2" vm="8035">
        <f ca="1"/>
        <v>12.82</v>
      </c>
      <c r="E587" s="2" vm="8107">
        <f ca="1"/>
        <v>12.92</v>
      </c>
    </row>
    <row r="588" spans="1:5" x14ac:dyDescent="0.2">
      <c r="A588" s="1" vm="2968">
        <f ca="1"/>
        <v>45261</v>
      </c>
      <c r="B588" s="2" vm="8108">
        <f ca="1"/>
        <v>12.94</v>
      </c>
      <c r="C588" s="2" vm="7925">
        <f ca="1"/>
        <v>12.96</v>
      </c>
      <c r="D588" s="2" vm="8104">
        <f ca="1"/>
        <v>12.48</v>
      </c>
      <c r="E588" s="2" vm="8109">
        <f ca="1"/>
        <v>12.63</v>
      </c>
    </row>
    <row r="589" spans="1:5" x14ac:dyDescent="0.2">
      <c r="A589" s="1" vm="2972">
        <f ca="1"/>
        <v>45264</v>
      </c>
      <c r="B589" s="2" vm="8098">
        <f ca="1"/>
        <v>13.28</v>
      </c>
      <c r="C589" s="2" vm="7931">
        <f ca="1"/>
        <v>13.7</v>
      </c>
      <c r="D589" s="2" vm="8105">
        <f ca="1"/>
        <v>12.98</v>
      </c>
      <c r="E589" s="2" vm="8086">
        <f ca="1"/>
        <v>13.08</v>
      </c>
    </row>
    <row r="590" spans="1:5" x14ac:dyDescent="0.2">
      <c r="A590" s="1" vm="2976">
        <f ca="1"/>
        <v>45265</v>
      </c>
      <c r="B590" s="2" vm="8110">
        <f ca="1"/>
        <v>13.26</v>
      </c>
      <c r="C590" s="2" vm="7949">
        <f ca="1"/>
        <v>13.76</v>
      </c>
      <c r="D590" s="2" vm="8111">
        <f ca="1"/>
        <v>12.81</v>
      </c>
      <c r="E590" s="2" vm="8088">
        <f ca="1"/>
        <v>12.85</v>
      </c>
    </row>
    <row r="591" spans="1:5" x14ac:dyDescent="0.2">
      <c r="A591" s="1" vm="2981">
        <f ca="1"/>
        <v>45266</v>
      </c>
      <c r="B591" s="2" vm="8101">
        <f ca="1"/>
        <v>12.78</v>
      </c>
      <c r="C591" s="2" vm="8094">
        <f ca="1"/>
        <v>13.03</v>
      </c>
      <c r="D591" s="2" vm="8099">
        <f ca="1"/>
        <v>12.64</v>
      </c>
      <c r="E591" s="2" vm="8112">
        <f ca="1"/>
        <v>12.97</v>
      </c>
    </row>
    <row r="592" spans="1:5" x14ac:dyDescent="0.2">
      <c r="A592" s="1" vm="2987">
        <f ca="1"/>
        <v>45267</v>
      </c>
      <c r="B592" s="2" vm="8095">
        <f ca="1"/>
        <v>13.17</v>
      </c>
      <c r="C592" s="2" vm="8098">
        <f ca="1"/>
        <v>13.28</v>
      </c>
      <c r="D592" s="2" vm="8113">
        <f ca="1"/>
        <v>12.95</v>
      </c>
      <c r="E592" s="2" vm="8114">
        <f ca="1"/>
        <v>13.06</v>
      </c>
    </row>
    <row r="593" spans="1:5" x14ac:dyDescent="0.2">
      <c r="A593" s="1" vm="2991">
        <f ca="1"/>
        <v>45268</v>
      </c>
      <c r="B593" s="2" vm="7972">
        <f ca="1"/>
        <v>13.14</v>
      </c>
      <c r="C593" s="2" vm="7907">
        <f ca="1"/>
        <v>13.24</v>
      </c>
      <c r="D593" s="2" vm="8115">
        <f ca="1"/>
        <v>12.35</v>
      </c>
      <c r="E593" s="2" vm="8115">
        <f ca="1"/>
        <v>12.35</v>
      </c>
    </row>
    <row r="594" spans="1:5" x14ac:dyDescent="0.2">
      <c r="A594" s="1" vm="2997">
        <f ca="1"/>
        <v>45271</v>
      </c>
      <c r="B594" s="2" vm="8116">
        <f ca="1"/>
        <v>13.05</v>
      </c>
      <c r="C594" s="2" vm="7972">
        <f ca="1"/>
        <v>13.14</v>
      </c>
      <c r="D594" s="2" vm="8117">
        <f ca="1"/>
        <v>12.61</v>
      </c>
      <c r="E594" s="2" vm="8109">
        <f ca="1"/>
        <v>12.63</v>
      </c>
    </row>
    <row r="595" spans="1:5" x14ac:dyDescent="0.2">
      <c r="A595" s="1" vm="3002">
        <f ca="1"/>
        <v>45272</v>
      </c>
      <c r="B595" s="2" vm="8100">
        <f ca="1"/>
        <v>12.69</v>
      </c>
      <c r="C595" s="2" vm="7973">
        <f ca="1"/>
        <v>12.74</v>
      </c>
      <c r="D595" s="2" vm="8118">
        <f ca="1"/>
        <v>11.81</v>
      </c>
      <c r="E595" s="2" vm="8119">
        <f ca="1"/>
        <v>12.07</v>
      </c>
    </row>
    <row r="596" spans="1:5" x14ac:dyDescent="0.2">
      <c r="A596" s="1" vm="3007">
        <f ca="1"/>
        <v>45273</v>
      </c>
      <c r="B596" s="2" vm="8120">
        <f ca="1"/>
        <v>12.2</v>
      </c>
      <c r="C596" s="2" vm="8097">
        <f ca="1"/>
        <v>12.46</v>
      </c>
      <c r="D596" s="2" vm="8121">
        <f ca="1"/>
        <v>11.82</v>
      </c>
      <c r="E596" s="2" vm="8122">
        <f ca="1"/>
        <v>12.19</v>
      </c>
    </row>
    <row r="597" spans="1:5" x14ac:dyDescent="0.2">
      <c r="A597" s="1" vm="3012">
        <f ca="1"/>
        <v>45274</v>
      </c>
      <c r="B597" s="2" vm="8123">
        <f ca="1"/>
        <v>11.96</v>
      </c>
      <c r="C597" s="2" vm="7973">
        <f ca="1"/>
        <v>12.74</v>
      </c>
      <c r="D597" s="2" vm="8124">
        <f ca="1"/>
        <v>11.84</v>
      </c>
      <c r="E597" s="2" vm="8104">
        <f ca="1"/>
        <v>12.48</v>
      </c>
    </row>
    <row r="598" spans="1:5" x14ac:dyDescent="0.2">
      <c r="A598" s="1" vm="3017">
        <f ca="1"/>
        <v>45275</v>
      </c>
      <c r="B598" s="2" vm="8125">
        <f ca="1"/>
        <v>12.12</v>
      </c>
      <c r="C598" s="2" vm="8126">
        <f ca="1"/>
        <v>12.54</v>
      </c>
      <c r="D598" s="2" vm="8127">
        <f ca="1"/>
        <v>12.01</v>
      </c>
      <c r="E598" s="2" vm="8128">
        <f ca="1"/>
        <v>12.28</v>
      </c>
    </row>
    <row r="599" spans="1:5" x14ac:dyDescent="0.2">
      <c r="A599" s="1" vm="3023">
        <f ca="1"/>
        <v>45278</v>
      </c>
      <c r="B599" s="2" vm="8129">
        <f ca="1"/>
        <v>12.62</v>
      </c>
      <c r="C599" s="2" vm="8099">
        <f ca="1"/>
        <v>12.64</v>
      </c>
      <c r="D599" s="2" vm="8130">
        <f ca="1"/>
        <v>12.4</v>
      </c>
      <c r="E599" s="2" vm="8102">
        <f ca="1"/>
        <v>12.56</v>
      </c>
    </row>
    <row r="600" spans="1:5" x14ac:dyDescent="0.2">
      <c r="A600" s="1" vm="3028">
        <f ca="1"/>
        <v>45279</v>
      </c>
      <c r="B600" s="2" vm="8131">
        <f ca="1"/>
        <v>12.6</v>
      </c>
      <c r="C600" s="2" vm="8131">
        <f ca="1"/>
        <v>12.6</v>
      </c>
      <c r="D600" s="2" vm="8132">
        <f ca="1"/>
        <v>12.33</v>
      </c>
      <c r="E600" s="2" vm="8133">
        <f ca="1"/>
        <v>12.53</v>
      </c>
    </row>
    <row r="601" spans="1:5" x14ac:dyDescent="0.2">
      <c r="A601" s="1" vm="3033">
        <f ca="1"/>
        <v>45280</v>
      </c>
      <c r="B601" s="2" vm="8109">
        <f ca="1"/>
        <v>12.63</v>
      </c>
      <c r="C601" s="2" vm="7980">
        <f ca="1"/>
        <v>13.93</v>
      </c>
      <c r="D601" s="2" vm="8134">
        <f ca="1"/>
        <v>12.29</v>
      </c>
      <c r="E601" s="2" vm="7953">
        <f ca="1"/>
        <v>13.67</v>
      </c>
    </row>
    <row r="602" spans="1:5" x14ac:dyDescent="0.2">
      <c r="A602" s="1" vm="3038">
        <f ca="1"/>
        <v>45281</v>
      </c>
      <c r="B602" s="2" vm="8135">
        <f ca="1"/>
        <v>13.4</v>
      </c>
      <c r="C602" s="2" vm="7891">
        <f ca="1"/>
        <v>14.49</v>
      </c>
      <c r="D602" s="2" vm="7951">
        <f ca="1"/>
        <v>13.34</v>
      </c>
      <c r="E602" s="2" vm="7876">
        <f ca="1"/>
        <v>13.65</v>
      </c>
    </row>
    <row r="603" spans="1:5" x14ac:dyDescent="0.2">
      <c r="A603" s="1" vm="3043">
        <f ca="1"/>
        <v>45282</v>
      </c>
      <c r="B603" s="2" vm="7948">
        <f ca="1"/>
        <v>13.72</v>
      </c>
      <c r="C603" s="2" vm="7869">
        <f ca="1"/>
        <v>13.96</v>
      </c>
      <c r="D603" s="2" vm="8136">
        <f ca="1"/>
        <v>13</v>
      </c>
      <c r="E603" s="2" vm="8094">
        <f ca="1"/>
        <v>13.03</v>
      </c>
    </row>
    <row r="604" spans="1:5" x14ac:dyDescent="0.2">
      <c r="A604" s="1" vm="3047">
        <f ca="1"/>
        <v>45286</v>
      </c>
      <c r="B604" s="2" vm="7872">
        <f ca="1"/>
        <v>13.77</v>
      </c>
      <c r="C604" s="2" vm="7908">
        <f ca="1"/>
        <v>13.8</v>
      </c>
      <c r="D604" s="2" vm="7925">
        <f ca="1"/>
        <v>12.96</v>
      </c>
      <c r="E604" s="2" vm="8137">
        <f ca="1"/>
        <v>12.99</v>
      </c>
    </row>
    <row r="605" spans="1:5" x14ac:dyDescent="0.2">
      <c r="A605" s="1" vm="3052">
        <f ca="1"/>
        <v>45287</v>
      </c>
      <c r="B605" s="2" vm="8018">
        <f ca="1"/>
        <v>13.02</v>
      </c>
      <c r="C605" s="2" vm="8138">
        <f ca="1"/>
        <v>13.04</v>
      </c>
      <c r="D605" s="2" vm="8139">
        <f ca="1"/>
        <v>12.37</v>
      </c>
      <c r="E605" s="2" vm="8140">
        <f ca="1"/>
        <v>12.43</v>
      </c>
    </row>
    <row r="606" spans="1:5" x14ac:dyDescent="0.2">
      <c r="A606" s="1" vm="3057">
        <f ca="1"/>
        <v>45288</v>
      </c>
      <c r="B606" s="2" vm="8141">
        <f ca="1"/>
        <v>12.44</v>
      </c>
      <c r="C606" s="2" vm="8142">
        <f ca="1"/>
        <v>12.65</v>
      </c>
      <c r="D606" s="2" vm="8143">
        <f ca="1"/>
        <v>12.38</v>
      </c>
      <c r="E606" s="2" vm="8144">
        <f ca="1"/>
        <v>12.47</v>
      </c>
    </row>
    <row r="607" spans="1:5" x14ac:dyDescent="0.2">
      <c r="A607" s="1" vm="3062">
        <f ca="1"/>
        <v>45289</v>
      </c>
      <c r="B607" s="2" vm="8145">
        <f ca="1"/>
        <v>12.55</v>
      </c>
      <c r="C607" s="2" vm="7971">
        <f ca="1"/>
        <v>13.19</v>
      </c>
      <c r="D607" s="2" vm="8146">
        <f ca="1"/>
        <v>12.36</v>
      </c>
      <c r="E607" s="2" vm="8096">
        <f ca="1"/>
        <v>12.45</v>
      </c>
    </row>
    <row r="608" spans="1:5" x14ac:dyDescent="0.2">
      <c r="A608" s="1" vm="3066">
        <f ca="1"/>
        <v>45293</v>
      </c>
      <c r="B608" s="2" vm="7950">
        <f ca="1"/>
        <v>13.22</v>
      </c>
      <c r="C608" s="2" vm="7958">
        <f ca="1"/>
        <v>14.23</v>
      </c>
      <c r="D608" s="2" vm="7902">
        <f ca="1"/>
        <v>13.1</v>
      </c>
      <c r="E608" s="2" vm="7903">
        <f ca="1"/>
        <v>13.2</v>
      </c>
    </row>
    <row r="609" spans="1:5" x14ac:dyDescent="0.2">
      <c r="A609" s="1" vm="3070">
        <f ca="1"/>
        <v>45294</v>
      </c>
      <c r="B609" s="2" vm="8085">
        <f ca="1"/>
        <v>13.35</v>
      </c>
      <c r="C609" s="2" vm="8028">
        <f ca="1"/>
        <v>14.22</v>
      </c>
      <c r="D609" s="2" vm="7977">
        <f ca="1"/>
        <v>13.33</v>
      </c>
      <c r="E609" s="2" vm="8147">
        <f ca="1"/>
        <v>14.04</v>
      </c>
    </row>
    <row r="610" spans="1:5" x14ac:dyDescent="0.2">
      <c r="A610" s="1" vm="3075">
        <f ca="1"/>
        <v>45295</v>
      </c>
      <c r="B610" s="2" vm="7980">
        <f ca="1"/>
        <v>13.93</v>
      </c>
      <c r="C610" s="2" vm="8148">
        <f ca="1"/>
        <v>14.2</v>
      </c>
      <c r="D610" s="2" vm="7921">
        <f ca="1"/>
        <v>13.64</v>
      </c>
      <c r="E610" s="2" vm="8024">
        <f ca="1"/>
        <v>14.13</v>
      </c>
    </row>
    <row r="611" spans="1:5" x14ac:dyDescent="0.2">
      <c r="A611" s="1" vm="3081">
        <f ca="1"/>
        <v>45296</v>
      </c>
      <c r="B611" s="2" vm="8149">
        <f ca="1"/>
        <v>14.24</v>
      </c>
      <c r="C611" s="2" vm="8074">
        <f ca="1"/>
        <v>14.58</v>
      </c>
      <c r="D611" s="2" vm="7954">
        <f ca="1"/>
        <v>13.29</v>
      </c>
      <c r="E611" s="2" vm="8085">
        <f ca="1"/>
        <v>13.35</v>
      </c>
    </row>
    <row r="612" spans="1:5" x14ac:dyDescent="0.2">
      <c r="A612" s="1" vm="3087">
        <f ca="1"/>
        <v>45299</v>
      </c>
      <c r="B612" s="2" vm="7952">
        <f ca="1"/>
        <v>14</v>
      </c>
      <c r="C612" s="2" vm="7934">
        <f ca="1"/>
        <v>14.18</v>
      </c>
      <c r="D612" s="2" vm="8018">
        <f ca="1"/>
        <v>13.02</v>
      </c>
      <c r="E612" s="2" vm="8086">
        <f ca="1"/>
        <v>13.08</v>
      </c>
    </row>
    <row r="613" spans="1:5" x14ac:dyDescent="0.2">
      <c r="A613" s="1" vm="3092">
        <f ca="1"/>
        <v>45300</v>
      </c>
      <c r="B613" s="2" vm="7903">
        <f ca="1"/>
        <v>13.2</v>
      </c>
      <c r="C613" s="2" vm="8083">
        <f ca="1"/>
        <v>13.45</v>
      </c>
      <c r="D613" s="2" vm="7973">
        <f ca="1"/>
        <v>12.74</v>
      </c>
      <c r="E613" s="2" vm="8150">
        <f ca="1"/>
        <v>12.76</v>
      </c>
    </row>
    <row r="614" spans="1:5" x14ac:dyDescent="0.2">
      <c r="A614" s="1" vm="3098">
        <f ca="1"/>
        <v>45301</v>
      </c>
      <c r="B614" s="2" vm="8151">
        <f ca="1"/>
        <v>12.86</v>
      </c>
      <c r="C614" s="2" vm="8113">
        <f ca="1"/>
        <v>12.95</v>
      </c>
      <c r="D614" s="2" vm="8152">
        <f ca="1"/>
        <v>12.67</v>
      </c>
      <c r="E614" s="2" vm="8100">
        <f ca="1"/>
        <v>12.69</v>
      </c>
    </row>
    <row r="615" spans="1:5" x14ac:dyDescent="0.2">
      <c r="A615" s="1" vm="3104">
        <f ca="1"/>
        <v>45302</v>
      </c>
      <c r="B615" s="2" vm="8099">
        <f ca="1"/>
        <v>12.64</v>
      </c>
      <c r="C615" s="2" vm="8153">
        <f ca="1"/>
        <v>13.31</v>
      </c>
      <c r="D615" s="2" vm="8115">
        <f ca="1"/>
        <v>12.35</v>
      </c>
      <c r="E615" s="2" vm="8141">
        <f ca="1"/>
        <v>12.44</v>
      </c>
    </row>
    <row r="616" spans="1:5" x14ac:dyDescent="0.2">
      <c r="A616" s="1" vm="3107">
        <f ca="1"/>
        <v>45303</v>
      </c>
      <c r="B616" s="2" vm="8154">
        <f ca="1"/>
        <v>12.66</v>
      </c>
      <c r="C616" s="2" vm="8086">
        <f ca="1"/>
        <v>13.08</v>
      </c>
      <c r="D616" s="2" vm="8144">
        <f ca="1"/>
        <v>12.47</v>
      </c>
      <c r="E616" s="2" vm="8036">
        <f ca="1"/>
        <v>12.7</v>
      </c>
    </row>
    <row r="617" spans="1:5" x14ac:dyDescent="0.2">
      <c r="A617" s="1" vm="8155">
        <f ca="1"/>
        <v>45306</v>
      </c>
      <c r="B617" s="2" vm="8156">
        <f ca="1"/>
        <v>13.23</v>
      </c>
      <c r="C617" s="2" vm="7951">
        <f ca="1"/>
        <v>13.34</v>
      </c>
      <c r="D617" s="2" vm="7903">
        <f ca="1"/>
        <v>13.2</v>
      </c>
      <c r="E617" s="2" vm="8087">
        <f ca="1"/>
        <v>13.25</v>
      </c>
    </row>
    <row r="618" spans="1:5" x14ac:dyDescent="0.2">
      <c r="A618" s="1" vm="3112">
        <f ca="1"/>
        <v>45307</v>
      </c>
      <c r="B618" s="2" vm="8079">
        <f ca="1"/>
        <v>14.12</v>
      </c>
      <c r="C618" s="2" vm="8077">
        <f ca="1"/>
        <v>14.35</v>
      </c>
      <c r="D618" s="2" vm="7930">
        <f ca="1"/>
        <v>13.52</v>
      </c>
      <c r="E618" s="2" vm="7957">
        <f ca="1"/>
        <v>13.84</v>
      </c>
    </row>
    <row r="619" spans="1:5" x14ac:dyDescent="0.2">
      <c r="A619" s="1" vm="3118">
        <f ca="1"/>
        <v>45308</v>
      </c>
      <c r="B619" s="2" vm="8157">
        <f ca="1"/>
        <v>14.59</v>
      </c>
      <c r="C619" s="2" vm="8158">
        <f ca="1"/>
        <v>15.4</v>
      </c>
      <c r="D619" s="2" vm="8159">
        <f ca="1"/>
        <v>14.38</v>
      </c>
      <c r="E619" s="2" vm="7936">
        <f ca="1"/>
        <v>14.79</v>
      </c>
    </row>
    <row r="620" spans="1:5" x14ac:dyDescent="0.2">
      <c r="A620" s="1" vm="3123">
        <f ca="1"/>
        <v>45309</v>
      </c>
      <c r="B620" s="2" vm="7935">
        <f ca="1"/>
        <v>14.85</v>
      </c>
      <c r="C620" s="2" vm="8069">
        <f ca="1"/>
        <v>14.89</v>
      </c>
      <c r="D620" s="2" vm="7901">
        <f ca="1"/>
        <v>13.89</v>
      </c>
      <c r="E620" s="2" vm="8024">
        <f ca="1"/>
        <v>14.13</v>
      </c>
    </row>
    <row r="621" spans="1:5" x14ac:dyDescent="0.2">
      <c r="A621" s="1" vm="3126">
        <f ca="1"/>
        <v>45310</v>
      </c>
      <c r="B621" s="2" vm="7908">
        <f ca="1"/>
        <v>13.8</v>
      </c>
      <c r="C621" s="2" vm="8074">
        <f ca="1"/>
        <v>14.58</v>
      </c>
      <c r="D621" s="2" vm="8098">
        <f ca="1"/>
        <v>13.28</v>
      </c>
      <c r="E621" s="2" vm="7955">
        <f ca="1"/>
        <v>13.3</v>
      </c>
    </row>
    <row r="622" spans="1:5" x14ac:dyDescent="0.2">
      <c r="A622" s="1" vm="3131">
        <f ca="1"/>
        <v>45313</v>
      </c>
      <c r="B622" s="2" vm="7872">
        <f ca="1"/>
        <v>13.77</v>
      </c>
      <c r="C622" s="2" vm="7957">
        <f ca="1"/>
        <v>13.84</v>
      </c>
      <c r="D622" s="2" vm="8095">
        <f ca="1"/>
        <v>13.17</v>
      </c>
      <c r="E622" s="2" vm="7971">
        <f ca="1"/>
        <v>13.19</v>
      </c>
    </row>
    <row r="623" spans="1:5" x14ac:dyDescent="0.2">
      <c r="A623" s="1" vm="3137">
        <f ca="1"/>
        <v>45314</v>
      </c>
      <c r="B623" s="2" vm="7903">
        <f ca="1"/>
        <v>13.2</v>
      </c>
      <c r="C623" s="2" vm="7954">
        <f ca="1"/>
        <v>13.29</v>
      </c>
      <c r="D623" s="2" vm="8133">
        <f ca="1"/>
        <v>12.53</v>
      </c>
      <c r="E623" s="2" vm="8145">
        <f ca="1"/>
        <v>12.55</v>
      </c>
    </row>
    <row r="624" spans="1:5" x14ac:dyDescent="0.2">
      <c r="A624" s="1" vm="3143">
        <f ca="1"/>
        <v>45315</v>
      </c>
      <c r="B624" s="2" vm="8154">
        <f ca="1"/>
        <v>12.66</v>
      </c>
      <c r="C624" s="2" vm="8160">
        <f ca="1"/>
        <v>13.18</v>
      </c>
      <c r="D624" s="2" vm="8161">
        <f ca="1"/>
        <v>12.41</v>
      </c>
      <c r="E624" s="2" vm="7972">
        <f ca="1"/>
        <v>13.14</v>
      </c>
    </row>
    <row r="625" spans="1:5" x14ac:dyDescent="0.2">
      <c r="A625" s="1" vm="3148">
        <f ca="1"/>
        <v>45316</v>
      </c>
      <c r="B625" s="2" vm="8160">
        <f ca="1"/>
        <v>13.18</v>
      </c>
      <c r="C625" s="2" vm="7959">
        <f ca="1"/>
        <v>13.58</v>
      </c>
      <c r="D625" s="2" vm="8114">
        <f ca="1"/>
        <v>13.06</v>
      </c>
      <c r="E625" s="2" vm="8083">
        <f ca="1"/>
        <v>13.45</v>
      </c>
    </row>
    <row r="626" spans="1:5" x14ac:dyDescent="0.2">
      <c r="A626" s="1" vm="3153">
        <f ca="1"/>
        <v>45317</v>
      </c>
      <c r="B626" s="2" vm="7965">
        <f ca="1"/>
        <v>13.73</v>
      </c>
      <c r="C626" s="2" vm="8162">
        <f ca="1"/>
        <v>14.1</v>
      </c>
      <c r="D626" s="2" vm="7903">
        <f ca="1"/>
        <v>13.2</v>
      </c>
      <c r="E626" s="2" vm="8110">
        <f ca="1"/>
        <v>13.26</v>
      </c>
    </row>
    <row r="627" spans="1:5" x14ac:dyDescent="0.2">
      <c r="A627" s="1" vm="3157">
        <f ca="1"/>
        <v>45320</v>
      </c>
      <c r="B627" s="2" vm="7904">
        <f ca="1"/>
        <v>13.98</v>
      </c>
      <c r="C627" s="2" vm="6872">
        <f ca="1"/>
        <v>15.35</v>
      </c>
      <c r="D627" s="2" vm="7916">
        <f ca="1"/>
        <v>13.59</v>
      </c>
      <c r="E627" s="2" vm="7963">
        <f ca="1"/>
        <v>13.6</v>
      </c>
    </row>
    <row r="628" spans="1:5" x14ac:dyDescent="0.2">
      <c r="A628" s="1" vm="3162">
        <f ca="1"/>
        <v>45321</v>
      </c>
      <c r="B628" s="2" vm="8163">
        <f ca="1"/>
        <v>13.69</v>
      </c>
      <c r="C628" s="2" vm="7917">
        <f ca="1"/>
        <v>13.74</v>
      </c>
      <c r="D628" s="2" vm="8156">
        <f ca="1"/>
        <v>13.23</v>
      </c>
      <c r="E628" s="2" vm="8153">
        <f ca="1"/>
        <v>13.31</v>
      </c>
    </row>
    <row r="629" spans="1:5" x14ac:dyDescent="0.2">
      <c r="A629" s="1" vm="3167">
        <f ca="1"/>
        <v>45322</v>
      </c>
      <c r="B629" s="2" vm="8164">
        <f ca="1"/>
        <v>13.42</v>
      </c>
      <c r="C629" s="2" vm="7884">
        <f ca="1"/>
        <v>14.61</v>
      </c>
      <c r="D629" s="2" vm="8160">
        <f ca="1"/>
        <v>13.18</v>
      </c>
      <c r="E629" s="2" vm="8077">
        <f ca="1"/>
        <v>14.35</v>
      </c>
    </row>
    <row r="630" spans="1:5" x14ac:dyDescent="0.2">
      <c r="A630" s="1" vm="3172">
        <f ca="1"/>
        <v>45323</v>
      </c>
      <c r="B630" s="2" vm="7874">
        <f ca="1"/>
        <v>14.21</v>
      </c>
      <c r="C630" s="2" vm="7944">
        <f ca="1"/>
        <v>14.63</v>
      </c>
      <c r="D630" s="2" vm="7961">
        <f ca="1"/>
        <v>13.87</v>
      </c>
      <c r="E630" s="2" vm="7886">
        <f ca="1"/>
        <v>13.88</v>
      </c>
    </row>
    <row r="631" spans="1:5" x14ac:dyDescent="0.2">
      <c r="A631" s="1" vm="3176">
        <f ca="1"/>
        <v>45324</v>
      </c>
      <c r="B631" s="2" vm="7868">
        <f ca="1"/>
        <v>13.95</v>
      </c>
      <c r="C631" s="2" vm="7958">
        <f ca="1"/>
        <v>14.23</v>
      </c>
      <c r="D631" s="2" vm="8032">
        <f ca="1"/>
        <v>13.39</v>
      </c>
      <c r="E631" s="2" vm="7922">
        <f ca="1"/>
        <v>13.85</v>
      </c>
    </row>
    <row r="632" spans="1:5" x14ac:dyDescent="0.2">
      <c r="A632" s="1" vm="3181">
        <f ca="1"/>
        <v>45327</v>
      </c>
      <c r="B632" s="2" vm="8165">
        <f ca="1"/>
        <v>14.37</v>
      </c>
      <c r="C632" s="2" vm="8015">
        <f ca="1"/>
        <v>14.53</v>
      </c>
      <c r="D632" s="2" vm="7959">
        <f ca="1"/>
        <v>13.58</v>
      </c>
      <c r="E632" s="2" vm="7953">
        <f ca="1"/>
        <v>13.67</v>
      </c>
    </row>
    <row r="633" spans="1:5" x14ac:dyDescent="0.2">
      <c r="A633" s="1" vm="3185">
        <f ca="1"/>
        <v>45328</v>
      </c>
      <c r="B633" s="2" vm="7927">
        <f ca="1"/>
        <v>13.57</v>
      </c>
      <c r="C633" s="2" vm="7877">
        <f ca="1"/>
        <v>13.78</v>
      </c>
      <c r="D633" s="2" vm="8105">
        <f ca="1"/>
        <v>12.98</v>
      </c>
      <c r="E633" s="2" vm="8114">
        <f ca="1"/>
        <v>13.06</v>
      </c>
    </row>
    <row r="634" spans="1:5" x14ac:dyDescent="0.2">
      <c r="A634" s="1" vm="3191">
        <f ca="1"/>
        <v>45329</v>
      </c>
      <c r="B634" s="2" vm="8114">
        <f ca="1"/>
        <v>13.06</v>
      </c>
      <c r="C634" s="2" vm="8084">
        <f ca="1"/>
        <v>13.13</v>
      </c>
      <c r="D634" s="2" vm="8111">
        <f ca="1"/>
        <v>12.81</v>
      </c>
      <c r="E634" s="2" vm="8166">
        <f ca="1"/>
        <v>12.83</v>
      </c>
    </row>
    <row r="635" spans="1:5" x14ac:dyDescent="0.2">
      <c r="A635" s="1" vm="3196">
        <f ca="1"/>
        <v>45330</v>
      </c>
      <c r="B635" s="2" vm="8113">
        <f ca="1"/>
        <v>12.95</v>
      </c>
      <c r="C635" s="2" vm="8095">
        <f ca="1"/>
        <v>13.17</v>
      </c>
      <c r="D635" s="2" vm="7973">
        <f ca="1"/>
        <v>12.74</v>
      </c>
      <c r="E635" s="2" vm="8034">
        <f ca="1"/>
        <v>12.79</v>
      </c>
    </row>
    <row r="636" spans="1:5" x14ac:dyDescent="0.2">
      <c r="A636" s="1" vm="3200">
        <f ca="1"/>
        <v>45331</v>
      </c>
      <c r="B636" s="2" vm="8034">
        <f ca="1"/>
        <v>12.79</v>
      </c>
      <c r="C636" s="2" vm="8167">
        <f ca="1"/>
        <v>13.01</v>
      </c>
      <c r="D636" s="2" vm="8100">
        <f ca="1"/>
        <v>12.69</v>
      </c>
      <c r="E636" s="2" vm="8168">
        <f ca="1"/>
        <v>12.93</v>
      </c>
    </row>
    <row r="637" spans="1:5" x14ac:dyDescent="0.2">
      <c r="A637" s="1" vm="3204">
        <f ca="1"/>
        <v>45334</v>
      </c>
      <c r="B637" s="2" vm="7893">
        <f ca="1"/>
        <v>13.48</v>
      </c>
      <c r="C637" s="2" vm="7873">
        <f ca="1"/>
        <v>13.94</v>
      </c>
      <c r="D637" s="2" vm="7951">
        <f ca="1"/>
        <v>13.34</v>
      </c>
      <c r="E637" s="2" vm="7980">
        <f ca="1"/>
        <v>13.93</v>
      </c>
    </row>
    <row r="638" spans="1:5" x14ac:dyDescent="0.2">
      <c r="A638" s="1" vm="3208">
        <f ca="1"/>
        <v>45335</v>
      </c>
      <c r="B638" s="2" vm="7869">
        <f ca="1"/>
        <v>13.96</v>
      </c>
      <c r="C638" s="2" vm="6766">
        <f ca="1"/>
        <v>17.940000000000001</v>
      </c>
      <c r="D638" s="2" vm="7920">
        <f ca="1"/>
        <v>13.43</v>
      </c>
      <c r="E638" s="2" vm="7848">
        <f ca="1"/>
        <v>15.85</v>
      </c>
    </row>
    <row r="639" spans="1:5" x14ac:dyDescent="0.2">
      <c r="A639" s="1" vm="3214">
        <f ca="1"/>
        <v>45336</v>
      </c>
      <c r="B639" s="2" vm="7991">
        <f ca="1"/>
        <v>15.38</v>
      </c>
      <c r="C639" s="2" vm="8169">
        <f ca="1"/>
        <v>15.47</v>
      </c>
      <c r="D639" s="2" vm="8028">
        <f ca="1"/>
        <v>14.22</v>
      </c>
      <c r="E639" s="2" vm="8159">
        <f ca="1"/>
        <v>14.38</v>
      </c>
    </row>
    <row r="640" spans="1:5" x14ac:dyDescent="0.2">
      <c r="A640" s="1" vm="3218">
        <f ca="1"/>
        <v>45337</v>
      </c>
      <c r="B640" s="2" vm="8023">
        <f ca="1"/>
        <v>14.27</v>
      </c>
      <c r="C640" s="2" vm="8170">
        <f ca="1"/>
        <v>14.64</v>
      </c>
      <c r="D640" s="2" vm="7873">
        <f ca="1"/>
        <v>13.94</v>
      </c>
      <c r="E640" s="2" vm="7897">
        <f ca="1"/>
        <v>14.01</v>
      </c>
    </row>
    <row r="641" spans="1:5" x14ac:dyDescent="0.2">
      <c r="A641" s="1" vm="3222">
        <f ca="1"/>
        <v>45338</v>
      </c>
      <c r="B641" s="2" vm="7873">
        <f ca="1"/>
        <v>13.94</v>
      </c>
      <c r="C641" s="2" vm="7912">
        <f ca="1"/>
        <v>14.71</v>
      </c>
      <c r="D641" s="2" vm="7979">
        <f ca="1"/>
        <v>13.75</v>
      </c>
      <c r="E641" s="2" vm="8149">
        <f ca="1"/>
        <v>14.24</v>
      </c>
    </row>
    <row r="642" spans="1:5" x14ac:dyDescent="0.2">
      <c r="A642" s="1" vm="8171">
        <f ca="1"/>
        <v>45341</v>
      </c>
      <c r="B642" s="2" vm="8172">
        <f ca="1"/>
        <v>14.72</v>
      </c>
      <c r="C642" s="2" vm="8173">
        <f ca="1"/>
        <v>14.78</v>
      </c>
      <c r="D642" s="2" vm="8174">
        <f ca="1"/>
        <v>14.65</v>
      </c>
      <c r="E642" s="2" vm="7912">
        <f ca="1"/>
        <v>14.71</v>
      </c>
    </row>
    <row r="643" spans="1:5" x14ac:dyDescent="0.2">
      <c r="A643" s="1" vm="3228">
        <f ca="1"/>
        <v>45342</v>
      </c>
      <c r="B643" s="2" vm="8071">
        <f ca="1"/>
        <v>15.09</v>
      </c>
      <c r="C643" s="2" vm="6740">
        <f ca="1"/>
        <v>15.91</v>
      </c>
      <c r="D643" s="2" vm="7942">
        <f ca="1"/>
        <v>15.07</v>
      </c>
      <c r="E643" s="2" vm="8175">
        <f ca="1"/>
        <v>15.42</v>
      </c>
    </row>
    <row r="644" spans="1:5" x14ac:dyDescent="0.2">
      <c r="A644" s="1" vm="3233">
        <f ca="1"/>
        <v>45343</v>
      </c>
      <c r="B644" s="2" vm="6883">
        <f ca="1"/>
        <v>15.54</v>
      </c>
      <c r="C644" s="2" vm="8176">
        <f ca="1"/>
        <v>16.12</v>
      </c>
      <c r="D644" s="2" vm="8177">
        <f ca="1"/>
        <v>15.22</v>
      </c>
      <c r="E644" s="2" vm="8178">
        <f ca="1"/>
        <v>15.34</v>
      </c>
    </row>
    <row r="645" spans="1:5" x14ac:dyDescent="0.2">
      <c r="A645" s="1" vm="3239">
        <f ca="1"/>
        <v>45344</v>
      </c>
      <c r="B645" s="2" vm="8179">
        <f ca="1"/>
        <v>14.28</v>
      </c>
      <c r="C645" s="2" vm="8170">
        <f ca="1"/>
        <v>14.64</v>
      </c>
      <c r="D645" s="2" vm="8079">
        <f ca="1"/>
        <v>14.12</v>
      </c>
      <c r="E645" s="2" vm="7892">
        <f ca="1"/>
        <v>14.54</v>
      </c>
    </row>
    <row r="646" spans="1:5" x14ac:dyDescent="0.2">
      <c r="A646" s="1" vm="3245">
        <f ca="1"/>
        <v>45345</v>
      </c>
      <c r="B646" s="2" vm="8082">
        <f ca="1"/>
        <v>14.31</v>
      </c>
      <c r="C646" s="2" vm="8082">
        <f ca="1"/>
        <v>14.31</v>
      </c>
      <c r="D646" s="2" vm="7921">
        <f ca="1"/>
        <v>13.64</v>
      </c>
      <c r="E646" s="2" vm="7979">
        <f ca="1"/>
        <v>13.75</v>
      </c>
    </row>
    <row r="647" spans="1:5" x14ac:dyDescent="0.2">
      <c r="A647" s="1" vm="3249">
        <f ca="1"/>
        <v>45348</v>
      </c>
      <c r="B647" s="2" vm="8030">
        <f ca="1"/>
        <v>14.17</v>
      </c>
      <c r="C647" s="2" vm="8148">
        <f ca="1"/>
        <v>14.2</v>
      </c>
      <c r="D647" s="2" vm="8180">
        <f ca="1"/>
        <v>13.66</v>
      </c>
      <c r="E647" s="2" vm="7917">
        <f ca="1"/>
        <v>13.74</v>
      </c>
    </row>
    <row r="648" spans="1:5" x14ac:dyDescent="0.2">
      <c r="A648" s="1" vm="3253">
        <f ca="1"/>
        <v>45349</v>
      </c>
      <c r="B648" s="2" vm="7978">
        <f ca="1"/>
        <v>13.63</v>
      </c>
      <c r="C648" s="2" vm="7979">
        <f ca="1"/>
        <v>13.75</v>
      </c>
      <c r="D648" s="2" vm="7923">
        <f ca="1"/>
        <v>13.41</v>
      </c>
      <c r="E648" s="2" vm="7920">
        <f ca="1"/>
        <v>13.43</v>
      </c>
    </row>
    <row r="649" spans="1:5" x14ac:dyDescent="0.2">
      <c r="A649" s="1" vm="3257">
        <f ca="1"/>
        <v>45350</v>
      </c>
      <c r="B649" s="2" vm="7930">
        <f ca="1"/>
        <v>13.52</v>
      </c>
      <c r="C649" s="2" vm="7918">
        <f ca="1"/>
        <v>13.9</v>
      </c>
      <c r="D649" s="2" vm="7910">
        <f ca="1"/>
        <v>13.44</v>
      </c>
      <c r="E649" s="2" vm="7957">
        <f ca="1"/>
        <v>13.84</v>
      </c>
    </row>
    <row r="650" spans="1:5" x14ac:dyDescent="0.2">
      <c r="A650" s="1" vm="3263">
        <f ca="1"/>
        <v>45351</v>
      </c>
      <c r="B650" s="2" vm="7870">
        <f ca="1"/>
        <v>14.14</v>
      </c>
      <c r="C650" s="2" vm="8022">
        <f ca="1"/>
        <v>14.15</v>
      </c>
      <c r="D650" s="2" vm="7955">
        <f ca="1"/>
        <v>13.3</v>
      </c>
      <c r="E650" s="2" vm="8135">
        <f ca="1"/>
        <v>13.4</v>
      </c>
    </row>
    <row r="651" spans="1:5" x14ac:dyDescent="0.2">
      <c r="A651" s="1" vm="3267">
        <f ca="1"/>
        <v>45352</v>
      </c>
      <c r="B651" s="2" vm="7951">
        <f ca="1"/>
        <v>13.34</v>
      </c>
      <c r="C651" s="2" vm="8180">
        <f ca="1"/>
        <v>13.66</v>
      </c>
      <c r="D651" s="2" vm="8086">
        <f ca="1"/>
        <v>13.08</v>
      </c>
      <c r="E651" s="2" vm="8181">
        <f ca="1"/>
        <v>13.11</v>
      </c>
    </row>
    <row r="652" spans="1:5" x14ac:dyDescent="0.2">
      <c r="A652" s="1" vm="3271">
        <f ca="1"/>
        <v>45355</v>
      </c>
      <c r="B652" s="2" vm="8182">
        <f ca="1"/>
        <v>13.49</v>
      </c>
      <c r="C652" s="2" vm="7959">
        <f ca="1"/>
        <v>13.58</v>
      </c>
      <c r="D652" s="2" vm="7956">
        <f ca="1"/>
        <v>13.32</v>
      </c>
      <c r="E652" s="2" vm="8182">
        <f ca="1"/>
        <v>13.49</v>
      </c>
    </row>
    <row r="653" spans="1:5" x14ac:dyDescent="0.2">
      <c r="A653" s="1" vm="3276">
        <f ca="1"/>
        <v>45356</v>
      </c>
      <c r="B653" s="2" vm="7979">
        <f ca="1"/>
        <v>13.75</v>
      </c>
      <c r="C653" s="2" vm="6878">
        <f ca="1"/>
        <v>15.1</v>
      </c>
      <c r="D653" s="2" vm="7979">
        <f ca="1"/>
        <v>13.75</v>
      </c>
      <c r="E653" s="2" vm="8183">
        <f ca="1"/>
        <v>14.46</v>
      </c>
    </row>
    <row r="654" spans="1:5" x14ac:dyDescent="0.2">
      <c r="A654" s="1" vm="3282">
        <f ca="1"/>
        <v>45357</v>
      </c>
      <c r="B654" s="2" vm="8023">
        <f ca="1"/>
        <v>14.27</v>
      </c>
      <c r="C654" s="2" vm="8184">
        <f ca="1"/>
        <v>14.93</v>
      </c>
      <c r="D654" s="2" vm="7901">
        <f ca="1"/>
        <v>13.89</v>
      </c>
      <c r="E654" s="2" vm="7890">
        <f ca="1"/>
        <v>14.5</v>
      </c>
    </row>
    <row r="655" spans="1:5" x14ac:dyDescent="0.2">
      <c r="A655" s="1" vm="3288">
        <f ca="1"/>
        <v>45358</v>
      </c>
      <c r="B655" s="2" vm="8185">
        <f ca="1"/>
        <v>14.98</v>
      </c>
      <c r="C655" s="2" vm="8185">
        <f ca="1"/>
        <v>14.98</v>
      </c>
      <c r="D655" s="2" vm="7913">
        <f ca="1"/>
        <v>14.25</v>
      </c>
      <c r="E655" s="2" vm="7880">
        <f ca="1"/>
        <v>14.44</v>
      </c>
    </row>
    <row r="656" spans="1:5" x14ac:dyDescent="0.2">
      <c r="A656" s="1" vm="3293">
        <f ca="1"/>
        <v>45359</v>
      </c>
      <c r="B656" s="2" vm="8028">
        <f ca="1"/>
        <v>14.22</v>
      </c>
      <c r="C656" s="2" vm="7827">
        <f ca="1"/>
        <v>15.53</v>
      </c>
      <c r="D656" s="2" vm="8078">
        <f ca="1"/>
        <v>13.97</v>
      </c>
      <c r="E656" s="2" vm="7932">
        <f ca="1"/>
        <v>14.74</v>
      </c>
    </row>
    <row r="657" spans="1:5" x14ac:dyDescent="0.2">
      <c r="A657" s="1" vm="3299">
        <f ca="1"/>
        <v>45362</v>
      </c>
      <c r="B657" s="2" vm="8186">
        <f ca="1"/>
        <v>15.51</v>
      </c>
      <c r="C657" s="2" vm="8187">
        <f ca="1"/>
        <v>16.04</v>
      </c>
      <c r="D657" s="2" vm="8188">
        <f ca="1"/>
        <v>15.13</v>
      </c>
      <c r="E657" s="2" vm="8177">
        <f ca="1"/>
        <v>15.22</v>
      </c>
    </row>
    <row r="658" spans="1:5" x14ac:dyDescent="0.2">
      <c r="A658" s="1" vm="3304">
        <f ca="1"/>
        <v>45363</v>
      </c>
      <c r="B658" s="2" vm="7867">
        <f ca="1"/>
        <v>14.97</v>
      </c>
      <c r="C658" s="2" vm="8189">
        <f ca="1"/>
        <v>15.2</v>
      </c>
      <c r="D658" s="2" vm="8190">
        <f ca="1"/>
        <v>13.81</v>
      </c>
      <c r="E658" s="2" vm="7957">
        <f ca="1"/>
        <v>13.84</v>
      </c>
    </row>
    <row r="659" spans="1:5" x14ac:dyDescent="0.2">
      <c r="A659" s="1" vm="3309">
        <f ca="1"/>
        <v>45364</v>
      </c>
      <c r="B659" s="2" vm="7901">
        <f ca="1"/>
        <v>13.89</v>
      </c>
      <c r="C659" s="2" vm="8147">
        <f ca="1"/>
        <v>14.04</v>
      </c>
      <c r="D659" s="2" vm="7953">
        <f ca="1"/>
        <v>13.67</v>
      </c>
      <c r="E659" s="2" vm="7979">
        <f ca="1"/>
        <v>13.75</v>
      </c>
    </row>
    <row r="660" spans="1:5" x14ac:dyDescent="0.2">
      <c r="A660" s="1" vm="3315">
        <f ca="1"/>
        <v>45365</v>
      </c>
      <c r="B660" s="2" vm="8021">
        <f ca="1"/>
        <v>13.62</v>
      </c>
      <c r="C660" s="2" vm="8191">
        <f ca="1"/>
        <v>15.33</v>
      </c>
      <c r="D660" s="2" vm="8164">
        <f ca="1"/>
        <v>13.42</v>
      </c>
      <c r="E660" s="2" vm="8027">
        <f ca="1"/>
        <v>14.4</v>
      </c>
    </row>
    <row r="661" spans="1:5" x14ac:dyDescent="0.2">
      <c r="A661" s="1" vm="3321">
        <f ca="1"/>
        <v>45366</v>
      </c>
      <c r="B661" s="2" vm="7938">
        <f ca="1"/>
        <v>14.33</v>
      </c>
      <c r="C661" s="2" vm="7827">
        <f ca="1"/>
        <v>15.53</v>
      </c>
      <c r="D661" s="2" vm="7870">
        <f ca="1"/>
        <v>14.14</v>
      </c>
      <c r="E661" s="2" vm="7974">
        <f ca="1"/>
        <v>14.41</v>
      </c>
    </row>
    <row r="662" spans="1:5" x14ac:dyDescent="0.2">
      <c r="A662" s="1" vm="3327">
        <f ca="1"/>
        <v>45369</v>
      </c>
      <c r="B662" s="2" vm="8038">
        <f ca="1"/>
        <v>14.75</v>
      </c>
      <c r="C662" s="2" vm="7935">
        <f ca="1"/>
        <v>14.85</v>
      </c>
      <c r="D662" s="2" vm="8081">
        <f ca="1"/>
        <v>14.26</v>
      </c>
      <c r="E662" s="2" vm="7938">
        <f ca="1"/>
        <v>14.33</v>
      </c>
    </row>
    <row r="663" spans="1:5" x14ac:dyDescent="0.2">
      <c r="A663" s="1" vm="3332">
        <f ca="1"/>
        <v>45370</v>
      </c>
      <c r="B663" s="2" vm="7890">
        <f ca="1"/>
        <v>14.5</v>
      </c>
      <c r="C663" s="2" vm="8076">
        <f ca="1"/>
        <v>14.86</v>
      </c>
      <c r="D663" s="2" vm="7908">
        <f ca="1"/>
        <v>13.8</v>
      </c>
      <c r="E663" s="2" vm="7968">
        <f ca="1"/>
        <v>13.82</v>
      </c>
    </row>
    <row r="664" spans="1:5" x14ac:dyDescent="0.2">
      <c r="A664" s="1" vm="3338">
        <f ca="1"/>
        <v>45371</v>
      </c>
      <c r="B664" s="2" vm="7879">
        <f ca="1"/>
        <v>13.83</v>
      </c>
      <c r="C664" s="2" vm="8030">
        <f ca="1"/>
        <v>14.17</v>
      </c>
      <c r="D664" s="2" vm="8167">
        <f ca="1"/>
        <v>13.01</v>
      </c>
      <c r="E664" s="2" vm="8138">
        <f ca="1"/>
        <v>13.04</v>
      </c>
    </row>
    <row r="665" spans="1:5" x14ac:dyDescent="0.2">
      <c r="A665" s="1" vm="3344">
        <f ca="1"/>
        <v>45372</v>
      </c>
      <c r="B665" s="2" vm="8105">
        <f ca="1"/>
        <v>12.98</v>
      </c>
      <c r="C665" s="2" vm="8086">
        <f ca="1"/>
        <v>13.08</v>
      </c>
      <c r="D665" s="2" vm="8130">
        <f ca="1"/>
        <v>12.4</v>
      </c>
      <c r="E665" s="2" vm="8107">
        <f ca="1"/>
        <v>12.92</v>
      </c>
    </row>
    <row r="666" spans="1:5" x14ac:dyDescent="0.2">
      <c r="A666" s="1" vm="3349">
        <f ca="1"/>
        <v>45373</v>
      </c>
      <c r="B666" s="2" vm="8107">
        <f ca="1"/>
        <v>12.92</v>
      </c>
      <c r="C666" s="2" vm="7970">
        <f ca="1"/>
        <v>13.15</v>
      </c>
      <c r="D666" s="2" vm="8192">
        <f ca="1"/>
        <v>12.58</v>
      </c>
      <c r="E666" s="2" vm="8114">
        <f ca="1"/>
        <v>13.06</v>
      </c>
    </row>
    <row r="667" spans="1:5" x14ac:dyDescent="0.2">
      <c r="A667" s="1" vm="3354">
        <f ca="1"/>
        <v>45376</v>
      </c>
      <c r="B667" s="2" vm="7953">
        <f ca="1"/>
        <v>13.67</v>
      </c>
      <c r="C667" s="2" vm="7953">
        <f ca="1"/>
        <v>13.67</v>
      </c>
      <c r="D667" s="2" vm="8181">
        <f ca="1"/>
        <v>13.11</v>
      </c>
      <c r="E667" s="2" vm="7971">
        <f ca="1"/>
        <v>13.19</v>
      </c>
    </row>
    <row r="668" spans="1:5" x14ac:dyDescent="0.2">
      <c r="A668" s="1" vm="3359">
        <f ca="1"/>
        <v>45377</v>
      </c>
      <c r="B668" s="2" vm="7947">
        <f ca="1"/>
        <v>13.12</v>
      </c>
      <c r="C668" s="2" vm="7920">
        <f ca="1"/>
        <v>13.43</v>
      </c>
      <c r="D668" s="2" vm="8090">
        <f ca="1"/>
        <v>12.84</v>
      </c>
      <c r="E668" s="2" vm="7907">
        <f ca="1"/>
        <v>13.24</v>
      </c>
    </row>
    <row r="669" spans="1:5" x14ac:dyDescent="0.2">
      <c r="A669" s="1" vm="3365">
        <f ca="1"/>
        <v>45378</v>
      </c>
      <c r="B669" s="2" vm="8084">
        <f ca="1"/>
        <v>13.13</v>
      </c>
      <c r="C669" s="2" vm="7951">
        <f ca="1"/>
        <v>13.34</v>
      </c>
      <c r="D669" s="2" vm="8154">
        <f ca="1"/>
        <v>12.66</v>
      </c>
      <c r="E669" s="2" vm="8101">
        <f ca="1"/>
        <v>12.78</v>
      </c>
    </row>
    <row r="670" spans="1:5" x14ac:dyDescent="0.2">
      <c r="A670" s="1" vm="3371">
        <f ca="1"/>
        <v>45379</v>
      </c>
      <c r="B670" s="2" vm="8168">
        <f ca="1"/>
        <v>12.93</v>
      </c>
      <c r="C670" s="2" vm="7902">
        <f ca="1"/>
        <v>13.1</v>
      </c>
      <c r="D670" s="2" vm="8090">
        <f ca="1"/>
        <v>12.84</v>
      </c>
      <c r="E670" s="2" vm="8167">
        <f ca="1"/>
        <v>13.01</v>
      </c>
    </row>
    <row r="671" spans="1:5" x14ac:dyDescent="0.2">
      <c r="A671" s="1" vm="3377">
        <f ca="1"/>
        <v>45383</v>
      </c>
      <c r="B671" s="2" vm="7946">
        <f ca="1"/>
        <v>13.61</v>
      </c>
      <c r="C671" s="2" vm="8022">
        <f ca="1"/>
        <v>14.15</v>
      </c>
      <c r="D671" s="2" vm="8193">
        <f ca="1"/>
        <v>13.55</v>
      </c>
      <c r="E671" s="2" vm="7876">
        <f ca="1"/>
        <v>13.65</v>
      </c>
    </row>
    <row r="672" spans="1:5" x14ac:dyDescent="0.2">
      <c r="A672" s="1" vm="3382">
        <f ca="1"/>
        <v>45384</v>
      </c>
      <c r="B672" s="2" vm="7917">
        <f ca="1"/>
        <v>13.74</v>
      </c>
      <c r="C672" s="2" vm="6875">
        <f ca="1"/>
        <v>15.43</v>
      </c>
      <c r="D672" s="2" vm="8080">
        <f ca="1"/>
        <v>13.68</v>
      </c>
      <c r="E672" s="2" vm="7884">
        <f ca="1"/>
        <v>14.61</v>
      </c>
    </row>
    <row r="673" spans="1:5" x14ac:dyDescent="0.2">
      <c r="A673" s="1" vm="3388">
        <f ca="1"/>
        <v>45385</v>
      </c>
      <c r="B673" s="2" vm="8011">
        <f ca="1"/>
        <v>15</v>
      </c>
      <c r="C673" s="2" vm="8194">
        <f ca="1"/>
        <v>15.18</v>
      </c>
      <c r="D673" s="2" vm="7913">
        <f ca="1"/>
        <v>14.25</v>
      </c>
      <c r="E673" s="2" vm="7938">
        <f ca="1"/>
        <v>14.33</v>
      </c>
    </row>
    <row r="674" spans="1:5" x14ac:dyDescent="0.2">
      <c r="A674" s="1" vm="3394">
        <f ca="1"/>
        <v>45386</v>
      </c>
      <c r="B674" s="2" vm="7871">
        <f ca="1"/>
        <v>14.29</v>
      </c>
      <c r="C674" s="2" vm="7845">
        <f ca="1"/>
        <v>16.920000000000002</v>
      </c>
      <c r="D674" s="2" vm="7917">
        <f ca="1"/>
        <v>13.74</v>
      </c>
      <c r="E674" s="2" vm="8195">
        <f ca="1"/>
        <v>16.350000000000001</v>
      </c>
    </row>
    <row r="675" spans="1:5" x14ac:dyDescent="0.2">
      <c r="A675" s="1" vm="3400">
        <f ca="1"/>
        <v>45387</v>
      </c>
      <c r="B675" s="2" vm="8196">
        <f ca="1"/>
        <v>16.45</v>
      </c>
      <c r="C675" s="2" vm="8197">
        <f ca="1"/>
        <v>16.75</v>
      </c>
      <c r="D675" s="2" vm="7827">
        <f ca="1"/>
        <v>15.53</v>
      </c>
      <c r="E675" s="2" vm="6895">
        <f ca="1"/>
        <v>16.03</v>
      </c>
    </row>
    <row r="676" spans="1:5" x14ac:dyDescent="0.2">
      <c r="A676" s="1" vm="3406">
        <f ca="1"/>
        <v>45390</v>
      </c>
      <c r="B676" s="2" vm="8010">
        <f ca="1"/>
        <v>16.239999999999998</v>
      </c>
      <c r="C676" s="2" vm="8055">
        <f ca="1"/>
        <v>16.5</v>
      </c>
      <c r="D676" s="2" vm="8198">
        <f ca="1"/>
        <v>15.11</v>
      </c>
      <c r="E676" s="2" vm="8073">
        <f ca="1"/>
        <v>15.19</v>
      </c>
    </row>
    <row r="677" spans="1:5" x14ac:dyDescent="0.2">
      <c r="A677" s="1" vm="3412">
        <f ca="1"/>
        <v>45391</v>
      </c>
      <c r="B677" s="2" vm="8178">
        <f ca="1"/>
        <v>15.34</v>
      </c>
      <c r="C677" s="2" vm="7835">
        <f ca="1"/>
        <v>16.63</v>
      </c>
      <c r="D677" s="2" vm="8199">
        <f ca="1"/>
        <v>14.94</v>
      </c>
      <c r="E677" s="2" vm="8185">
        <f ca="1"/>
        <v>14.98</v>
      </c>
    </row>
    <row r="678" spans="1:5" x14ac:dyDescent="0.2">
      <c r="A678" s="1" vm="3417">
        <f ca="1"/>
        <v>45392</v>
      </c>
      <c r="B678" s="2" vm="6879">
        <f ca="1"/>
        <v>15.24</v>
      </c>
      <c r="C678" s="2" vm="7016">
        <f ca="1"/>
        <v>16.62</v>
      </c>
      <c r="D678" s="2" vm="8157">
        <f ca="1"/>
        <v>14.59</v>
      </c>
      <c r="E678" s="2" vm="7995">
        <f ca="1"/>
        <v>15.8</v>
      </c>
    </row>
    <row r="679" spans="1:5" x14ac:dyDescent="0.2">
      <c r="A679" s="1" vm="3423">
        <f ca="1"/>
        <v>45393</v>
      </c>
      <c r="B679" s="2" vm="8200">
        <f ca="1"/>
        <v>16.02</v>
      </c>
      <c r="C679" s="2" vm="8051">
        <f ca="1"/>
        <v>17.61</v>
      </c>
      <c r="D679" s="2" vm="7866">
        <f ca="1"/>
        <v>14.91</v>
      </c>
      <c r="E679" s="2" vm="7866">
        <f ca="1"/>
        <v>14.91</v>
      </c>
    </row>
    <row r="680" spans="1:5" x14ac:dyDescent="0.2">
      <c r="A680" s="1" vm="3429">
        <f ca="1"/>
        <v>45394</v>
      </c>
      <c r="B680" s="2" vm="7866">
        <f ca="1"/>
        <v>14.91</v>
      </c>
      <c r="C680" s="2" vm="7729">
        <f ca="1"/>
        <v>19.2</v>
      </c>
      <c r="D680" s="2" vm="7866">
        <f ca="1"/>
        <v>14.91</v>
      </c>
      <c r="E680" s="2" vm="8042">
        <f ca="1"/>
        <v>17.309999999999999</v>
      </c>
    </row>
    <row r="681" spans="1:5" x14ac:dyDescent="0.2">
      <c r="A681" s="1" vm="3435">
        <f ca="1"/>
        <v>45397</v>
      </c>
      <c r="B681" s="2" vm="6754">
        <f ca="1"/>
        <v>16.940000000000001</v>
      </c>
      <c r="C681" s="2" vm="6775">
        <f ca="1"/>
        <v>19.46</v>
      </c>
      <c r="D681" s="2" vm="6890">
        <f ca="1"/>
        <v>16.260000000000002</v>
      </c>
      <c r="E681" s="2" vm="7741">
        <f ca="1"/>
        <v>19.23</v>
      </c>
    </row>
    <row r="682" spans="1:5" x14ac:dyDescent="0.2">
      <c r="A682" s="1" vm="3441">
        <f ca="1"/>
        <v>45398</v>
      </c>
      <c r="B682" s="2" vm="7717">
        <f ca="1"/>
        <v>19.489999999999998</v>
      </c>
      <c r="C682" s="2" vm="7501">
        <f ca="1"/>
        <v>19.559999999999999</v>
      </c>
      <c r="D682" s="2" vm="8201">
        <f ca="1"/>
        <v>17.64</v>
      </c>
      <c r="E682" s="2" vm="7803">
        <f ca="1"/>
        <v>18.399999999999999</v>
      </c>
    </row>
    <row r="683" spans="1:5" x14ac:dyDescent="0.2">
      <c r="A683" s="1" vm="3446">
        <f ca="1"/>
        <v>45399</v>
      </c>
      <c r="B683" s="2" vm="7821">
        <f ca="1"/>
        <v>18.239999999999998</v>
      </c>
      <c r="C683" s="2" vm="7773">
        <f ca="1"/>
        <v>19.11</v>
      </c>
      <c r="D683" s="2" vm="7011">
        <f ca="1"/>
        <v>17.54</v>
      </c>
      <c r="E683" s="2" vm="8202">
        <f ca="1"/>
        <v>18.21</v>
      </c>
    </row>
    <row r="684" spans="1:5" x14ac:dyDescent="0.2">
      <c r="A684" s="1" vm="3452">
        <f ca="1"/>
        <v>45400</v>
      </c>
      <c r="B684" s="2" vm="6932">
        <f ca="1"/>
        <v>17.91</v>
      </c>
      <c r="C684" s="2" vm="6784">
        <f ca="1"/>
        <v>18.37</v>
      </c>
      <c r="D684" s="2" vm="6908">
        <f ca="1"/>
        <v>17.21</v>
      </c>
      <c r="E684" s="2" vm="7012">
        <f ca="1"/>
        <v>18</v>
      </c>
    </row>
    <row r="685" spans="1:5" x14ac:dyDescent="0.2">
      <c r="A685" s="1" vm="3455">
        <f ca="1"/>
        <v>45401</v>
      </c>
      <c r="B685" s="2" vm="7467">
        <f ca="1"/>
        <v>21.33</v>
      </c>
      <c r="C685" s="2" vm="7000">
        <f ca="1"/>
        <v>21.36</v>
      </c>
      <c r="D685" s="2" vm="7038">
        <f ca="1"/>
        <v>18.170000000000002</v>
      </c>
      <c r="E685" s="2" vm="7723">
        <f ca="1"/>
        <v>18.71</v>
      </c>
    </row>
    <row r="686" spans="1:5" x14ac:dyDescent="0.2">
      <c r="A686" s="1" vm="3459">
        <f ca="1"/>
        <v>45404</v>
      </c>
      <c r="B686" s="2" vm="7001">
        <f ca="1"/>
        <v>18.59</v>
      </c>
      <c r="C686" s="2" vm="7217">
        <f ca="1"/>
        <v>18.72</v>
      </c>
      <c r="D686" s="2" vm="7830">
        <f ca="1"/>
        <v>16.690000000000001</v>
      </c>
      <c r="E686" s="2" vm="6754">
        <f ca="1"/>
        <v>16.940000000000001</v>
      </c>
    </row>
    <row r="687" spans="1:5" x14ac:dyDescent="0.2">
      <c r="A687" s="1" vm="3463">
        <f ca="1"/>
        <v>45405</v>
      </c>
      <c r="B687" s="2" vm="7825">
        <f ca="1"/>
        <v>16.72</v>
      </c>
      <c r="C687" s="2" vm="8203">
        <f ca="1"/>
        <v>16.760000000000002</v>
      </c>
      <c r="D687" s="2" vm="8026">
        <f ca="1"/>
        <v>15.69</v>
      </c>
      <c r="E687" s="2" vm="8026">
        <f ca="1"/>
        <v>15.69</v>
      </c>
    </row>
    <row r="688" spans="1:5" x14ac:dyDescent="0.2">
      <c r="A688" s="1" vm="3468">
        <f ca="1"/>
        <v>45406</v>
      </c>
      <c r="B688" s="2" vm="8204">
        <f ca="1"/>
        <v>15.76</v>
      </c>
      <c r="C688" s="2" vm="6928">
        <f ca="1"/>
        <v>16.38</v>
      </c>
      <c r="D688" s="2" vm="7860">
        <f ca="1"/>
        <v>15.58</v>
      </c>
      <c r="E688" s="2" vm="7937">
        <f ca="1"/>
        <v>15.97</v>
      </c>
    </row>
    <row r="689" spans="1:5" x14ac:dyDescent="0.2">
      <c r="A689" s="1" vm="3471">
        <f ca="1"/>
        <v>45407</v>
      </c>
      <c r="B689" s="2" vm="8205">
        <f ca="1"/>
        <v>16.25</v>
      </c>
      <c r="C689" s="2" vm="7007">
        <f ca="1"/>
        <v>17.55</v>
      </c>
      <c r="D689" s="2" vm="8206">
        <f ca="1"/>
        <v>15.27</v>
      </c>
      <c r="E689" s="2" vm="8207">
        <f ca="1"/>
        <v>15.37</v>
      </c>
    </row>
    <row r="690" spans="1:5" x14ac:dyDescent="0.2">
      <c r="A690" s="1" vm="3474">
        <f ca="1"/>
        <v>45408</v>
      </c>
      <c r="B690" s="2" vm="6869">
        <f ca="1"/>
        <v>15.49</v>
      </c>
      <c r="C690" s="2" vm="6742">
        <f ca="1"/>
        <v>16.059999999999999</v>
      </c>
      <c r="D690" s="2" vm="6870">
        <f ca="1"/>
        <v>14.92</v>
      </c>
      <c r="E690" s="2" vm="8208">
        <f ca="1"/>
        <v>15.03</v>
      </c>
    </row>
    <row r="691" spans="1:5" x14ac:dyDescent="0.2">
      <c r="A691" s="1" vm="3478">
        <f ca="1"/>
        <v>45411</v>
      </c>
      <c r="B691" s="2" vm="8207">
        <f ca="1"/>
        <v>15.37</v>
      </c>
      <c r="C691" s="2" vm="8175">
        <f ca="1"/>
        <v>15.42</v>
      </c>
      <c r="D691" s="2" vm="7944">
        <f ca="1"/>
        <v>14.63</v>
      </c>
      <c r="E691" s="2" vm="7899">
        <f ca="1"/>
        <v>14.67</v>
      </c>
    </row>
    <row r="692" spans="1:5" x14ac:dyDescent="0.2">
      <c r="A692" s="1" vm="3482">
        <f ca="1"/>
        <v>45412</v>
      </c>
      <c r="B692" s="2" vm="7945">
        <f ca="1"/>
        <v>14.82</v>
      </c>
      <c r="C692" s="2" vm="8209">
        <f ca="1"/>
        <v>15.9</v>
      </c>
      <c r="D692" s="2" vm="7899">
        <f ca="1"/>
        <v>14.67</v>
      </c>
      <c r="E692" s="2" vm="7861">
        <f ca="1"/>
        <v>15.65</v>
      </c>
    </row>
    <row r="693" spans="1:5" x14ac:dyDescent="0.2">
      <c r="A693" s="1" vm="3486">
        <f ca="1"/>
        <v>45413</v>
      </c>
      <c r="B693" s="2" vm="8210">
        <f ca="1"/>
        <v>15.75</v>
      </c>
      <c r="C693" s="2" vm="8211">
        <f ca="1"/>
        <v>16.22</v>
      </c>
      <c r="D693" s="2" vm="8077">
        <f ca="1"/>
        <v>14.35</v>
      </c>
      <c r="E693" s="2" vm="8068">
        <f ca="1"/>
        <v>15.39</v>
      </c>
    </row>
    <row r="694" spans="1:5" x14ac:dyDescent="0.2">
      <c r="A694" s="1" vm="3489">
        <f ca="1"/>
        <v>45414</v>
      </c>
      <c r="B694" s="2" vm="8041">
        <f ca="1"/>
        <v>15.14</v>
      </c>
      <c r="C694" s="2" vm="6863">
        <f ca="1"/>
        <v>16.09</v>
      </c>
      <c r="D694" s="2" vm="7863">
        <f ca="1"/>
        <v>14.6</v>
      </c>
      <c r="E694" s="2" vm="8031">
        <f ca="1"/>
        <v>14.68</v>
      </c>
    </row>
    <row r="695" spans="1:5" x14ac:dyDescent="0.2">
      <c r="A695" s="1" vm="3492">
        <f ca="1"/>
        <v>45415</v>
      </c>
      <c r="B695" s="2" vm="8212">
        <f ca="1"/>
        <v>14.51</v>
      </c>
      <c r="C695" s="2" vm="8074">
        <f ca="1"/>
        <v>14.58</v>
      </c>
      <c r="D695" s="2" vm="7893">
        <f ca="1"/>
        <v>13.48</v>
      </c>
      <c r="E695" s="2" vm="8182">
        <f ca="1"/>
        <v>13.49</v>
      </c>
    </row>
    <row r="696" spans="1:5" x14ac:dyDescent="0.2">
      <c r="A696" s="1" vm="3494">
        <f ca="1"/>
        <v>45418</v>
      </c>
      <c r="B696" s="2" vm="7904">
        <f ca="1"/>
        <v>13.98</v>
      </c>
      <c r="C696" s="2" vm="7967">
        <f ca="1"/>
        <v>14.02</v>
      </c>
      <c r="D696" s="2" vm="7910">
        <f ca="1"/>
        <v>13.44</v>
      </c>
      <c r="E696" s="2" vm="8182">
        <f ca="1"/>
        <v>13.49</v>
      </c>
    </row>
    <row r="697" spans="1:5" x14ac:dyDescent="0.2">
      <c r="A697" s="1" vm="3499">
        <f ca="1"/>
        <v>45419</v>
      </c>
      <c r="B697" s="2" vm="7930">
        <f ca="1"/>
        <v>13.52</v>
      </c>
      <c r="C697" s="2" vm="7921">
        <f ca="1"/>
        <v>13.64</v>
      </c>
      <c r="D697" s="2" vm="8213">
        <f ca="1"/>
        <v>13.16</v>
      </c>
      <c r="E697" s="2" vm="8156">
        <f ca="1"/>
        <v>13.23</v>
      </c>
    </row>
    <row r="698" spans="1:5" x14ac:dyDescent="0.2">
      <c r="A698" s="1" vm="3504">
        <f ca="1"/>
        <v>45420</v>
      </c>
      <c r="B698" s="2" vm="7907">
        <f ca="1"/>
        <v>13.24</v>
      </c>
      <c r="C698" s="2" vm="7924">
        <f ca="1"/>
        <v>13.51</v>
      </c>
      <c r="D698" s="2" vm="8108">
        <f ca="1"/>
        <v>12.94</v>
      </c>
      <c r="E698" s="2" vm="8136">
        <f ca="1"/>
        <v>13</v>
      </c>
    </row>
    <row r="699" spans="1:5" x14ac:dyDescent="0.2">
      <c r="A699" s="1" vm="3508">
        <f ca="1"/>
        <v>45421</v>
      </c>
      <c r="B699" s="2" vm="8086">
        <f ca="1"/>
        <v>13.08</v>
      </c>
      <c r="C699" s="2" vm="7954">
        <f ca="1"/>
        <v>13.29</v>
      </c>
      <c r="D699" s="2" vm="8037">
        <f ca="1"/>
        <v>12.68</v>
      </c>
      <c r="E699" s="2" vm="8100">
        <f ca="1"/>
        <v>12.69</v>
      </c>
    </row>
    <row r="700" spans="1:5" x14ac:dyDescent="0.2">
      <c r="A700" s="1" vm="3511">
        <f ca="1"/>
        <v>45422</v>
      </c>
      <c r="B700" s="2" vm="8214">
        <f ca="1"/>
        <v>12.77</v>
      </c>
      <c r="C700" s="2" vm="7925">
        <f ca="1"/>
        <v>12.96</v>
      </c>
      <c r="D700" s="2" vm="8215">
        <f ca="1"/>
        <v>12.5</v>
      </c>
      <c r="E700" s="2" vm="8145">
        <f ca="1"/>
        <v>12.55</v>
      </c>
    </row>
    <row r="701" spans="1:5" x14ac:dyDescent="0.2">
      <c r="A701" s="1" vm="3516">
        <f ca="1"/>
        <v>45425</v>
      </c>
      <c r="B701" s="2" vm="8110">
        <f ca="1"/>
        <v>13.26</v>
      </c>
      <c r="C701" s="2" vm="8180">
        <f ca="1"/>
        <v>13.66</v>
      </c>
      <c r="D701" s="2" vm="8087">
        <f ca="1"/>
        <v>13.25</v>
      </c>
      <c r="E701" s="2" vm="7963">
        <f ca="1"/>
        <v>13.6</v>
      </c>
    </row>
    <row r="702" spans="1:5" x14ac:dyDescent="0.2">
      <c r="A702" s="1" vm="3521">
        <f ca="1"/>
        <v>45426</v>
      </c>
      <c r="B702" s="2" vm="7929">
        <f ca="1"/>
        <v>13.71</v>
      </c>
      <c r="C702" s="2" vm="7975">
        <f ca="1"/>
        <v>14.03</v>
      </c>
      <c r="D702" s="2" vm="7976">
        <f ca="1"/>
        <v>13.27</v>
      </c>
      <c r="E702" s="2" vm="8164">
        <f ca="1"/>
        <v>13.42</v>
      </c>
    </row>
    <row r="703" spans="1:5" x14ac:dyDescent="0.2">
      <c r="A703" s="1" vm="3526">
        <f ca="1"/>
        <v>45427</v>
      </c>
      <c r="B703" s="2" vm="7965">
        <f ca="1"/>
        <v>13.73</v>
      </c>
      <c r="C703" s="2" vm="7873">
        <f ca="1"/>
        <v>13.94</v>
      </c>
      <c r="D703" s="2" vm="8143">
        <f ca="1"/>
        <v>12.38</v>
      </c>
      <c r="E703" s="2" vm="8096">
        <f ca="1"/>
        <v>12.45</v>
      </c>
    </row>
    <row r="704" spans="1:5" x14ac:dyDescent="0.2">
      <c r="A704" s="1" vm="3532">
        <f ca="1"/>
        <v>45428</v>
      </c>
      <c r="B704" s="2" vm="8216">
        <f ca="1"/>
        <v>12.52</v>
      </c>
      <c r="C704" s="2" vm="8152">
        <f ca="1"/>
        <v>12.67</v>
      </c>
      <c r="D704" s="2" vm="8132">
        <f ca="1"/>
        <v>12.33</v>
      </c>
      <c r="E704" s="2" vm="8217">
        <f ca="1"/>
        <v>12.42</v>
      </c>
    </row>
    <row r="705" spans="1:5" x14ac:dyDescent="0.2">
      <c r="A705" s="1" vm="3538">
        <f ca="1"/>
        <v>45429</v>
      </c>
      <c r="B705" s="2" vm="8128">
        <f ca="1"/>
        <v>12.28</v>
      </c>
      <c r="C705" s="2" vm="8104">
        <f ca="1"/>
        <v>12.48</v>
      </c>
      <c r="D705" s="2" vm="8218">
        <f ca="1"/>
        <v>11.91</v>
      </c>
      <c r="E705" s="2" vm="8219">
        <f ca="1"/>
        <v>11.99</v>
      </c>
    </row>
    <row r="706" spans="1:5" x14ac:dyDescent="0.2">
      <c r="A706" s="1" vm="3544">
        <f ca="1"/>
        <v>45432</v>
      </c>
      <c r="B706" s="2" vm="8220">
        <f ca="1"/>
        <v>12.27</v>
      </c>
      <c r="C706" s="2" vm="8221">
        <f ca="1"/>
        <v>12.59</v>
      </c>
      <c r="D706" s="2" vm="8119">
        <f ca="1"/>
        <v>12.07</v>
      </c>
      <c r="E706" s="2" vm="8222">
        <f ca="1"/>
        <v>12.15</v>
      </c>
    </row>
    <row r="707" spans="1:5" x14ac:dyDescent="0.2">
      <c r="A707" s="1" vm="3549">
        <f ca="1"/>
        <v>45433</v>
      </c>
      <c r="B707" s="2" vm="8223">
        <f ca="1"/>
        <v>12.3</v>
      </c>
      <c r="C707" s="2" vm="8102">
        <f ca="1"/>
        <v>12.56</v>
      </c>
      <c r="D707" s="2" vm="8124">
        <f ca="1"/>
        <v>11.84</v>
      </c>
      <c r="E707" s="2" vm="8224">
        <f ca="1"/>
        <v>11.86</v>
      </c>
    </row>
    <row r="708" spans="1:5" x14ac:dyDescent="0.2">
      <c r="A708" s="1" vm="3555">
        <f ca="1"/>
        <v>45434</v>
      </c>
      <c r="B708" s="2" vm="8225">
        <f ca="1"/>
        <v>12.05</v>
      </c>
      <c r="C708" s="2" vm="8111">
        <f ca="1"/>
        <v>12.81</v>
      </c>
      <c r="D708" s="2" vm="8226">
        <f ca="1"/>
        <v>11.78</v>
      </c>
      <c r="E708" s="2" vm="8134">
        <f ca="1"/>
        <v>12.29</v>
      </c>
    </row>
    <row r="709" spans="1:5" x14ac:dyDescent="0.2">
      <c r="A709" s="1" vm="3559">
        <f ca="1"/>
        <v>45435</v>
      </c>
      <c r="B709" s="2" vm="8227">
        <f ca="1"/>
        <v>11.53</v>
      </c>
      <c r="C709" s="2" vm="7962">
        <f ca="1"/>
        <v>13.37</v>
      </c>
      <c r="D709" s="2" vm="8228">
        <f ca="1"/>
        <v>11.52</v>
      </c>
      <c r="E709" s="2" vm="8214">
        <f ca="1"/>
        <v>12.77</v>
      </c>
    </row>
    <row r="710" spans="1:5" x14ac:dyDescent="0.2">
      <c r="A710" s="1" vm="3564">
        <f ca="1"/>
        <v>45436</v>
      </c>
      <c r="B710" s="2" vm="8151">
        <f ca="1"/>
        <v>12.86</v>
      </c>
      <c r="C710" s="2" vm="8229">
        <f ca="1"/>
        <v>12.89</v>
      </c>
      <c r="D710" s="2" vm="8230">
        <f ca="1"/>
        <v>11.89</v>
      </c>
      <c r="E710" s="2" vm="8231">
        <f ca="1"/>
        <v>11.93</v>
      </c>
    </row>
    <row r="711" spans="1:5" x14ac:dyDescent="0.2">
      <c r="A711" s="1" vm="8232">
        <f ca="1"/>
        <v>45439</v>
      </c>
      <c r="B711" s="2" vm="8161">
        <f ca="1"/>
        <v>12.41</v>
      </c>
      <c r="C711" s="2" vm="8233">
        <f ca="1"/>
        <v>12.49</v>
      </c>
      <c r="D711" s="2" vm="8115">
        <f ca="1"/>
        <v>12.35</v>
      </c>
      <c r="E711" s="2" vm="8146">
        <f ca="1"/>
        <v>12.36</v>
      </c>
    </row>
    <row r="712" spans="1:5" x14ac:dyDescent="0.2">
      <c r="A712" s="1" vm="3570">
        <f ca="1"/>
        <v>45440</v>
      </c>
      <c r="B712" s="2" vm="8234">
        <f ca="1"/>
        <v>12.51</v>
      </c>
      <c r="C712" s="2" vm="7910">
        <f ca="1"/>
        <v>13.44</v>
      </c>
      <c r="D712" s="2" vm="8146">
        <f ca="1"/>
        <v>12.36</v>
      </c>
      <c r="E712" s="2" vm="8107">
        <f ca="1"/>
        <v>12.92</v>
      </c>
    </row>
    <row r="713" spans="1:5" x14ac:dyDescent="0.2">
      <c r="A713" s="1" vm="3575">
        <f ca="1"/>
        <v>45441</v>
      </c>
      <c r="B713" s="2" vm="7979">
        <f ca="1"/>
        <v>13.75</v>
      </c>
      <c r="C713" s="2" vm="7881">
        <f ca="1"/>
        <v>14.32</v>
      </c>
      <c r="D713" s="2" vm="8163">
        <f ca="1"/>
        <v>13.69</v>
      </c>
      <c r="E713" s="2" vm="8179">
        <f ca="1"/>
        <v>14.28</v>
      </c>
    </row>
    <row r="714" spans="1:5" x14ac:dyDescent="0.2">
      <c r="A714" s="1" vm="3580">
        <f ca="1"/>
        <v>45442</v>
      </c>
      <c r="B714" s="2" vm="7945">
        <f ca="1"/>
        <v>14.82</v>
      </c>
      <c r="C714" s="2" vm="8039">
        <f ca="1"/>
        <v>14.88</v>
      </c>
      <c r="D714" s="2" vm="7953">
        <f ca="1"/>
        <v>13.67</v>
      </c>
      <c r="E714" s="2" vm="7883">
        <f ca="1"/>
        <v>14.47</v>
      </c>
    </row>
    <row r="715" spans="1:5" x14ac:dyDescent="0.2">
      <c r="A715" s="1" vm="3584">
        <f ca="1"/>
        <v>45443</v>
      </c>
      <c r="B715" s="2" vm="7890">
        <f ca="1"/>
        <v>14.5</v>
      </c>
      <c r="C715" s="2" vm="8029">
        <f ca="1"/>
        <v>14.87</v>
      </c>
      <c r="D715" s="2" vm="8090">
        <f ca="1"/>
        <v>12.84</v>
      </c>
      <c r="E715" s="2" vm="8107">
        <f ca="1"/>
        <v>12.92</v>
      </c>
    </row>
    <row r="716" spans="1:5" x14ac:dyDescent="0.2">
      <c r="A716" s="1" vm="3587">
        <f ca="1"/>
        <v>45446</v>
      </c>
      <c r="B716" s="2" vm="8086">
        <f ca="1"/>
        <v>13.08</v>
      </c>
      <c r="C716" s="2" vm="8082">
        <f ca="1"/>
        <v>14.31</v>
      </c>
      <c r="D716" s="2" vm="8136">
        <f ca="1"/>
        <v>13</v>
      </c>
      <c r="E716" s="2" vm="8181">
        <f ca="1"/>
        <v>13.11</v>
      </c>
    </row>
    <row r="717" spans="1:5" x14ac:dyDescent="0.2">
      <c r="A717" s="1" vm="3592">
        <f ca="1"/>
        <v>45447</v>
      </c>
      <c r="B717" s="2" vm="7924">
        <f ca="1"/>
        <v>13.51</v>
      </c>
      <c r="C717" s="2" vm="8235">
        <f ca="1"/>
        <v>14.08</v>
      </c>
      <c r="D717" s="2" vm="8181">
        <f ca="1"/>
        <v>13.11</v>
      </c>
      <c r="E717" s="2" vm="8213">
        <f ca="1"/>
        <v>13.16</v>
      </c>
    </row>
    <row r="718" spans="1:5" x14ac:dyDescent="0.2">
      <c r="A718" s="1" vm="3597">
        <f ca="1"/>
        <v>45448</v>
      </c>
      <c r="B718" s="2" vm="7972">
        <f ca="1"/>
        <v>13.14</v>
      </c>
      <c r="C718" s="2" vm="8087">
        <f ca="1"/>
        <v>13.25</v>
      </c>
      <c r="D718" s="2" vm="8131">
        <f ca="1"/>
        <v>12.6</v>
      </c>
      <c r="E718" s="2" vm="8109">
        <f ca="1"/>
        <v>12.63</v>
      </c>
    </row>
    <row r="719" spans="1:5" x14ac:dyDescent="0.2">
      <c r="A719" s="1" vm="3603">
        <f ca="1"/>
        <v>45449</v>
      </c>
      <c r="B719" s="2" vm="8092">
        <f ca="1"/>
        <v>12.75</v>
      </c>
      <c r="C719" s="2" vm="8105">
        <f ca="1"/>
        <v>12.98</v>
      </c>
      <c r="D719" s="2" vm="8126">
        <f ca="1"/>
        <v>12.54</v>
      </c>
      <c r="E719" s="2" vm="8192">
        <f ca="1"/>
        <v>12.58</v>
      </c>
    </row>
    <row r="720" spans="1:5" x14ac:dyDescent="0.2">
      <c r="A720" s="1" vm="3608">
        <f ca="1"/>
        <v>45450</v>
      </c>
      <c r="B720" s="2" vm="8100">
        <f ca="1"/>
        <v>12.69</v>
      </c>
      <c r="C720" s="2" vm="8086">
        <f ca="1"/>
        <v>13.08</v>
      </c>
      <c r="D720" s="2" vm="8236">
        <f ca="1"/>
        <v>12.11</v>
      </c>
      <c r="E720" s="2" vm="8237">
        <f ca="1"/>
        <v>12.22</v>
      </c>
    </row>
    <row r="721" spans="1:5" x14ac:dyDescent="0.2">
      <c r="A721" s="1" vm="3614">
        <f ca="1"/>
        <v>45453</v>
      </c>
      <c r="B721" s="2" vm="8019">
        <f ca="1"/>
        <v>13.09</v>
      </c>
      <c r="C721" s="2" vm="8098">
        <f ca="1"/>
        <v>13.28</v>
      </c>
      <c r="D721" s="2" vm="8129">
        <f ca="1"/>
        <v>12.62</v>
      </c>
      <c r="E721" s="2" vm="7973">
        <f ca="1"/>
        <v>12.74</v>
      </c>
    </row>
    <row r="722" spans="1:5" x14ac:dyDescent="0.2">
      <c r="A722" s="1" vm="3620">
        <f ca="1"/>
        <v>45454</v>
      </c>
      <c r="B722" s="2" vm="8088">
        <f ca="1"/>
        <v>12.85</v>
      </c>
      <c r="C722" s="2" vm="7926">
        <f ca="1"/>
        <v>13.47</v>
      </c>
      <c r="D722" s="2" vm="8101">
        <f ca="1"/>
        <v>12.78</v>
      </c>
      <c r="E722" s="2" vm="8088">
        <f ca="1"/>
        <v>12.85</v>
      </c>
    </row>
    <row r="723" spans="1:5" x14ac:dyDescent="0.2">
      <c r="A723" s="1" vm="3624">
        <f ca="1"/>
        <v>45455</v>
      </c>
      <c r="B723" s="2" vm="7902">
        <f ca="1"/>
        <v>13.1</v>
      </c>
      <c r="C723" s="2" vm="7970">
        <f ca="1"/>
        <v>13.15</v>
      </c>
      <c r="D723" s="2" vm="8238">
        <f ca="1"/>
        <v>11.94</v>
      </c>
      <c r="E723" s="2" vm="8239">
        <f ca="1"/>
        <v>12.04</v>
      </c>
    </row>
    <row r="724" spans="1:5" x14ac:dyDescent="0.2">
      <c r="A724" s="1" vm="3630">
        <f ca="1"/>
        <v>45456</v>
      </c>
      <c r="B724" s="2" vm="8225">
        <f ca="1"/>
        <v>12.05</v>
      </c>
      <c r="C724" s="2" vm="8037">
        <f ca="1"/>
        <v>12.68</v>
      </c>
      <c r="D724" s="2" vm="8240">
        <f ca="1"/>
        <v>11.88</v>
      </c>
      <c r="E724" s="2" vm="8238">
        <f ca="1"/>
        <v>11.94</v>
      </c>
    </row>
    <row r="725" spans="1:5" x14ac:dyDescent="0.2">
      <c r="A725" s="1" vm="3636">
        <f ca="1"/>
        <v>45457</v>
      </c>
      <c r="B725" s="2" vm="8237">
        <f ca="1"/>
        <v>12.22</v>
      </c>
      <c r="C725" s="2" vm="8083">
        <f ca="1"/>
        <v>13.45</v>
      </c>
      <c r="D725" s="2" vm="8125">
        <f ca="1"/>
        <v>12.12</v>
      </c>
      <c r="E725" s="2" vm="8154">
        <f ca="1"/>
        <v>12.66</v>
      </c>
    </row>
    <row r="726" spans="1:5" x14ac:dyDescent="0.2">
      <c r="A726" s="1" vm="3642">
        <f ca="1"/>
        <v>45460</v>
      </c>
      <c r="B726" s="2" vm="8106">
        <f ca="1"/>
        <v>13.07</v>
      </c>
      <c r="C726" s="2" vm="7954">
        <f ca="1"/>
        <v>13.29</v>
      </c>
      <c r="D726" s="2" vm="8215">
        <f ca="1"/>
        <v>12.5</v>
      </c>
      <c r="E726" s="2" vm="8092">
        <f ca="1"/>
        <v>12.75</v>
      </c>
    </row>
    <row r="727" spans="1:5" x14ac:dyDescent="0.2">
      <c r="A727" s="1" vm="3648">
        <f ca="1"/>
        <v>45461</v>
      </c>
      <c r="B727" s="2" vm="8036">
        <f ca="1"/>
        <v>12.7</v>
      </c>
      <c r="C727" s="2" vm="7973">
        <f ca="1"/>
        <v>12.74</v>
      </c>
      <c r="D727" s="2" vm="8241">
        <f ca="1"/>
        <v>12.24</v>
      </c>
      <c r="E727" s="2" vm="8223">
        <f ca="1"/>
        <v>12.3</v>
      </c>
    </row>
    <row r="728" spans="1:5" x14ac:dyDescent="0.2">
      <c r="A728" s="1" vm="8242">
        <f ca="1"/>
        <v>45462</v>
      </c>
      <c r="B728" s="2" vm="8243">
        <f ca="1"/>
        <v>12.32</v>
      </c>
      <c r="C728" s="2" vm="8145">
        <f ca="1"/>
        <v>12.55</v>
      </c>
      <c r="D728" s="2" vm="8243">
        <f ca="1"/>
        <v>12.32</v>
      </c>
      <c r="E728" s="2" vm="8104">
        <f ca="1"/>
        <v>12.48</v>
      </c>
    </row>
    <row r="729" spans="1:5" x14ac:dyDescent="0.2">
      <c r="A729" s="1" vm="3653">
        <f ca="1"/>
        <v>45463</v>
      </c>
      <c r="B729" s="2" vm="8215">
        <f ca="1"/>
        <v>12.5</v>
      </c>
      <c r="C729" s="2" vm="8193">
        <f ca="1"/>
        <v>13.55</v>
      </c>
      <c r="D729" s="2" vm="8244">
        <f ca="1"/>
        <v>12.18</v>
      </c>
      <c r="E729" s="2" vm="8098">
        <f ca="1"/>
        <v>13.28</v>
      </c>
    </row>
    <row r="730" spans="1:5" x14ac:dyDescent="0.2">
      <c r="A730" s="1" vm="3658">
        <f ca="1"/>
        <v>45464</v>
      </c>
      <c r="B730" s="2" vm="7950">
        <f ca="1"/>
        <v>13.22</v>
      </c>
      <c r="C730" s="2" vm="7877">
        <f ca="1"/>
        <v>13.78</v>
      </c>
      <c r="D730" s="2" vm="8137">
        <f ca="1"/>
        <v>12.99</v>
      </c>
      <c r="E730" s="2" vm="7903">
        <f ca="1"/>
        <v>13.2</v>
      </c>
    </row>
    <row r="731" spans="1:5" x14ac:dyDescent="0.2">
      <c r="A731" s="1" vm="3663">
        <f ca="1"/>
        <v>45467</v>
      </c>
      <c r="B731" s="2" vm="7922">
        <f ca="1"/>
        <v>13.85</v>
      </c>
      <c r="C731" s="2" vm="7886">
        <f ca="1"/>
        <v>13.88</v>
      </c>
      <c r="D731" s="2" vm="7970">
        <f ca="1"/>
        <v>13.15</v>
      </c>
      <c r="E731" s="2" vm="7977">
        <f ca="1"/>
        <v>13.33</v>
      </c>
    </row>
    <row r="732" spans="1:5" x14ac:dyDescent="0.2">
      <c r="A732" s="1" vm="3669">
        <f ca="1"/>
        <v>45468</v>
      </c>
      <c r="B732" s="2" vm="7893">
        <f ca="1"/>
        <v>13.48</v>
      </c>
      <c r="C732" s="2" vm="7930">
        <f ca="1"/>
        <v>13.52</v>
      </c>
      <c r="D732" s="2" vm="8090">
        <f ca="1"/>
        <v>12.84</v>
      </c>
      <c r="E732" s="2" vm="8090">
        <f ca="1"/>
        <v>12.84</v>
      </c>
    </row>
    <row r="733" spans="1:5" x14ac:dyDescent="0.2">
      <c r="A733" s="1" vm="3675">
        <f ca="1"/>
        <v>45469</v>
      </c>
      <c r="B733" s="2" vm="8111">
        <f ca="1"/>
        <v>12.81</v>
      </c>
      <c r="C733" s="2" vm="7907">
        <f ca="1"/>
        <v>13.24</v>
      </c>
      <c r="D733" s="2" vm="8139">
        <f ca="1"/>
        <v>12.37</v>
      </c>
      <c r="E733" s="2" vm="8145">
        <f ca="1"/>
        <v>12.55</v>
      </c>
    </row>
    <row r="734" spans="1:5" x14ac:dyDescent="0.2">
      <c r="A734" s="1" vm="3681">
        <f ca="1"/>
        <v>45470</v>
      </c>
      <c r="B734" s="2" vm="8100">
        <f ca="1"/>
        <v>12.69</v>
      </c>
      <c r="C734" s="2" vm="8214">
        <f ca="1"/>
        <v>12.77</v>
      </c>
      <c r="D734" s="2" vm="8245">
        <f ca="1"/>
        <v>12.21</v>
      </c>
      <c r="E734" s="2" vm="8241">
        <f ca="1"/>
        <v>12.24</v>
      </c>
    </row>
    <row r="735" spans="1:5" x14ac:dyDescent="0.2">
      <c r="A735" s="1" vm="3687">
        <f ca="1"/>
        <v>45471</v>
      </c>
      <c r="B735" s="2" vm="8241">
        <f ca="1"/>
        <v>12.24</v>
      </c>
      <c r="C735" s="2" vm="8150">
        <f ca="1"/>
        <v>12.76</v>
      </c>
      <c r="D735" s="2" vm="8246">
        <f ca="1"/>
        <v>11.87</v>
      </c>
      <c r="E735" s="2" vm="8141">
        <f ca="1"/>
        <v>12.44</v>
      </c>
    </row>
    <row r="736" spans="1:5" x14ac:dyDescent="0.2">
      <c r="A736" s="1" vm="3693">
        <f ca="1"/>
        <v>45474</v>
      </c>
      <c r="B736" s="2" vm="8105">
        <f ca="1"/>
        <v>12.98</v>
      </c>
      <c r="C736" s="2" vm="8110">
        <f ca="1"/>
        <v>13.26</v>
      </c>
      <c r="D736" s="2" vm="8247">
        <f ca="1"/>
        <v>12.1</v>
      </c>
      <c r="E736" s="2" vm="8237">
        <f ca="1"/>
        <v>12.22</v>
      </c>
    </row>
    <row r="737" spans="1:5" x14ac:dyDescent="0.2">
      <c r="A737" s="1" vm="3699">
        <f ca="1"/>
        <v>45475</v>
      </c>
      <c r="B737" s="2" vm="8152">
        <f ca="1"/>
        <v>12.67</v>
      </c>
      <c r="C737" s="2" vm="7909">
        <f ca="1"/>
        <v>12.88</v>
      </c>
      <c r="D737" s="2" vm="8248">
        <f ca="1"/>
        <v>11.85</v>
      </c>
      <c r="E737" s="2" vm="8249">
        <f ca="1"/>
        <v>12.03</v>
      </c>
    </row>
    <row r="738" spans="1:5" x14ac:dyDescent="0.2">
      <c r="A738" s="1" vm="3705">
        <f ca="1"/>
        <v>45476</v>
      </c>
      <c r="B738" s="2" vm="8250">
        <f ca="1"/>
        <v>12.13</v>
      </c>
      <c r="C738" s="2" vm="8251">
        <f ca="1"/>
        <v>12.23</v>
      </c>
      <c r="D738" s="2" vm="8252">
        <f ca="1"/>
        <v>11.95</v>
      </c>
      <c r="E738" s="2" vm="8253">
        <f ca="1"/>
        <v>12.09</v>
      </c>
    </row>
    <row r="739" spans="1:5" x14ac:dyDescent="0.2">
      <c r="A739" s="1" vm="8254">
        <f ca="1"/>
        <v>45477</v>
      </c>
      <c r="B739" s="2" vm="8247">
        <f ca="1"/>
        <v>12.1</v>
      </c>
      <c r="C739" s="2" vm="8115">
        <f ca="1"/>
        <v>12.35</v>
      </c>
      <c r="D739" s="2" vm="8253">
        <f ca="1"/>
        <v>12.09</v>
      </c>
      <c r="E739" s="2" vm="8255">
        <f ca="1"/>
        <v>12.26</v>
      </c>
    </row>
    <row r="740" spans="1:5" x14ac:dyDescent="0.2">
      <c r="A740" s="1" vm="3711">
        <f ca="1"/>
        <v>45478</v>
      </c>
      <c r="B740" s="2" vm="8139">
        <f ca="1"/>
        <v>12.37</v>
      </c>
      <c r="C740" s="2" vm="8117">
        <f ca="1"/>
        <v>12.61</v>
      </c>
      <c r="D740" s="2" vm="8124">
        <f ca="1"/>
        <v>11.84</v>
      </c>
      <c r="E740" s="2" vm="8104">
        <f ca="1"/>
        <v>12.48</v>
      </c>
    </row>
    <row r="741" spans="1:5" x14ac:dyDescent="0.2">
      <c r="A741" s="1" vm="3717">
        <f ca="1"/>
        <v>45481</v>
      </c>
      <c r="B741" s="2" vm="7906">
        <f ca="1"/>
        <v>12.91</v>
      </c>
      <c r="C741" s="2" vm="7906">
        <f ca="1"/>
        <v>12.91</v>
      </c>
      <c r="D741" s="2" vm="8256">
        <f ca="1"/>
        <v>12.31</v>
      </c>
      <c r="E741" s="2" vm="8139">
        <f ca="1"/>
        <v>12.37</v>
      </c>
    </row>
    <row r="742" spans="1:5" x14ac:dyDescent="0.2">
      <c r="A742" s="1" vm="3723">
        <f ca="1"/>
        <v>45482</v>
      </c>
      <c r="B742" s="2" vm="8104">
        <f ca="1"/>
        <v>12.48</v>
      </c>
      <c r="C742" s="2" vm="8117">
        <f ca="1"/>
        <v>12.61</v>
      </c>
      <c r="D742" s="2" vm="8115">
        <f ca="1"/>
        <v>12.35</v>
      </c>
      <c r="E742" s="2" vm="8234">
        <f ca="1"/>
        <v>12.51</v>
      </c>
    </row>
    <row r="743" spans="1:5" x14ac:dyDescent="0.2">
      <c r="A743" s="1" vm="3729">
        <f ca="1"/>
        <v>45483</v>
      </c>
      <c r="B743" s="2" vm="8234">
        <f ca="1"/>
        <v>12.51</v>
      </c>
      <c r="C743" s="2" vm="8107">
        <f ca="1"/>
        <v>12.92</v>
      </c>
      <c r="D743" s="2" vm="8257">
        <f ca="1"/>
        <v>12.39</v>
      </c>
      <c r="E743" s="2" vm="8088">
        <f ca="1"/>
        <v>12.85</v>
      </c>
    </row>
    <row r="744" spans="1:5" x14ac:dyDescent="0.2">
      <c r="A744" s="1" vm="3735">
        <f ca="1"/>
        <v>45484</v>
      </c>
      <c r="B744" s="2" vm="7909">
        <f ca="1"/>
        <v>12.88</v>
      </c>
      <c r="C744" s="2" vm="7977">
        <f ca="1"/>
        <v>13.33</v>
      </c>
      <c r="D744" s="2" vm="8251">
        <f ca="1"/>
        <v>12.23</v>
      </c>
      <c r="E744" s="2" vm="8107">
        <f ca="1"/>
        <v>12.92</v>
      </c>
    </row>
    <row r="745" spans="1:5" x14ac:dyDescent="0.2">
      <c r="A745" s="1" vm="3741">
        <f ca="1"/>
        <v>45485</v>
      </c>
      <c r="B745" s="2" vm="8091">
        <f ca="1"/>
        <v>12.87</v>
      </c>
      <c r="C745" s="2" vm="8229">
        <f ca="1"/>
        <v>12.89</v>
      </c>
      <c r="D745" s="2" vm="8236">
        <f ca="1"/>
        <v>12.11</v>
      </c>
      <c r="E745" s="2" vm="8097">
        <f ca="1"/>
        <v>12.46</v>
      </c>
    </row>
    <row r="746" spans="1:5" x14ac:dyDescent="0.2">
      <c r="A746" s="1" vm="3746">
        <f ca="1"/>
        <v>45488</v>
      </c>
      <c r="B746" s="2" vm="8101">
        <f ca="1"/>
        <v>12.78</v>
      </c>
      <c r="C746" s="2" vm="8110">
        <f ca="1"/>
        <v>13.26</v>
      </c>
      <c r="D746" s="2" vm="8092">
        <f ca="1"/>
        <v>12.75</v>
      </c>
      <c r="E746" s="2" vm="7947">
        <f ca="1"/>
        <v>13.12</v>
      </c>
    </row>
    <row r="747" spans="1:5" x14ac:dyDescent="0.2">
      <c r="A747" s="1" vm="3752">
        <f ca="1"/>
        <v>45489</v>
      </c>
      <c r="B747" s="2" vm="8258">
        <f ca="1"/>
        <v>13.38</v>
      </c>
      <c r="C747" s="2" vm="7926">
        <f ca="1"/>
        <v>13.47</v>
      </c>
      <c r="D747" s="2" vm="8113">
        <f ca="1"/>
        <v>12.95</v>
      </c>
      <c r="E747" s="2" vm="7971">
        <f ca="1"/>
        <v>13.19</v>
      </c>
    </row>
    <row r="748" spans="1:5" x14ac:dyDescent="0.2">
      <c r="A748" s="1" vm="3756">
        <f ca="1"/>
        <v>45490</v>
      </c>
      <c r="B748" s="2" vm="7963">
        <f ca="1"/>
        <v>13.6</v>
      </c>
      <c r="C748" s="2" vm="8039">
        <f ca="1"/>
        <v>14.88</v>
      </c>
      <c r="D748" s="2" vm="7894">
        <f ca="1"/>
        <v>13.54</v>
      </c>
      <c r="E748" s="2" vm="7885">
        <f ca="1"/>
        <v>14.48</v>
      </c>
    </row>
    <row r="749" spans="1:5" x14ac:dyDescent="0.2">
      <c r="A749" s="1" vm="3761">
        <f ca="1"/>
        <v>45491</v>
      </c>
      <c r="B749" s="2" vm="8023">
        <f ca="1"/>
        <v>14.27</v>
      </c>
      <c r="C749" s="2" vm="8259">
        <f ca="1"/>
        <v>16.43</v>
      </c>
      <c r="D749" s="2" vm="8235">
        <f ca="1"/>
        <v>14.08</v>
      </c>
      <c r="E749" s="2" vm="8044">
        <f ca="1"/>
        <v>15.93</v>
      </c>
    </row>
    <row r="750" spans="1:5" x14ac:dyDescent="0.2">
      <c r="A750" s="1" vm="3767">
        <f ca="1"/>
        <v>45492</v>
      </c>
      <c r="B750" s="2" vm="6904">
        <f ca="1"/>
        <v>16.440000000000001</v>
      </c>
      <c r="C750" s="2" vm="6923">
        <f ca="1"/>
        <v>17.190000000000001</v>
      </c>
      <c r="D750" s="2" vm="8260">
        <f ca="1"/>
        <v>10.62</v>
      </c>
      <c r="E750" s="2" vm="8261">
        <f ca="1"/>
        <v>16.52</v>
      </c>
    </row>
    <row r="751" spans="1:5" x14ac:dyDescent="0.2">
      <c r="A751" s="1" vm="3771">
        <f ca="1"/>
        <v>45495</v>
      </c>
      <c r="B751" s="2" vm="8046">
        <f ca="1"/>
        <v>16.79</v>
      </c>
      <c r="C751" s="2" vm="6756">
        <f ca="1"/>
        <v>16.89</v>
      </c>
      <c r="D751" s="2" vm="8038">
        <f ca="1"/>
        <v>14.75</v>
      </c>
      <c r="E751" s="2" vm="7866">
        <f ca="1"/>
        <v>14.91</v>
      </c>
    </row>
    <row r="752" spans="1:5" x14ac:dyDescent="0.2">
      <c r="A752" s="1" vm="3775">
        <f ca="1"/>
        <v>45496</v>
      </c>
      <c r="B752" s="2" vm="8262">
        <f ca="1"/>
        <v>15.21</v>
      </c>
      <c r="C752" s="2" vm="6872">
        <f ca="1"/>
        <v>15.35</v>
      </c>
      <c r="D752" s="2" vm="7918">
        <f ca="1"/>
        <v>13.9</v>
      </c>
      <c r="E752" s="2" vm="8172">
        <f ca="1"/>
        <v>14.72</v>
      </c>
    </row>
    <row r="753" spans="1:5" x14ac:dyDescent="0.2">
      <c r="A753" s="1" vm="3781">
        <f ca="1"/>
        <v>45497</v>
      </c>
      <c r="B753" s="2" vm="6872">
        <f ca="1"/>
        <v>15.35</v>
      </c>
      <c r="C753" s="2" vm="8263">
        <f ca="1"/>
        <v>18.46</v>
      </c>
      <c r="D753" s="2" vm="8194">
        <f ca="1"/>
        <v>15.18</v>
      </c>
      <c r="E753" s="2" vm="7858">
        <f ca="1"/>
        <v>18.04</v>
      </c>
    </row>
    <row r="754" spans="1:5" x14ac:dyDescent="0.2">
      <c r="A754" s="1" vm="3786">
        <f ca="1"/>
        <v>45498</v>
      </c>
      <c r="B754" s="2" vm="6780">
        <f ca="1"/>
        <v>18.41</v>
      </c>
      <c r="C754" s="2" vm="7721">
        <f ca="1"/>
        <v>19.36</v>
      </c>
      <c r="D754" s="2" vm="8264">
        <f ca="1"/>
        <v>16.420000000000002</v>
      </c>
      <c r="E754" s="2" vm="8263">
        <f ca="1"/>
        <v>18.46</v>
      </c>
    </row>
    <row r="755" spans="1:5" x14ac:dyDescent="0.2">
      <c r="A755" s="1" vm="3791">
        <f ca="1"/>
        <v>45499</v>
      </c>
      <c r="B755" s="2" vm="7732">
        <f ca="1"/>
        <v>17.97</v>
      </c>
      <c r="C755" s="2" vm="8265">
        <f ca="1"/>
        <v>18.05</v>
      </c>
      <c r="D755" s="2" vm="6921">
        <f ca="1"/>
        <v>16.37</v>
      </c>
      <c r="E755" s="2" vm="6873">
        <f ca="1"/>
        <v>16.39</v>
      </c>
    </row>
    <row r="756" spans="1:5" x14ac:dyDescent="0.2">
      <c r="A756" s="1" vm="3797">
        <f ca="1"/>
        <v>45502</v>
      </c>
      <c r="B756" s="2" vm="8066">
        <f ca="1"/>
        <v>16.59</v>
      </c>
      <c r="C756" s="2" vm="6908">
        <f ca="1"/>
        <v>17.21</v>
      </c>
      <c r="D756" s="2" vm="6885">
        <f ca="1"/>
        <v>16.23</v>
      </c>
      <c r="E756" s="2" vm="7022">
        <f ca="1"/>
        <v>16.600000000000001</v>
      </c>
    </row>
    <row r="757" spans="1:5" x14ac:dyDescent="0.2">
      <c r="A757" s="1" vm="3802">
        <f ca="1"/>
        <v>45503</v>
      </c>
      <c r="B757" s="2" vm="6856">
        <f ca="1"/>
        <v>16.64</v>
      </c>
      <c r="C757" s="2" vm="8266">
        <f ca="1"/>
        <v>18.32</v>
      </c>
      <c r="D757" s="2" vm="6890">
        <f ca="1"/>
        <v>16.260000000000002</v>
      </c>
      <c r="E757" s="2" vm="6903">
        <f ca="1"/>
        <v>17.690000000000001</v>
      </c>
    </row>
    <row r="758" spans="1:5" x14ac:dyDescent="0.2">
      <c r="A758" s="1" vm="3808">
        <f ca="1"/>
        <v>45504</v>
      </c>
      <c r="B758" s="2" vm="8267">
        <f ca="1"/>
        <v>16.66</v>
      </c>
      <c r="C758" s="2" vm="7819">
        <f ca="1"/>
        <v>16.77</v>
      </c>
      <c r="D758" s="2" vm="8268">
        <f ca="1"/>
        <v>15.71</v>
      </c>
      <c r="E758" s="2" vm="6922">
        <f ca="1"/>
        <v>16.36</v>
      </c>
    </row>
    <row r="759" spans="1:5" x14ac:dyDescent="0.2">
      <c r="A759" s="1" vm="3814">
        <f ca="1"/>
        <v>45505</v>
      </c>
      <c r="B759" s="2" vm="8269">
        <f ca="1"/>
        <v>16.2</v>
      </c>
      <c r="C759" s="2" vm="7731">
        <f ca="1"/>
        <v>19.48</v>
      </c>
      <c r="D759" s="2" vm="8270">
        <f ca="1"/>
        <v>15.95</v>
      </c>
      <c r="E759" s="2" vm="7001">
        <f ca="1"/>
        <v>18.59</v>
      </c>
    </row>
    <row r="760" spans="1:5" x14ac:dyDescent="0.2">
      <c r="A760" s="1" vm="3820">
        <f ca="1"/>
        <v>45506</v>
      </c>
      <c r="B760" s="2" vm="7725">
        <f ca="1"/>
        <v>20.52</v>
      </c>
      <c r="C760" s="2" vm="8271">
        <f ca="1"/>
        <v>29.66</v>
      </c>
      <c r="D760" s="2" vm="7696">
        <f ca="1"/>
        <v>20.010000000000002</v>
      </c>
      <c r="E760" s="2" vm="7692">
        <f ca="1"/>
        <v>23.39</v>
      </c>
    </row>
    <row r="761" spans="1:5" x14ac:dyDescent="0.2">
      <c r="A761" s="1" vm="3826">
        <f ca="1"/>
        <v>45509</v>
      </c>
      <c r="B761" s="2" vm="7692">
        <f ca="1"/>
        <v>23.39</v>
      </c>
      <c r="C761" s="2" vm="8272">
        <f ca="1"/>
        <v>65.73</v>
      </c>
      <c r="D761" s="2" vm="7692">
        <f ca="1"/>
        <v>23.39</v>
      </c>
      <c r="E761" s="2" vm="8273">
        <f ca="1"/>
        <v>38.57</v>
      </c>
    </row>
    <row r="762" spans="1:5" x14ac:dyDescent="0.2">
      <c r="A762" s="1" vm="3832">
        <f ca="1"/>
        <v>45510</v>
      </c>
      <c r="B762" s="2" vm="8274">
        <f ca="1"/>
        <v>33.71</v>
      </c>
      <c r="C762" s="2" vm="8275">
        <f ca="1"/>
        <v>34.770000000000003</v>
      </c>
      <c r="D762" s="2" vm="7200">
        <f ca="1"/>
        <v>24.02</v>
      </c>
      <c r="E762" s="2" vm="8276">
        <f ca="1"/>
        <v>27.71</v>
      </c>
    </row>
    <row r="763" spans="1:5" x14ac:dyDescent="0.2">
      <c r="A763" s="1" vm="3838">
        <f ca="1"/>
        <v>45511</v>
      </c>
      <c r="B763" s="2" vm="7103">
        <f ca="1"/>
        <v>24.77</v>
      </c>
      <c r="C763" s="2" vm="7611">
        <f ca="1"/>
        <v>29.76</v>
      </c>
      <c r="D763" s="2" vm="7228">
        <f ca="1"/>
        <v>21.97</v>
      </c>
      <c r="E763" s="2" vm="7404">
        <f ca="1"/>
        <v>27.85</v>
      </c>
    </row>
    <row r="764" spans="1:5" x14ac:dyDescent="0.2">
      <c r="A764" s="1" vm="3844">
        <f ca="1"/>
        <v>45512</v>
      </c>
      <c r="B764" s="2" vm="8277">
        <f ca="1"/>
        <v>28.34</v>
      </c>
      <c r="C764" s="2" vm="8278">
        <f ca="1"/>
        <v>29.47</v>
      </c>
      <c r="D764" s="2" vm="7456">
        <f ca="1"/>
        <v>23.36</v>
      </c>
      <c r="E764" s="2" vm="6815">
        <f ca="1"/>
        <v>23.79</v>
      </c>
    </row>
    <row r="765" spans="1:5" x14ac:dyDescent="0.2">
      <c r="A765" s="1" vm="3849">
        <f ca="1"/>
        <v>45513</v>
      </c>
      <c r="B765" s="2" vm="8279">
        <f ca="1"/>
        <v>23.78</v>
      </c>
      <c r="C765" s="2" vm="7248">
        <f ca="1"/>
        <v>24.52</v>
      </c>
      <c r="D765" s="2" vm="8280">
        <f ca="1"/>
        <v>20.260000000000002</v>
      </c>
      <c r="E765" s="2" vm="7102">
        <f ca="1"/>
        <v>20.37</v>
      </c>
    </row>
    <row r="766" spans="1:5" x14ac:dyDescent="0.2">
      <c r="A766" s="1" vm="3855">
        <f ca="1"/>
        <v>45516</v>
      </c>
      <c r="B766" s="2" vm="8281">
        <f ca="1"/>
        <v>20.79</v>
      </c>
      <c r="C766" s="2" vm="8282">
        <f ca="1"/>
        <v>21.19</v>
      </c>
      <c r="D766" s="2" vm="8283">
        <f ca="1"/>
        <v>18.89</v>
      </c>
      <c r="E766" s="2" vm="7748">
        <f ca="1"/>
        <v>20.71</v>
      </c>
    </row>
    <row r="767" spans="1:5" x14ac:dyDescent="0.2">
      <c r="A767" s="1" vm="3861">
        <f ca="1"/>
        <v>45517</v>
      </c>
      <c r="B767" s="2" vm="8284">
        <f ca="1"/>
        <v>20.059999999999999</v>
      </c>
      <c r="C767" s="2" vm="8281">
        <f ca="1"/>
        <v>20.79</v>
      </c>
      <c r="D767" s="2" vm="7854">
        <f ca="1"/>
        <v>17.95</v>
      </c>
      <c r="E767" s="2" vm="7810">
        <f ca="1"/>
        <v>18.12</v>
      </c>
    </row>
    <row r="768" spans="1:5" x14ac:dyDescent="0.2">
      <c r="A768" s="1" vm="3867">
        <f ca="1"/>
        <v>45518</v>
      </c>
      <c r="B768" s="2" vm="6780">
        <f ca="1"/>
        <v>18.41</v>
      </c>
      <c r="C768" s="2" vm="7771">
        <f ca="1"/>
        <v>18.489999999999998</v>
      </c>
      <c r="D768" s="2" vm="8176">
        <f ca="1"/>
        <v>16.12</v>
      </c>
      <c r="E768" s="2" vm="8285">
        <f ca="1"/>
        <v>16.190000000000001</v>
      </c>
    </row>
    <row r="769" spans="1:5" x14ac:dyDescent="0.2">
      <c r="A769" s="1" vm="3873">
        <f ca="1"/>
        <v>45519</v>
      </c>
      <c r="B769" s="2" vm="6746">
        <f ca="1"/>
        <v>16.27</v>
      </c>
      <c r="C769" s="2" vm="7843">
        <f ca="1"/>
        <v>16.68</v>
      </c>
      <c r="D769" s="2" vm="7994">
        <f ca="1"/>
        <v>14.77</v>
      </c>
      <c r="E769" s="2" vm="8286">
        <f ca="1"/>
        <v>15.23</v>
      </c>
    </row>
    <row r="770" spans="1:5" x14ac:dyDescent="0.2">
      <c r="A770" s="1" vm="3878">
        <f ca="1"/>
        <v>45520</v>
      </c>
      <c r="B770" s="2" vm="6868">
        <f ca="1"/>
        <v>15.29</v>
      </c>
      <c r="C770" s="2" vm="8204">
        <f ca="1"/>
        <v>15.76</v>
      </c>
      <c r="D770" s="2" vm="8174">
        <f ca="1"/>
        <v>14.65</v>
      </c>
      <c r="E770" s="2" vm="8287">
        <f ca="1"/>
        <v>14.8</v>
      </c>
    </row>
    <row r="771" spans="1:5" x14ac:dyDescent="0.2">
      <c r="A771" s="1" vm="3883">
        <f ca="1"/>
        <v>45523</v>
      </c>
      <c r="B771" s="2" vm="8288">
        <f ca="1"/>
        <v>15.94</v>
      </c>
      <c r="C771" s="2" vm="8289">
        <f ca="1"/>
        <v>16.07</v>
      </c>
      <c r="D771" s="2" vm="8183">
        <f ca="1"/>
        <v>14.46</v>
      </c>
      <c r="E771" s="2" vm="8174">
        <f ca="1"/>
        <v>14.65</v>
      </c>
    </row>
    <row r="772" spans="1:5" x14ac:dyDescent="0.2">
      <c r="A772" s="1" vm="3889">
        <f ca="1"/>
        <v>45524</v>
      </c>
      <c r="B772" s="2" vm="8069">
        <f ca="1"/>
        <v>14.89</v>
      </c>
      <c r="C772" s="2" vm="8044">
        <f ca="1"/>
        <v>15.93</v>
      </c>
      <c r="D772" s="2" vm="8173">
        <f ca="1"/>
        <v>14.78</v>
      </c>
      <c r="E772" s="2" vm="7993">
        <f ca="1"/>
        <v>15.88</v>
      </c>
    </row>
    <row r="773" spans="1:5" x14ac:dyDescent="0.2">
      <c r="A773" s="1" vm="3892">
        <f ca="1"/>
        <v>45525</v>
      </c>
      <c r="B773" s="2" vm="8205">
        <f ca="1"/>
        <v>16.25</v>
      </c>
      <c r="C773" s="2" vm="6764">
        <f ca="1"/>
        <v>17.170000000000002</v>
      </c>
      <c r="D773" s="2" vm="7982">
        <f ca="1"/>
        <v>15.92</v>
      </c>
      <c r="E773" s="2" vm="6746">
        <f ca="1"/>
        <v>16.27</v>
      </c>
    </row>
    <row r="774" spans="1:5" x14ac:dyDescent="0.2">
      <c r="A774" s="1" vm="3897">
        <f ca="1"/>
        <v>45526</v>
      </c>
      <c r="B774" s="2" vm="6746">
        <f ca="1"/>
        <v>16.27</v>
      </c>
      <c r="C774" s="2" vm="6888">
        <f ca="1"/>
        <v>18.059999999999999</v>
      </c>
      <c r="D774" s="2" vm="8204">
        <f ca="1"/>
        <v>15.76</v>
      </c>
      <c r="E774" s="2" vm="7007">
        <f ca="1"/>
        <v>17.55</v>
      </c>
    </row>
    <row r="775" spans="1:5" x14ac:dyDescent="0.2">
      <c r="A775" s="1" vm="3902">
        <f ca="1"/>
        <v>45527</v>
      </c>
      <c r="B775" s="2" vm="7839">
        <f ca="1"/>
        <v>17.12</v>
      </c>
      <c r="C775" s="2" vm="6908">
        <f ca="1"/>
        <v>17.21</v>
      </c>
      <c r="D775" s="2" vm="8290">
        <f ca="1"/>
        <v>15.61</v>
      </c>
      <c r="E775" s="2" vm="8291">
        <f ca="1"/>
        <v>15.86</v>
      </c>
    </row>
    <row r="776" spans="1:5" x14ac:dyDescent="0.2">
      <c r="A776" s="1" vm="3907">
        <f ca="1"/>
        <v>45530</v>
      </c>
      <c r="B776" s="2" vm="6746">
        <f ca="1"/>
        <v>16.27</v>
      </c>
      <c r="C776" s="2" vm="8292">
        <f ca="1"/>
        <v>16.670000000000002</v>
      </c>
      <c r="D776" s="2" vm="7990">
        <f ca="1"/>
        <v>15.81</v>
      </c>
      <c r="E776" s="2" vm="6915">
        <f ca="1"/>
        <v>16.149999999999999</v>
      </c>
    </row>
    <row r="777" spans="1:5" x14ac:dyDescent="0.2">
      <c r="A777" s="1" vm="3913">
        <f ca="1"/>
        <v>45531</v>
      </c>
      <c r="B777" s="2" vm="7940">
        <f ca="1"/>
        <v>16.21</v>
      </c>
      <c r="C777" s="2" vm="6926">
        <f ca="1"/>
        <v>16.809999999999999</v>
      </c>
      <c r="D777" s="2" vm="8207">
        <f ca="1"/>
        <v>15.37</v>
      </c>
      <c r="E777" s="2" vm="6875">
        <f ca="1"/>
        <v>15.43</v>
      </c>
    </row>
    <row r="778" spans="1:5" x14ac:dyDescent="0.2">
      <c r="A778" s="1" vm="3919">
        <f ca="1"/>
        <v>45532</v>
      </c>
      <c r="B778" s="2" vm="8186">
        <f ca="1"/>
        <v>15.51</v>
      </c>
      <c r="C778" s="2" vm="7999">
        <f ca="1"/>
        <v>17.89</v>
      </c>
      <c r="D778" s="2" vm="8293">
        <f ca="1"/>
        <v>15.46</v>
      </c>
      <c r="E778" s="2" vm="6925">
        <f ca="1"/>
        <v>17.11</v>
      </c>
    </row>
    <row r="779" spans="1:5" x14ac:dyDescent="0.2">
      <c r="A779" s="1" vm="3925">
        <f ca="1"/>
        <v>45533</v>
      </c>
      <c r="B779" s="2" vm="6893">
        <f ca="1"/>
        <v>16.54</v>
      </c>
      <c r="C779" s="2" vm="7023">
        <f ca="1"/>
        <v>16.57</v>
      </c>
      <c r="D779" s="2" vm="8073">
        <f ca="1"/>
        <v>15.19</v>
      </c>
      <c r="E779" s="2" vm="7861">
        <f ca="1"/>
        <v>15.65</v>
      </c>
    </row>
    <row r="780" spans="1:5" x14ac:dyDescent="0.2">
      <c r="A780" s="1" vm="3931">
        <f ca="1"/>
        <v>45534</v>
      </c>
      <c r="B780" s="2" vm="8294">
        <f ca="1"/>
        <v>15.67</v>
      </c>
      <c r="C780" s="2" vm="8187">
        <f ca="1"/>
        <v>16.04</v>
      </c>
      <c r="D780" s="2" vm="8173">
        <f ca="1"/>
        <v>14.78</v>
      </c>
      <c r="E780" s="2" vm="8011">
        <f ca="1"/>
        <v>15</v>
      </c>
    </row>
    <row r="781" spans="1:5" x14ac:dyDescent="0.2">
      <c r="A781" s="1" vm="8295">
        <f ca="1"/>
        <v>45537</v>
      </c>
      <c r="B781" s="2" vm="8296">
        <f ca="1"/>
        <v>15.87</v>
      </c>
      <c r="C781" s="2" vm="7989">
        <f ca="1"/>
        <v>15.99</v>
      </c>
      <c r="D781" s="2" vm="8007">
        <f ca="1"/>
        <v>15.48</v>
      </c>
      <c r="E781" s="2" vm="8297">
        <f ca="1"/>
        <v>15.55</v>
      </c>
    </row>
    <row r="782" spans="1:5" x14ac:dyDescent="0.2">
      <c r="A782" s="1" vm="3937">
        <f ca="1"/>
        <v>45538</v>
      </c>
      <c r="B782" s="2" vm="8204">
        <f ca="1"/>
        <v>15.76</v>
      </c>
      <c r="C782" s="2" vm="7766">
        <f ca="1"/>
        <v>21.99</v>
      </c>
      <c r="D782" s="2" vm="8268">
        <f ca="1"/>
        <v>15.71</v>
      </c>
      <c r="E782" s="2" vm="7753">
        <f ca="1"/>
        <v>20.72</v>
      </c>
    </row>
    <row r="783" spans="1:5" x14ac:dyDescent="0.2">
      <c r="A783" s="1" vm="3941">
        <f ca="1"/>
        <v>45539</v>
      </c>
      <c r="B783" s="2" vm="7045">
        <f ca="1"/>
        <v>23.2</v>
      </c>
      <c r="C783" s="2" vm="8298">
        <f ca="1"/>
        <v>23.31</v>
      </c>
      <c r="D783" s="2" vm="8299">
        <f ca="1"/>
        <v>19.34</v>
      </c>
      <c r="E783" s="2" vm="7099">
        <f ca="1"/>
        <v>21.32</v>
      </c>
    </row>
    <row r="784" spans="1:5" x14ac:dyDescent="0.2">
      <c r="A784" s="1" vm="3946">
        <f ca="1"/>
        <v>45540</v>
      </c>
      <c r="B784" s="2" vm="6798">
        <f ca="1"/>
        <v>20.75</v>
      </c>
      <c r="C784" s="2" vm="8300">
        <f ca="1"/>
        <v>21.53</v>
      </c>
      <c r="D784" s="2" vm="7720">
        <f ca="1"/>
        <v>19.21</v>
      </c>
      <c r="E784" s="2" vm="6909">
        <f ca="1"/>
        <v>19.899999999999999</v>
      </c>
    </row>
    <row r="785" spans="1:5" x14ac:dyDescent="0.2">
      <c r="A785" s="1" vm="3950">
        <f ca="1"/>
        <v>45541</v>
      </c>
      <c r="B785" s="2" vm="7250">
        <f ca="1"/>
        <v>21.98</v>
      </c>
      <c r="C785" s="2" vm="7705">
        <f ca="1"/>
        <v>23.76</v>
      </c>
      <c r="D785" s="2" vm="7714">
        <f ca="1"/>
        <v>18.829999999999998</v>
      </c>
      <c r="E785" s="2" vm="6956">
        <f ca="1"/>
        <v>22.38</v>
      </c>
    </row>
    <row r="786" spans="1:5" x14ac:dyDescent="0.2">
      <c r="A786" s="1" vm="3955">
        <f ca="1"/>
        <v>45544</v>
      </c>
      <c r="B786" s="2" vm="7099">
        <f ca="1"/>
        <v>21.32</v>
      </c>
      <c r="C786" s="2" vm="7485">
        <f ca="1"/>
        <v>21.41</v>
      </c>
      <c r="D786" s="2" vm="6977">
        <f ca="1"/>
        <v>19.29</v>
      </c>
      <c r="E786" s="2" vm="7794">
        <f ca="1"/>
        <v>19.45</v>
      </c>
    </row>
    <row r="787" spans="1:5" x14ac:dyDescent="0.2">
      <c r="A787" s="1" vm="3960">
        <f ca="1"/>
        <v>45545</v>
      </c>
      <c r="B787" s="2" vm="7823">
        <f ca="1"/>
        <v>19.86</v>
      </c>
      <c r="C787" s="2" vm="7494">
        <f ca="1"/>
        <v>20.74</v>
      </c>
      <c r="D787" s="2" vm="7215">
        <f ca="1"/>
        <v>18.899999999999999</v>
      </c>
      <c r="E787" s="2" vm="7032">
        <f ca="1"/>
        <v>19.079999999999998</v>
      </c>
    </row>
    <row r="788" spans="1:5" x14ac:dyDescent="0.2">
      <c r="A788" s="1" vm="3966">
        <f ca="1"/>
        <v>45546</v>
      </c>
      <c r="B788" s="2" vm="7006">
        <f ca="1"/>
        <v>19.41</v>
      </c>
      <c r="C788" s="2" vm="7485">
        <f ca="1"/>
        <v>21.41</v>
      </c>
      <c r="D788" s="2" vm="7007">
        <f ca="1"/>
        <v>17.55</v>
      </c>
      <c r="E788" s="2" vm="6903">
        <f ca="1"/>
        <v>17.690000000000001</v>
      </c>
    </row>
    <row r="789" spans="1:5" x14ac:dyDescent="0.2">
      <c r="A789" s="1" vm="3972">
        <f ca="1"/>
        <v>45547</v>
      </c>
      <c r="B789" s="2" vm="7004">
        <f ca="1"/>
        <v>17.62</v>
      </c>
      <c r="C789" s="2" vm="7001">
        <f ca="1"/>
        <v>18.59</v>
      </c>
      <c r="D789" s="2" vm="6756">
        <f ca="1"/>
        <v>16.89</v>
      </c>
      <c r="E789" s="2" vm="6739">
        <f ca="1"/>
        <v>17.07</v>
      </c>
    </row>
    <row r="790" spans="1:5" x14ac:dyDescent="0.2">
      <c r="A790" s="1" vm="3978">
        <f ca="1"/>
        <v>45548</v>
      </c>
      <c r="B790" s="2" vm="6917">
        <f ca="1"/>
        <v>17.03</v>
      </c>
      <c r="C790" s="2" vm="8301">
        <f ca="1"/>
        <v>17.18</v>
      </c>
      <c r="D790" s="2" vm="6885">
        <f ca="1"/>
        <v>16.23</v>
      </c>
      <c r="E790" s="2" vm="7021">
        <f ca="1"/>
        <v>16.559999999999999</v>
      </c>
    </row>
    <row r="791" spans="1:5" x14ac:dyDescent="0.2">
      <c r="A791" s="1" vm="3984">
        <f ca="1"/>
        <v>45551</v>
      </c>
      <c r="B791" s="2" vm="6884">
        <f ca="1"/>
        <v>17.16</v>
      </c>
      <c r="C791" s="2" vm="6903">
        <f ca="1"/>
        <v>17.690000000000001</v>
      </c>
      <c r="D791" s="2" vm="7026">
        <f ca="1"/>
        <v>16.91</v>
      </c>
      <c r="E791" s="2" vm="8000">
        <f ca="1"/>
        <v>17.14</v>
      </c>
    </row>
    <row r="792" spans="1:5" x14ac:dyDescent="0.2">
      <c r="A792" s="1" vm="3990">
        <f ca="1"/>
        <v>45552</v>
      </c>
      <c r="B792" s="2" vm="6884">
        <f ca="1"/>
        <v>17.16</v>
      </c>
      <c r="C792" s="2" vm="6853">
        <f ca="1"/>
        <v>18.079999999999998</v>
      </c>
      <c r="D792" s="2" vm="8292">
        <f ca="1"/>
        <v>16.670000000000002</v>
      </c>
      <c r="E792" s="2" vm="8051">
        <f ca="1"/>
        <v>17.61</v>
      </c>
    </row>
    <row r="793" spans="1:5" x14ac:dyDescent="0.2">
      <c r="A793" s="1" vm="3996">
        <f ca="1"/>
        <v>45553</v>
      </c>
      <c r="B793" s="2" vm="7811">
        <f ca="1"/>
        <v>17.579999999999998</v>
      </c>
      <c r="C793" s="2" vm="7793">
        <f ca="1"/>
        <v>19.39</v>
      </c>
      <c r="D793" s="2" vm="6925">
        <f ca="1"/>
        <v>17.11</v>
      </c>
      <c r="E793" s="2" vm="7755">
        <f ca="1"/>
        <v>18.23</v>
      </c>
    </row>
    <row r="794" spans="1:5" x14ac:dyDescent="0.2">
      <c r="A794" s="1" vm="4001">
        <f ca="1"/>
        <v>45554</v>
      </c>
      <c r="B794" s="2" vm="6908">
        <f ca="1"/>
        <v>17.21</v>
      </c>
      <c r="C794" s="2" vm="6912">
        <f ca="1"/>
        <v>17.27</v>
      </c>
      <c r="D794" s="2" vm="7940">
        <f ca="1"/>
        <v>16.21</v>
      </c>
      <c r="E794" s="2" vm="6877">
        <f ca="1"/>
        <v>16.329999999999998</v>
      </c>
    </row>
    <row r="795" spans="1:5" x14ac:dyDescent="0.2">
      <c r="A795" s="1" vm="4006">
        <f ca="1"/>
        <v>45555</v>
      </c>
      <c r="B795" s="2" vm="8195">
        <f ca="1"/>
        <v>16.350000000000001</v>
      </c>
      <c r="C795" s="2" vm="7843">
        <f ca="1"/>
        <v>16.68</v>
      </c>
      <c r="D795" s="2" vm="7990">
        <f ca="1"/>
        <v>15.81</v>
      </c>
      <c r="E795" s="2" vm="6915">
        <f ca="1"/>
        <v>16.149999999999999</v>
      </c>
    </row>
    <row r="796" spans="1:5" x14ac:dyDescent="0.2">
      <c r="A796" s="1" vm="4012">
        <f ca="1"/>
        <v>45558</v>
      </c>
      <c r="B796" s="2" vm="6743">
        <f ca="1"/>
        <v>16.71</v>
      </c>
      <c r="C796" s="2" vm="7013">
        <f ca="1"/>
        <v>16.95</v>
      </c>
      <c r="D796" s="2" vm="8210">
        <f ca="1"/>
        <v>15.75</v>
      </c>
      <c r="E796" s="2" vm="6867">
        <f ca="1"/>
        <v>15.89</v>
      </c>
    </row>
    <row r="797" spans="1:5" x14ac:dyDescent="0.2">
      <c r="A797" s="1" vm="4018">
        <f ca="1"/>
        <v>45559</v>
      </c>
      <c r="B797" s="2" vm="8296">
        <f ca="1"/>
        <v>15.87</v>
      </c>
      <c r="C797" s="2" vm="8292">
        <f ca="1"/>
        <v>16.670000000000002</v>
      </c>
      <c r="D797" s="2" vm="8206">
        <f ca="1"/>
        <v>15.27</v>
      </c>
      <c r="E797" s="2" vm="8068">
        <f ca="1"/>
        <v>15.39</v>
      </c>
    </row>
    <row r="798" spans="1:5" x14ac:dyDescent="0.2">
      <c r="A798" s="1" vm="4024">
        <f ca="1"/>
        <v>45560</v>
      </c>
      <c r="B798" s="2" vm="6866">
        <f ca="1"/>
        <v>15.82</v>
      </c>
      <c r="C798" s="2" vm="6866">
        <f ca="1"/>
        <v>15.82</v>
      </c>
      <c r="D798" s="2" vm="8070">
        <f ca="1"/>
        <v>15.17</v>
      </c>
      <c r="E798" s="2" vm="8302">
        <f ca="1"/>
        <v>15.41</v>
      </c>
    </row>
    <row r="799" spans="1:5" x14ac:dyDescent="0.2">
      <c r="A799" s="1" vm="4030">
        <f ca="1"/>
        <v>45561</v>
      </c>
      <c r="B799" s="2" vm="6896">
        <f ca="1"/>
        <v>15.06</v>
      </c>
      <c r="C799" s="2" vm="8049">
        <f ca="1"/>
        <v>15.83</v>
      </c>
      <c r="D799" s="2" vm="6881">
        <f ca="1"/>
        <v>14.9</v>
      </c>
      <c r="E799" s="2" vm="8207">
        <f ca="1"/>
        <v>15.37</v>
      </c>
    </row>
    <row r="800" spans="1:5" x14ac:dyDescent="0.2">
      <c r="A800" s="1" vm="4036">
        <f ca="1"/>
        <v>45562</v>
      </c>
      <c r="B800" s="2" vm="8303">
        <f ca="1"/>
        <v>15.64</v>
      </c>
      <c r="C800" s="2" vm="8005">
        <f ca="1"/>
        <v>16.97</v>
      </c>
      <c r="D800" s="2" vm="8189">
        <f ca="1"/>
        <v>15.2</v>
      </c>
      <c r="E800" s="2" vm="7997">
        <f ca="1"/>
        <v>16.96</v>
      </c>
    </row>
    <row r="801" spans="1:5" x14ac:dyDescent="0.2">
      <c r="A801" s="1" vm="4042">
        <f ca="1"/>
        <v>45565</v>
      </c>
      <c r="B801" s="2" vm="8304">
        <f ca="1"/>
        <v>17.010000000000002</v>
      </c>
      <c r="C801" s="2" vm="7015">
        <f ca="1"/>
        <v>17.79</v>
      </c>
      <c r="D801" s="2" vm="8305">
        <f ca="1"/>
        <v>16.47</v>
      </c>
      <c r="E801" s="2" vm="8306">
        <f ca="1"/>
        <v>16.73</v>
      </c>
    </row>
    <row r="802" spans="1:5" x14ac:dyDescent="0.2">
      <c r="A802" s="1" vm="4048">
        <f ca="1"/>
        <v>45566</v>
      </c>
      <c r="B802" s="2" vm="7997">
        <f ca="1"/>
        <v>16.96</v>
      </c>
      <c r="C802" s="2" vm="8307">
        <f ca="1"/>
        <v>20.73</v>
      </c>
      <c r="D802" s="2" vm="8004">
        <f ca="1"/>
        <v>16.61</v>
      </c>
      <c r="E802" s="2" vm="8308">
        <f ca="1"/>
        <v>19.260000000000002</v>
      </c>
    </row>
    <row r="803" spans="1:5" x14ac:dyDescent="0.2">
      <c r="A803" s="1" vm="4054">
        <f ca="1"/>
        <v>45567</v>
      </c>
      <c r="B803" s="2" vm="8309">
        <f ca="1"/>
        <v>19.649999999999999</v>
      </c>
      <c r="C803" s="2" vm="7253">
        <f ca="1"/>
        <v>20.36</v>
      </c>
      <c r="D803" s="2" vm="6942">
        <f ca="1"/>
        <v>18.579999999999998</v>
      </c>
      <c r="E803" s="2" vm="7215">
        <f ca="1"/>
        <v>18.899999999999999</v>
      </c>
    </row>
    <row r="804" spans="1:5" x14ac:dyDescent="0.2">
      <c r="A804" s="1" vm="4060">
        <f ca="1"/>
        <v>45568</v>
      </c>
      <c r="B804" s="2" vm="7212">
        <f ca="1"/>
        <v>19.63</v>
      </c>
      <c r="C804" s="2" vm="6798">
        <f ca="1"/>
        <v>20.75</v>
      </c>
      <c r="D804" s="2" vm="8310">
        <f ca="1"/>
        <v>19.16</v>
      </c>
      <c r="E804" s="2" vm="6990">
        <f ca="1"/>
        <v>20.49</v>
      </c>
    </row>
    <row r="805" spans="1:5" x14ac:dyDescent="0.2">
      <c r="A805" s="1" vm="4066">
        <f ca="1"/>
        <v>45569</v>
      </c>
      <c r="B805" s="2" vm="8052">
        <f ca="1"/>
        <v>20.48</v>
      </c>
      <c r="C805" s="2" vm="8052">
        <f ca="1"/>
        <v>20.48</v>
      </c>
      <c r="D805" s="2" vm="7754">
        <f ca="1"/>
        <v>18.48</v>
      </c>
      <c r="E805" s="2" vm="7720">
        <f ca="1"/>
        <v>19.21</v>
      </c>
    </row>
    <row r="806" spans="1:5" x14ac:dyDescent="0.2">
      <c r="A806" s="1" vm="4072">
        <f ca="1"/>
        <v>45572</v>
      </c>
      <c r="B806" s="2" vm="6839">
        <f ca="1"/>
        <v>20.76</v>
      </c>
      <c r="C806" s="2" vm="7454">
        <f ca="1"/>
        <v>23.03</v>
      </c>
      <c r="D806" s="2" vm="8311">
        <f ca="1"/>
        <v>20.65</v>
      </c>
      <c r="E806" s="2" vm="7205">
        <f ca="1"/>
        <v>22.64</v>
      </c>
    </row>
    <row r="807" spans="1:5" x14ac:dyDescent="0.2">
      <c r="A807" s="1" vm="4078">
        <f ca="1"/>
        <v>45573</v>
      </c>
      <c r="B807" s="2" vm="6830">
        <f ca="1"/>
        <v>22.92</v>
      </c>
      <c r="C807" s="2" vm="6821">
        <f ca="1"/>
        <v>23.14</v>
      </c>
      <c r="D807" s="2" vm="7687">
        <f ca="1"/>
        <v>21.14</v>
      </c>
      <c r="E807" s="2" vm="7769">
        <f ca="1"/>
        <v>21.42</v>
      </c>
    </row>
    <row r="808" spans="1:5" x14ac:dyDescent="0.2">
      <c r="A808" s="1" vm="4084">
        <f ca="1"/>
        <v>45574</v>
      </c>
      <c r="B808" s="2" vm="7250">
        <f ca="1"/>
        <v>21.98</v>
      </c>
      <c r="C808" s="2" vm="7482">
        <f ca="1"/>
        <v>22.01</v>
      </c>
      <c r="D808" s="2" vm="7748">
        <f ca="1"/>
        <v>20.71</v>
      </c>
      <c r="E808" s="2" vm="7220">
        <f ca="1"/>
        <v>20.86</v>
      </c>
    </row>
    <row r="809" spans="1:5" x14ac:dyDescent="0.2">
      <c r="A809" s="1" vm="4090">
        <f ca="1"/>
        <v>45575</v>
      </c>
      <c r="B809" s="2" vm="6937">
        <f ca="1"/>
        <v>20.91</v>
      </c>
      <c r="C809" s="2" vm="8312">
        <f ca="1"/>
        <v>21.39</v>
      </c>
      <c r="D809" s="2" vm="6824">
        <f ca="1"/>
        <v>20.64</v>
      </c>
      <c r="E809" s="2" vm="8313">
        <f ca="1"/>
        <v>20.93</v>
      </c>
    </row>
    <row r="810" spans="1:5" x14ac:dyDescent="0.2">
      <c r="A810" s="1" vm="4096">
        <f ca="1"/>
        <v>45576</v>
      </c>
      <c r="B810" s="2" vm="6799">
        <f ca="1"/>
        <v>20.87</v>
      </c>
      <c r="C810" s="2" vm="7235">
        <f ca="1"/>
        <v>21.16</v>
      </c>
      <c r="D810" s="2" vm="6849">
        <f ca="1"/>
        <v>20.14</v>
      </c>
      <c r="E810" s="2" vm="7085">
        <f ca="1"/>
        <v>20.46</v>
      </c>
    </row>
    <row r="811" spans="1:5" x14ac:dyDescent="0.2">
      <c r="A811" s="1" vm="4102">
        <f ca="1"/>
        <v>45579</v>
      </c>
      <c r="B811" s="2" vm="7220">
        <f ca="1"/>
        <v>20.86</v>
      </c>
      <c r="C811" s="2" vm="7220">
        <f ca="1"/>
        <v>20.86</v>
      </c>
      <c r="D811" s="2" vm="7498">
        <f ca="1"/>
        <v>19.690000000000001</v>
      </c>
      <c r="E811" s="2" vm="7213">
        <f ca="1"/>
        <v>19.7</v>
      </c>
    </row>
    <row r="812" spans="1:5" x14ac:dyDescent="0.2">
      <c r="A812" s="1" vm="4108">
        <f ca="1"/>
        <v>45580</v>
      </c>
      <c r="B812" s="2" vm="7033">
        <f ca="1"/>
        <v>19.61</v>
      </c>
      <c r="C812" s="2" vm="7765">
        <f ca="1"/>
        <v>20.89</v>
      </c>
      <c r="D812" s="2" vm="6762">
        <f ca="1"/>
        <v>19.440000000000001</v>
      </c>
      <c r="E812" s="2" vm="6824">
        <f ca="1"/>
        <v>20.64</v>
      </c>
    </row>
    <row r="813" spans="1:5" x14ac:dyDescent="0.2">
      <c r="A813" s="1" vm="4114">
        <f ca="1"/>
        <v>45581</v>
      </c>
      <c r="B813" s="2" vm="8314">
        <f ca="1"/>
        <v>20.77</v>
      </c>
      <c r="C813" s="2" vm="6998">
        <f ca="1"/>
        <v>21.01</v>
      </c>
      <c r="D813" s="2" vm="7794">
        <f ca="1"/>
        <v>19.45</v>
      </c>
      <c r="E813" s="2" vm="6773">
        <f ca="1"/>
        <v>19.579999999999998</v>
      </c>
    </row>
    <row r="814" spans="1:5" x14ac:dyDescent="0.2">
      <c r="A814" s="1" vm="4120">
        <f ca="1"/>
        <v>45582</v>
      </c>
      <c r="B814" s="2" vm="7727">
        <f ca="1"/>
        <v>19.55</v>
      </c>
      <c r="C814" s="2" vm="8309">
        <f ca="1"/>
        <v>19.649999999999999</v>
      </c>
      <c r="D814" s="2" vm="7745">
        <f ca="1"/>
        <v>18.88</v>
      </c>
      <c r="E814" s="2" vm="7773">
        <f ca="1"/>
        <v>19.11</v>
      </c>
    </row>
    <row r="815" spans="1:5" x14ac:dyDescent="0.2">
      <c r="A815" s="1" vm="4126">
        <f ca="1"/>
        <v>45583</v>
      </c>
      <c r="B815" s="2" vm="6776">
        <f ca="1"/>
        <v>19.3</v>
      </c>
      <c r="C815" s="2" vm="6808">
        <f ca="1"/>
        <v>19.32</v>
      </c>
      <c r="D815" s="2" vm="7842">
        <f ca="1"/>
        <v>17.989999999999998</v>
      </c>
      <c r="E815" s="2" vm="8001">
        <f ca="1"/>
        <v>18.03</v>
      </c>
    </row>
    <row r="816" spans="1:5" x14ac:dyDescent="0.2">
      <c r="A816" s="1" vm="4132">
        <f ca="1"/>
        <v>45586</v>
      </c>
      <c r="B816" s="2" vm="8315">
        <f ca="1"/>
        <v>18.78</v>
      </c>
      <c r="C816" s="2" vm="8299">
        <f ca="1"/>
        <v>19.34</v>
      </c>
      <c r="D816" s="2" vm="8057">
        <f ca="1"/>
        <v>18.36</v>
      </c>
      <c r="E816" s="2" vm="6784">
        <f ca="1"/>
        <v>18.37</v>
      </c>
    </row>
    <row r="817" spans="1:5" x14ac:dyDescent="0.2">
      <c r="A817" s="1" vm="4138">
        <f ca="1"/>
        <v>45587</v>
      </c>
      <c r="B817" s="2" vm="7223">
        <f ca="1"/>
        <v>18.79</v>
      </c>
      <c r="C817" s="2" vm="6762">
        <f ca="1"/>
        <v>19.440000000000001</v>
      </c>
      <c r="D817" s="2" vm="8265">
        <f ca="1"/>
        <v>18.05</v>
      </c>
      <c r="E817" s="2" vm="6842">
        <f ca="1"/>
        <v>18.2</v>
      </c>
    </row>
    <row r="818" spans="1:5" x14ac:dyDescent="0.2">
      <c r="A818" s="1" vm="4144">
        <f ca="1"/>
        <v>45588</v>
      </c>
      <c r="B818" s="2" vm="8202">
        <f ca="1"/>
        <v>18.21</v>
      </c>
      <c r="C818" s="2" vm="6774">
        <f ca="1"/>
        <v>20.47</v>
      </c>
      <c r="D818" s="2" vm="6779">
        <f ca="1"/>
        <v>18.18</v>
      </c>
      <c r="E818" s="2" vm="7746">
        <f ca="1"/>
        <v>19.239999999999998</v>
      </c>
    </row>
    <row r="819" spans="1:5" x14ac:dyDescent="0.2">
      <c r="A819" s="1" vm="4150">
        <f ca="1"/>
        <v>45589</v>
      </c>
      <c r="B819" s="2" vm="8316">
        <f ca="1"/>
        <v>18.87</v>
      </c>
      <c r="C819" s="2" vm="6936">
        <f ca="1"/>
        <v>20.239999999999998</v>
      </c>
      <c r="D819" s="2" vm="6803">
        <f ca="1"/>
        <v>18.63</v>
      </c>
      <c r="E819" s="2" vm="7032">
        <f ca="1"/>
        <v>19.079999999999998</v>
      </c>
    </row>
    <row r="820" spans="1:5" x14ac:dyDescent="0.2">
      <c r="A820" s="1" vm="4156">
        <f ca="1"/>
        <v>45590</v>
      </c>
      <c r="B820" s="2" vm="8059">
        <f ca="1"/>
        <v>19.22</v>
      </c>
      <c r="C820" s="2" vm="7216">
        <f ca="1"/>
        <v>20.51</v>
      </c>
      <c r="D820" s="2" vm="7755">
        <f ca="1"/>
        <v>18.23</v>
      </c>
      <c r="E820" s="2" vm="7726">
        <f ca="1"/>
        <v>20.329999999999998</v>
      </c>
    </row>
    <row r="821" spans="1:5" x14ac:dyDescent="0.2">
      <c r="A821" s="1" vm="4161">
        <f ca="1"/>
        <v>45593</v>
      </c>
      <c r="B821" s="2" vm="7773">
        <f ca="1"/>
        <v>19.11</v>
      </c>
      <c r="C821" s="2" vm="7802">
        <f ca="1"/>
        <v>19.88</v>
      </c>
      <c r="D821" s="2" vm="7728">
        <f ca="1"/>
        <v>18.91</v>
      </c>
      <c r="E821" s="2" vm="7666">
        <f ca="1"/>
        <v>19.8</v>
      </c>
    </row>
    <row r="822" spans="1:5" x14ac:dyDescent="0.2">
      <c r="A822" s="1" vm="4167">
        <f ca="1"/>
        <v>45594</v>
      </c>
      <c r="B822" s="2" vm="7254">
        <f ca="1"/>
        <v>19.75</v>
      </c>
      <c r="C822" s="2" vm="7750">
        <f ca="1"/>
        <v>20.53</v>
      </c>
      <c r="D822" s="2" vm="7668">
        <f ca="1"/>
        <v>19.059999999999999</v>
      </c>
      <c r="E822" s="2" vm="8299">
        <f ca="1"/>
        <v>19.34</v>
      </c>
    </row>
    <row r="823" spans="1:5" x14ac:dyDescent="0.2">
      <c r="A823" s="1" vm="4172">
        <f ca="1"/>
        <v>45595</v>
      </c>
      <c r="B823" s="2" vm="6804">
        <f ca="1"/>
        <v>19.329999999999998</v>
      </c>
      <c r="C823" s="2" vm="7749">
        <f ca="1"/>
        <v>20.440000000000001</v>
      </c>
      <c r="D823" s="2" vm="6776">
        <f ca="1"/>
        <v>19.3</v>
      </c>
      <c r="E823" s="2" vm="7491">
        <f ca="1"/>
        <v>20.350000000000001</v>
      </c>
    </row>
    <row r="824" spans="1:5" x14ac:dyDescent="0.2">
      <c r="A824" s="1" vm="4177">
        <f ca="1"/>
        <v>45596</v>
      </c>
      <c r="B824" s="2" vm="7100">
        <f ca="1"/>
        <v>21.44</v>
      </c>
      <c r="C824" s="2" vm="8317">
        <f ca="1"/>
        <v>23.42</v>
      </c>
      <c r="D824" s="2" vm="7230">
        <f ca="1"/>
        <v>21.12</v>
      </c>
      <c r="E824" s="2" vm="7539">
        <f ca="1"/>
        <v>23.16</v>
      </c>
    </row>
    <row r="825" spans="1:5" x14ac:dyDescent="0.2">
      <c r="A825" s="1" vm="4182">
        <f ca="1"/>
        <v>45597</v>
      </c>
      <c r="B825" s="2" vm="6829">
        <f ca="1"/>
        <v>22.96</v>
      </c>
      <c r="C825" s="2" vm="7097">
        <f ca="1"/>
        <v>23.09</v>
      </c>
      <c r="D825" s="2" vm="7235">
        <f ca="1"/>
        <v>21.16</v>
      </c>
      <c r="E825" s="2" vm="6828">
        <f ca="1"/>
        <v>21.88</v>
      </c>
    </row>
    <row r="826" spans="1:5" x14ac:dyDescent="0.2">
      <c r="A826" s="1" vm="4188">
        <f ca="1"/>
        <v>45600</v>
      </c>
      <c r="B826" s="2" vm="7659">
        <f ca="1"/>
        <v>22.5</v>
      </c>
      <c r="C826" s="2" vm="7508">
        <f ca="1"/>
        <v>23.07</v>
      </c>
      <c r="D826" s="2" vm="8318">
        <f ca="1"/>
        <v>21.73</v>
      </c>
      <c r="E826" s="2" vm="7250">
        <f ca="1"/>
        <v>21.98</v>
      </c>
    </row>
    <row r="827" spans="1:5" x14ac:dyDescent="0.2">
      <c r="A827" s="1" vm="4194">
        <f ca="1"/>
        <v>45601</v>
      </c>
      <c r="B827" s="2" vm="7250">
        <f ca="1"/>
        <v>21.98</v>
      </c>
      <c r="C827" s="2" vm="7478">
        <f ca="1"/>
        <v>22.06</v>
      </c>
      <c r="D827" s="2" vm="7489">
        <f ca="1"/>
        <v>20.2</v>
      </c>
      <c r="E827" s="2" vm="6990">
        <f ca="1"/>
        <v>20.49</v>
      </c>
    </row>
    <row r="828" spans="1:5" x14ac:dyDescent="0.2">
      <c r="A828" s="1" vm="4200">
        <f ca="1"/>
        <v>45602</v>
      </c>
      <c r="B828" s="2" vm="6742">
        <f ca="1"/>
        <v>16.059999999999999</v>
      </c>
      <c r="C828" s="2" vm="7850">
        <f ca="1"/>
        <v>16.82</v>
      </c>
      <c r="D828" s="2" vm="6898">
        <f ca="1"/>
        <v>15.44</v>
      </c>
      <c r="E828" s="2" vm="6746">
        <f ca="1"/>
        <v>16.27</v>
      </c>
    </row>
    <row r="829" spans="1:5" x14ac:dyDescent="0.2">
      <c r="A829" s="1" vm="4206">
        <f ca="1"/>
        <v>45603</v>
      </c>
      <c r="B829" s="2" vm="8291">
        <f ca="1"/>
        <v>15.86</v>
      </c>
      <c r="C829" s="2" vm="8291">
        <f ca="1"/>
        <v>15.86</v>
      </c>
      <c r="D829" s="2" vm="8188">
        <f ca="1"/>
        <v>15.13</v>
      </c>
      <c r="E829" s="2" vm="8189">
        <f ca="1"/>
        <v>15.2</v>
      </c>
    </row>
    <row r="830" spans="1:5" x14ac:dyDescent="0.2">
      <c r="A830" s="1" vm="4212">
        <f ca="1"/>
        <v>45604</v>
      </c>
      <c r="B830" s="2" vm="8188">
        <f ca="1"/>
        <v>15.13</v>
      </c>
      <c r="C830" s="2" vm="8191">
        <f ca="1"/>
        <v>15.33</v>
      </c>
      <c r="D830" s="2" vm="7865">
        <f ca="1"/>
        <v>14.66</v>
      </c>
      <c r="E830" s="2" vm="8199">
        <f ca="1"/>
        <v>14.94</v>
      </c>
    </row>
    <row r="831" spans="1:5" x14ac:dyDescent="0.2">
      <c r="A831" s="1" vm="4217">
        <f ca="1"/>
        <v>45607</v>
      </c>
      <c r="B831" s="2" vm="8191">
        <f ca="1"/>
        <v>15.33</v>
      </c>
      <c r="C831" s="2" vm="8319">
        <f ca="1"/>
        <v>15.56</v>
      </c>
      <c r="D831" s="2" vm="8069">
        <f ca="1"/>
        <v>14.89</v>
      </c>
      <c r="E831" s="2" vm="7867">
        <f ca="1"/>
        <v>14.97</v>
      </c>
    </row>
    <row r="832" spans="1:5" x14ac:dyDescent="0.2">
      <c r="A832" s="1" vm="4223">
        <f ca="1"/>
        <v>45608</v>
      </c>
      <c r="B832" s="2" vm="8071">
        <f ca="1"/>
        <v>15.09</v>
      </c>
      <c r="C832" s="2" vm="8207">
        <f ca="1"/>
        <v>15.37</v>
      </c>
      <c r="D832" s="2" vm="8320">
        <f ca="1"/>
        <v>14.69</v>
      </c>
      <c r="E832" s="2" vm="7912">
        <f ca="1"/>
        <v>14.71</v>
      </c>
    </row>
    <row r="833" spans="1:5" x14ac:dyDescent="0.2">
      <c r="A833" s="1" vm="4229">
        <f ca="1"/>
        <v>45609</v>
      </c>
      <c r="B833" s="2" vm="8071">
        <f ca="1"/>
        <v>15.09</v>
      </c>
      <c r="C833" s="2" vm="8321">
        <f ca="1"/>
        <v>15.26</v>
      </c>
      <c r="D833" s="2" vm="7872">
        <f ca="1"/>
        <v>13.77</v>
      </c>
      <c r="E833" s="2" vm="7967">
        <f ca="1"/>
        <v>14.02</v>
      </c>
    </row>
    <row r="834" spans="1:5" x14ac:dyDescent="0.2">
      <c r="A834" s="1" vm="4235">
        <f ca="1"/>
        <v>45610</v>
      </c>
      <c r="B834" s="2" vm="8030">
        <f ca="1"/>
        <v>14.17</v>
      </c>
      <c r="C834" s="2" vm="7881">
        <f ca="1"/>
        <v>14.32</v>
      </c>
      <c r="D834" s="2" vm="7916">
        <f ca="1"/>
        <v>13.59</v>
      </c>
      <c r="E834" s="2" vm="8082">
        <f ca="1"/>
        <v>14.31</v>
      </c>
    </row>
    <row r="835" spans="1:5" x14ac:dyDescent="0.2">
      <c r="A835" s="1" vm="4241">
        <f ca="1"/>
        <v>45611</v>
      </c>
      <c r="B835" s="2" vm="6880">
        <f ca="1"/>
        <v>15.02</v>
      </c>
      <c r="C835" s="2" vm="7007">
        <f ca="1"/>
        <v>17.55</v>
      </c>
      <c r="D835" s="2" vm="8322">
        <f ca="1"/>
        <v>14.56</v>
      </c>
      <c r="E835" s="2" vm="6876">
        <f ca="1"/>
        <v>16.14</v>
      </c>
    </row>
    <row r="836" spans="1:5" x14ac:dyDescent="0.2">
      <c r="A836" s="1" vm="4247">
        <f ca="1"/>
        <v>45614</v>
      </c>
      <c r="B836" s="2" vm="7022">
        <f ca="1"/>
        <v>16.600000000000001</v>
      </c>
      <c r="C836" s="2" vm="8323">
        <f ca="1"/>
        <v>17</v>
      </c>
      <c r="D836" s="2" vm="6872">
        <f ca="1"/>
        <v>15.35</v>
      </c>
      <c r="E836" s="2" vm="7860">
        <f ca="1"/>
        <v>15.58</v>
      </c>
    </row>
    <row r="837" spans="1:5" x14ac:dyDescent="0.2">
      <c r="A837" s="1" vm="4253">
        <f ca="1"/>
        <v>45615</v>
      </c>
      <c r="B837" s="2" vm="6898">
        <f ca="1"/>
        <v>15.44</v>
      </c>
      <c r="C837" s="2" vm="6861">
        <f ca="1"/>
        <v>17.93</v>
      </c>
      <c r="D837" s="2" vm="8207">
        <f ca="1"/>
        <v>15.37</v>
      </c>
      <c r="E837" s="2" vm="8195">
        <f ca="1"/>
        <v>16.350000000000001</v>
      </c>
    </row>
    <row r="838" spans="1:5" x14ac:dyDescent="0.2">
      <c r="A838" s="1" vm="4259">
        <f ca="1"/>
        <v>45616</v>
      </c>
      <c r="B838" s="2" vm="8285">
        <f ca="1"/>
        <v>16.190000000000001</v>
      </c>
      <c r="C838" s="2" vm="7223">
        <f ca="1"/>
        <v>18.79</v>
      </c>
      <c r="D838" s="2" vm="8187">
        <f ca="1"/>
        <v>16.04</v>
      </c>
      <c r="E838" s="2" vm="6884">
        <f ca="1"/>
        <v>17.16</v>
      </c>
    </row>
    <row r="839" spans="1:5" x14ac:dyDescent="0.2">
      <c r="A839" s="1" vm="4265">
        <f ca="1"/>
        <v>45617</v>
      </c>
      <c r="B839" s="2" vm="7986">
        <f ca="1"/>
        <v>17.100000000000001</v>
      </c>
      <c r="C839" s="2" vm="7842">
        <f ca="1"/>
        <v>17.989999999999998</v>
      </c>
      <c r="D839" s="2" vm="6748">
        <f ca="1"/>
        <v>15.73</v>
      </c>
      <c r="E839" s="2" vm="7844">
        <f ca="1"/>
        <v>16.87</v>
      </c>
    </row>
    <row r="840" spans="1:5" x14ac:dyDescent="0.2">
      <c r="A840" s="1" vm="4271">
        <f ca="1"/>
        <v>45618</v>
      </c>
      <c r="B840" s="2" vm="8292">
        <f ca="1"/>
        <v>16.670000000000002</v>
      </c>
      <c r="C840" s="2" vm="7857">
        <f ca="1"/>
        <v>17.559999999999999</v>
      </c>
      <c r="D840" s="2" vm="6879">
        <f ca="1"/>
        <v>15.24</v>
      </c>
      <c r="E840" s="2" vm="6879">
        <f ca="1"/>
        <v>15.24</v>
      </c>
    </row>
    <row r="841" spans="1:5" x14ac:dyDescent="0.2">
      <c r="A841" s="1" vm="4277">
        <f ca="1"/>
        <v>45621</v>
      </c>
      <c r="B841" s="2" vm="8286">
        <f ca="1"/>
        <v>15.23</v>
      </c>
      <c r="C841" s="2" vm="6858">
        <f ca="1"/>
        <v>15.72</v>
      </c>
      <c r="D841" s="2" vm="7892">
        <f ca="1"/>
        <v>14.54</v>
      </c>
      <c r="E841" s="2" vm="7863">
        <f ca="1"/>
        <v>14.6</v>
      </c>
    </row>
    <row r="842" spans="1:5" x14ac:dyDescent="0.2">
      <c r="A842" s="1" vm="4282">
        <f ca="1"/>
        <v>45622</v>
      </c>
      <c r="B842" s="2" vm="6901">
        <f ca="1"/>
        <v>14.95</v>
      </c>
      <c r="C842" s="2" vm="8208">
        <f ca="1"/>
        <v>15.03</v>
      </c>
      <c r="D842" s="2" vm="7886">
        <f ca="1"/>
        <v>13.88</v>
      </c>
      <c r="E842" s="2" vm="8162">
        <f ca="1"/>
        <v>14.1</v>
      </c>
    </row>
    <row r="843" spans="1:5" x14ac:dyDescent="0.2">
      <c r="A843" s="1" vm="4287">
        <f ca="1"/>
        <v>45623</v>
      </c>
      <c r="B843" s="2" vm="8179">
        <f ca="1"/>
        <v>14.28</v>
      </c>
      <c r="C843" s="2" vm="8188">
        <f ca="1"/>
        <v>15.13</v>
      </c>
      <c r="D843" s="2" vm="7869">
        <f ca="1"/>
        <v>13.96</v>
      </c>
      <c r="E843" s="2" vm="8162">
        <f ca="1"/>
        <v>14.1</v>
      </c>
    </row>
    <row r="844" spans="1:5" x14ac:dyDescent="0.2">
      <c r="A844" s="1" vm="8324">
        <f ca="1"/>
        <v>45624</v>
      </c>
      <c r="B844" s="2" vm="8325">
        <f ca="1"/>
        <v>14.07</v>
      </c>
      <c r="C844" s="2" vm="8325">
        <f ca="1"/>
        <v>14.07</v>
      </c>
      <c r="D844" s="2" vm="7961">
        <f ca="1"/>
        <v>13.87</v>
      </c>
      <c r="E844" s="2" vm="7918">
        <f ca="1"/>
        <v>13.9</v>
      </c>
    </row>
    <row r="845" spans="1:5" x14ac:dyDescent="0.2">
      <c r="A845" s="1" vm="4292">
        <f ca="1"/>
        <v>45625</v>
      </c>
      <c r="B845" s="2" vm="7952">
        <f ca="1"/>
        <v>14</v>
      </c>
      <c r="C845" s="2" vm="8022">
        <f ca="1"/>
        <v>14.15</v>
      </c>
      <c r="D845" s="2" vm="8182">
        <f ca="1"/>
        <v>13.49</v>
      </c>
      <c r="E845" s="2" vm="7924">
        <f ca="1"/>
        <v>13.51</v>
      </c>
    </row>
    <row r="846" spans="1:5" x14ac:dyDescent="0.2">
      <c r="A846" s="1" vm="4298">
        <f ca="1"/>
        <v>45628</v>
      </c>
      <c r="B846" s="2" vm="8235">
        <f ca="1"/>
        <v>14.08</v>
      </c>
      <c r="C846" s="2" vm="8162">
        <f ca="1"/>
        <v>14.1</v>
      </c>
      <c r="D846" s="2" vm="7955">
        <f ca="1"/>
        <v>13.3</v>
      </c>
      <c r="E846" s="2" vm="7951">
        <f ca="1"/>
        <v>13.34</v>
      </c>
    </row>
    <row r="847" spans="1:5" x14ac:dyDescent="0.2">
      <c r="A847" s="1" vm="4303">
        <f ca="1"/>
        <v>45629</v>
      </c>
      <c r="B847" s="2" vm="8258">
        <f ca="1"/>
        <v>13.38</v>
      </c>
      <c r="C847" s="2" vm="7872">
        <f ca="1"/>
        <v>13.77</v>
      </c>
      <c r="D847" s="2" vm="7971">
        <f ca="1"/>
        <v>13.19</v>
      </c>
      <c r="E847" s="2" vm="7955">
        <f ca="1"/>
        <v>13.3</v>
      </c>
    </row>
    <row r="848" spans="1:5" x14ac:dyDescent="0.2">
      <c r="A848" s="1" vm="4309">
        <f ca="1"/>
        <v>45630</v>
      </c>
      <c r="B848" s="2" vm="8213">
        <f ca="1"/>
        <v>13.16</v>
      </c>
      <c r="C848" s="2" vm="7946">
        <f ca="1"/>
        <v>13.61</v>
      </c>
      <c r="D848" s="2" vm="8229">
        <f ca="1"/>
        <v>12.89</v>
      </c>
      <c r="E848" s="2" vm="8083">
        <f ca="1"/>
        <v>13.45</v>
      </c>
    </row>
    <row r="849" spans="1:5" x14ac:dyDescent="0.2">
      <c r="A849" s="1" vm="4315">
        <f ca="1"/>
        <v>45631</v>
      </c>
      <c r="B849" s="2" vm="8033">
        <f ca="1"/>
        <v>13.46</v>
      </c>
      <c r="C849" s="2" vm="7931">
        <f ca="1"/>
        <v>13.7</v>
      </c>
      <c r="D849" s="2" vm="8110">
        <f ca="1"/>
        <v>13.26</v>
      </c>
      <c r="E849" s="2" vm="7894">
        <f ca="1"/>
        <v>13.54</v>
      </c>
    </row>
    <row r="850" spans="1:5" x14ac:dyDescent="0.2">
      <c r="A850" s="1" vm="4320">
        <f ca="1"/>
        <v>45632</v>
      </c>
      <c r="B850" s="2" vm="8021">
        <f ca="1"/>
        <v>13.62</v>
      </c>
      <c r="C850" s="2" vm="7917">
        <f ca="1"/>
        <v>13.74</v>
      </c>
      <c r="D850" s="2" vm="8036">
        <f ca="1"/>
        <v>12.7</v>
      </c>
      <c r="E850" s="2" vm="8214">
        <f ca="1"/>
        <v>12.77</v>
      </c>
    </row>
    <row r="851" spans="1:5" x14ac:dyDescent="0.2">
      <c r="A851" s="1" vm="4326">
        <f ca="1"/>
        <v>45635</v>
      </c>
      <c r="B851" s="2" vm="7919">
        <f ca="1"/>
        <v>13.36</v>
      </c>
      <c r="C851" s="2" vm="7958">
        <f ca="1"/>
        <v>14.23</v>
      </c>
      <c r="D851" s="2" vm="8085">
        <f ca="1"/>
        <v>13.35</v>
      </c>
      <c r="E851" s="2" vm="7896">
        <f ca="1"/>
        <v>14.19</v>
      </c>
    </row>
    <row r="852" spans="1:5" x14ac:dyDescent="0.2">
      <c r="A852" s="1" vm="4332">
        <f ca="1"/>
        <v>45636</v>
      </c>
      <c r="B852" s="2" vm="7964">
        <f ca="1"/>
        <v>14.3</v>
      </c>
      <c r="C852" s="2" vm="7892">
        <f ca="1"/>
        <v>14.54</v>
      </c>
      <c r="D852" s="2" vm="7900">
        <f ca="1"/>
        <v>13.86</v>
      </c>
      <c r="E852" s="2" vm="7934">
        <f ca="1"/>
        <v>14.18</v>
      </c>
    </row>
    <row r="853" spans="1:5" x14ac:dyDescent="0.2">
      <c r="A853" s="1" vm="4338">
        <f ca="1"/>
        <v>45637</v>
      </c>
      <c r="B853" s="2" vm="7862">
        <f ca="1"/>
        <v>14.42</v>
      </c>
      <c r="C853" s="2" vm="7911">
        <f ca="1"/>
        <v>14.43</v>
      </c>
      <c r="D853" s="2" vm="7930">
        <f ca="1"/>
        <v>13.52</v>
      </c>
      <c r="E853" s="2" vm="7959">
        <f ca="1"/>
        <v>13.58</v>
      </c>
    </row>
    <row r="854" spans="1:5" x14ac:dyDescent="0.2">
      <c r="A854" s="1" vm="4344">
        <f ca="1"/>
        <v>45638</v>
      </c>
      <c r="B854" s="2" vm="7965">
        <f ca="1"/>
        <v>13.73</v>
      </c>
      <c r="C854" s="2" vm="7868">
        <f ca="1"/>
        <v>13.95</v>
      </c>
      <c r="D854" s="2" vm="8032">
        <f ca="1"/>
        <v>13.39</v>
      </c>
      <c r="E854" s="2" vm="8326">
        <f ca="1"/>
        <v>13.92</v>
      </c>
    </row>
    <row r="855" spans="1:5" x14ac:dyDescent="0.2">
      <c r="A855" s="1" vm="4349">
        <f ca="1"/>
        <v>45639</v>
      </c>
      <c r="B855" s="2" vm="7927">
        <f ca="1"/>
        <v>13.57</v>
      </c>
      <c r="C855" s="2" vm="7913">
        <f ca="1"/>
        <v>14.25</v>
      </c>
      <c r="D855" s="2" vm="7907">
        <f ca="1"/>
        <v>13.24</v>
      </c>
      <c r="E855" s="2" vm="8190">
        <f ca="1"/>
        <v>13.81</v>
      </c>
    </row>
    <row r="856" spans="1:5" x14ac:dyDescent="0.2">
      <c r="A856" s="1" vm="4354">
        <f ca="1"/>
        <v>45642</v>
      </c>
      <c r="B856" s="2" vm="8165">
        <f ca="1"/>
        <v>14.37</v>
      </c>
      <c r="C856" s="2" vm="8320">
        <f ca="1"/>
        <v>14.69</v>
      </c>
      <c r="D856" s="2" vm="7960">
        <f ca="1"/>
        <v>13.99</v>
      </c>
      <c r="E856" s="2" vm="8320">
        <f ca="1"/>
        <v>14.69</v>
      </c>
    </row>
    <row r="857" spans="1:5" x14ac:dyDescent="0.2">
      <c r="A857" s="1" vm="4360">
        <f ca="1"/>
        <v>45643</v>
      </c>
      <c r="B857" s="2" vm="8185">
        <f ca="1"/>
        <v>14.98</v>
      </c>
      <c r="C857" s="2" vm="8288">
        <f ca="1"/>
        <v>15.94</v>
      </c>
      <c r="D857" s="2" vm="8173">
        <f ca="1"/>
        <v>14.78</v>
      </c>
      <c r="E857" s="2" vm="8296">
        <f ca="1"/>
        <v>15.87</v>
      </c>
    </row>
    <row r="858" spans="1:5" x14ac:dyDescent="0.2">
      <c r="A858" s="1" vm="4366">
        <f ca="1"/>
        <v>45644</v>
      </c>
      <c r="B858" s="2" vm="6864">
        <f ca="1"/>
        <v>15.57</v>
      </c>
      <c r="C858" s="2" vm="8327">
        <f ca="1"/>
        <v>28.32</v>
      </c>
      <c r="D858" s="2" vm="7945">
        <f ca="1"/>
        <v>14.82</v>
      </c>
      <c r="E858" s="2" vm="8328">
        <f ca="1"/>
        <v>27.62</v>
      </c>
    </row>
    <row r="859" spans="1:5" x14ac:dyDescent="0.2">
      <c r="A859" s="1" vm="4371">
        <f ca="1"/>
        <v>45645</v>
      </c>
      <c r="B859" s="2" vm="7690">
        <f ca="1"/>
        <v>21.61</v>
      </c>
      <c r="C859" s="2" vm="7650">
        <f ca="1"/>
        <v>24.12</v>
      </c>
      <c r="D859" s="2" vm="7502">
        <f ca="1"/>
        <v>20.16</v>
      </c>
      <c r="E859" s="2" vm="7094">
        <f ca="1"/>
        <v>24.09</v>
      </c>
    </row>
    <row r="860" spans="1:5" x14ac:dyDescent="0.2">
      <c r="A860" s="1" vm="4377">
        <f ca="1"/>
        <v>45646</v>
      </c>
      <c r="B860" s="2" vm="8329">
        <f ca="1"/>
        <v>24.14</v>
      </c>
      <c r="C860" s="2" vm="7189">
        <f ca="1"/>
        <v>26.51</v>
      </c>
      <c r="D860" s="2" vm="7828">
        <f ca="1"/>
        <v>17.82</v>
      </c>
      <c r="E860" s="2" vm="8057">
        <f ca="1"/>
        <v>18.36</v>
      </c>
    </row>
    <row r="861" spans="1:5" x14ac:dyDescent="0.2">
      <c r="A861" s="1" vm="4383">
        <f ca="1"/>
        <v>45649</v>
      </c>
      <c r="B861" s="2" vm="8330">
        <f ca="1"/>
        <v>18.09</v>
      </c>
      <c r="C861" s="2" vm="7759">
        <f ca="1"/>
        <v>20.02</v>
      </c>
      <c r="D861" s="2" vm="7822">
        <f ca="1"/>
        <v>16.739999999999998</v>
      </c>
      <c r="E861" s="2" vm="7996">
        <f ca="1"/>
        <v>16.78</v>
      </c>
    </row>
    <row r="862" spans="1:5" x14ac:dyDescent="0.2">
      <c r="A862" s="1" vm="4388">
        <f ca="1"/>
        <v>45650</v>
      </c>
      <c r="B862" s="2" vm="8005">
        <f ca="1"/>
        <v>16.97</v>
      </c>
      <c r="C862" s="2" vm="8331">
        <f ca="1"/>
        <v>17.04</v>
      </c>
      <c r="D862" s="2" vm="8023">
        <f ca="1"/>
        <v>14.27</v>
      </c>
      <c r="E862" s="2" vm="8023">
        <f ca="1"/>
        <v>14.27</v>
      </c>
    </row>
    <row r="863" spans="1:5" x14ac:dyDescent="0.2">
      <c r="A863" s="1" vm="4394">
        <f ca="1"/>
        <v>45652</v>
      </c>
      <c r="B863" s="2" vm="7882">
        <f ca="1"/>
        <v>14.99</v>
      </c>
      <c r="C863" s="2" vm="8044">
        <f ca="1"/>
        <v>15.93</v>
      </c>
      <c r="D863" s="2" vm="8332">
        <f ca="1"/>
        <v>14.55</v>
      </c>
      <c r="E863" s="2" vm="6897">
        <f ca="1"/>
        <v>14.73</v>
      </c>
    </row>
    <row r="864" spans="1:5" x14ac:dyDescent="0.2">
      <c r="A864" s="1" vm="4399">
        <f ca="1"/>
        <v>45653</v>
      </c>
      <c r="B864" s="2" vm="7991">
        <f ca="1"/>
        <v>15.38</v>
      </c>
      <c r="C864" s="2" vm="7222">
        <f ca="1"/>
        <v>18.45</v>
      </c>
      <c r="D864" s="2" vm="6868">
        <f ca="1"/>
        <v>15.29</v>
      </c>
      <c r="E864" s="2" vm="8270">
        <f ca="1"/>
        <v>15.95</v>
      </c>
    </row>
    <row r="865" spans="1:5" x14ac:dyDescent="0.2">
      <c r="A865" s="1" vm="4405">
        <f ca="1"/>
        <v>45656</v>
      </c>
      <c r="B865" s="2" vm="6908">
        <f ca="1"/>
        <v>17.21</v>
      </c>
      <c r="C865" s="2" vm="8059">
        <f ca="1"/>
        <v>19.22</v>
      </c>
      <c r="D865" s="2" vm="6904">
        <f ca="1"/>
        <v>16.440000000000001</v>
      </c>
      <c r="E865" s="2" vm="6887">
        <f ca="1"/>
        <v>17.399999999999999</v>
      </c>
    </row>
    <row r="866" spans="1:5" x14ac:dyDescent="0.2">
      <c r="A866" s="1" vm="4410">
        <f ca="1"/>
        <v>45657</v>
      </c>
      <c r="B866" s="2" vm="7984">
        <f ca="1"/>
        <v>17.39</v>
      </c>
      <c r="C866" s="2" vm="7024">
        <f ca="1"/>
        <v>17.809999999999999</v>
      </c>
      <c r="D866" s="2" vm="7843">
        <f ca="1"/>
        <v>16.68</v>
      </c>
      <c r="E866" s="2" vm="6934">
        <f ca="1"/>
        <v>17.350000000000001</v>
      </c>
    </row>
    <row r="867" spans="1:5" x14ac:dyDescent="0.2">
      <c r="A867" s="1" vm="4415">
        <f ca="1"/>
        <v>45659</v>
      </c>
      <c r="B867" s="2" vm="6908">
        <f ca="1"/>
        <v>17.21</v>
      </c>
      <c r="C867" s="2" vm="7497">
        <f ca="1"/>
        <v>19.5</v>
      </c>
      <c r="D867" s="2" vm="7997">
        <f ca="1"/>
        <v>16.96</v>
      </c>
      <c r="E867" s="2" vm="6861">
        <f ca="1"/>
        <v>17.93</v>
      </c>
    </row>
    <row r="868" spans="1:5" x14ac:dyDescent="0.2">
      <c r="A868" s="1" vm="4421">
        <f ca="1"/>
        <v>45660</v>
      </c>
      <c r="B868" s="2" vm="6913">
        <f ca="1"/>
        <v>17.66</v>
      </c>
      <c r="C868" s="2" vm="6766">
        <f ca="1"/>
        <v>17.940000000000001</v>
      </c>
      <c r="D868" s="2" vm="6745">
        <f ca="1"/>
        <v>16.11</v>
      </c>
      <c r="E868" s="2" vm="6889">
        <f ca="1"/>
        <v>16.13</v>
      </c>
    </row>
    <row r="869" spans="1:5" x14ac:dyDescent="0.2">
      <c r="A869" s="1" vm="4426">
        <f ca="1"/>
        <v>45663</v>
      </c>
      <c r="B869" s="2" vm="7819">
        <f ca="1"/>
        <v>16.77</v>
      </c>
      <c r="C869" s="2" vm="7844">
        <f ca="1"/>
        <v>16.87</v>
      </c>
      <c r="D869" s="2" vm="8268">
        <f ca="1"/>
        <v>15.71</v>
      </c>
      <c r="E869" s="2" vm="8187">
        <f ca="1"/>
        <v>16.04</v>
      </c>
    </row>
    <row r="870" spans="1:5" x14ac:dyDescent="0.2">
      <c r="A870" s="1" vm="4432">
        <f ca="1"/>
        <v>45664</v>
      </c>
      <c r="B870" s="2" vm="6741">
        <f ca="1"/>
        <v>16.48</v>
      </c>
      <c r="C870" s="2" vm="7215">
        <f ca="1"/>
        <v>18.899999999999999</v>
      </c>
      <c r="D870" s="2" vm="6882">
        <f ca="1"/>
        <v>15.79</v>
      </c>
      <c r="E870" s="2" vm="7828">
        <f ca="1"/>
        <v>17.82</v>
      </c>
    </row>
    <row r="871" spans="1:5" x14ac:dyDescent="0.2">
      <c r="A871" s="1" vm="4437">
        <f ca="1"/>
        <v>45665</v>
      </c>
      <c r="B871" s="2" vm="6932">
        <f ca="1"/>
        <v>17.91</v>
      </c>
      <c r="C871" s="2" vm="7497">
        <f ca="1"/>
        <v>19.5</v>
      </c>
      <c r="D871" s="2" vm="8333">
        <f ca="1"/>
        <v>17.37</v>
      </c>
      <c r="E871" s="2" vm="6891">
        <f ca="1"/>
        <v>17.7</v>
      </c>
    </row>
    <row r="872" spans="1:5" x14ac:dyDescent="0.2">
      <c r="A872" s="1" vm="8334">
        <f ca="1"/>
        <v>45666</v>
      </c>
      <c r="B872" s="2" vm="7733">
        <f ca="1"/>
        <v>18.510000000000002</v>
      </c>
      <c r="C872" s="2" vm="6941">
        <f ca="1"/>
        <v>18.52</v>
      </c>
      <c r="D872" s="2" vm="7854">
        <f ca="1"/>
        <v>17.95</v>
      </c>
      <c r="E872" s="2" vm="8335">
        <f ca="1"/>
        <v>18.07</v>
      </c>
    </row>
    <row r="873" spans="1:5" x14ac:dyDescent="0.2">
      <c r="A873" s="1" vm="4443">
        <f ca="1"/>
        <v>45667</v>
      </c>
      <c r="B873" s="2" vm="8048">
        <f ca="1"/>
        <v>18.29</v>
      </c>
      <c r="C873" s="2" vm="6974">
        <f ca="1"/>
        <v>20.309999999999999</v>
      </c>
      <c r="D873" s="2" vm="8265">
        <f ca="1"/>
        <v>18.05</v>
      </c>
      <c r="E873" s="2" vm="6763">
        <f ca="1"/>
        <v>19.54</v>
      </c>
    </row>
    <row r="874" spans="1:5" x14ac:dyDescent="0.2">
      <c r="A874" s="1" vm="4448">
        <f ca="1"/>
        <v>45670</v>
      </c>
      <c r="B874" s="2" vm="6770">
        <f ca="1"/>
        <v>21.18</v>
      </c>
      <c r="C874" s="2" vm="8336">
        <f ca="1"/>
        <v>22.04</v>
      </c>
      <c r="D874" s="2" vm="8337">
        <f ca="1"/>
        <v>19.149999999999999</v>
      </c>
      <c r="E874" s="2" vm="7043">
        <f ca="1"/>
        <v>19.190000000000001</v>
      </c>
    </row>
    <row r="875" spans="1:5" x14ac:dyDescent="0.2">
      <c r="A875" s="1" vm="4453">
        <f ca="1"/>
        <v>45671</v>
      </c>
      <c r="B875" s="2" vm="7223">
        <f ca="1"/>
        <v>18.79</v>
      </c>
      <c r="C875" s="2" vm="8338">
        <f ca="1"/>
        <v>19.66</v>
      </c>
      <c r="D875" s="2" vm="7821">
        <f ca="1"/>
        <v>18.239999999999998</v>
      </c>
      <c r="E875" s="2" vm="7723">
        <f ca="1"/>
        <v>18.71</v>
      </c>
    </row>
    <row r="876" spans="1:5" x14ac:dyDescent="0.2">
      <c r="A876" s="1" vm="4459">
        <f ca="1"/>
        <v>45672</v>
      </c>
      <c r="B876" s="2" vm="7032">
        <f ca="1"/>
        <v>19.079999999999998</v>
      </c>
      <c r="C876" s="2" vm="7853">
        <f ca="1"/>
        <v>19.14</v>
      </c>
      <c r="D876" s="2" vm="7988">
        <f ca="1"/>
        <v>15.96</v>
      </c>
      <c r="E876" s="2" vm="8176">
        <f ca="1"/>
        <v>16.12</v>
      </c>
    </row>
    <row r="877" spans="1:5" x14ac:dyDescent="0.2">
      <c r="A877" s="1" vm="4465">
        <f ca="1"/>
        <v>45673</v>
      </c>
      <c r="B877" s="2" vm="8296">
        <f ca="1"/>
        <v>15.87</v>
      </c>
      <c r="C877" s="2" vm="7022">
        <f ca="1"/>
        <v>16.600000000000001</v>
      </c>
      <c r="D877" s="2" vm="8303">
        <f ca="1"/>
        <v>15.64</v>
      </c>
      <c r="E877" s="2" vm="7022">
        <f ca="1"/>
        <v>16.600000000000001</v>
      </c>
    </row>
    <row r="878" spans="1:5" x14ac:dyDescent="0.2">
      <c r="A878" s="1" vm="4471">
        <f ca="1"/>
        <v>45674</v>
      </c>
      <c r="B878" s="2" vm="8285">
        <f ca="1"/>
        <v>16.190000000000001</v>
      </c>
      <c r="C878" s="2" vm="6885">
        <f ca="1"/>
        <v>16.23</v>
      </c>
      <c r="D878" s="2" vm="7827">
        <f ca="1"/>
        <v>15.53</v>
      </c>
      <c r="E878" s="2" vm="7937">
        <f ca="1"/>
        <v>15.97</v>
      </c>
    </row>
    <row r="879" spans="1:5" x14ac:dyDescent="0.2">
      <c r="A879" s="1" vm="8339">
        <f ca="1"/>
        <v>45677</v>
      </c>
      <c r="B879" s="2" vm="7817">
        <f ca="1"/>
        <v>16.46</v>
      </c>
      <c r="C879" s="2" vm="8066">
        <f ca="1"/>
        <v>16.59</v>
      </c>
      <c r="D879" s="2" vm="7995">
        <f ca="1"/>
        <v>15.8</v>
      </c>
      <c r="E879" s="2" vm="7990">
        <f ca="1"/>
        <v>15.81</v>
      </c>
    </row>
    <row r="880" spans="1:5" x14ac:dyDescent="0.2">
      <c r="A880" s="1" vm="4477">
        <f ca="1"/>
        <v>45678</v>
      </c>
      <c r="B880" s="2" vm="6916">
        <f ca="1"/>
        <v>16.29</v>
      </c>
      <c r="C880" s="2" vm="6916">
        <f ca="1"/>
        <v>16.29</v>
      </c>
      <c r="D880" s="2" vm="8184">
        <f ca="1"/>
        <v>14.93</v>
      </c>
      <c r="E880" s="2" vm="6896">
        <f ca="1"/>
        <v>15.06</v>
      </c>
    </row>
    <row r="881" spans="1:5" x14ac:dyDescent="0.2">
      <c r="A881" s="1" vm="4483">
        <f ca="1"/>
        <v>45679</v>
      </c>
      <c r="B881" s="2" vm="8069">
        <f ca="1"/>
        <v>14.89</v>
      </c>
      <c r="C881" s="2" vm="6868">
        <f ca="1"/>
        <v>15.29</v>
      </c>
      <c r="D881" s="2" vm="8157">
        <f ca="1"/>
        <v>14.59</v>
      </c>
      <c r="E881" s="2" vm="6878">
        <f ca="1"/>
        <v>15.1</v>
      </c>
    </row>
    <row r="882" spans="1:5" x14ac:dyDescent="0.2">
      <c r="A882" s="1" vm="4489">
        <f ca="1"/>
        <v>45680</v>
      </c>
      <c r="B882" s="2" vm="7864">
        <f ca="1"/>
        <v>15.28</v>
      </c>
      <c r="C882" s="2" vm="8068">
        <f ca="1"/>
        <v>15.39</v>
      </c>
      <c r="D882" s="2" vm="8157">
        <f ca="1"/>
        <v>14.59</v>
      </c>
      <c r="E882" s="2" vm="6880">
        <f ca="1"/>
        <v>15.02</v>
      </c>
    </row>
    <row r="883" spans="1:5" x14ac:dyDescent="0.2">
      <c r="A883" s="1" vm="4495">
        <f ca="1"/>
        <v>45681</v>
      </c>
      <c r="B883" s="2" vm="6880">
        <f ca="1"/>
        <v>15.02</v>
      </c>
      <c r="C883" s="2" vm="8072">
        <f ca="1"/>
        <v>15.16</v>
      </c>
      <c r="D883" s="2" vm="8074">
        <f ca="1"/>
        <v>14.58</v>
      </c>
      <c r="E883" s="2" vm="7935">
        <f ca="1"/>
        <v>14.85</v>
      </c>
    </row>
    <row r="884" spans="1:5" x14ac:dyDescent="0.2">
      <c r="A884" s="1" vm="4501">
        <f ca="1"/>
        <v>45684</v>
      </c>
      <c r="B884" s="2" vm="7714">
        <f ca="1"/>
        <v>18.829999999999998</v>
      </c>
      <c r="C884" s="2" vm="8340">
        <f ca="1"/>
        <v>22.51</v>
      </c>
      <c r="D884" s="2" vm="8341">
        <f ca="1"/>
        <v>17.57</v>
      </c>
      <c r="E884" s="2" vm="8342">
        <f ca="1"/>
        <v>17.899999999999999</v>
      </c>
    </row>
    <row r="885" spans="1:5" x14ac:dyDescent="0.2">
      <c r="A885" s="1" vm="4507">
        <f ca="1"/>
        <v>45685</v>
      </c>
      <c r="B885" s="2" vm="8048">
        <f ca="1"/>
        <v>18.29</v>
      </c>
      <c r="C885" s="2" vm="6755">
        <f ca="1"/>
        <v>18.39</v>
      </c>
      <c r="D885" s="2" vm="8205">
        <f ca="1"/>
        <v>16.25</v>
      </c>
      <c r="E885" s="2" vm="6749">
        <f ca="1"/>
        <v>16.41</v>
      </c>
    </row>
    <row r="886" spans="1:5" x14ac:dyDescent="0.2">
      <c r="A886" s="1" vm="4513">
        <f ca="1"/>
        <v>45686</v>
      </c>
      <c r="B886" s="2" vm="8264">
        <f ca="1"/>
        <v>16.420000000000002</v>
      </c>
      <c r="C886" s="2" vm="6853">
        <f ca="1"/>
        <v>18.079999999999998</v>
      </c>
      <c r="D886" s="2" vm="7816">
        <f ca="1"/>
        <v>16.170000000000002</v>
      </c>
      <c r="E886" s="2" vm="7021">
        <f ca="1"/>
        <v>16.559999999999999</v>
      </c>
    </row>
    <row r="887" spans="1:5" x14ac:dyDescent="0.2">
      <c r="A887" s="1" vm="4518">
        <f ca="1"/>
        <v>45687</v>
      </c>
      <c r="B887" s="2" vm="8044">
        <f ca="1"/>
        <v>15.93</v>
      </c>
      <c r="C887" s="2" vm="8264">
        <f ca="1"/>
        <v>16.420000000000002</v>
      </c>
      <c r="D887" s="2" vm="8343">
        <f ca="1"/>
        <v>15.32</v>
      </c>
      <c r="E887" s="2" vm="8344">
        <f ca="1"/>
        <v>15.84</v>
      </c>
    </row>
    <row r="888" spans="1:5" x14ac:dyDescent="0.2">
      <c r="A888" s="1" vm="4523">
        <f ca="1"/>
        <v>45688</v>
      </c>
      <c r="B888" s="2" vm="8009">
        <f ca="1"/>
        <v>15.45</v>
      </c>
      <c r="C888" s="2" vm="8345">
        <f ca="1"/>
        <v>17.09</v>
      </c>
      <c r="D888" s="2" vm="6881">
        <f ca="1"/>
        <v>14.9</v>
      </c>
      <c r="E888" s="2" vm="8259">
        <f ca="1"/>
        <v>16.43</v>
      </c>
    </row>
    <row r="889" spans="1:5" x14ac:dyDescent="0.2">
      <c r="A889" s="1" vm="4529">
        <f ca="1"/>
        <v>45691</v>
      </c>
      <c r="B889" s="2" vm="7253">
        <f ca="1"/>
        <v>20.36</v>
      </c>
      <c r="C889" s="2" vm="7657">
        <f ca="1"/>
        <v>20.420000000000002</v>
      </c>
      <c r="D889" s="2" vm="6913">
        <f ca="1"/>
        <v>17.66</v>
      </c>
      <c r="E889" s="2" vm="8346">
        <f ca="1"/>
        <v>18.62</v>
      </c>
    </row>
    <row r="890" spans="1:5" x14ac:dyDescent="0.2">
      <c r="A890" s="1" vm="4534">
        <f ca="1"/>
        <v>45692</v>
      </c>
      <c r="B890" s="2" vm="8315">
        <f ca="1"/>
        <v>18.78</v>
      </c>
      <c r="C890" s="2" vm="7773">
        <f ca="1"/>
        <v>19.11</v>
      </c>
      <c r="D890" s="2" vm="7996">
        <f ca="1"/>
        <v>16.78</v>
      </c>
      <c r="E890" s="2" vm="6908">
        <f ca="1"/>
        <v>17.21</v>
      </c>
    </row>
    <row r="891" spans="1:5" x14ac:dyDescent="0.2">
      <c r="A891" s="1" vm="4538">
        <f ca="1"/>
        <v>45693</v>
      </c>
      <c r="B891" s="2" vm="7011">
        <f ca="1"/>
        <v>17.54</v>
      </c>
      <c r="C891" s="2" vm="6807">
        <f ca="1"/>
        <v>17.75</v>
      </c>
      <c r="D891" s="2" vm="7987">
        <f ca="1"/>
        <v>15.77</v>
      </c>
      <c r="E891" s="2" vm="7987">
        <f ca="1"/>
        <v>15.77</v>
      </c>
    </row>
    <row r="892" spans="1:5" x14ac:dyDescent="0.2">
      <c r="A892" s="1" vm="4542">
        <f ca="1"/>
        <v>45694</v>
      </c>
      <c r="B892" s="2" vm="7993">
        <f ca="1"/>
        <v>15.88</v>
      </c>
      <c r="C892" s="2" vm="6915">
        <f ca="1"/>
        <v>16.149999999999999</v>
      </c>
      <c r="D892" s="2" vm="7882">
        <f ca="1"/>
        <v>14.99</v>
      </c>
      <c r="E892" s="2" vm="8347">
        <f ca="1"/>
        <v>15.5</v>
      </c>
    </row>
    <row r="893" spans="1:5" x14ac:dyDescent="0.2">
      <c r="A893" s="1" vm="4547">
        <f ca="1"/>
        <v>45695</v>
      </c>
      <c r="B893" s="2" vm="7991">
        <f ca="1"/>
        <v>15.38</v>
      </c>
      <c r="C893" s="2" vm="8267">
        <f ca="1"/>
        <v>16.66</v>
      </c>
      <c r="D893" s="2" vm="7936">
        <f ca="1"/>
        <v>14.79</v>
      </c>
      <c r="E893" s="2" vm="6893">
        <f ca="1"/>
        <v>16.54</v>
      </c>
    </row>
    <row r="894" spans="1:5" x14ac:dyDescent="0.2">
      <c r="A894" s="1" vm="4552">
        <f ca="1"/>
        <v>45698</v>
      </c>
      <c r="B894" s="2" vm="7028">
        <f ca="1"/>
        <v>16.579999999999998</v>
      </c>
      <c r="C894" s="2" vm="8004">
        <f ca="1"/>
        <v>16.61</v>
      </c>
      <c r="D894" s="2" vm="6865">
        <f ca="1"/>
        <v>15.7</v>
      </c>
      <c r="E894" s="2" vm="7990">
        <f ca="1"/>
        <v>15.81</v>
      </c>
    </row>
    <row r="895" spans="1:5" x14ac:dyDescent="0.2">
      <c r="A895" s="1" vm="4558">
        <f ca="1"/>
        <v>45699</v>
      </c>
      <c r="B895" s="2" vm="6889">
        <f ca="1"/>
        <v>16.13</v>
      </c>
      <c r="C895" s="2" vm="8264">
        <f ca="1"/>
        <v>16.420000000000002</v>
      </c>
      <c r="D895" s="2" vm="8210">
        <f ca="1"/>
        <v>15.75</v>
      </c>
      <c r="E895" s="2" vm="8200">
        <f ca="1"/>
        <v>16.02</v>
      </c>
    </row>
    <row r="896" spans="1:5" x14ac:dyDescent="0.2">
      <c r="A896" s="1" vm="4564">
        <f ca="1"/>
        <v>45700</v>
      </c>
      <c r="B896" s="2" vm="6740">
        <f ca="1"/>
        <v>15.91</v>
      </c>
      <c r="C896" s="2" vm="8301">
        <f ca="1"/>
        <v>17.18</v>
      </c>
      <c r="D896" s="2" vm="8303">
        <f ca="1"/>
        <v>15.64</v>
      </c>
      <c r="E896" s="2" vm="6867">
        <f ca="1"/>
        <v>15.89</v>
      </c>
    </row>
    <row r="897" spans="1:5" x14ac:dyDescent="0.2">
      <c r="A897" s="1" vm="4569">
        <f ca="1"/>
        <v>45701</v>
      </c>
      <c r="B897" s="2" vm="7937">
        <f ca="1"/>
        <v>15.97</v>
      </c>
      <c r="C897" s="2" vm="6877">
        <f ca="1"/>
        <v>16.329999999999998</v>
      </c>
      <c r="D897" s="2" vm="8185">
        <f ca="1"/>
        <v>14.98</v>
      </c>
      <c r="E897" s="2" vm="6878">
        <f ca="1"/>
        <v>15.1</v>
      </c>
    </row>
    <row r="898" spans="1:5" x14ac:dyDescent="0.2">
      <c r="A898" s="1" vm="4574">
        <f ca="1"/>
        <v>45702</v>
      </c>
      <c r="B898" s="2" vm="8012">
        <f ca="1"/>
        <v>15.08</v>
      </c>
      <c r="C898" s="2" vm="8175">
        <f ca="1"/>
        <v>15.42</v>
      </c>
      <c r="D898" s="2" vm="7932">
        <f ca="1"/>
        <v>14.74</v>
      </c>
      <c r="E898" s="2" vm="7994">
        <f ca="1"/>
        <v>14.77</v>
      </c>
    </row>
    <row r="899" spans="1:5" x14ac:dyDescent="0.2">
      <c r="A899" s="1" vm="8348">
        <f ca="1"/>
        <v>45705</v>
      </c>
      <c r="B899" s="2" vm="7991">
        <f ca="1"/>
        <v>15.38</v>
      </c>
      <c r="C899" s="2" vm="6864">
        <f ca="1"/>
        <v>15.57</v>
      </c>
      <c r="D899" s="2" vm="8178">
        <f ca="1"/>
        <v>15.34</v>
      </c>
      <c r="E899" s="2" vm="8207">
        <f ca="1"/>
        <v>15.37</v>
      </c>
    </row>
    <row r="900" spans="1:5" x14ac:dyDescent="0.2">
      <c r="A900" s="1" vm="4580">
        <f ca="1"/>
        <v>45706</v>
      </c>
      <c r="B900" s="2" vm="6864">
        <f ca="1"/>
        <v>15.57</v>
      </c>
      <c r="C900" s="2" vm="6895">
        <f ca="1"/>
        <v>16.03</v>
      </c>
      <c r="D900" s="2" vm="6872">
        <f ca="1"/>
        <v>15.35</v>
      </c>
      <c r="E900" s="2" vm="6872">
        <f ca="1"/>
        <v>15.35</v>
      </c>
    </row>
    <row r="901" spans="1:5" x14ac:dyDescent="0.2">
      <c r="A901" s="1" vm="4586">
        <f ca="1"/>
        <v>45707</v>
      </c>
      <c r="B901" s="2" vm="8041">
        <f ca="1"/>
        <v>15.14</v>
      </c>
      <c r="C901" s="2" vm="7988">
        <f ca="1"/>
        <v>15.96</v>
      </c>
      <c r="D901" s="2" vm="8349">
        <f ca="1"/>
        <v>15.05</v>
      </c>
      <c r="E901" s="2" vm="8206">
        <f ca="1"/>
        <v>15.27</v>
      </c>
    </row>
    <row r="902" spans="1:5" x14ac:dyDescent="0.2">
      <c r="A902" s="1" vm="4591">
        <f ca="1"/>
        <v>45708</v>
      </c>
      <c r="B902" s="2" vm="8290">
        <f ca="1"/>
        <v>15.61</v>
      </c>
      <c r="C902" s="2" vm="7835">
        <f ca="1"/>
        <v>16.63</v>
      </c>
      <c r="D902" s="2" vm="8350">
        <f ca="1"/>
        <v>15.12</v>
      </c>
      <c r="E902" s="2" vm="8067">
        <f ca="1"/>
        <v>15.66</v>
      </c>
    </row>
    <row r="903" spans="1:5" x14ac:dyDescent="0.2">
      <c r="A903" s="1" vm="4596">
        <f ca="1"/>
        <v>45709</v>
      </c>
      <c r="B903" s="2" vm="8351">
        <f ca="1"/>
        <v>15.63</v>
      </c>
      <c r="C903" s="2" vm="6938">
        <f ca="1"/>
        <v>19.03</v>
      </c>
      <c r="D903" s="2" vm="7864">
        <f ca="1"/>
        <v>15.28</v>
      </c>
      <c r="E903" s="2" vm="8202">
        <f ca="1"/>
        <v>18.21</v>
      </c>
    </row>
    <row r="904" spans="1:5" x14ac:dyDescent="0.2">
      <c r="A904" s="1" vm="4600">
        <f ca="1"/>
        <v>45712</v>
      </c>
      <c r="B904" s="2" vm="6853">
        <f ca="1"/>
        <v>18.079999999999998</v>
      </c>
      <c r="C904" s="2" vm="6936">
        <f ca="1"/>
        <v>20.239999999999998</v>
      </c>
      <c r="D904" s="2" vm="8042">
        <f ca="1"/>
        <v>17.309999999999999</v>
      </c>
      <c r="E904" s="2" vm="8352">
        <f ca="1"/>
        <v>18.98</v>
      </c>
    </row>
    <row r="905" spans="1:5" x14ac:dyDescent="0.2">
      <c r="A905" s="1" vm="4605">
        <f ca="1"/>
        <v>45713</v>
      </c>
      <c r="B905" s="2" vm="7795">
        <f ca="1"/>
        <v>19.09</v>
      </c>
      <c r="C905" s="2" vm="6818">
        <f ca="1"/>
        <v>21.48</v>
      </c>
      <c r="D905" s="2" vm="7796">
        <f ca="1"/>
        <v>18.850000000000001</v>
      </c>
      <c r="E905" s="2" vm="7500">
        <f ca="1"/>
        <v>19.43</v>
      </c>
    </row>
    <row r="906" spans="1:5" x14ac:dyDescent="0.2">
      <c r="A906" s="1" vm="4610">
        <f ca="1"/>
        <v>45714</v>
      </c>
      <c r="B906" s="2" vm="6978">
        <f ca="1"/>
        <v>18.96</v>
      </c>
      <c r="C906" s="2" vm="8284">
        <f ca="1"/>
        <v>20.059999999999999</v>
      </c>
      <c r="D906" s="2" vm="8353">
        <f ca="1"/>
        <v>17.829999999999998</v>
      </c>
      <c r="E906" s="2" vm="7805">
        <f ca="1"/>
        <v>19.100000000000001</v>
      </c>
    </row>
    <row r="907" spans="1:5" x14ac:dyDescent="0.2">
      <c r="A907" s="1" vm="4616">
        <f ca="1"/>
        <v>45715</v>
      </c>
      <c r="B907" s="2" vm="7807">
        <f ca="1"/>
        <v>18.25</v>
      </c>
      <c r="C907" s="2" vm="7700">
        <f ca="1"/>
        <v>21.47</v>
      </c>
      <c r="D907" s="2" vm="8354">
        <f ca="1"/>
        <v>17.670000000000002</v>
      </c>
      <c r="E907" s="2" vm="6767">
        <f ca="1"/>
        <v>21.13</v>
      </c>
    </row>
    <row r="908" spans="1:5" x14ac:dyDescent="0.2">
      <c r="A908" s="1" vm="4621">
        <f ca="1"/>
        <v>45716</v>
      </c>
      <c r="B908" s="2" vm="7466">
        <f ca="1"/>
        <v>21.21</v>
      </c>
      <c r="C908" s="2" vm="7703">
        <f ca="1"/>
        <v>22.4</v>
      </c>
      <c r="D908" s="2" vm="7042">
        <f ca="1"/>
        <v>19.05</v>
      </c>
      <c r="E908" s="2" vm="7212">
        <f ca="1"/>
        <v>19.63</v>
      </c>
    </row>
    <row r="909" spans="1:5" x14ac:dyDescent="0.2">
      <c r="A909" s="1" vm="4627">
        <f ca="1"/>
        <v>45719</v>
      </c>
      <c r="B909" s="2" vm="7799">
        <f ca="1"/>
        <v>19.829999999999998</v>
      </c>
      <c r="C909" s="2" vm="8355">
        <f ca="1"/>
        <v>24.31</v>
      </c>
      <c r="D909" s="2" vm="7739">
        <f ca="1"/>
        <v>19.25</v>
      </c>
      <c r="E909" s="2" vm="8356">
        <f ca="1"/>
        <v>22.78</v>
      </c>
    </row>
    <row r="910" spans="1:5" x14ac:dyDescent="0.2">
      <c r="A910" s="1" vm="4632">
        <f ca="1"/>
        <v>45720</v>
      </c>
      <c r="B910" s="2" vm="6829">
        <f ca="1"/>
        <v>22.96</v>
      </c>
      <c r="C910" s="2" vm="7628">
        <f ca="1"/>
        <v>26.35</v>
      </c>
      <c r="D910" s="2" vm="6794">
        <f ca="1"/>
        <v>21.71</v>
      </c>
      <c r="E910" s="2" vm="8357">
        <f ca="1"/>
        <v>23.51</v>
      </c>
    </row>
    <row r="911" spans="1:5" x14ac:dyDescent="0.2">
      <c r="A911" s="1" vm="4638">
        <f ca="1"/>
        <v>45721</v>
      </c>
      <c r="B911" s="2" vm="7454">
        <f ca="1"/>
        <v>23.03</v>
      </c>
      <c r="C911" s="2" vm="8358">
        <f ca="1"/>
        <v>24.84</v>
      </c>
      <c r="D911" s="2" vm="7243">
        <f ca="1"/>
        <v>21.37</v>
      </c>
      <c r="E911" s="2" vm="8359">
        <f ca="1"/>
        <v>21.93</v>
      </c>
    </row>
    <row r="912" spans="1:5" x14ac:dyDescent="0.2">
      <c r="A912" s="1" vm="4644">
        <f ca="1"/>
        <v>45722</v>
      </c>
      <c r="B912" s="2" vm="7672">
        <f ca="1"/>
        <v>22.6</v>
      </c>
      <c r="C912" s="2" vm="8360">
        <f ca="1"/>
        <v>25.92</v>
      </c>
      <c r="D912" s="2" vm="7505">
        <f ca="1"/>
        <v>22.39</v>
      </c>
      <c r="E912" s="2" vm="8361">
        <f ca="1"/>
        <v>24.87</v>
      </c>
    </row>
    <row r="913" spans="1:5" x14ac:dyDescent="0.2">
      <c r="A913" s="1" vm="4649">
        <f ca="1"/>
        <v>45723</v>
      </c>
      <c r="B913" s="2" vm="8362">
        <f ca="1"/>
        <v>24.85</v>
      </c>
      <c r="C913" s="2" vm="8363">
        <f ca="1"/>
        <v>26.56</v>
      </c>
      <c r="D913" s="2" vm="7097">
        <f ca="1"/>
        <v>23.09</v>
      </c>
      <c r="E913" s="2" vm="8364">
        <f ca="1"/>
        <v>23.37</v>
      </c>
    </row>
    <row r="914" spans="1:5" x14ac:dyDescent="0.2">
      <c r="A914" s="1" vm="4655">
        <f ca="1"/>
        <v>45726</v>
      </c>
      <c r="B914" s="2" vm="7535">
        <f ca="1"/>
        <v>24.7</v>
      </c>
      <c r="C914" s="2" vm="8365">
        <f ca="1"/>
        <v>29.56</v>
      </c>
      <c r="D914" s="2" vm="7472">
        <f ca="1"/>
        <v>24.68</v>
      </c>
      <c r="E914" s="2" vm="8366">
        <f ca="1"/>
        <v>27.86</v>
      </c>
    </row>
    <row r="915" spans="1:5" x14ac:dyDescent="0.2">
      <c r="A915" s="1" vm="4661">
        <f ca="1"/>
        <v>45727</v>
      </c>
      <c r="B915" s="2" vm="8367">
        <f ca="1"/>
        <v>27.94</v>
      </c>
      <c r="C915" s="2" vm="7183">
        <f ca="1"/>
        <v>29.57</v>
      </c>
      <c r="D915" s="2" vm="8368">
        <f ca="1"/>
        <v>26.18</v>
      </c>
      <c r="E915" s="2" vm="8369">
        <f ca="1"/>
        <v>26.92</v>
      </c>
    </row>
    <row r="916" spans="1:5" x14ac:dyDescent="0.2">
      <c r="A916" s="1" vm="4666">
        <f ca="1"/>
        <v>45728</v>
      </c>
      <c r="B916" s="2" vm="7524">
        <f ca="1"/>
        <v>26.88</v>
      </c>
      <c r="C916" s="2" vm="7533">
        <f ca="1"/>
        <v>26.91</v>
      </c>
      <c r="D916" s="2" vm="7642">
        <f ca="1"/>
        <v>23.89</v>
      </c>
      <c r="E916" s="2" vm="7441">
        <f ca="1"/>
        <v>24.23</v>
      </c>
    </row>
    <row r="917" spans="1:5" x14ac:dyDescent="0.2">
      <c r="A917" s="1" vm="4672">
        <f ca="1"/>
        <v>45729</v>
      </c>
      <c r="B917" s="2" vm="6954">
        <f ca="1"/>
        <v>24.92</v>
      </c>
      <c r="C917" s="2" vm="8370">
        <f ca="1"/>
        <v>26.13</v>
      </c>
      <c r="D917" s="2" vm="7051">
        <f ca="1"/>
        <v>23.46</v>
      </c>
      <c r="E917" s="2" vm="8371">
        <f ca="1"/>
        <v>24.66</v>
      </c>
    </row>
    <row r="918" spans="1:5" x14ac:dyDescent="0.2">
      <c r="A918" s="1" vm="4678">
        <f ca="1"/>
        <v>45730</v>
      </c>
      <c r="B918" s="2" vm="7090">
        <f ca="1"/>
        <v>24.35</v>
      </c>
      <c r="C918" s="2" vm="6795">
        <f ca="1"/>
        <v>24.36</v>
      </c>
      <c r="D918" s="2" vm="6818">
        <f ca="1"/>
        <v>21.48</v>
      </c>
      <c r="E918" s="2" vm="7487">
        <f ca="1"/>
        <v>21.77</v>
      </c>
    </row>
    <row r="919" spans="1:5" x14ac:dyDescent="0.2">
      <c r="A919" s="1" vm="4684">
        <f ca="1"/>
        <v>45733</v>
      </c>
      <c r="B919" s="2" vm="8372">
        <f ca="1"/>
        <v>22.89</v>
      </c>
      <c r="C919" s="2" vm="6834">
        <f ca="1"/>
        <v>22.95</v>
      </c>
      <c r="D919" s="2" vm="7255">
        <f ca="1"/>
        <v>20.32</v>
      </c>
      <c r="E919" s="2" vm="7216">
        <f ca="1"/>
        <v>20.51</v>
      </c>
    </row>
    <row r="920" spans="1:5" x14ac:dyDescent="0.2">
      <c r="A920" s="1" vm="4689">
        <f ca="1"/>
        <v>45734</v>
      </c>
      <c r="B920" s="2" vm="7483">
        <f ca="1"/>
        <v>20.83</v>
      </c>
      <c r="C920" s="2" vm="7662">
        <f ca="1"/>
        <v>22.57</v>
      </c>
      <c r="D920" s="2" vm="6805">
        <f ca="1"/>
        <v>20.41</v>
      </c>
      <c r="E920" s="2" vm="7664">
        <f ca="1"/>
        <v>21.7</v>
      </c>
    </row>
    <row r="921" spans="1:5" x14ac:dyDescent="0.2">
      <c r="A921" s="1" vm="4695">
        <f ca="1"/>
        <v>45735</v>
      </c>
      <c r="B921" s="2" vm="8373">
        <f ca="1"/>
        <v>21.84</v>
      </c>
      <c r="C921" s="2" vm="7227">
        <f ca="1"/>
        <v>22.1</v>
      </c>
      <c r="D921" s="2" vm="7801">
        <f ca="1"/>
        <v>19.420000000000002</v>
      </c>
      <c r="E921" s="2" vm="6909">
        <f ca="1"/>
        <v>19.899999999999999</v>
      </c>
    </row>
    <row r="922" spans="1:5" x14ac:dyDescent="0.2">
      <c r="A922" s="1" vm="4701">
        <f ca="1"/>
        <v>45736</v>
      </c>
      <c r="B922" s="2" vm="8374">
        <f ca="1"/>
        <v>19.52</v>
      </c>
      <c r="C922" s="2" vm="8375">
        <f ca="1"/>
        <v>21.17</v>
      </c>
      <c r="D922" s="2" vm="6776">
        <f ca="1"/>
        <v>19.3</v>
      </c>
      <c r="E922" s="2" vm="7666">
        <f ca="1"/>
        <v>19.8</v>
      </c>
    </row>
    <row r="923" spans="1:5" x14ac:dyDescent="0.2">
      <c r="A923" s="1" vm="4707">
        <f ca="1"/>
        <v>45737</v>
      </c>
      <c r="B923" s="2" vm="7759">
        <f ca="1"/>
        <v>20.02</v>
      </c>
      <c r="C923" s="2" vm="7687">
        <f ca="1"/>
        <v>21.14</v>
      </c>
      <c r="D923" s="2" vm="8337">
        <f ca="1"/>
        <v>19.149999999999999</v>
      </c>
      <c r="E923" s="2" vm="7722">
        <f ca="1"/>
        <v>19.28</v>
      </c>
    </row>
    <row r="924" spans="1:5" x14ac:dyDescent="0.2">
      <c r="A924" s="1" vm="4712">
        <f ca="1"/>
        <v>45740</v>
      </c>
      <c r="B924" s="2" vm="7736">
        <f ca="1"/>
        <v>19.13</v>
      </c>
      <c r="C924" s="2" vm="7853">
        <f ca="1"/>
        <v>19.14</v>
      </c>
      <c r="D924" s="2" vm="6918">
        <f ca="1"/>
        <v>17.46</v>
      </c>
      <c r="E924" s="2" vm="8376">
        <f ca="1"/>
        <v>17.48</v>
      </c>
    </row>
    <row r="925" spans="1:5" x14ac:dyDescent="0.2">
      <c r="A925" s="1" vm="4718">
        <f ca="1"/>
        <v>45741</v>
      </c>
      <c r="B925" s="2" vm="7811">
        <f ca="1"/>
        <v>17.579999999999998</v>
      </c>
      <c r="C925" s="2" vm="7808">
        <f ca="1"/>
        <v>17.77</v>
      </c>
      <c r="D925" s="2" vm="6900">
        <f ca="1"/>
        <v>17.02</v>
      </c>
      <c r="E925" s="2" vm="7846">
        <f ca="1"/>
        <v>17.149999999999999</v>
      </c>
    </row>
    <row r="926" spans="1:5" x14ac:dyDescent="0.2">
      <c r="A926" s="1" vm="4724">
        <f ca="1"/>
        <v>45742</v>
      </c>
      <c r="B926" s="2" vm="6902">
        <f ca="1"/>
        <v>17.23</v>
      </c>
      <c r="C926" s="2" vm="6840">
        <f ca="1"/>
        <v>19.07</v>
      </c>
      <c r="D926" s="2" vm="8005">
        <f ca="1"/>
        <v>16.97</v>
      </c>
      <c r="E926" s="2" vm="7740">
        <f ca="1"/>
        <v>18.329999999999998</v>
      </c>
    </row>
    <row r="927" spans="1:5" x14ac:dyDescent="0.2">
      <c r="A927" s="1" vm="4730">
        <f ca="1"/>
        <v>45743</v>
      </c>
      <c r="B927" s="2" vm="8057">
        <f ca="1"/>
        <v>18.36</v>
      </c>
      <c r="C927" s="2" vm="7722">
        <f ca="1"/>
        <v>19.28</v>
      </c>
      <c r="D927" s="2" vm="7854">
        <f ca="1"/>
        <v>17.95</v>
      </c>
      <c r="E927" s="2" vm="6783">
        <f ca="1"/>
        <v>18.690000000000001</v>
      </c>
    </row>
    <row r="928" spans="1:5" x14ac:dyDescent="0.2">
      <c r="A928" s="1" vm="4735">
        <f ca="1"/>
        <v>45744</v>
      </c>
      <c r="B928" s="2" vm="7032">
        <f ca="1"/>
        <v>19.079999999999998</v>
      </c>
      <c r="C928" s="2" vm="7676">
        <f ca="1"/>
        <v>22.18</v>
      </c>
      <c r="D928" s="2" vm="8377">
        <f ca="1"/>
        <v>18.920000000000002</v>
      </c>
      <c r="E928" s="2" vm="7660">
        <f ca="1"/>
        <v>21.65</v>
      </c>
    </row>
    <row r="929" spans="1:5" x14ac:dyDescent="0.2">
      <c r="A929" s="1" vm="4741">
        <f ca="1"/>
        <v>45747</v>
      </c>
      <c r="B929" s="2" vm="7509">
        <f ca="1"/>
        <v>24.11</v>
      </c>
      <c r="C929" s="2" vm="7776">
        <f ca="1"/>
        <v>24.8</v>
      </c>
      <c r="D929" s="2" vm="7209">
        <f ca="1"/>
        <v>21.67</v>
      </c>
      <c r="E929" s="2" vm="6995">
        <f ca="1"/>
        <v>22.28</v>
      </c>
    </row>
    <row r="930" spans="1:5" x14ac:dyDescent="0.2">
      <c r="A930" s="1" vm="4747">
        <f ca="1"/>
        <v>45748</v>
      </c>
      <c r="B930" s="2" vm="7478">
        <f ca="1"/>
        <v>22.06</v>
      </c>
      <c r="C930" s="2" vm="7241">
        <f ca="1"/>
        <v>23.52</v>
      </c>
      <c r="D930" s="2" vm="6970">
        <f ca="1"/>
        <v>21.58</v>
      </c>
      <c r="E930" s="2" vm="7487">
        <f ca="1"/>
        <v>21.77</v>
      </c>
    </row>
    <row r="931" spans="1:5" x14ac:dyDescent="0.2">
      <c r="A931" s="1" vm="4753">
        <f ca="1"/>
        <v>45749</v>
      </c>
      <c r="B931" s="2" vm="7089">
        <f ca="1"/>
        <v>22.3</v>
      </c>
      <c r="C931" s="2" vm="8378">
        <f ca="1"/>
        <v>23.66</v>
      </c>
      <c r="D931" s="2" vm="7767">
        <f ca="1"/>
        <v>20.68</v>
      </c>
      <c r="E931" s="2" vm="6785">
        <f ca="1"/>
        <v>21.51</v>
      </c>
    </row>
    <row r="932" spans="1:5" x14ac:dyDescent="0.2">
      <c r="A932" s="1" vm="4758">
        <f ca="1"/>
        <v>45750</v>
      </c>
      <c r="B932" s="2" vm="7122">
        <f ca="1"/>
        <v>26.38</v>
      </c>
      <c r="C932" s="2" vm="8379">
        <f ca="1"/>
        <v>30.02</v>
      </c>
      <c r="D932" s="2" vm="8380">
        <f ca="1"/>
        <v>24.93</v>
      </c>
      <c r="E932" s="2" vm="8379">
        <f ca="1"/>
        <v>30.02</v>
      </c>
    </row>
    <row r="933" spans="1:5" x14ac:dyDescent="0.2">
      <c r="A933" s="1" vm="4762">
        <f ca="1"/>
        <v>45751</v>
      </c>
      <c r="B933" s="2" vm="7148">
        <f ca="1"/>
        <v>30.12</v>
      </c>
      <c r="C933" s="2" vm="8381">
        <f ca="1"/>
        <v>45.61</v>
      </c>
      <c r="D933" s="2" vm="7275">
        <f ca="1"/>
        <v>29.99</v>
      </c>
      <c r="E933" s="2" vm="8382">
        <f ca="1"/>
        <v>45.31</v>
      </c>
    </row>
    <row r="934" spans="1:5" x14ac:dyDescent="0.2">
      <c r="A934" s="1" vm="4766">
        <f ca="1"/>
        <v>45754</v>
      </c>
      <c r="B934" s="2" vm="8383">
        <f ca="1"/>
        <v>60.13</v>
      </c>
      <c r="C934" s="2" vm="8383">
        <f ca="1"/>
        <v>60.13</v>
      </c>
      <c r="D934" s="2" vm="8384">
        <f ca="1"/>
        <v>38.58</v>
      </c>
      <c r="E934" s="2" vm="8385">
        <f ca="1"/>
        <v>46.98</v>
      </c>
    </row>
    <row r="935" spans="1:5" x14ac:dyDescent="0.2">
      <c r="A935" s="1" vm="4771">
        <f ca="1"/>
        <v>45755</v>
      </c>
      <c r="B935" s="2" vm="8386">
        <f ca="1"/>
        <v>44.04</v>
      </c>
      <c r="C935" s="2" vm="8387">
        <f ca="1"/>
        <v>57.52</v>
      </c>
      <c r="D935" s="2" vm="8388">
        <f ca="1"/>
        <v>36.479999999999997</v>
      </c>
      <c r="E935" s="2" vm="8389">
        <f ca="1"/>
        <v>52.33</v>
      </c>
    </row>
    <row r="936" spans="1:5" x14ac:dyDescent="0.2">
      <c r="A936" s="1" vm="4776">
        <f ca="1"/>
        <v>45756</v>
      </c>
      <c r="B936" s="2" vm="8390">
        <f ca="1"/>
        <v>50.98</v>
      </c>
      <c r="C936" s="2" vm="8391">
        <f ca="1"/>
        <v>57.96</v>
      </c>
      <c r="D936" s="2" vm="7154">
        <f ca="1"/>
        <v>31.9</v>
      </c>
      <c r="E936" s="2" vm="8392">
        <f ca="1"/>
        <v>33.619999999999997</v>
      </c>
    </row>
    <row r="937" spans="1:5" x14ac:dyDescent="0.2">
      <c r="A937" s="1" vm="4779">
        <f ca="1"/>
        <v>45757</v>
      </c>
      <c r="B937" s="2" vm="8393">
        <f ca="1"/>
        <v>34.44</v>
      </c>
      <c r="C937" s="2" vm="8394">
        <f ca="1"/>
        <v>54.87</v>
      </c>
      <c r="D937" s="2" vm="8393">
        <f ca="1"/>
        <v>34.44</v>
      </c>
      <c r="E937" s="2" vm="8395">
        <f ca="1"/>
        <v>40.72</v>
      </c>
    </row>
    <row r="938" spans="1:5" x14ac:dyDescent="0.2">
      <c r="A938" s="1" vm="4784">
        <f ca="1"/>
        <v>45758</v>
      </c>
      <c r="B938" s="2" vm="8396">
        <f ca="1"/>
        <v>40.799999999999997</v>
      </c>
      <c r="C938" s="2" vm="8397">
        <f ca="1"/>
        <v>46.12</v>
      </c>
      <c r="D938" s="2" vm="8398">
        <f ca="1"/>
        <v>36.85</v>
      </c>
      <c r="E938" s="2" vm="8399">
        <f ca="1"/>
        <v>37.56</v>
      </c>
    </row>
    <row r="939" spans="1:5" x14ac:dyDescent="0.2">
      <c r="A939" s="1" vm="4790">
        <f ca="1"/>
        <v>45761</v>
      </c>
      <c r="B939" s="2" vm="7307">
        <f ca="1"/>
        <v>34.76</v>
      </c>
      <c r="C939" s="2" vm="8400">
        <f ca="1"/>
        <v>35.17</v>
      </c>
      <c r="D939" s="2" vm="8401">
        <f ca="1"/>
        <v>29.75</v>
      </c>
      <c r="E939" s="2" vm="8402">
        <f ca="1"/>
        <v>30.89</v>
      </c>
    </row>
    <row r="940" spans="1:5" x14ac:dyDescent="0.2">
      <c r="A940" s="1" vm="4795">
        <f ca="1"/>
        <v>45762</v>
      </c>
      <c r="B940" s="2" vm="7312">
        <f ca="1"/>
        <v>30.01</v>
      </c>
      <c r="C940" s="2" vm="7387">
        <f ca="1"/>
        <v>31.45</v>
      </c>
      <c r="D940" s="2" vm="7328">
        <f ca="1"/>
        <v>28.29</v>
      </c>
      <c r="E940" s="2" vm="7148">
        <f ca="1"/>
        <v>30.12</v>
      </c>
    </row>
    <row r="941" spans="1:5" x14ac:dyDescent="0.2">
      <c r="A941" s="1" vm="4801">
        <f ca="1"/>
        <v>45763</v>
      </c>
      <c r="B941" s="2" vm="8403">
        <f ca="1"/>
        <v>33.24</v>
      </c>
      <c r="C941" s="2" vm="8404">
        <f ca="1"/>
        <v>34.96</v>
      </c>
      <c r="D941" s="2" vm="8405">
        <f ca="1"/>
        <v>29.48</v>
      </c>
      <c r="E941" s="2" vm="8406">
        <f ca="1"/>
        <v>32.64</v>
      </c>
    </row>
    <row r="942" spans="1:5" x14ac:dyDescent="0.2">
      <c r="A942" s="1" vm="4807">
        <f ca="1"/>
        <v>45764</v>
      </c>
      <c r="B942" s="2" vm="8407">
        <f ca="1"/>
        <v>30.79</v>
      </c>
      <c r="C942" s="2" vm="8408">
        <f ca="1"/>
        <v>32.549999999999997</v>
      </c>
      <c r="D942" s="2" vm="7183">
        <f ca="1"/>
        <v>29.57</v>
      </c>
      <c r="E942" s="2" vm="8409">
        <f ca="1"/>
        <v>29.65</v>
      </c>
    </row>
    <row r="943" spans="1:5" x14ac:dyDescent="0.2">
      <c r="A943" s="1" vm="4813">
        <f ca="1"/>
        <v>45768</v>
      </c>
      <c r="B943" s="2" vm="8410">
        <f ca="1"/>
        <v>32.75</v>
      </c>
      <c r="C943" s="2" vm="8411">
        <f ca="1"/>
        <v>35.75</v>
      </c>
      <c r="D943" s="2" vm="8412">
        <f ca="1"/>
        <v>31.79</v>
      </c>
      <c r="E943" s="2" vm="8413">
        <f ca="1"/>
        <v>33.82</v>
      </c>
    </row>
    <row r="944" spans="1:5" x14ac:dyDescent="0.2">
      <c r="A944" s="1" vm="4819">
        <f ca="1"/>
        <v>45769</v>
      </c>
      <c r="B944" s="2" vm="6955">
        <f ca="1"/>
        <v>32.61</v>
      </c>
      <c r="C944" s="2" vm="8414">
        <f ca="1"/>
        <v>32.68</v>
      </c>
      <c r="D944" s="2" vm="8415">
        <f ca="1"/>
        <v>30.08</v>
      </c>
      <c r="E944" s="2" vm="8416">
        <f ca="1"/>
        <v>30.57</v>
      </c>
    </row>
    <row r="945" spans="1:5" x14ac:dyDescent="0.2">
      <c r="A945" s="1" vm="4823">
        <f ca="1"/>
        <v>45770</v>
      </c>
      <c r="B945" s="2" vm="8417">
        <f ca="1"/>
        <v>28.75</v>
      </c>
      <c r="C945" s="2" vm="8418">
        <f ca="1"/>
        <v>30.29</v>
      </c>
      <c r="D945" s="2" vm="7334">
        <f ca="1"/>
        <v>27.11</v>
      </c>
      <c r="E945" s="2" vm="7436">
        <f ca="1"/>
        <v>28.45</v>
      </c>
    </row>
    <row r="946" spans="1:5" x14ac:dyDescent="0.2">
      <c r="A946" s="1" vm="4829">
        <f ca="1"/>
        <v>45771</v>
      </c>
      <c r="B946" s="2" vm="8419">
        <f ca="1"/>
        <v>28.69</v>
      </c>
      <c r="C946" s="2" vm="8271">
        <f ca="1"/>
        <v>29.66</v>
      </c>
      <c r="D946" s="2" vm="7193">
        <f ca="1"/>
        <v>26.36</v>
      </c>
      <c r="E946" s="2" vm="7401">
        <f ca="1"/>
        <v>26.47</v>
      </c>
    </row>
    <row r="947" spans="1:5" x14ac:dyDescent="0.2">
      <c r="A947" s="1" vm="4834">
        <f ca="1"/>
        <v>45772</v>
      </c>
      <c r="B947" s="2" vm="7646">
        <f ca="1"/>
        <v>26.22</v>
      </c>
      <c r="C947" s="2" vm="7130">
        <f ca="1"/>
        <v>27.2</v>
      </c>
      <c r="D947" s="2" vm="8358">
        <f ca="1"/>
        <v>24.84</v>
      </c>
      <c r="E947" s="2" vm="8358">
        <f ca="1"/>
        <v>24.84</v>
      </c>
    </row>
    <row r="948" spans="1:5" x14ac:dyDescent="0.2">
      <c r="A948" s="1" vm="4839">
        <f ca="1"/>
        <v>45775</v>
      </c>
      <c r="B948" s="2" vm="7519">
        <f ca="1"/>
        <v>25.75</v>
      </c>
      <c r="C948" s="2" vm="7138">
        <f ca="1"/>
        <v>26.93</v>
      </c>
      <c r="D948" s="2" vm="7535">
        <f ca="1"/>
        <v>24.7</v>
      </c>
      <c r="E948" s="2" vm="8420">
        <f ca="1"/>
        <v>25.15</v>
      </c>
    </row>
    <row r="949" spans="1:5" x14ac:dyDescent="0.2">
      <c r="A949" s="1" vm="4844">
        <f ca="1"/>
        <v>45776</v>
      </c>
      <c r="B949" s="2" vm="7118">
        <f ca="1"/>
        <v>24.76</v>
      </c>
      <c r="C949" s="2" vm="7530">
        <f ca="1"/>
        <v>25.99</v>
      </c>
      <c r="D949" s="2" vm="7705">
        <f ca="1"/>
        <v>23.76</v>
      </c>
      <c r="E949" s="2" vm="8421">
        <f ca="1"/>
        <v>24.17</v>
      </c>
    </row>
    <row r="950" spans="1:5" x14ac:dyDescent="0.2">
      <c r="A950" s="1" vm="4847">
        <f ca="1"/>
        <v>45777</v>
      </c>
      <c r="B950" s="2" vm="7090">
        <f ca="1"/>
        <v>24.35</v>
      </c>
      <c r="C950" s="2" vm="8422">
        <f ca="1"/>
        <v>28.17</v>
      </c>
      <c r="D950" s="2" vm="7441">
        <f ca="1"/>
        <v>24.23</v>
      </c>
      <c r="E950" s="2" vm="7535">
        <f ca="1"/>
        <v>24.7</v>
      </c>
    </row>
    <row r="951" spans="1:5" x14ac:dyDescent="0.2">
      <c r="A951" s="1" vm="4851">
        <f ca="1"/>
        <v>45778</v>
      </c>
      <c r="B951" s="2" vm="8423">
        <f ca="1"/>
        <v>23.94</v>
      </c>
      <c r="C951" s="2" vm="7649">
        <f ca="1"/>
        <v>25.18</v>
      </c>
      <c r="D951" s="2" vm="7451">
        <f ca="1"/>
        <v>23.3</v>
      </c>
      <c r="E951" s="2" vm="7249">
        <f ca="1"/>
        <v>24.6</v>
      </c>
    </row>
    <row r="952" spans="1:5" x14ac:dyDescent="0.2">
      <c r="A952" s="1" vm="4856">
        <f ca="1"/>
        <v>45779</v>
      </c>
      <c r="B952" s="2" vm="7763">
        <f ca="1"/>
        <v>23.63</v>
      </c>
      <c r="C952" s="2" vm="8424">
        <f ca="1"/>
        <v>24.32</v>
      </c>
      <c r="D952" s="2" vm="7233">
        <f ca="1"/>
        <v>22.34</v>
      </c>
      <c r="E952" s="2" vm="6996">
        <f ca="1"/>
        <v>22.68</v>
      </c>
    </row>
    <row r="953" spans="1:5" x14ac:dyDescent="0.2">
      <c r="A953" s="1" vm="4861">
        <f ca="1"/>
        <v>45782</v>
      </c>
      <c r="B953" s="2" vm="6788">
        <f ca="1"/>
        <v>24.25</v>
      </c>
      <c r="C953" s="2" vm="8425">
        <f ca="1"/>
        <v>24.63</v>
      </c>
      <c r="D953" s="2" vm="7677">
        <f ca="1"/>
        <v>22.81</v>
      </c>
      <c r="E953" s="2" vm="8426">
        <f ca="1"/>
        <v>23.64</v>
      </c>
    </row>
    <row r="954" spans="1:5" x14ac:dyDescent="0.2">
      <c r="A954" s="1" vm="4866">
        <f ca="1"/>
        <v>45783</v>
      </c>
      <c r="B954" s="2" vm="8427">
        <f ca="1"/>
        <v>23.97</v>
      </c>
      <c r="C954" s="2" vm="8428">
        <f ca="1"/>
        <v>25.11</v>
      </c>
      <c r="D954" s="2" vm="6790">
        <f ca="1"/>
        <v>23.9</v>
      </c>
      <c r="E954" s="2" vm="7118">
        <f ca="1"/>
        <v>24.76</v>
      </c>
    </row>
    <row r="955" spans="1:5" x14ac:dyDescent="0.2">
      <c r="A955" s="1" vm="4872">
        <f ca="1"/>
        <v>45784</v>
      </c>
      <c r="B955" s="2" vm="8429">
        <f ca="1"/>
        <v>24.56</v>
      </c>
      <c r="C955" s="2" vm="8430">
        <f ca="1"/>
        <v>25.62</v>
      </c>
      <c r="D955" s="2" vm="8431">
        <f ca="1"/>
        <v>23.29</v>
      </c>
      <c r="E955" s="2" vm="8432">
        <f ca="1"/>
        <v>23.55</v>
      </c>
    </row>
    <row r="956" spans="1:5" x14ac:dyDescent="0.2">
      <c r="A956" s="1" vm="4878">
        <f ca="1"/>
        <v>45785</v>
      </c>
      <c r="B956" s="2" vm="7470">
        <f ca="1"/>
        <v>22.84</v>
      </c>
      <c r="C956" s="2" vm="7207">
        <f ca="1"/>
        <v>23.61</v>
      </c>
      <c r="D956" s="2" vm="6828">
        <f ca="1"/>
        <v>21.88</v>
      </c>
      <c r="E956" s="2" vm="8433">
        <f ca="1"/>
        <v>22.48</v>
      </c>
    </row>
    <row r="957" spans="1:5" x14ac:dyDescent="0.2">
      <c r="A957" s="1" vm="4884">
        <f ca="1"/>
        <v>45786</v>
      </c>
      <c r="B957" s="2" vm="7703">
        <f ca="1"/>
        <v>22.4</v>
      </c>
      <c r="C957" s="2" vm="7511">
        <f ca="1"/>
        <v>22.82</v>
      </c>
      <c r="D957" s="2" vm="7663">
        <f ca="1"/>
        <v>21.83</v>
      </c>
      <c r="E957" s="2" vm="8434">
        <f ca="1"/>
        <v>21.9</v>
      </c>
    </row>
    <row r="958" spans="1:5" x14ac:dyDescent="0.2">
      <c r="A958" s="1" vm="4889">
        <f ca="1"/>
        <v>45789</v>
      </c>
      <c r="B958" s="2" vm="7488">
        <f ca="1"/>
        <v>19.84</v>
      </c>
      <c r="C958" s="2" vm="7749">
        <f ca="1"/>
        <v>20.440000000000001</v>
      </c>
      <c r="D958" s="2" vm="6757">
        <f ca="1"/>
        <v>18.14</v>
      </c>
      <c r="E958" s="2" vm="6755">
        <f ca="1"/>
        <v>18.39</v>
      </c>
    </row>
    <row r="959" spans="1:5" x14ac:dyDescent="0.2">
      <c r="A959" s="1" vm="4894">
        <f ca="1"/>
        <v>45790</v>
      </c>
      <c r="B959" s="2" vm="6783">
        <f ca="1"/>
        <v>18.690000000000001</v>
      </c>
      <c r="C959" s="2" vm="7796">
        <f ca="1"/>
        <v>18.850000000000001</v>
      </c>
      <c r="D959" s="2" vm="6782">
        <f ca="1"/>
        <v>17.649999999999999</v>
      </c>
      <c r="E959" s="2" vm="7820">
        <f ca="1"/>
        <v>18.22</v>
      </c>
    </row>
    <row r="960" spans="1:5" x14ac:dyDescent="0.2">
      <c r="A960" s="1" vm="4900">
        <f ca="1"/>
        <v>45791</v>
      </c>
      <c r="B960" s="2" vm="8435">
        <f ca="1"/>
        <v>18.100000000000001</v>
      </c>
      <c r="C960" s="2" vm="8436">
        <f ca="1"/>
        <v>18.82</v>
      </c>
      <c r="D960" s="2" vm="6888">
        <f ca="1"/>
        <v>18.059999999999999</v>
      </c>
      <c r="E960" s="2" vm="8346">
        <f ca="1"/>
        <v>18.62</v>
      </c>
    </row>
    <row r="961" spans="1:5" x14ac:dyDescent="0.2">
      <c r="A961" s="1" vm="4906">
        <f ca="1"/>
        <v>45792</v>
      </c>
      <c r="B961" s="2" vm="7043">
        <f ca="1"/>
        <v>19.190000000000001</v>
      </c>
      <c r="C961" s="2" vm="6939">
        <f ca="1"/>
        <v>19.38</v>
      </c>
      <c r="D961" s="2" vm="7808">
        <f ca="1"/>
        <v>17.77</v>
      </c>
      <c r="E961" s="2" vm="8353">
        <f ca="1"/>
        <v>17.829999999999998</v>
      </c>
    </row>
    <row r="962" spans="1:5" x14ac:dyDescent="0.2">
      <c r="A962" s="1" vm="4912">
        <f ca="1"/>
        <v>45793</v>
      </c>
      <c r="B962" s="2" vm="6761">
        <f ca="1"/>
        <v>17.96</v>
      </c>
      <c r="C962" s="2" vm="6761">
        <f ca="1"/>
        <v>17.96</v>
      </c>
      <c r="D962" s="2" vm="7846">
        <f ca="1"/>
        <v>17.149999999999999</v>
      </c>
      <c r="E962" s="2" vm="7859">
        <f ca="1"/>
        <v>17.239999999999998</v>
      </c>
    </row>
    <row r="963" spans="1:5" x14ac:dyDescent="0.2">
      <c r="A963" s="1" vm="4918">
        <f ca="1"/>
        <v>45796</v>
      </c>
      <c r="B963" s="2" vm="7488">
        <f ca="1"/>
        <v>19.84</v>
      </c>
      <c r="C963" s="2" vm="8437">
        <f ca="1"/>
        <v>19.920000000000002</v>
      </c>
      <c r="D963" s="2" vm="7837">
        <f ca="1"/>
        <v>17.920000000000002</v>
      </c>
      <c r="E963" s="2" vm="6757">
        <f ca="1"/>
        <v>18.14</v>
      </c>
    </row>
    <row r="964" spans="1:5" x14ac:dyDescent="0.2">
      <c r="A964" s="1" vm="4924">
        <f ca="1"/>
        <v>45797</v>
      </c>
      <c r="B964" s="2" vm="8263">
        <f ca="1"/>
        <v>18.46</v>
      </c>
      <c r="C964" s="2" vm="8438">
        <f ca="1"/>
        <v>18.68</v>
      </c>
      <c r="D964" s="2" vm="6891">
        <f ca="1"/>
        <v>17.7</v>
      </c>
      <c r="E964" s="2" vm="8330">
        <f ca="1"/>
        <v>18.09</v>
      </c>
    </row>
    <row r="965" spans="1:5" x14ac:dyDescent="0.2">
      <c r="A965" s="1" vm="4930">
        <f ca="1"/>
        <v>45798</v>
      </c>
      <c r="B965" s="2" vm="6843">
        <f ca="1"/>
        <v>18.77</v>
      </c>
      <c r="C965" s="2" vm="8439">
        <f ca="1"/>
        <v>21.05</v>
      </c>
      <c r="D965" s="2" vm="7808">
        <f ca="1"/>
        <v>17.77</v>
      </c>
      <c r="E965" s="2" vm="6799">
        <f ca="1"/>
        <v>20.87</v>
      </c>
    </row>
    <row r="966" spans="1:5" x14ac:dyDescent="0.2">
      <c r="A966" s="1" vm="4935">
        <f ca="1"/>
        <v>45799</v>
      </c>
      <c r="B966" s="2" vm="6832">
        <f ca="1"/>
        <v>20.62</v>
      </c>
      <c r="C966" s="2" vm="6814">
        <f ca="1"/>
        <v>22.07</v>
      </c>
      <c r="D966" s="2" vm="6759">
        <f ca="1"/>
        <v>19.64</v>
      </c>
      <c r="E966" s="2" vm="7234">
        <f ca="1"/>
        <v>20.28</v>
      </c>
    </row>
    <row r="967" spans="1:5" x14ac:dyDescent="0.2">
      <c r="A967" s="1" vm="4941">
        <f ca="1"/>
        <v>45800</v>
      </c>
      <c r="B967" s="2" vm="6849">
        <f ca="1"/>
        <v>20.14</v>
      </c>
      <c r="C967" s="2" vm="8440">
        <f ca="1"/>
        <v>25.53</v>
      </c>
      <c r="D967" s="2" vm="7799">
        <f ca="1"/>
        <v>19.829999999999998</v>
      </c>
      <c r="E967" s="2" vm="7678">
        <f ca="1"/>
        <v>22.29</v>
      </c>
    </row>
    <row r="968" spans="1:5" x14ac:dyDescent="0.2">
      <c r="A968" s="1" vm="8441">
        <f ca="1"/>
        <v>45803</v>
      </c>
      <c r="B968" s="2" vm="6798">
        <f ca="1"/>
        <v>20.75</v>
      </c>
      <c r="C968" s="2" vm="7483">
        <f ca="1"/>
        <v>20.83</v>
      </c>
      <c r="D968" s="2" vm="7669">
        <f ca="1"/>
        <v>20.3</v>
      </c>
      <c r="E968" s="2" vm="6987">
        <f ca="1"/>
        <v>20.57</v>
      </c>
    </row>
    <row r="969" spans="1:5" x14ac:dyDescent="0.2">
      <c r="A969" s="1" vm="4947">
        <f ca="1"/>
        <v>45804</v>
      </c>
      <c r="B969" s="2" vm="7499">
        <f ca="1"/>
        <v>20.63</v>
      </c>
      <c r="C969" s="2" vm="6998">
        <f ca="1"/>
        <v>21.01</v>
      </c>
      <c r="D969" s="2" vm="7667">
        <f ca="1"/>
        <v>18.95</v>
      </c>
      <c r="E969" s="2" vm="6978">
        <f ca="1"/>
        <v>18.96</v>
      </c>
    </row>
    <row r="970" spans="1:5" x14ac:dyDescent="0.2">
      <c r="A970" s="1" vm="4953">
        <f ca="1"/>
        <v>45805</v>
      </c>
      <c r="B970" s="2" vm="7720">
        <f ca="1"/>
        <v>19.21</v>
      </c>
      <c r="C970" s="2" vm="7500">
        <f ca="1"/>
        <v>19.43</v>
      </c>
      <c r="D970" s="2" vm="8438">
        <f ca="1"/>
        <v>18.68</v>
      </c>
      <c r="E970" s="2" vm="7851">
        <f ca="1"/>
        <v>19.309999999999999</v>
      </c>
    </row>
    <row r="971" spans="1:5" x14ac:dyDescent="0.2">
      <c r="A971" s="1" vm="4959">
        <f ca="1"/>
        <v>45806</v>
      </c>
      <c r="B971" s="2" vm="7807">
        <f ca="1"/>
        <v>18.25</v>
      </c>
      <c r="C971" s="2" vm="7489">
        <f ca="1"/>
        <v>20.2</v>
      </c>
      <c r="D971" s="2" vm="6846">
        <f ca="1"/>
        <v>18.11</v>
      </c>
      <c r="E971" s="2" vm="8442">
        <f ca="1"/>
        <v>19.18</v>
      </c>
    </row>
    <row r="972" spans="1:5" x14ac:dyDescent="0.2">
      <c r="A972" s="1" vm="4965">
        <f ca="1"/>
        <v>45807</v>
      </c>
      <c r="B972" s="2" vm="7033">
        <f ca="1"/>
        <v>19.61</v>
      </c>
      <c r="C972" s="2" vm="8443">
        <f ca="1"/>
        <v>20.55</v>
      </c>
      <c r="D972" s="2" vm="6907">
        <f ca="1"/>
        <v>18.57</v>
      </c>
      <c r="E972" s="2" vm="6907">
        <f ca="1"/>
        <v>18.57</v>
      </c>
    </row>
    <row r="973" spans="1:5" x14ac:dyDescent="0.2">
      <c r="A973" s="1" vm="4971">
        <f ca="1"/>
        <v>45810</v>
      </c>
      <c r="B973" s="2" vm="7257">
        <f ca="1"/>
        <v>19.809999999999999</v>
      </c>
      <c r="C973" s="2" vm="6845">
        <f ca="1"/>
        <v>20.45</v>
      </c>
      <c r="D973" s="2" vm="8057">
        <f ca="1"/>
        <v>18.36</v>
      </c>
      <c r="E973" s="2" vm="8057">
        <f ca="1"/>
        <v>18.36</v>
      </c>
    </row>
    <row r="974" spans="1:5" x14ac:dyDescent="0.2">
      <c r="A974" s="1" vm="4977">
        <f ca="1"/>
        <v>45811</v>
      </c>
      <c r="B974" s="2" vm="7714">
        <f ca="1"/>
        <v>18.829999999999998</v>
      </c>
      <c r="C974" s="2" vm="7720">
        <f ca="1"/>
        <v>19.21</v>
      </c>
      <c r="D974" s="2" vm="8201">
        <f ca="1"/>
        <v>17.64</v>
      </c>
      <c r="E974" s="2" vm="6903">
        <f ca="1"/>
        <v>17.690000000000001</v>
      </c>
    </row>
    <row r="975" spans="1:5" x14ac:dyDescent="0.2">
      <c r="A975" s="1" vm="4982">
        <f ca="1"/>
        <v>45812</v>
      </c>
      <c r="B975" s="2" vm="7008">
        <f ca="1"/>
        <v>17.68</v>
      </c>
      <c r="C975" s="2" vm="8335">
        <f ca="1"/>
        <v>18.07</v>
      </c>
      <c r="D975" s="2" vm="8043">
        <f ca="1"/>
        <v>17.41</v>
      </c>
      <c r="E975" s="2" vm="8051">
        <f ca="1"/>
        <v>17.61</v>
      </c>
    </row>
    <row r="976" spans="1:5" x14ac:dyDescent="0.2">
      <c r="A976" s="1" vm="4985">
        <f ca="1"/>
        <v>45813</v>
      </c>
      <c r="B976" s="2" vm="7008">
        <f ca="1"/>
        <v>17.68</v>
      </c>
      <c r="C976" s="2" vm="6765">
        <f ca="1"/>
        <v>18.8</v>
      </c>
      <c r="D976" s="2" vm="6920">
        <f ca="1"/>
        <v>17.079999999999998</v>
      </c>
      <c r="E976" s="2" vm="7754">
        <f ca="1"/>
        <v>18.48</v>
      </c>
    </row>
    <row r="977" spans="1:5" x14ac:dyDescent="0.2">
      <c r="A977" s="1" vm="4991">
        <f ca="1"/>
        <v>45814</v>
      </c>
      <c r="B977" s="2" vm="7770">
        <f ca="1"/>
        <v>18.16</v>
      </c>
      <c r="C977" s="2" vm="6786">
        <f ca="1"/>
        <v>18.350000000000001</v>
      </c>
      <c r="D977" s="2" vm="6894">
        <f ca="1"/>
        <v>16.649999999999999</v>
      </c>
      <c r="E977" s="2" vm="7819">
        <f ca="1"/>
        <v>16.77</v>
      </c>
    </row>
    <row r="978" spans="1:5" x14ac:dyDescent="0.2">
      <c r="A978" s="1" vm="4997">
        <f ca="1"/>
        <v>45817</v>
      </c>
      <c r="B978" s="2" vm="6903">
        <f ca="1"/>
        <v>17.690000000000001</v>
      </c>
      <c r="C978" s="2" vm="7815">
        <f ca="1"/>
        <v>17.72</v>
      </c>
      <c r="D978" s="2" vm="7850">
        <f ca="1"/>
        <v>16.82</v>
      </c>
      <c r="E978" s="2" vm="6884">
        <f ca="1"/>
        <v>17.16</v>
      </c>
    </row>
    <row r="979" spans="1:5" x14ac:dyDescent="0.2">
      <c r="A979" s="1" vm="5002">
        <f ca="1"/>
        <v>45818</v>
      </c>
      <c r="B979" s="2" vm="8444">
        <f ca="1"/>
        <v>17.5</v>
      </c>
      <c r="C979" s="2" vm="7842">
        <f ca="1"/>
        <v>17.989999999999998</v>
      </c>
      <c r="D979" s="2" vm="7843">
        <f ca="1"/>
        <v>16.68</v>
      </c>
      <c r="E979" s="2" vm="7013">
        <f ca="1"/>
        <v>16.95</v>
      </c>
    </row>
    <row r="980" spans="1:5" x14ac:dyDescent="0.2">
      <c r="A980" s="1" vm="5007">
        <f ca="1"/>
        <v>45819</v>
      </c>
      <c r="B980" s="2" vm="8331">
        <f ca="1"/>
        <v>17.04</v>
      </c>
      <c r="C980" s="2" vm="8330">
        <f ca="1"/>
        <v>18.09</v>
      </c>
      <c r="D980" s="2" vm="6885">
        <f ca="1"/>
        <v>16.23</v>
      </c>
      <c r="E980" s="2" vm="7841">
        <f ca="1"/>
        <v>17.260000000000002</v>
      </c>
    </row>
    <row r="981" spans="1:5" x14ac:dyDescent="0.2">
      <c r="A981" s="1" vm="5013">
        <f ca="1"/>
        <v>45820</v>
      </c>
      <c r="B981" s="2" vm="7738">
        <f ca="1"/>
        <v>17.87</v>
      </c>
      <c r="C981" s="2" vm="8316">
        <f ca="1"/>
        <v>18.87</v>
      </c>
      <c r="D981" s="2" vm="6906">
        <f ca="1"/>
        <v>17.43</v>
      </c>
      <c r="E981" s="2" vm="8065">
        <f ca="1"/>
        <v>18.02</v>
      </c>
    </row>
    <row r="982" spans="1:5" x14ac:dyDescent="0.2">
      <c r="A982" s="1" vm="5019">
        <f ca="1"/>
        <v>45821</v>
      </c>
      <c r="B982" s="2" vm="8445">
        <f ca="1"/>
        <v>21.76</v>
      </c>
      <c r="C982" s="2" vm="8446">
        <f ca="1"/>
        <v>22</v>
      </c>
      <c r="D982" s="2" vm="7745">
        <f ca="1"/>
        <v>18.88</v>
      </c>
      <c r="E982" s="2" vm="8447">
        <f ca="1"/>
        <v>20.82</v>
      </c>
    </row>
    <row r="983" spans="1:5" x14ac:dyDescent="0.2">
      <c r="A983" s="1" vm="5025">
        <f ca="1"/>
        <v>45824</v>
      </c>
      <c r="B983" s="2" vm="7670">
        <f ca="1"/>
        <v>19.78</v>
      </c>
      <c r="C983" s="2" vm="7719">
        <f ca="1"/>
        <v>20.22</v>
      </c>
      <c r="D983" s="2" vm="7214">
        <f ca="1"/>
        <v>18.670000000000002</v>
      </c>
      <c r="E983" s="2" vm="7773">
        <f ca="1"/>
        <v>19.11</v>
      </c>
    </row>
    <row r="984" spans="1:5" x14ac:dyDescent="0.2">
      <c r="A984" s="1" vm="5031">
        <f ca="1"/>
        <v>45825</v>
      </c>
      <c r="B984" s="2" vm="7750">
        <f ca="1"/>
        <v>20.53</v>
      </c>
      <c r="C984" s="2" vm="7775">
        <f ca="1"/>
        <v>21.79</v>
      </c>
      <c r="D984" s="2" vm="7727">
        <f ca="1"/>
        <v>19.55</v>
      </c>
      <c r="E984" s="2" vm="6981">
        <f ca="1"/>
        <v>21.6</v>
      </c>
    </row>
    <row r="985" spans="1:5" x14ac:dyDescent="0.2">
      <c r="A985" s="1" vm="5037">
        <f ca="1"/>
        <v>45826</v>
      </c>
      <c r="B985" s="2" vm="6997">
        <f ca="1"/>
        <v>20.9</v>
      </c>
      <c r="C985" s="2" vm="6970">
        <f ca="1"/>
        <v>21.58</v>
      </c>
      <c r="D985" s="2" vm="6933">
        <f ca="1"/>
        <v>19.59</v>
      </c>
      <c r="E985" s="2" vm="6849">
        <f ca="1"/>
        <v>20.14</v>
      </c>
    </row>
    <row r="986" spans="1:5" x14ac:dyDescent="0.2">
      <c r="A986" s="1" vm="8448">
        <f ca="1"/>
        <v>45827</v>
      </c>
      <c r="B986" s="2" vm="6785">
        <f ca="1"/>
        <v>21.51</v>
      </c>
      <c r="C986" s="2" vm="8449">
        <f ca="1"/>
        <v>22.75</v>
      </c>
      <c r="D986" s="2" vm="6770">
        <f ca="1"/>
        <v>21.18</v>
      </c>
      <c r="E986" s="2" vm="7251">
        <f ca="1"/>
        <v>22.17</v>
      </c>
    </row>
    <row r="987" spans="1:5" x14ac:dyDescent="0.2">
      <c r="A987" s="1" vm="5043">
        <f ca="1"/>
        <v>45828</v>
      </c>
      <c r="B987" s="2" vm="7494">
        <f ca="1"/>
        <v>20.74</v>
      </c>
      <c r="C987" s="2" vm="7686">
        <f ca="1"/>
        <v>21.07</v>
      </c>
      <c r="D987" s="2" vm="7773">
        <f ca="1"/>
        <v>19.11</v>
      </c>
      <c r="E987" s="2" vm="6832">
        <f ca="1"/>
        <v>20.62</v>
      </c>
    </row>
    <row r="988" spans="1:5" x14ac:dyDescent="0.2">
      <c r="A988" s="1" vm="5049">
        <f ca="1"/>
        <v>45831</v>
      </c>
      <c r="B988" s="2" vm="6825">
        <f ca="1"/>
        <v>21.15</v>
      </c>
      <c r="C988" s="2" vm="8340">
        <f ca="1"/>
        <v>22.51</v>
      </c>
      <c r="D988" s="2" vm="7758">
        <f ca="1"/>
        <v>19.82</v>
      </c>
      <c r="E988" s="2" vm="7799">
        <f ca="1"/>
        <v>19.829999999999998</v>
      </c>
    </row>
    <row r="989" spans="1:5" x14ac:dyDescent="0.2">
      <c r="A989" s="1" vm="5055">
        <f ca="1"/>
        <v>45832</v>
      </c>
      <c r="B989" s="2" vm="6986">
        <f ca="1"/>
        <v>18.190000000000001</v>
      </c>
      <c r="C989" s="2" vm="7217">
        <f ca="1"/>
        <v>18.72</v>
      </c>
      <c r="D989" s="2" vm="7017">
        <f ca="1"/>
        <v>17.329999999999998</v>
      </c>
      <c r="E989" s="2" vm="8376">
        <f ca="1"/>
        <v>17.48</v>
      </c>
    </row>
    <row r="990" spans="1:5" x14ac:dyDescent="0.2">
      <c r="A990" s="1" vm="5061">
        <f ca="1"/>
        <v>45833</v>
      </c>
      <c r="B990" s="2" vm="8450">
        <f ca="1"/>
        <v>17.28</v>
      </c>
      <c r="C990" s="2" vm="7010">
        <f ca="1"/>
        <v>17.510000000000002</v>
      </c>
      <c r="D990" s="2" vm="7843">
        <f ca="1"/>
        <v>16.68</v>
      </c>
      <c r="E990" s="2" vm="8203">
        <f ca="1"/>
        <v>16.760000000000002</v>
      </c>
    </row>
    <row r="991" spans="1:5" x14ac:dyDescent="0.2">
      <c r="A991" s="1" vm="5067">
        <f ca="1"/>
        <v>45834</v>
      </c>
      <c r="B991" s="2" vm="8292">
        <f ca="1"/>
        <v>16.670000000000002</v>
      </c>
      <c r="C991" s="2" vm="7996">
        <f ca="1"/>
        <v>16.78</v>
      </c>
      <c r="D991" s="2" vm="6745">
        <f ca="1"/>
        <v>16.11</v>
      </c>
      <c r="E991" s="2" vm="8066">
        <f ca="1"/>
        <v>16.59</v>
      </c>
    </row>
    <row r="992" spans="1:5" x14ac:dyDescent="0.2">
      <c r="A992" s="1" vm="5073">
        <f ca="1"/>
        <v>45835</v>
      </c>
      <c r="B992" s="2" vm="6862">
        <f ca="1"/>
        <v>16.309999999999999</v>
      </c>
      <c r="C992" s="2" vm="6860">
        <f ca="1"/>
        <v>17.29</v>
      </c>
      <c r="D992" s="2" vm="8176">
        <f ca="1"/>
        <v>16.12</v>
      </c>
      <c r="E992" s="2" vm="6892">
        <f ca="1"/>
        <v>16.32</v>
      </c>
    </row>
    <row r="993" spans="1:5" x14ac:dyDescent="0.2">
      <c r="A993" s="1" vm="5079">
        <f ca="1"/>
        <v>45838</v>
      </c>
      <c r="B993" s="2" vm="6923">
        <f ca="1"/>
        <v>17.190000000000001</v>
      </c>
      <c r="C993" s="2" vm="6906">
        <f ca="1"/>
        <v>17.43</v>
      </c>
      <c r="D993" s="2" vm="8451">
        <f ca="1"/>
        <v>16.55</v>
      </c>
      <c r="E993" s="2" vm="8306">
        <f ca="1"/>
        <v>16.73</v>
      </c>
    </row>
    <row r="994" spans="1:5" x14ac:dyDescent="0.2">
      <c r="A994" s="1" vm="5085">
        <f ca="1"/>
        <v>45839</v>
      </c>
      <c r="B994" s="2" vm="6747">
        <f ca="1"/>
        <v>16.98</v>
      </c>
      <c r="C994" s="2" vm="8376">
        <f ca="1"/>
        <v>17.48</v>
      </c>
      <c r="D994" s="2" vm="7992">
        <f ca="1"/>
        <v>16.510000000000002</v>
      </c>
      <c r="E994" s="2" vm="7814">
        <f ca="1"/>
        <v>16.829999999999998</v>
      </c>
    </row>
    <row r="995" spans="1:5" x14ac:dyDescent="0.2">
      <c r="A995" s="1" vm="5091">
        <f ca="1"/>
        <v>45840</v>
      </c>
      <c r="B995" s="2" vm="8197">
        <f ca="1"/>
        <v>16.75</v>
      </c>
      <c r="C995" s="2" vm="8333">
        <f ca="1"/>
        <v>17.37</v>
      </c>
      <c r="D995" s="2" vm="6893">
        <f ca="1"/>
        <v>16.54</v>
      </c>
      <c r="E995" s="2" vm="6856">
        <f ca="1"/>
        <v>16.64</v>
      </c>
    </row>
    <row r="996" spans="1:5" x14ac:dyDescent="0.2">
      <c r="A996" s="1" vm="5097">
        <f ca="1"/>
        <v>45841</v>
      </c>
      <c r="B996" s="2" vm="6894">
        <f ca="1"/>
        <v>16.649999999999999</v>
      </c>
      <c r="C996" s="2" vm="7814">
        <f ca="1"/>
        <v>16.829999999999998</v>
      </c>
      <c r="D996" s="2" vm="6876">
        <f ca="1"/>
        <v>16.14</v>
      </c>
      <c r="E996" s="2" vm="6928">
        <f ca="1"/>
        <v>16.38</v>
      </c>
    </row>
    <row r="997" spans="1:5" x14ac:dyDescent="0.2">
      <c r="A997" s="1" vm="8452">
        <f ca="1"/>
        <v>45842</v>
      </c>
      <c r="B997" s="2" vm="7836">
        <f ca="1"/>
        <v>16.93</v>
      </c>
      <c r="C997" s="2" vm="8354">
        <f ca="1"/>
        <v>17.670000000000002</v>
      </c>
      <c r="D997" s="2" vm="7845">
        <f ca="1"/>
        <v>16.920000000000002</v>
      </c>
      <c r="E997" s="2" vm="8376">
        <f ca="1"/>
        <v>17.48</v>
      </c>
    </row>
    <row r="998" spans="1:5" x14ac:dyDescent="0.2">
      <c r="A998" s="1" vm="5103">
        <f ca="1"/>
        <v>45845</v>
      </c>
      <c r="B998" s="2" vm="8353">
        <f ca="1"/>
        <v>17.829999999999998</v>
      </c>
      <c r="C998" s="2" vm="8453">
        <f ca="1"/>
        <v>18.5</v>
      </c>
      <c r="D998" s="2" vm="7010">
        <f ca="1"/>
        <v>17.510000000000002</v>
      </c>
      <c r="E998" s="2" vm="7015">
        <f ca="1"/>
        <v>17.79</v>
      </c>
    </row>
    <row r="999" spans="1:5" x14ac:dyDescent="0.2">
      <c r="A999" s="1" vm="5109">
        <f ca="1"/>
        <v>45846</v>
      </c>
      <c r="B999" s="2" vm="8043">
        <f ca="1"/>
        <v>17.41</v>
      </c>
      <c r="C999" s="2" vm="7838">
        <f ca="1"/>
        <v>17.440000000000001</v>
      </c>
      <c r="D999" s="2" vm="6893">
        <f ca="1"/>
        <v>16.54</v>
      </c>
      <c r="E999" s="2" vm="6926">
        <f ca="1"/>
        <v>16.809999999999999</v>
      </c>
    </row>
    <row r="1000" spans="1:5" x14ac:dyDescent="0.2">
      <c r="A1000" s="1" vm="5115">
        <f ca="1"/>
        <v>45847</v>
      </c>
      <c r="B1000" s="2" vm="8203">
        <f ca="1"/>
        <v>16.760000000000002</v>
      </c>
      <c r="C1000" s="2" vm="8203">
        <f ca="1"/>
        <v>16.760000000000002</v>
      </c>
      <c r="D1000" s="2" vm="8204">
        <f ca="1"/>
        <v>15.76</v>
      </c>
      <c r="E1000" s="2" vm="8288">
        <f ca="1"/>
        <v>15.94</v>
      </c>
    </row>
    <row r="1001" spans="1:5" x14ac:dyDescent="0.2">
      <c r="A1001" s="1" vm="5121">
        <f ca="1"/>
        <v>45848</v>
      </c>
      <c r="B1001" s="2" vm="6885">
        <f ca="1"/>
        <v>16.23</v>
      </c>
      <c r="C1001" s="2" vm="8010">
        <f ca="1"/>
        <v>16.239999999999998</v>
      </c>
      <c r="D1001" s="2" vm="6865">
        <f ca="1"/>
        <v>15.7</v>
      </c>
      <c r="E1001" s="2" vm="7826">
        <f ca="1"/>
        <v>15.78</v>
      </c>
    </row>
    <row r="1002" spans="1:5" x14ac:dyDescent="0.2">
      <c r="A1002" s="1" vm="5127">
        <f ca="1"/>
        <v>45849</v>
      </c>
      <c r="B1002" s="2" vm="6749">
        <f ca="1"/>
        <v>16.41</v>
      </c>
      <c r="C1002" s="2" vm="7859">
        <f ca="1"/>
        <v>17.239999999999998</v>
      </c>
      <c r="D1002" s="2" vm="6738">
        <f ca="1"/>
        <v>15.98</v>
      </c>
      <c r="E1002" s="2" vm="7998">
        <f ca="1"/>
        <v>16.399999999999999</v>
      </c>
    </row>
    <row r="1003" spans="1:5" x14ac:dyDescent="0.2">
      <c r="A1003" s="1" vm="5133">
        <f ca="1"/>
        <v>45852</v>
      </c>
      <c r="B1003" s="2" vm="7831">
        <f ca="1"/>
        <v>17.73</v>
      </c>
      <c r="C1003" s="2" vm="8454">
        <f ca="1"/>
        <v>17.850000000000001</v>
      </c>
      <c r="D1003" s="2" vm="7026">
        <f ca="1"/>
        <v>16.91</v>
      </c>
      <c r="E1003" s="2" vm="8008">
        <f ca="1"/>
        <v>17.2</v>
      </c>
    </row>
    <row r="1004" spans="1:5" x14ac:dyDescent="0.2">
      <c r="A1004" s="1" vm="5139">
        <f ca="1"/>
        <v>45853</v>
      </c>
      <c r="B1004" s="2" vm="6756">
        <f ca="1"/>
        <v>16.89</v>
      </c>
      <c r="C1004" s="2" vm="7984">
        <f ca="1"/>
        <v>17.39</v>
      </c>
      <c r="D1004" s="2" vm="7021">
        <f ca="1"/>
        <v>16.559999999999999</v>
      </c>
      <c r="E1004" s="2" vm="8455">
        <f ca="1"/>
        <v>17.38</v>
      </c>
    </row>
    <row r="1005" spans="1:5" x14ac:dyDescent="0.2">
      <c r="A1005" s="1" vm="5145">
        <f ca="1"/>
        <v>45854</v>
      </c>
      <c r="B1005" s="2" vm="6913">
        <f ca="1"/>
        <v>17.66</v>
      </c>
      <c r="C1005" s="2" vm="7731">
        <f ca="1"/>
        <v>19.48</v>
      </c>
      <c r="D1005" s="2" vm="7830">
        <f ca="1"/>
        <v>16.690000000000001</v>
      </c>
      <c r="E1005" s="2" vm="6884">
        <f ca="1"/>
        <v>17.16</v>
      </c>
    </row>
    <row r="1006" spans="1:5" x14ac:dyDescent="0.2">
      <c r="A1006" s="1" vm="5150">
        <f ca="1"/>
        <v>45855</v>
      </c>
      <c r="B1006" s="2" vm="6884">
        <f ca="1"/>
        <v>17.16</v>
      </c>
      <c r="C1006" s="2" vm="8333">
        <f ca="1"/>
        <v>17.37</v>
      </c>
      <c r="D1006" s="2" vm="6741">
        <f ca="1"/>
        <v>16.48</v>
      </c>
      <c r="E1006" s="2" vm="8261">
        <f ca="1"/>
        <v>16.52</v>
      </c>
    </row>
    <row r="1007" spans="1:5" x14ac:dyDescent="0.2">
      <c r="A1007" s="1" vm="5156">
        <f ca="1"/>
        <v>45856</v>
      </c>
      <c r="B1007" s="2" vm="8259">
        <f ca="1"/>
        <v>16.43</v>
      </c>
      <c r="C1007" s="2" vm="6926">
        <f ca="1"/>
        <v>16.809999999999999</v>
      </c>
      <c r="D1007" s="2" vm="6924">
        <f ca="1"/>
        <v>16.28</v>
      </c>
      <c r="E1007" s="2" vm="6749">
        <f ca="1"/>
        <v>16.41</v>
      </c>
    </row>
    <row r="1008" spans="1:5" x14ac:dyDescent="0.2">
      <c r="A1008" s="1" vm="5162">
        <f ca="1"/>
        <v>45859</v>
      </c>
      <c r="B1008" s="2" vm="7844">
        <f ca="1"/>
        <v>16.87</v>
      </c>
      <c r="C1008" s="2" vm="6768">
        <f ca="1"/>
        <v>16.989999999999998</v>
      </c>
      <c r="D1008" s="2" vm="6859">
        <f ca="1"/>
        <v>16.3</v>
      </c>
      <c r="E1008" s="2" vm="6894">
        <f ca="1"/>
        <v>16.649999999999999</v>
      </c>
    </row>
    <row r="1009" spans="1:5" x14ac:dyDescent="0.2">
      <c r="A1009" s="1" vm="5168">
        <f ca="1"/>
        <v>45860</v>
      </c>
      <c r="B1009" s="2" vm="8197">
        <f ca="1"/>
        <v>16.75</v>
      </c>
      <c r="C1009" s="2" vm="8376">
        <f ca="1"/>
        <v>17.48</v>
      </c>
      <c r="D1009" s="2" vm="8259">
        <f ca="1"/>
        <v>16.43</v>
      </c>
      <c r="E1009" s="2" vm="8055">
        <f ca="1"/>
        <v>16.5</v>
      </c>
    </row>
    <row r="1010" spans="1:5" x14ac:dyDescent="0.2">
      <c r="A1010" s="1" vm="5174">
        <f ca="1"/>
        <v>45861</v>
      </c>
      <c r="B1010" s="2" vm="6885">
        <f ca="1"/>
        <v>16.23</v>
      </c>
      <c r="C1010" s="2" vm="6892">
        <f ca="1"/>
        <v>16.32</v>
      </c>
      <c r="D1010" s="2" vm="8343">
        <f ca="1"/>
        <v>15.32</v>
      </c>
      <c r="E1010" s="2" vm="8207">
        <f ca="1"/>
        <v>15.37</v>
      </c>
    </row>
    <row r="1011" spans="1:5" x14ac:dyDescent="0.2">
      <c r="A1011" s="1" vm="5180">
        <f ca="1"/>
        <v>45862</v>
      </c>
      <c r="B1011" s="2" vm="8068">
        <f ca="1"/>
        <v>15.39</v>
      </c>
      <c r="C1011" s="2" vm="6883">
        <f ca="1"/>
        <v>15.54</v>
      </c>
      <c r="D1011" s="2" vm="6901">
        <f ca="1"/>
        <v>14.95</v>
      </c>
      <c r="E1011" s="2" vm="8068">
        <f ca="1"/>
        <v>15.39</v>
      </c>
    </row>
    <row r="1012" spans="1:5" x14ac:dyDescent="0.2">
      <c r="A1012" s="1" vm="5186">
        <f ca="1"/>
        <v>45863</v>
      </c>
      <c r="B1012" s="2" vm="8191">
        <f ca="1"/>
        <v>15.33</v>
      </c>
      <c r="C1012" s="2" vm="8068">
        <f ca="1"/>
        <v>15.39</v>
      </c>
      <c r="D1012" s="2" vm="6870">
        <f ca="1"/>
        <v>14.92</v>
      </c>
      <c r="E1012" s="2" vm="8184">
        <f ca="1"/>
        <v>14.93</v>
      </c>
    </row>
    <row r="1013" spans="1:5" x14ac:dyDescent="0.2">
      <c r="A1013" s="1" vm="5192">
        <f ca="1"/>
        <v>45866</v>
      </c>
      <c r="B1013" s="2" vm="8040">
        <f ca="1"/>
        <v>15.15</v>
      </c>
      <c r="C1013" s="2" vm="6883">
        <f ca="1"/>
        <v>15.54</v>
      </c>
      <c r="D1013" s="2" vm="8011">
        <f ca="1"/>
        <v>15</v>
      </c>
      <c r="E1013" s="2" vm="8208">
        <f ca="1"/>
        <v>15.03</v>
      </c>
    </row>
    <row r="1014" spans="1:5" x14ac:dyDescent="0.2">
      <c r="A1014" s="1" vm="5197">
        <f ca="1"/>
        <v>45867</v>
      </c>
      <c r="B1014" s="2" vm="6901">
        <f ca="1"/>
        <v>14.95</v>
      </c>
      <c r="C1014" s="2" vm="8176">
        <f ca="1"/>
        <v>16.12</v>
      </c>
      <c r="D1014" s="2" vm="8016">
        <f ca="1"/>
        <v>14.7</v>
      </c>
      <c r="E1014" s="2" vm="6738">
        <f ca="1"/>
        <v>15.98</v>
      </c>
    </row>
    <row r="1015" spans="1:5" x14ac:dyDescent="0.2">
      <c r="A1015" s="1" vm="5203">
        <f ca="1"/>
        <v>45868</v>
      </c>
      <c r="B1015" s="2" vm="8296">
        <f ca="1"/>
        <v>15.87</v>
      </c>
      <c r="C1015" s="2" vm="6912">
        <f ca="1"/>
        <v>17.27</v>
      </c>
      <c r="D1015" s="2" vm="6898">
        <f ca="1"/>
        <v>15.44</v>
      </c>
      <c r="E1015" s="2" vm="8007">
        <f ca="1"/>
        <v>15.48</v>
      </c>
    </row>
    <row r="1016" spans="1:5" x14ac:dyDescent="0.2">
      <c r="A1016" s="1" vm="5209">
        <f ca="1"/>
        <v>45869</v>
      </c>
      <c r="B1016" s="2" vm="7882">
        <f ca="1"/>
        <v>14.99</v>
      </c>
      <c r="C1016" s="2" vm="6764">
        <f ca="1"/>
        <v>17.170000000000002</v>
      </c>
      <c r="D1016" s="2" vm="7932">
        <f ca="1"/>
        <v>14.74</v>
      </c>
      <c r="E1016" s="2" vm="7825">
        <f ca="1"/>
        <v>16.72</v>
      </c>
    </row>
    <row r="1017" spans="1:5" x14ac:dyDescent="0.2">
      <c r="A1017" s="1" vm="5215">
        <f ca="1"/>
        <v>45870</v>
      </c>
      <c r="B1017" s="2" vm="6887">
        <f ca="1"/>
        <v>17.399999999999999</v>
      </c>
      <c r="C1017" s="2" vm="8434">
        <f ca="1"/>
        <v>21.9</v>
      </c>
      <c r="D1017" s="2" vm="7984">
        <f ca="1"/>
        <v>17.39</v>
      </c>
      <c r="E1017" s="2" vm="7673">
        <f ca="1"/>
        <v>20.38</v>
      </c>
    </row>
    <row r="1018" spans="1:5" x14ac:dyDescent="0.2">
      <c r="A1018" s="1" vm="5221">
        <f ca="1"/>
        <v>45873</v>
      </c>
      <c r="B1018" s="2" vm="7501">
        <f ca="1"/>
        <v>19.559999999999999</v>
      </c>
      <c r="C1018" s="2" vm="6773">
        <f ca="1"/>
        <v>19.579999999999998</v>
      </c>
      <c r="D1018" s="2" vm="8376">
        <f ca="1"/>
        <v>17.48</v>
      </c>
      <c r="E1018" s="2" vm="8050">
        <f ca="1"/>
        <v>17.52</v>
      </c>
    </row>
    <row r="1019" spans="1:5" x14ac:dyDescent="0.2">
      <c r="A1019" s="1" vm="5226">
        <f ca="1"/>
        <v>45874</v>
      </c>
      <c r="B1019" s="2" vm="6908">
        <f ca="1"/>
        <v>17.21</v>
      </c>
      <c r="C1019" s="2" vm="8047">
        <f ca="1"/>
        <v>18.940000000000001</v>
      </c>
      <c r="D1019" s="2" vm="6925">
        <f ca="1"/>
        <v>17.11</v>
      </c>
      <c r="E1019" s="2" vm="8454">
        <f ca="1"/>
        <v>17.850000000000001</v>
      </c>
    </row>
    <row r="1020" spans="1:5" x14ac:dyDescent="0.2">
      <c r="A1020" s="1" vm="5232">
        <f ca="1"/>
        <v>45875</v>
      </c>
      <c r="B1020" s="2" vm="6905">
        <f ca="1"/>
        <v>17.22</v>
      </c>
      <c r="C1020" s="2" vm="7832">
        <f ca="1"/>
        <v>17.88</v>
      </c>
      <c r="D1020" s="2" vm="7021">
        <f ca="1"/>
        <v>16.559999999999999</v>
      </c>
      <c r="E1020" s="2" vm="7819">
        <f ca="1"/>
        <v>16.77</v>
      </c>
    </row>
    <row r="1021" spans="1:5" x14ac:dyDescent="0.2">
      <c r="A1021" s="1" vm="5237">
        <f ca="1"/>
        <v>45876</v>
      </c>
      <c r="B1021" s="2" vm="6749">
        <f ca="1"/>
        <v>16.41</v>
      </c>
      <c r="C1021" s="2" vm="8201">
        <f ca="1"/>
        <v>17.64</v>
      </c>
      <c r="D1021" s="2" vm="6738">
        <f ca="1"/>
        <v>15.98</v>
      </c>
      <c r="E1021" s="2" vm="7023">
        <f ca="1"/>
        <v>16.57</v>
      </c>
    </row>
    <row r="1022" spans="1:5" x14ac:dyDescent="0.2">
      <c r="A1022" s="1" vm="5243">
        <f ca="1"/>
        <v>45877</v>
      </c>
      <c r="B1022" s="2" vm="6741">
        <f ca="1"/>
        <v>16.48</v>
      </c>
      <c r="C1022" s="2" vm="8261">
        <f ca="1"/>
        <v>16.52</v>
      </c>
      <c r="D1022" s="2" vm="8040">
        <f ca="1"/>
        <v>15.15</v>
      </c>
      <c r="E1022" s="2" vm="8040">
        <f ca="1"/>
        <v>15.15</v>
      </c>
    </row>
    <row r="1023" spans="1:5" x14ac:dyDescent="0.2">
      <c r="A1023" s="1" vm="5249">
        <f ca="1"/>
        <v>45880</v>
      </c>
      <c r="B1023" s="2" vm="7990">
        <f ca="1"/>
        <v>15.81</v>
      </c>
      <c r="C1023" s="2" vm="6922">
        <f ca="1"/>
        <v>16.36</v>
      </c>
      <c r="D1023" s="2" vm="8456">
        <f ca="1"/>
        <v>15.52</v>
      </c>
      <c r="E1023" s="2" vm="8205">
        <f ca="1"/>
        <v>16.25</v>
      </c>
    </row>
    <row r="1024" spans="1:5" x14ac:dyDescent="0.2">
      <c r="A1024" s="1" vm="5255">
        <f ca="1"/>
        <v>45881</v>
      </c>
      <c r="B1024" s="2" vm="6863">
        <f ca="1"/>
        <v>16.09</v>
      </c>
      <c r="C1024" s="2" vm="7021">
        <f ca="1"/>
        <v>16.559999999999999</v>
      </c>
      <c r="D1024" s="2" vm="7865">
        <f ca="1"/>
        <v>14.66</v>
      </c>
      <c r="E1024" s="2" vm="6897">
        <f ca="1"/>
        <v>14.73</v>
      </c>
    </row>
    <row r="1025" spans="1:5" x14ac:dyDescent="0.2">
      <c r="A1025" s="1" vm="5261">
        <f ca="1"/>
        <v>45882</v>
      </c>
      <c r="B1025" s="2" vm="8457">
        <f ca="1"/>
        <v>14.62</v>
      </c>
      <c r="C1025" s="2" vm="8025">
        <f ca="1"/>
        <v>14.81</v>
      </c>
      <c r="D1025" s="2" vm="7964">
        <f ca="1"/>
        <v>14.3</v>
      </c>
      <c r="E1025" s="2" vm="7891">
        <f ca="1"/>
        <v>14.49</v>
      </c>
    </row>
    <row r="1026" spans="1:5" x14ac:dyDescent="0.2">
      <c r="A1026" s="1" vm="5267">
        <f ca="1"/>
        <v>45883</v>
      </c>
      <c r="B1026" s="2" vm="7865">
        <f ca="1"/>
        <v>14.66</v>
      </c>
      <c r="C1026" s="2" vm="8068">
        <f ca="1"/>
        <v>15.39</v>
      </c>
      <c r="D1026" s="2" vm="7985">
        <f ca="1"/>
        <v>14.57</v>
      </c>
      <c r="E1026" s="2" vm="7939">
        <f ca="1"/>
        <v>14.83</v>
      </c>
    </row>
    <row r="1027" spans="1:5" x14ac:dyDescent="0.2">
      <c r="A1027" s="1" vm="5273">
        <f ca="1"/>
        <v>45884</v>
      </c>
      <c r="B1027" s="2" vm="7911">
        <f ca="1"/>
        <v>14.43</v>
      </c>
      <c r="C1027" s="2" vm="8194">
        <f ca="1"/>
        <v>15.18</v>
      </c>
      <c r="D1027" s="2" vm="8027">
        <f ca="1"/>
        <v>14.4</v>
      </c>
      <c r="E1027" s="2" vm="8071">
        <f ca="1"/>
        <v>15.09</v>
      </c>
    </row>
    <row r="1028" spans="1:5" x14ac:dyDescent="0.2">
      <c r="A1028" s="1" vm="5279">
        <f ca="1"/>
        <v>45887</v>
      </c>
      <c r="B1028" s="2" vm="6748">
        <f ca="1"/>
        <v>15.73</v>
      </c>
      <c r="C1028" s="2" vm="8270">
        <f ca="1"/>
        <v>15.95</v>
      </c>
      <c r="D1028" s="2" vm="6901">
        <f ca="1"/>
        <v>14.95</v>
      </c>
      <c r="E1028" s="2" vm="7882">
        <f ca="1"/>
        <v>14.99</v>
      </c>
    </row>
    <row r="1029" spans="1:5" x14ac:dyDescent="0.2">
      <c r="A1029" s="1" vm="5285">
        <f ca="1"/>
        <v>45888</v>
      </c>
      <c r="B1029" s="2" vm="8286">
        <f ca="1"/>
        <v>15.23</v>
      </c>
      <c r="C1029" s="2" vm="6740">
        <f ca="1"/>
        <v>15.91</v>
      </c>
      <c r="D1029" s="2" vm="8075">
        <f ca="1"/>
        <v>14.76</v>
      </c>
      <c r="E1029" s="2" vm="6864">
        <f ca="1"/>
        <v>15.57</v>
      </c>
    </row>
    <row r="1030" spans="1:5" x14ac:dyDescent="0.2">
      <c r="A1030" s="1" vm="5290">
        <f ca="1"/>
        <v>45889</v>
      </c>
      <c r="B1030" s="2" vm="8270">
        <f ca="1"/>
        <v>15.95</v>
      </c>
      <c r="C1030" s="2" vm="6923">
        <f ca="1"/>
        <v>17.190000000000001</v>
      </c>
      <c r="D1030" s="2" vm="6864">
        <f ca="1"/>
        <v>15.57</v>
      </c>
      <c r="E1030" s="2" vm="8026">
        <f ca="1"/>
        <v>15.69</v>
      </c>
    </row>
    <row r="1031" spans="1:5" x14ac:dyDescent="0.2">
      <c r="A1031" s="1" vm="5296">
        <f ca="1"/>
        <v>45890</v>
      </c>
      <c r="B1031" s="2" vm="6858">
        <f ca="1"/>
        <v>15.72</v>
      </c>
      <c r="C1031" s="2" vm="7859">
        <f ca="1"/>
        <v>17.239999999999998</v>
      </c>
      <c r="D1031" s="2" vm="7861">
        <f ca="1"/>
        <v>15.65</v>
      </c>
      <c r="E1031" s="2" vm="7022">
        <f ca="1"/>
        <v>16.600000000000001</v>
      </c>
    </row>
    <row r="1032" spans="1:5" x14ac:dyDescent="0.2">
      <c r="A1032" s="1" vm="5302">
        <f ca="1"/>
        <v>45891</v>
      </c>
      <c r="B1032" s="2" vm="6926">
        <f ca="1"/>
        <v>16.809999999999999</v>
      </c>
      <c r="C1032" s="2" vm="7814">
        <f ca="1"/>
        <v>16.829999999999998</v>
      </c>
      <c r="D1032" s="2" vm="7874">
        <f ca="1"/>
        <v>14.21</v>
      </c>
      <c r="E1032" s="2" vm="8028">
        <f ca="1"/>
        <v>14.22</v>
      </c>
    </row>
    <row r="1033" spans="1:5" x14ac:dyDescent="0.2">
      <c r="A1033" s="1" vm="5308">
        <f ca="1"/>
        <v>45894</v>
      </c>
      <c r="B1033" s="2" vm="8349">
        <f ca="1"/>
        <v>15.05</v>
      </c>
      <c r="C1033" s="2" vm="8073">
        <f ca="1"/>
        <v>15.19</v>
      </c>
      <c r="D1033" s="2" vm="8149">
        <f ca="1"/>
        <v>14.24</v>
      </c>
      <c r="E1033" s="2" vm="7936">
        <f ca="1"/>
        <v>14.79</v>
      </c>
    </row>
    <row r="1034" spans="1:5" x14ac:dyDescent="0.2">
      <c r="A1034" s="1" vm="5314">
        <f ca="1"/>
        <v>45895</v>
      </c>
      <c r="B1034" s="2" vm="8210">
        <f ca="1"/>
        <v>15.75</v>
      </c>
      <c r="C1034" s="2" vm="8210">
        <f ca="1"/>
        <v>15.75</v>
      </c>
      <c r="D1034" s="2" vm="8457">
        <f ca="1"/>
        <v>14.62</v>
      </c>
      <c r="E1034" s="2" vm="8457">
        <f ca="1"/>
        <v>14.62</v>
      </c>
    </row>
    <row r="1035" spans="1:5" x14ac:dyDescent="0.2">
      <c r="A1035" s="1" vm="5319">
        <f ca="1"/>
        <v>45896</v>
      </c>
      <c r="B1035" s="2" vm="7865">
        <f ca="1"/>
        <v>14.66</v>
      </c>
      <c r="C1035" s="2" vm="8286">
        <f ca="1"/>
        <v>15.23</v>
      </c>
      <c r="D1035" s="2" vm="7865">
        <f ca="1"/>
        <v>14.66</v>
      </c>
      <c r="E1035" s="2" vm="7935">
        <f ca="1"/>
        <v>14.85</v>
      </c>
    </row>
    <row r="1036" spans="1:5" x14ac:dyDescent="0.2">
      <c r="A1036" s="1" vm="5324">
        <f ca="1"/>
        <v>45897</v>
      </c>
      <c r="B1036" s="2" vm="7862">
        <f ca="1"/>
        <v>14.42</v>
      </c>
      <c r="C1036" s="2" vm="8320">
        <f ca="1"/>
        <v>14.69</v>
      </c>
      <c r="D1036" s="2" vm="8079">
        <f ca="1"/>
        <v>14.12</v>
      </c>
      <c r="E1036" s="2" vm="7911">
        <f ca="1"/>
        <v>14.43</v>
      </c>
    </row>
    <row r="1037" spans="1:5" x14ac:dyDescent="0.2">
      <c r="A1037" s="1" vm="5330">
        <f ca="1"/>
        <v>45898</v>
      </c>
      <c r="B1037" s="2" vm="8082">
        <f ca="1"/>
        <v>14.31</v>
      </c>
      <c r="C1037" s="2" vm="7937">
        <f ca="1"/>
        <v>15.97</v>
      </c>
      <c r="D1037" s="2" vm="8082">
        <f ca="1"/>
        <v>14.31</v>
      </c>
      <c r="E1037" s="2" vm="8458">
        <f ca="1"/>
        <v>15.36</v>
      </c>
    </row>
    <row r="1038" spans="1:5" x14ac:dyDescent="0.2">
      <c r="A1038" s="1" vm="8459">
        <f ca="1"/>
        <v>45901</v>
      </c>
      <c r="B1038" s="2" vm="7816">
        <f ca="1"/>
        <v>16.170000000000002</v>
      </c>
      <c r="C1038" s="2" vm="8046">
        <f ca="1"/>
        <v>16.79</v>
      </c>
      <c r="D1038" s="2" vm="8012">
        <f ca="1"/>
        <v>15.08</v>
      </c>
      <c r="E1038" s="2" vm="8176">
        <f ca="1"/>
        <v>16.12</v>
      </c>
    </row>
    <row r="1039" spans="1:5" x14ac:dyDescent="0.2">
      <c r="A1039" s="1" vm="5336">
        <f ca="1"/>
        <v>45902</v>
      </c>
      <c r="B1039" s="2" vm="6894">
        <f ca="1"/>
        <v>16.649999999999999</v>
      </c>
      <c r="C1039" s="2" vm="6939">
        <f ca="1"/>
        <v>19.38</v>
      </c>
      <c r="D1039" s="2" vm="8451">
        <f ca="1"/>
        <v>16.55</v>
      </c>
      <c r="E1039" s="2" vm="6764">
        <f ca="1"/>
        <v>17.170000000000002</v>
      </c>
    </row>
    <row r="1040" spans="1:5" x14ac:dyDescent="0.2">
      <c r="A1040" s="1" vm="5342">
        <f ca="1"/>
        <v>45903</v>
      </c>
      <c r="B1040" s="2" vm="6887">
        <f ca="1"/>
        <v>17.399999999999999</v>
      </c>
      <c r="C1040" s="2" vm="8341">
        <f ca="1"/>
        <v>17.57</v>
      </c>
      <c r="D1040" s="2" vm="7025">
        <f ca="1"/>
        <v>16.34</v>
      </c>
      <c r="E1040" s="2" vm="8195">
        <f ca="1"/>
        <v>16.350000000000001</v>
      </c>
    </row>
    <row r="1041" spans="1:5" x14ac:dyDescent="0.2">
      <c r="A1041" s="1" vm="5347">
        <f ca="1"/>
        <v>45904</v>
      </c>
      <c r="B1041" s="2" vm="8211">
        <f ca="1"/>
        <v>16.22</v>
      </c>
      <c r="C1041" s="2" vm="8195">
        <f ca="1"/>
        <v>16.350000000000001</v>
      </c>
      <c r="D1041" s="2" vm="7864">
        <f ca="1"/>
        <v>15.28</v>
      </c>
      <c r="E1041" s="2" vm="8013">
        <f ca="1"/>
        <v>15.3</v>
      </c>
    </row>
    <row r="1042" spans="1:5" x14ac:dyDescent="0.2">
      <c r="A1042" s="1" vm="5352">
        <f ca="1"/>
        <v>45905</v>
      </c>
      <c r="B1042" s="2" vm="8286">
        <f ca="1"/>
        <v>15.23</v>
      </c>
      <c r="C1042" s="2" vm="7845">
        <f ca="1"/>
        <v>16.920000000000002</v>
      </c>
      <c r="D1042" s="2" vm="7932">
        <f ca="1"/>
        <v>14.74</v>
      </c>
      <c r="E1042" s="2" vm="8194">
        <f ca="1"/>
        <v>15.18</v>
      </c>
    </row>
    <row r="1043" spans="1:5" x14ac:dyDescent="0.2">
      <c r="A1043" s="1" vm="5357">
        <f ca="1"/>
        <v>45908</v>
      </c>
      <c r="B1043" s="2" vm="7860">
        <f ca="1"/>
        <v>15.58</v>
      </c>
      <c r="C1043" s="2" vm="7861">
        <f ca="1"/>
        <v>15.65</v>
      </c>
      <c r="D1043" s="2" vm="7882">
        <f ca="1"/>
        <v>14.99</v>
      </c>
      <c r="E1043" s="2" vm="8198">
        <f ca="1"/>
        <v>15.11</v>
      </c>
    </row>
    <row r="1044" spans="1:5" x14ac:dyDescent="0.2">
      <c r="A1044" s="1" vm="5363">
        <f ca="1"/>
        <v>45909</v>
      </c>
      <c r="B1044" s="2" vm="6880">
        <f ca="1"/>
        <v>15.02</v>
      </c>
      <c r="C1044" s="2" vm="6866">
        <f ca="1"/>
        <v>15.82</v>
      </c>
      <c r="D1044" s="2" vm="7867">
        <f ca="1"/>
        <v>14.97</v>
      </c>
      <c r="E1044" s="2" vm="7941">
        <f ca="1"/>
        <v>15.04</v>
      </c>
    </row>
    <row r="1045" spans="1:5" x14ac:dyDescent="0.2">
      <c r="A1045" s="1" vm="5368">
        <f ca="1"/>
        <v>45910</v>
      </c>
      <c r="B1045" s="2" vm="8185">
        <f ca="1"/>
        <v>14.98</v>
      </c>
      <c r="C1045" s="2" vm="8351">
        <f ca="1"/>
        <v>15.63</v>
      </c>
      <c r="D1045" s="2" vm="7944">
        <f ca="1"/>
        <v>14.63</v>
      </c>
      <c r="E1045" s="2" vm="6872">
        <f ca="1"/>
        <v>15.35</v>
      </c>
    </row>
    <row r="1046" spans="1:5" x14ac:dyDescent="0.2">
      <c r="A1046" s="1" vm="5374">
        <f ca="1"/>
        <v>45911</v>
      </c>
      <c r="B1046" s="2" vm="8073">
        <f ca="1"/>
        <v>15.19</v>
      </c>
      <c r="C1046" s="2" vm="6879">
        <f ca="1"/>
        <v>15.24</v>
      </c>
      <c r="D1046" s="2" vm="8174">
        <f ca="1"/>
        <v>14.65</v>
      </c>
      <c r="E1046" s="2" vm="7912">
        <f ca="1"/>
        <v>14.71</v>
      </c>
    </row>
    <row r="1047" spans="1:5" x14ac:dyDescent="0.2">
      <c r="A1047" s="1" vm="5380">
        <f ca="1"/>
        <v>45912</v>
      </c>
      <c r="B1047" s="2" vm="8457">
        <f ca="1"/>
        <v>14.62</v>
      </c>
      <c r="C1047" s="2" vm="7867">
        <f ca="1"/>
        <v>14.97</v>
      </c>
      <c r="D1047" s="2" vm="7974">
        <f ca="1"/>
        <v>14.41</v>
      </c>
      <c r="E1047" s="2" vm="8075">
        <f ca="1"/>
        <v>14.76</v>
      </c>
    </row>
    <row r="1048" spans="1:5" x14ac:dyDescent="0.2">
      <c r="A1048" s="1" vm="5386">
        <f ca="1"/>
        <v>45915</v>
      </c>
      <c r="B1048" s="2" vm="8041">
        <f ca="1"/>
        <v>15.14</v>
      </c>
      <c r="C1048" s="2" vm="8344">
        <f ca="1"/>
        <v>15.84</v>
      </c>
      <c r="D1048" s="2" vm="6870">
        <f ca="1"/>
        <v>14.92</v>
      </c>
      <c r="E1048" s="2" vm="8026">
        <f ca="1"/>
        <v>15.69</v>
      </c>
    </row>
    <row r="1049" spans="1:5" x14ac:dyDescent="0.2">
      <c r="A1049" s="1" vm="5392">
        <f ca="1"/>
        <v>45916</v>
      </c>
      <c r="B1049" s="2" vm="8460">
        <f ca="1"/>
        <v>15.6</v>
      </c>
      <c r="C1049" s="2" vm="6928">
        <f ca="1"/>
        <v>16.38</v>
      </c>
      <c r="D1049" s="2" vm="6898">
        <f ca="1"/>
        <v>15.44</v>
      </c>
      <c r="E1049" s="2" vm="6922">
        <f ca="1"/>
        <v>16.36</v>
      </c>
    </row>
    <row r="1050" spans="1:5" x14ac:dyDescent="0.2">
      <c r="A1050" s="1" vm="5398">
        <f ca="1"/>
        <v>45917</v>
      </c>
      <c r="B1050" s="2" vm="8264">
        <f ca="1"/>
        <v>16.420000000000002</v>
      </c>
      <c r="C1050" s="2" vm="8197">
        <f ca="1"/>
        <v>16.75</v>
      </c>
      <c r="D1050" s="2" vm="8321">
        <f ca="1"/>
        <v>15.26</v>
      </c>
      <c r="E1050" s="2" vm="6858">
        <f ca="1"/>
        <v>15.72</v>
      </c>
    </row>
    <row r="1051" spans="1:5" x14ac:dyDescent="0.2">
      <c r="A1051" s="1" vm="5404">
        <f ca="1"/>
        <v>45918</v>
      </c>
      <c r="B1051" s="2" vm="8184">
        <f ca="1"/>
        <v>14.93</v>
      </c>
      <c r="C1051" s="2" vm="7995">
        <f ca="1"/>
        <v>15.8</v>
      </c>
      <c r="D1051" s="2" vm="7938">
        <f ca="1"/>
        <v>14.33</v>
      </c>
      <c r="E1051" s="2" vm="6865">
        <f ca="1"/>
        <v>15.7</v>
      </c>
    </row>
    <row r="1052" spans="1:5" x14ac:dyDescent="0.2">
      <c r="A1052" s="1" vm="5410">
        <f ca="1"/>
        <v>45919</v>
      </c>
      <c r="B1052" s="2" vm="8204">
        <f ca="1"/>
        <v>15.76</v>
      </c>
      <c r="C1052" s="2" vm="6889">
        <f ca="1"/>
        <v>16.13</v>
      </c>
      <c r="D1052" s="2" vm="6868">
        <f ca="1"/>
        <v>15.29</v>
      </c>
      <c r="E1052" s="2" vm="8009">
        <f ca="1"/>
        <v>15.45</v>
      </c>
    </row>
    <row r="1053" spans="1:5" x14ac:dyDescent="0.2">
      <c r="A1053" s="1" vm="5415">
        <f ca="1"/>
        <v>45922</v>
      </c>
      <c r="B1053" s="2" vm="6876">
        <f ca="1"/>
        <v>16.14</v>
      </c>
      <c r="C1053" s="2" vm="8195">
        <f ca="1"/>
        <v>16.350000000000001</v>
      </c>
      <c r="D1053" s="2" vm="7826">
        <f ca="1"/>
        <v>15.78</v>
      </c>
      <c r="E1053" s="2" vm="8461">
        <f ca="1"/>
        <v>16.100000000000001</v>
      </c>
    </row>
    <row r="1054" spans="1:5" x14ac:dyDescent="0.2">
      <c r="A1054" s="1" vm="5421">
        <f ca="1"/>
        <v>45923</v>
      </c>
      <c r="B1054" s="2" vm="8461">
        <f ca="1"/>
        <v>16.100000000000001</v>
      </c>
      <c r="C1054" s="2" vm="6739">
        <f ca="1"/>
        <v>17.07</v>
      </c>
      <c r="D1054" s="2" vm="8270">
        <f ca="1"/>
        <v>15.95</v>
      </c>
      <c r="E1054" s="2" vm="6856">
        <f ca="1"/>
        <v>16.64</v>
      </c>
    </row>
    <row r="1055" spans="1:5" x14ac:dyDescent="0.2">
      <c r="A1055" s="1" vm="5427">
        <f ca="1"/>
        <v>45924</v>
      </c>
      <c r="B1055" s="2" vm="7023">
        <f ca="1"/>
        <v>16.57</v>
      </c>
      <c r="C1055" s="2" vm="6908">
        <f ca="1"/>
        <v>17.21</v>
      </c>
      <c r="D1055" s="2" vm="8462">
        <f ca="1"/>
        <v>16.18</v>
      </c>
      <c r="E1055" s="2" vm="8462">
        <f ca="1"/>
        <v>16.18</v>
      </c>
    </row>
    <row r="1056" spans="1:5" x14ac:dyDescent="0.2">
      <c r="A1056" s="1" vm="5433">
        <f ca="1"/>
        <v>45925</v>
      </c>
      <c r="B1056" s="2" vm="8451">
        <f ca="1"/>
        <v>16.55</v>
      </c>
      <c r="C1056" s="2" vm="6809">
        <f ca="1"/>
        <v>17.739999999999998</v>
      </c>
      <c r="D1056" s="2" vm="6892">
        <f ca="1"/>
        <v>16.32</v>
      </c>
      <c r="E1056" s="2" vm="7822">
        <f ca="1"/>
        <v>16.739999999999998</v>
      </c>
    </row>
    <row r="1057" spans="1:5" x14ac:dyDescent="0.2">
      <c r="A1057" s="1" vm="5439">
        <f ca="1"/>
        <v>45926</v>
      </c>
      <c r="B1057" s="2" vm="6756">
        <f ca="1"/>
        <v>16.89</v>
      </c>
      <c r="C1057" s="2" vm="8463">
        <f ca="1"/>
        <v>17.05</v>
      </c>
      <c r="D1057" s="2" vm="6868">
        <f ca="1"/>
        <v>15.29</v>
      </c>
      <c r="E1057" s="2" vm="6868">
        <f ca="1"/>
        <v>15.29</v>
      </c>
    </row>
    <row r="1058" spans="1:5" x14ac:dyDescent="0.2">
      <c r="A1058" s="1" vm="5445">
        <f ca="1"/>
        <v>45929</v>
      </c>
      <c r="B1058" s="2" vm="8344">
        <f ca="1"/>
        <v>15.84</v>
      </c>
      <c r="C1058" s="2" vm="6916">
        <f ca="1"/>
        <v>16.29</v>
      </c>
      <c r="D1058" s="2" vm="8464">
        <f ca="1"/>
        <v>15.74</v>
      </c>
      <c r="E1058" s="2" vm="8176">
        <f ca="1"/>
        <v>16.12</v>
      </c>
    </row>
    <row r="1059" spans="1:5" x14ac:dyDescent="0.2">
      <c r="A1059" s="1" vm="5451">
        <f ca="1"/>
        <v>45930</v>
      </c>
      <c r="B1059" s="2" vm="6919">
        <f ca="1"/>
        <v>16.489999999999998</v>
      </c>
      <c r="C1059" s="2" vm="8465">
        <f ca="1"/>
        <v>16.7</v>
      </c>
      <c r="D1059" s="2" vm="8200">
        <f ca="1"/>
        <v>16.02</v>
      </c>
      <c r="E1059" s="2" vm="6924">
        <f ca="1"/>
        <v>16.28</v>
      </c>
    </row>
    <row r="1060" spans="1:5" x14ac:dyDescent="0.2">
      <c r="A1060" s="1" vm="5457">
        <f ca="1"/>
        <v>45931</v>
      </c>
      <c r="B1060" s="2" vm="8450">
        <f ca="1"/>
        <v>17.28</v>
      </c>
      <c r="C1060" s="2" vm="8450">
        <f ca="1"/>
        <v>17.28</v>
      </c>
      <c r="D1060" s="2" vm="6738">
        <f ca="1"/>
        <v>15.98</v>
      </c>
      <c r="E1060" s="2" vm="6916">
        <f ca="1"/>
        <v>16.29</v>
      </c>
    </row>
    <row r="1061" spans="1:5" x14ac:dyDescent="0.2">
      <c r="A1061" s="1" vm="5463">
        <f ca="1"/>
        <v>45932</v>
      </c>
      <c r="B1061" s="2" vm="8176">
        <f ca="1"/>
        <v>16.12</v>
      </c>
      <c r="C1061" s="2" vm="7845">
        <f ca="1"/>
        <v>16.920000000000002</v>
      </c>
      <c r="D1061" s="2" vm="8044">
        <f ca="1"/>
        <v>15.93</v>
      </c>
      <c r="E1061" s="2" vm="7835">
        <f ca="1"/>
        <v>16.63</v>
      </c>
    </row>
    <row r="1062" spans="1:5" x14ac:dyDescent="0.2">
      <c r="A1062" s="1" vm="5469">
        <f ca="1"/>
        <v>45933</v>
      </c>
      <c r="B1062" s="2" vm="8195">
        <f ca="1"/>
        <v>16.350000000000001</v>
      </c>
      <c r="C1062" s="2" vm="6750">
        <f ca="1"/>
        <v>17.059999999999999</v>
      </c>
      <c r="D1062" s="2" vm="8269">
        <f ca="1"/>
        <v>16.2</v>
      </c>
      <c r="E1062" s="2" vm="6894">
        <f ca="1"/>
        <v>16.649999999999999</v>
      </c>
    </row>
    <row r="1063" spans="1:5" x14ac:dyDescent="0.2">
      <c r="A1063" s="1" vm="5474">
        <f ca="1"/>
        <v>45936</v>
      </c>
      <c r="B1063" s="2" vm="7822">
        <f ca="1"/>
        <v>16.739999999999998</v>
      </c>
      <c r="C1063" s="2" vm="8345">
        <f ca="1"/>
        <v>17.09</v>
      </c>
      <c r="D1063" s="2" vm="6916">
        <f ca="1"/>
        <v>16.29</v>
      </c>
      <c r="E1063" s="2" vm="6921">
        <f ca="1"/>
        <v>16.37</v>
      </c>
    </row>
    <row r="1064" spans="1:5" x14ac:dyDescent="0.2">
      <c r="A1064" s="1" vm="5480">
        <f ca="1"/>
        <v>45937</v>
      </c>
      <c r="B1064" s="2" vm="7028">
        <f ca="1"/>
        <v>16.579999999999998</v>
      </c>
      <c r="C1064" s="2" vm="7007">
        <f ca="1"/>
        <v>17.55</v>
      </c>
      <c r="D1064" s="2" vm="8285">
        <f ca="1"/>
        <v>16.190000000000001</v>
      </c>
      <c r="E1064" s="2" vm="7859">
        <f ca="1"/>
        <v>17.239999999999998</v>
      </c>
    </row>
    <row r="1065" spans="1:5" x14ac:dyDescent="0.2">
      <c r="A1065" s="1" vm="5485">
        <f ca="1"/>
        <v>45938</v>
      </c>
      <c r="B1065" s="2" vm="6764">
        <f ca="1"/>
        <v>17.170000000000002</v>
      </c>
      <c r="C1065" s="2" vm="8008">
        <f ca="1"/>
        <v>17.2</v>
      </c>
      <c r="D1065" s="2" vm="6885">
        <f ca="1"/>
        <v>16.23</v>
      </c>
      <c r="E1065" s="2" vm="6859">
        <f ca="1"/>
        <v>16.3</v>
      </c>
    </row>
    <row r="1066" spans="1:5" x14ac:dyDescent="0.2">
      <c r="A1066" s="1" vm="5491">
        <f ca="1"/>
        <v>45939</v>
      </c>
      <c r="B1066" s="2" vm="6862">
        <f ca="1"/>
        <v>16.309999999999999</v>
      </c>
      <c r="C1066" s="2" vm="6912">
        <f ca="1"/>
        <v>17.27</v>
      </c>
      <c r="D1066" s="2" vm="6890">
        <f ca="1"/>
        <v>16.260000000000002</v>
      </c>
      <c r="E1066" s="2" vm="8259">
        <f ca="1"/>
        <v>16.43</v>
      </c>
    </row>
    <row r="1067" spans="1:5" x14ac:dyDescent="0.2">
      <c r="A1067" s="1" vm="5497">
        <f ca="1"/>
        <v>45940</v>
      </c>
      <c r="B1067" s="2" vm="6922">
        <f ca="1"/>
        <v>16.36</v>
      </c>
      <c r="C1067" s="2" vm="8466">
        <f ca="1"/>
        <v>22.44</v>
      </c>
      <c r="D1067" s="2" vm="6885">
        <f ca="1"/>
        <v>16.23</v>
      </c>
      <c r="E1067" s="2" vm="7751">
        <f ca="1"/>
        <v>21.66</v>
      </c>
    </row>
    <row r="1068" spans="1:5" x14ac:dyDescent="0.2">
      <c r="A1068" s="1" vm="5503">
        <f ca="1"/>
        <v>45943</v>
      </c>
      <c r="B1068" s="2" vm="7794">
        <f ca="1"/>
        <v>19.45</v>
      </c>
      <c r="C1068" s="2" vm="8314">
        <f ca="1"/>
        <v>20.77</v>
      </c>
      <c r="D1068" s="2" vm="7772">
        <f ca="1"/>
        <v>18.61</v>
      </c>
      <c r="E1068" s="2" vm="6938">
        <f ca="1"/>
        <v>19.03</v>
      </c>
    </row>
    <row r="1069" spans="1:5" x14ac:dyDescent="0.2">
      <c r="A1069" s="1" vm="5509">
        <f ca="1"/>
        <v>45944</v>
      </c>
      <c r="B1069" s="2" vm="7685">
        <f ca="1"/>
        <v>21.46</v>
      </c>
      <c r="C1069" s="2" vm="7202">
        <f ca="1"/>
        <v>22.94</v>
      </c>
      <c r="D1069" s="2" vm="8442">
        <f ca="1"/>
        <v>19.18</v>
      </c>
      <c r="E1069" s="2" vm="6787">
        <f ca="1"/>
        <v>20.81</v>
      </c>
    </row>
    <row r="1070" spans="1:5" x14ac:dyDescent="0.2">
      <c r="A1070" s="1" vm="5514">
        <f ca="1"/>
        <v>45945</v>
      </c>
      <c r="B1070" s="2" vm="7759">
        <f ca="1"/>
        <v>20.02</v>
      </c>
      <c r="C1070" s="2" vm="8466">
        <f ca="1"/>
        <v>22.44</v>
      </c>
      <c r="D1070" s="2" vm="7773">
        <f ca="1"/>
        <v>19.11</v>
      </c>
      <c r="E1070" s="2" vm="6824">
        <f ca="1"/>
        <v>20.64</v>
      </c>
    </row>
    <row r="1071" spans="1:5" x14ac:dyDescent="0.2">
      <c r="A1071" s="1" vm="5520">
        <f ca="1"/>
        <v>45946</v>
      </c>
      <c r="B1071" s="2" vm="6990">
        <f ca="1"/>
        <v>20.49</v>
      </c>
      <c r="C1071" s="2" vm="8467">
        <f ca="1"/>
        <v>25.43</v>
      </c>
      <c r="D1071" s="2" vm="6848">
        <f ca="1"/>
        <v>19.850000000000001</v>
      </c>
      <c r="E1071" s="2" vm="6948">
        <f ca="1"/>
        <v>25.31</v>
      </c>
    </row>
    <row r="1072" spans="1:5" x14ac:dyDescent="0.2">
      <c r="A1072" s="1" vm="5526">
        <f ca="1"/>
        <v>45947</v>
      </c>
      <c r="B1072" s="2" vm="8468">
        <f ca="1"/>
        <v>28.41</v>
      </c>
      <c r="C1072" s="2" vm="6945">
        <f ca="1"/>
        <v>28.99</v>
      </c>
      <c r="D1072" s="2" vm="8307">
        <f ca="1"/>
        <v>20.73</v>
      </c>
      <c r="E1072" s="2" vm="7221">
        <f ca="1"/>
        <v>20.78</v>
      </c>
    </row>
    <row r="1073" spans="1:5" x14ac:dyDescent="0.2">
      <c r="A1073" s="1" vm="5532">
        <f ca="1"/>
        <v>45950</v>
      </c>
      <c r="B1073" s="2" vm="7750">
        <f ca="1"/>
        <v>20.53</v>
      </c>
      <c r="C1073" s="2" vm="8469">
        <f ca="1"/>
        <v>21.02</v>
      </c>
      <c r="D1073" s="2" vm="7755">
        <f ca="1"/>
        <v>18.23</v>
      </c>
      <c r="E1073" s="2" vm="7755">
        <f ca="1"/>
        <v>18.23</v>
      </c>
    </row>
    <row r="1074" spans="1:5" x14ac:dyDescent="0.2">
      <c r="A1074" s="1" vm="5538">
        <f ca="1"/>
        <v>45951</v>
      </c>
      <c r="B1074" s="2" vm="8061">
        <f ca="1"/>
        <v>18.649999999999999</v>
      </c>
      <c r="C1074" s="2" vm="8283">
        <f ca="1"/>
        <v>18.89</v>
      </c>
      <c r="D1074" s="2" vm="6887">
        <f ca="1"/>
        <v>17.399999999999999</v>
      </c>
      <c r="E1074" s="2" vm="7738">
        <f ca="1"/>
        <v>17.87</v>
      </c>
    </row>
    <row r="1075" spans="1:5" x14ac:dyDescent="0.2">
      <c r="A1075" s="1" vm="5544">
        <f ca="1"/>
        <v>45952</v>
      </c>
      <c r="B1075" s="2" vm="8470">
        <f ca="1"/>
        <v>17.84</v>
      </c>
      <c r="C1075" s="2" vm="6998">
        <f ca="1"/>
        <v>21.01</v>
      </c>
      <c r="D1075" s="2" vm="7831">
        <f ca="1"/>
        <v>17.73</v>
      </c>
      <c r="E1075" s="2" vm="8471">
        <f ca="1"/>
        <v>18.600000000000001</v>
      </c>
    </row>
    <row r="1076" spans="1:5" x14ac:dyDescent="0.2">
      <c r="A1076" s="1" vm="5550">
        <f ca="1"/>
        <v>45953</v>
      </c>
      <c r="B1076" s="2" vm="8057">
        <f ca="1"/>
        <v>18.36</v>
      </c>
      <c r="C1076" s="2" vm="8472">
        <f ca="1"/>
        <v>19.350000000000001</v>
      </c>
      <c r="D1076" s="2" vm="6920">
        <f ca="1"/>
        <v>17.079999999999998</v>
      </c>
      <c r="E1076" s="2" vm="7014">
        <f ca="1"/>
        <v>17.3</v>
      </c>
    </row>
    <row r="1077" spans="1:5" x14ac:dyDescent="0.2">
      <c r="A1077" s="1" vm="5556">
        <f ca="1"/>
        <v>45954</v>
      </c>
      <c r="B1077" s="2" vm="6900">
        <f ca="1"/>
        <v>17.02</v>
      </c>
      <c r="C1077" s="2" vm="6905">
        <f ca="1"/>
        <v>17.22</v>
      </c>
      <c r="D1077" s="2" vm="8200">
        <f ca="1"/>
        <v>16.02</v>
      </c>
      <c r="E1077" s="2" vm="6921">
        <f ca="1"/>
        <v>16.37</v>
      </c>
    </row>
    <row r="1078" spans="1:5" x14ac:dyDescent="0.2">
      <c r="A1078" s="1" vm="5562">
        <f ca="1"/>
        <v>45957</v>
      </c>
      <c r="B1078" s="2" vm="6748">
        <f ca="1"/>
        <v>15.73</v>
      </c>
      <c r="C1078" s="2" vm="8289">
        <f ca="1"/>
        <v>16.07</v>
      </c>
      <c r="D1078" s="2" vm="8473">
        <f ca="1"/>
        <v>15.62</v>
      </c>
      <c r="E1078" s="2" vm="6882">
        <f ca="1"/>
        <v>15.79</v>
      </c>
    </row>
    <row r="1079" spans="1:5" x14ac:dyDescent="0.2">
      <c r="A1079" s="1" vm="5568">
        <f ca="1"/>
        <v>45958</v>
      </c>
      <c r="B1079" s="2" vm="8270">
        <f ca="1"/>
        <v>15.95</v>
      </c>
      <c r="C1079" s="2" vm="8451">
        <f ca="1"/>
        <v>16.55</v>
      </c>
      <c r="D1079" s="2" vm="8067">
        <f ca="1"/>
        <v>15.66</v>
      </c>
      <c r="E1079" s="2" vm="8264">
        <f ca="1"/>
        <v>16.420000000000002</v>
      </c>
    </row>
    <row r="1080" spans="1:5" x14ac:dyDescent="0.2">
      <c r="A1080" s="1" vm="5573">
        <f ca="1"/>
        <v>45959</v>
      </c>
      <c r="B1080" s="2" vm="7025">
        <f ca="1"/>
        <v>16.34</v>
      </c>
      <c r="C1080" s="2" vm="7811">
        <f ca="1"/>
        <v>17.579999999999998</v>
      </c>
      <c r="D1080" s="2" vm="6890">
        <f ca="1"/>
        <v>16.260000000000002</v>
      </c>
      <c r="E1080" s="2" vm="7845">
        <f ca="1"/>
        <v>16.920000000000002</v>
      </c>
    </row>
    <row r="1081" spans="1:5" x14ac:dyDescent="0.2">
      <c r="A1081" s="1" vm="5579">
        <f ca="1"/>
        <v>45960</v>
      </c>
      <c r="B1081" s="2" vm="6890">
        <f ca="1"/>
        <v>16.260000000000002</v>
      </c>
      <c r="C1081" s="2" vm="8043">
        <f ca="1"/>
        <v>17.41</v>
      </c>
      <c r="D1081" s="2" vm="6748">
        <f ca="1"/>
        <v>15.73</v>
      </c>
      <c r="E1081" s="2" vm="7026">
        <f ca="1"/>
        <v>16.91</v>
      </c>
    </row>
    <row r="1082" spans="1:5" x14ac:dyDescent="0.2">
      <c r="A1082" s="1" vm="5585">
        <f ca="1"/>
        <v>45961</v>
      </c>
      <c r="B1082" s="2" vm="8259">
        <f ca="1"/>
        <v>16.43</v>
      </c>
      <c r="C1082" s="2" vm="7020">
        <f ca="1"/>
        <v>18.54</v>
      </c>
      <c r="D1082" s="2" vm="7988">
        <f ca="1"/>
        <v>15.96</v>
      </c>
      <c r="E1082" s="2" vm="7838">
        <f ca="1"/>
        <v>17.440000000000001</v>
      </c>
    </row>
    <row r="1083" spans="1:5" x14ac:dyDescent="0.2">
      <c r="A1083" s="1" vm="5591">
        <f ca="1"/>
        <v>45964</v>
      </c>
      <c r="B1083" s="2" vm="6888">
        <f ca="1"/>
        <v>18.059999999999999</v>
      </c>
      <c r="C1083" s="2" vm="7714">
        <f ca="1"/>
        <v>18.829999999999998</v>
      </c>
      <c r="D1083" s="2" vm="8323">
        <f ca="1"/>
        <v>17</v>
      </c>
      <c r="E1083" s="2" vm="6764">
        <f ca="1"/>
        <v>17.170000000000002</v>
      </c>
    </row>
    <row r="1084" spans="1:5" x14ac:dyDescent="0.2">
      <c r="A1084" s="1" vm="5597">
        <f ca="1"/>
        <v>45965</v>
      </c>
      <c r="B1084" s="2" vm="7029">
        <f ca="1"/>
        <v>19.73</v>
      </c>
      <c r="C1084" s="2" vm="8052">
        <f ca="1"/>
        <v>20.48</v>
      </c>
      <c r="D1084" s="2" vm="8342">
        <f ca="1"/>
        <v>17.899999999999999</v>
      </c>
      <c r="E1084" s="2" vm="7715">
        <f ca="1"/>
        <v>19</v>
      </c>
    </row>
    <row r="1085" spans="1:5" x14ac:dyDescent="0.2">
      <c r="A1085" s="1" vm="5602">
        <f ca="1"/>
        <v>45966</v>
      </c>
      <c r="B1085" s="2" vm="6772">
        <f ca="1"/>
        <v>19.37</v>
      </c>
      <c r="C1085" s="2" vm="7759">
        <f ca="1"/>
        <v>20.02</v>
      </c>
      <c r="D1085" s="2" vm="8042">
        <f ca="1"/>
        <v>17.309999999999999</v>
      </c>
      <c r="E1085" s="2" vm="6778">
        <f ca="1"/>
        <v>18.010000000000002</v>
      </c>
    </row>
    <row r="1086" spans="1:5" x14ac:dyDescent="0.2">
      <c r="A1086" s="1" vm="5608">
        <f ca="1"/>
        <v>45967</v>
      </c>
      <c r="B1086" s="2" vm="8057">
        <f ca="1"/>
        <v>18.36</v>
      </c>
      <c r="C1086" s="2" vm="6974">
        <f ca="1"/>
        <v>20.309999999999999</v>
      </c>
      <c r="D1086" s="2" vm="8201">
        <f ca="1"/>
        <v>17.64</v>
      </c>
      <c r="E1086" s="2" vm="7497">
        <f ca="1"/>
        <v>19.5</v>
      </c>
    </row>
    <row r="1087" spans="1:5" x14ac:dyDescent="0.2">
      <c r="A1087" s="1" vm="5613">
        <f ca="1"/>
        <v>45968</v>
      </c>
      <c r="B1087" s="2" vm="8374">
        <f ca="1"/>
        <v>19.52</v>
      </c>
      <c r="C1087" s="2" vm="6796">
        <f ca="1"/>
        <v>22.72</v>
      </c>
      <c r="D1087" s="2" vm="7032">
        <f ca="1"/>
        <v>19.079999999999998</v>
      </c>
      <c r="E1087" s="2" vm="7032">
        <f ca="1"/>
        <v>19.079999999999998</v>
      </c>
    </row>
    <row r="1088" spans="1:5" x14ac:dyDescent="0.2">
      <c r="A1088" s="1" vm="5619">
        <f ca="1"/>
        <v>45971</v>
      </c>
      <c r="B1088" s="2" vm="6942">
        <f ca="1"/>
        <v>18.579999999999998</v>
      </c>
      <c r="C1088" s="2" vm="8436">
        <f ca="1"/>
        <v>18.82</v>
      </c>
      <c r="D1088" s="2" vm="7019">
        <f ca="1"/>
        <v>17.600000000000001</v>
      </c>
      <c r="E1088" s="2" vm="7019">
        <f ca="1"/>
        <v>17.600000000000001</v>
      </c>
    </row>
    <row r="1089" spans="1:5" x14ac:dyDescent="0.2">
      <c r="A1089" s="1" vm="5625">
        <f ca="1"/>
        <v>45972</v>
      </c>
      <c r="B1089" s="2" vm="8342">
        <f ca="1"/>
        <v>17.899999999999999</v>
      </c>
      <c r="C1089" s="2" vm="6778">
        <f ca="1"/>
        <v>18.010000000000002</v>
      </c>
      <c r="D1089" s="2" vm="8045">
        <f ca="1"/>
        <v>17.25</v>
      </c>
      <c r="E1089" s="2" vm="8450">
        <f ca="1"/>
        <v>17.28</v>
      </c>
    </row>
    <row r="1090" spans="1:5" x14ac:dyDescent="0.2">
      <c r="A1090" s="1" vm="5631">
        <f ca="1"/>
        <v>45973</v>
      </c>
      <c r="B1090" s="2" vm="6908">
        <f ca="1"/>
        <v>17.21</v>
      </c>
      <c r="C1090" s="2" vm="6888">
        <f ca="1"/>
        <v>18.059999999999999</v>
      </c>
      <c r="D1090" s="2" vm="7986">
        <f ca="1"/>
        <v>17.100000000000001</v>
      </c>
      <c r="E1090" s="2" vm="7010">
        <f ca="1"/>
        <v>17.510000000000002</v>
      </c>
    </row>
    <row r="1091" spans="1:5" x14ac:dyDescent="0.2">
      <c r="A1091" s="1" vm="5637">
        <f ca="1"/>
        <v>45974</v>
      </c>
      <c r="B1091" s="2" vm="8051">
        <f ca="1"/>
        <v>17.61</v>
      </c>
      <c r="C1091" s="2" vm="8474">
        <f ca="1"/>
        <v>21.31</v>
      </c>
      <c r="D1091" s="2" vm="7010">
        <f ca="1"/>
        <v>17.510000000000002</v>
      </c>
      <c r="E1091" s="2" vm="6847">
        <f ca="1"/>
        <v>20</v>
      </c>
    </row>
    <row r="1092" spans="1:5" x14ac:dyDescent="0.2">
      <c r="A1092" s="1" vm="5642">
        <f ca="1"/>
        <v>45975</v>
      </c>
      <c r="B1092" s="2" vm="7467">
        <f ca="1"/>
        <v>21.33</v>
      </c>
      <c r="C1092" s="2" vm="7454">
        <f ca="1"/>
        <v>23.03</v>
      </c>
      <c r="D1092" s="2" vm="7501">
        <f ca="1"/>
        <v>19.559999999999999</v>
      </c>
      <c r="E1092" s="2" vm="7799">
        <f ca="1"/>
        <v>19.829999999999998</v>
      </c>
    </row>
    <row r="1093" spans="1:5" x14ac:dyDescent="0.2">
      <c r="A1093" s="1" vm="5648">
        <f ca="1"/>
        <v>45978</v>
      </c>
      <c r="B1093" s="2" vm="6773">
        <f ca="1"/>
        <v>19.579999999999998</v>
      </c>
      <c r="C1093" s="2" vm="8475">
        <f ca="1"/>
        <v>23.44</v>
      </c>
      <c r="D1093" s="2" vm="6763">
        <f ca="1"/>
        <v>19.54</v>
      </c>
      <c r="E1093" s="2" vm="6956">
        <f ca="1"/>
        <v>22.38</v>
      </c>
    </row>
    <row r="1094" spans="1:5" x14ac:dyDescent="0.2">
      <c r="A1094" s="1" vm="5654">
        <f ca="1"/>
        <v>45979</v>
      </c>
      <c r="B1094" s="2" vm="7462">
        <f ca="1"/>
        <v>23.54</v>
      </c>
      <c r="C1094" s="2" vm="7529">
        <f ca="1"/>
        <v>25.84</v>
      </c>
      <c r="D1094" s="2" vm="8476">
        <f ca="1"/>
        <v>22.91</v>
      </c>
      <c r="E1094" s="2" vm="6969">
        <f ca="1"/>
        <v>24.69</v>
      </c>
    </row>
    <row r="1095" spans="1:5" x14ac:dyDescent="0.2">
      <c r="A1095" s="1" vm="5660">
        <f ca="1"/>
        <v>45980</v>
      </c>
      <c r="B1095" s="2" vm="7248">
        <f ca="1"/>
        <v>24.52</v>
      </c>
      <c r="C1095" s="2" vm="7355">
        <f ca="1"/>
        <v>24.79</v>
      </c>
      <c r="D1095" s="2" vm="8359">
        <f ca="1"/>
        <v>21.93</v>
      </c>
      <c r="E1095" s="2" vm="8378">
        <f ca="1"/>
        <v>23.66</v>
      </c>
    </row>
    <row r="1096" spans="1:5" x14ac:dyDescent="0.2">
      <c r="A1096" s="1" vm="5666">
        <f ca="1"/>
        <v>45981</v>
      </c>
      <c r="B1096" s="2" vm="7221">
        <f ca="1"/>
        <v>20.78</v>
      </c>
      <c r="C1096" s="2" vm="7259">
        <f ca="1"/>
        <v>28.27</v>
      </c>
      <c r="D1096" s="2" vm="7722">
        <f ca="1"/>
        <v>19.28</v>
      </c>
      <c r="E1096" s="2" vm="7429">
        <f ca="1"/>
        <v>26.42</v>
      </c>
    </row>
    <row r="1097" spans="1:5" x14ac:dyDescent="0.2">
      <c r="A1097" s="1" vm="5671">
        <f ca="1"/>
        <v>45982</v>
      </c>
      <c r="B1097" s="2" vm="7290">
        <f ca="1"/>
        <v>25.97</v>
      </c>
      <c r="C1097" s="2" vm="7419">
        <f ca="1"/>
        <v>27.84</v>
      </c>
      <c r="D1097" s="2" vm="8477">
        <f ca="1"/>
        <v>22.54</v>
      </c>
      <c r="E1097" s="2" vm="8478">
        <f ca="1"/>
        <v>23.43</v>
      </c>
    </row>
    <row r="1098" spans="1:5" x14ac:dyDescent="0.2">
      <c r="A1098" s="1" vm="5677">
        <f ca="1"/>
        <v>45985</v>
      </c>
      <c r="B1098" s="2" vm="7710">
        <f ca="1"/>
        <v>22.69</v>
      </c>
      <c r="C1098" s="2" vm="8479">
        <f ca="1"/>
        <v>23.68</v>
      </c>
      <c r="D1098" s="2" vm="6805">
        <f ca="1"/>
        <v>20.41</v>
      </c>
      <c r="E1098" s="2" vm="7725">
        <f ca="1"/>
        <v>20.52</v>
      </c>
    </row>
    <row r="1099" spans="1:5" x14ac:dyDescent="0.2">
      <c r="A1099" s="1" vm="5683">
        <f ca="1"/>
        <v>45986</v>
      </c>
      <c r="B1099" s="2" vm="8443">
        <f ca="1"/>
        <v>20.55</v>
      </c>
      <c r="C1099" s="2" vm="7487">
        <f ca="1"/>
        <v>21.77</v>
      </c>
      <c r="D1099" s="2" vm="6755">
        <f ca="1"/>
        <v>18.39</v>
      </c>
      <c r="E1099" s="2" vm="6984">
        <f ca="1"/>
        <v>18.559999999999999</v>
      </c>
    </row>
    <row r="1100" spans="1:5" x14ac:dyDescent="0.2">
      <c r="A1100" s="1" vm="5689">
        <f ca="1"/>
        <v>45987</v>
      </c>
      <c r="B1100" s="2" vm="7807">
        <f ca="1"/>
        <v>18.25</v>
      </c>
      <c r="C1100" s="2" vm="7797">
        <f ca="1"/>
        <v>18.7</v>
      </c>
      <c r="D1100" s="2" vm="7836">
        <f ca="1"/>
        <v>16.93</v>
      </c>
      <c r="E1100" s="2" vm="6923">
        <f ca="1"/>
        <v>17.190000000000001</v>
      </c>
    </row>
    <row r="1101" spans="1:5" x14ac:dyDescent="0.2">
      <c r="A1101" s="1" vm="8480">
        <f ca="1"/>
        <v>45988</v>
      </c>
      <c r="B1101" s="2" vm="6905">
        <f ca="1"/>
        <v>17.22</v>
      </c>
      <c r="C1101" s="2" vm="6930">
        <f ca="1"/>
        <v>17.36</v>
      </c>
      <c r="D1101" s="2" vm="8463">
        <f ca="1"/>
        <v>17.05</v>
      </c>
      <c r="E1101" s="2" vm="6908">
        <f ca="1"/>
        <v>17.21</v>
      </c>
    </row>
    <row r="1102" spans="1:5" x14ac:dyDescent="0.2">
      <c r="A1102" s="1" vm="5695">
        <f ca="1"/>
        <v>45989</v>
      </c>
      <c r="B1102" s="2" vm="8043">
        <f ca="1"/>
        <v>17.41</v>
      </c>
      <c r="C1102" s="2" vm="6941">
        <f ca="1"/>
        <v>18.52</v>
      </c>
      <c r="D1102" s="2" vm="7826">
        <f ca="1"/>
        <v>15.78</v>
      </c>
      <c r="E1102" s="2" vm="8195">
        <f ca="1"/>
        <v>16.350000000000001</v>
      </c>
    </row>
    <row r="1103" spans="1:5" x14ac:dyDescent="0.2">
      <c r="A1103" s="1" vm="5701">
        <f ca="1"/>
        <v>45992</v>
      </c>
      <c r="B1103" s="2" vm="8265">
        <f ca="1"/>
        <v>18.05</v>
      </c>
      <c r="C1103" s="2" vm="7740">
        <f ca="1"/>
        <v>18.329999999999998</v>
      </c>
      <c r="D1103" s="2" vm="7028">
        <f ca="1"/>
        <v>16.579999999999998</v>
      </c>
      <c r="E1103" s="2" vm="7859">
        <f ca="1"/>
        <v>17.239999999999998</v>
      </c>
    </row>
    <row r="1104" spans="1:5" x14ac:dyDescent="0.2">
      <c r="A1104" s="1" vm="5707">
        <f ca="1"/>
        <v>45993</v>
      </c>
      <c r="B1104" s="2" vm="8450">
        <f ca="1"/>
        <v>17.28</v>
      </c>
      <c r="C1104" s="2" vm="8042">
        <f ca="1"/>
        <v>17.309999999999999</v>
      </c>
      <c r="D1104" s="2" vm="6873">
        <f ca="1"/>
        <v>16.39</v>
      </c>
      <c r="E1104" s="2" vm="8066">
        <f ca="1"/>
        <v>16.59</v>
      </c>
    </row>
    <row r="1105" spans="1:5" x14ac:dyDescent="0.2">
      <c r="A1105" s="1" vm="5713">
        <f ca="1"/>
        <v>45994</v>
      </c>
      <c r="B1105" s="2" vm="8259">
        <f ca="1"/>
        <v>16.43</v>
      </c>
      <c r="C1105" s="2" vm="8450">
        <f ca="1"/>
        <v>17.28</v>
      </c>
      <c r="D1105" s="2" vm="8044">
        <f ca="1"/>
        <v>15.93</v>
      </c>
      <c r="E1105" s="2" vm="6751">
        <f ca="1"/>
        <v>16.079999999999998</v>
      </c>
    </row>
    <row r="1106" spans="1:5" x14ac:dyDescent="0.2">
      <c r="A1106" s="1" vm="5719">
        <f ca="1"/>
        <v>45995</v>
      </c>
      <c r="B1106" s="2" vm="6885">
        <f ca="1"/>
        <v>16.23</v>
      </c>
      <c r="C1106" s="2" vm="7835">
        <f ca="1"/>
        <v>16.63</v>
      </c>
      <c r="D1106" s="2" vm="6744">
        <f ca="1"/>
        <v>15.68</v>
      </c>
      <c r="E1106" s="2" vm="7826">
        <f ca="1"/>
        <v>15.78</v>
      </c>
    </row>
    <row r="1107" spans="1:5" x14ac:dyDescent="0.2">
      <c r="A1107" s="1" vm="5725">
        <f ca="1"/>
        <v>45996</v>
      </c>
      <c r="B1107" s="2" vm="7860">
        <f ca="1"/>
        <v>15.58</v>
      </c>
      <c r="C1107" s="2" vm="8462">
        <f ca="1"/>
        <v>16.18</v>
      </c>
      <c r="D1107" s="2" vm="7864">
        <f ca="1"/>
        <v>15.28</v>
      </c>
      <c r="E1107" s="2" vm="8302">
        <f ca="1"/>
        <v>15.41</v>
      </c>
    </row>
    <row r="1108" spans="1:5" x14ac:dyDescent="0.2">
      <c r="A1108" s="1" vm="5731">
        <f ca="1"/>
        <v>45999</v>
      </c>
      <c r="B1108" s="2" vm="6915">
        <f ca="1"/>
        <v>16.149999999999999</v>
      </c>
      <c r="C1108" s="2" vm="8345">
        <f ca="1"/>
        <v>17.09</v>
      </c>
      <c r="D1108" s="2" vm="8461">
        <f ca="1"/>
        <v>16.100000000000001</v>
      </c>
      <c r="E1108" s="2" vm="8267">
        <f ca="1"/>
        <v>16.66</v>
      </c>
    </row>
    <row r="1109" spans="1:5" x14ac:dyDescent="0.2">
      <c r="A1109" s="1" vm="5737">
        <f ca="1"/>
        <v>46000</v>
      </c>
      <c r="B1109" s="2" vm="8267">
        <f ca="1"/>
        <v>16.66</v>
      </c>
      <c r="C1109" s="2" vm="8008">
        <f ca="1"/>
        <v>17.2</v>
      </c>
      <c r="D1109" s="2" vm="8196">
        <f ca="1"/>
        <v>16.45</v>
      </c>
      <c r="E1109" s="2" vm="7836">
        <f ca="1"/>
        <v>16.93</v>
      </c>
    </row>
    <row r="1110" spans="1:5" x14ac:dyDescent="0.2">
      <c r="A1110" s="1" vm="5743">
        <f ca="1"/>
        <v>46001</v>
      </c>
      <c r="B1110" s="2" vm="6754">
        <f ca="1"/>
        <v>16.940000000000001</v>
      </c>
      <c r="C1110" s="2" vm="6913">
        <f ca="1"/>
        <v>17.66</v>
      </c>
      <c r="D1110" s="2" vm="8319">
        <f ca="1"/>
        <v>15.56</v>
      </c>
      <c r="E1110" s="2" vm="7987">
        <f ca="1"/>
        <v>15.77</v>
      </c>
    </row>
    <row r="1111" spans="1:5" x14ac:dyDescent="0.2">
      <c r="A1111" s="1" vm="5748">
        <f ca="1"/>
        <v>46002</v>
      </c>
      <c r="B1111" s="2" vm="8481">
        <f ca="1"/>
        <v>16.84</v>
      </c>
      <c r="C1111" s="2" vm="8002">
        <f ca="1"/>
        <v>16.88</v>
      </c>
      <c r="D1111" s="2" vm="7935">
        <f ca="1"/>
        <v>14.85</v>
      </c>
      <c r="E1111" s="2" vm="7935">
        <f ca="1"/>
        <v>14.85</v>
      </c>
    </row>
    <row r="1112" spans="1:5" x14ac:dyDescent="0.2">
      <c r="A1112" s="1" vm="5754">
        <f ca="1"/>
        <v>46003</v>
      </c>
      <c r="B1112" s="2" vm="7882">
        <f ca="1"/>
        <v>14.99</v>
      </c>
      <c r="C1112" s="2" vm="8454">
        <f ca="1"/>
        <v>17.850000000000001</v>
      </c>
      <c r="D1112" s="2" vm="7935">
        <f ca="1"/>
        <v>14.85</v>
      </c>
      <c r="E1112" s="2" vm="8464">
        <f ca="1"/>
        <v>15.74</v>
      </c>
    </row>
    <row r="1113" spans="1:5" x14ac:dyDescent="0.2">
      <c r="A1113" s="1" vm="5760">
        <f ca="1"/>
        <v>46006</v>
      </c>
      <c r="B1113" s="2" vm="7992">
        <f ca="1"/>
        <v>16.510000000000002</v>
      </c>
      <c r="C1113" s="2" vm="6934">
        <f ca="1"/>
        <v>17.350000000000001</v>
      </c>
      <c r="D1113" s="2" vm="7989">
        <f ca="1"/>
        <v>15.99</v>
      </c>
      <c r="E1113" s="2" vm="8055">
        <f ca="1"/>
        <v>16.5</v>
      </c>
    </row>
    <row r="1114" spans="1:5" x14ac:dyDescent="0.2">
      <c r="A1114" s="1" vm="5766">
        <f ca="1"/>
        <v>46007</v>
      </c>
      <c r="B1114" s="2" vm="8450">
        <f ca="1"/>
        <v>17.28</v>
      </c>
      <c r="C1114" s="2" vm="8051">
        <f ca="1"/>
        <v>17.61</v>
      </c>
      <c r="D1114" s="2" vm="8285">
        <f ca="1"/>
        <v>16.190000000000001</v>
      </c>
      <c r="E1114" s="2" vm="6741">
        <f ca="1"/>
        <v>16.48</v>
      </c>
    </row>
    <row r="1115" spans="1:5" x14ac:dyDescent="0.2">
      <c r="A1115" s="1" vm="5772">
        <f ca="1"/>
        <v>46008</v>
      </c>
      <c r="B1115" s="2" vm="8196">
        <f ca="1"/>
        <v>16.45</v>
      </c>
      <c r="C1115" s="2" vm="7012">
        <f ca="1"/>
        <v>18</v>
      </c>
      <c r="D1115" s="2" vm="6866">
        <f ca="1"/>
        <v>15.82</v>
      </c>
      <c r="E1115" s="2" vm="7004">
        <f ca="1"/>
        <v>17.62</v>
      </c>
    </row>
    <row r="1116" spans="1:5" x14ac:dyDescent="0.2">
      <c r="A1116" s="1" vm="5778">
        <f ca="1"/>
        <v>46009</v>
      </c>
      <c r="B1116" s="2" vm="8051">
        <f ca="1"/>
        <v>17.61</v>
      </c>
      <c r="C1116" s="2" vm="7008">
        <f ca="1"/>
        <v>17.68</v>
      </c>
      <c r="D1116" s="2" vm="8044">
        <f ca="1"/>
        <v>15.93</v>
      </c>
      <c r="E1116" s="2" vm="7844">
        <f ca="1"/>
        <v>16.87</v>
      </c>
    </row>
    <row r="1117" spans="1:5" x14ac:dyDescent="0.2">
      <c r="A1117" s="1" vm="5783">
        <f ca="1"/>
        <v>46010</v>
      </c>
      <c r="B1117" s="2" vm="6862">
        <f ca="1"/>
        <v>16.309999999999999</v>
      </c>
      <c r="C1117" s="2" vm="6886">
        <f ca="1"/>
        <v>16.53</v>
      </c>
      <c r="D1117" s="2" vm="7866">
        <f ca="1"/>
        <v>14.91</v>
      </c>
      <c r="E1117" s="2" vm="7866">
        <f ca="1"/>
        <v>14.91</v>
      </c>
    </row>
    <row r="1118" spans="1:5" x14ac:dyDescent="0.2">
      <c r="A1118" s="1" vm="5789">
        <f ca="1"/>
        <v>46013</v>
      </c>
      <c r="B1118" s="2" vm="8072">
        <f ca="1"/>
        <v>15.16</v>
      </c>
      <c r="C1118" s="2" vm="8321">
        <f ca="1"/>
        <v>15.26</v>
      </c>
      <c r="D1118" s="2" vm="7975">
        <f ca="1"/>
        <v>14.03</v>
      </c>
      <c r="E1118" s="2" vm="8235">
        <f ca="1"/>
        <v>14.08</v>
      </c>
    </row>
    <row r="1119" spans="1:5" x14ac:dyDescent="0.2">
      <c r="A1119" s="1" vm="5795">
        <f ca="1"/>
        <v>46014</v>
      </c>
      <c r="B1119" s="2" vm="7887">
        <f ca="1"/>
        <v>14.09</v>
      </c>
      <c r="C1119" s="2" vm="8014">
        <f ca="1"/>
        <v>14.45</v>
      </c>
      <c r="D1119" s="2" vm="7921">
        <f ca="1"/>
        <v>13.64</v>
      </c>
      <c r="E1119" s="2" vm="7952">
        <f ca="1"/>
        <v>14</v>
      </c>
    </row>
    <row r="1120" spans="1:5" x14ac:dyDescent="0.2">
      <c r="A1120" s="1" vm="5801">
        <f ca="1"/>
        <v>46015</v>
      </c>
      <c r="B1120" s="2" vm="7887">
        <f ca="1"/>
        <v>14.09</v>
      </c>
      <c r="C1120" s="2" vm="7969">
        <f ca="1"/>
        <v>14.16</v>
      </c>
      <c r="D1120" s="2" vm="8258">
        <f ca="1"/>
        <v>13.38</v>
      </c>
      <c r="E1120" s="2" vm="7926">
        <f ca="1"/>
        <v>13.47</v>
      </c>
    </row>
    <row r="1121" spans="1:5" x14ac:dyDescent="0.2">
      <c r="A1121" s="1" vm="5807">
        <f ca="1"/>
        <v>46017</v>
      </c>
      <c r="B1121" s="2" vm="8079">
        <f ca="1"/>
        <v>14.12</v>
      </c>
      <c r="C1121" s="2" vm="7871">
        <f ca="1"/>
        <v>14.29</v>
      </c>
      <c r="D1121" s="2" vm="7930">
        <f ca="1"/>
        <v>13.52</v>
      </c>
      <c r="E1121" s="2" vm="7963">
        <f ca="1"/>
        <v>13.6</v>
      </c>
    </row>
    <row r="1122" spans="1:5" x14ac:dyDescent="0.2">
      <c r="A1122" s="1" vm="5813">
        <f ca="1"/>
        <v>46020</v>
      </c>
      <c r="B1122" s="2" vm="8320">
        <f ca="1"/>
        <v>14.69</v>
      </c>
      <c r="C1122" s="2" vm="8012">
        <f ca="1"/>
        <v>15.08</v>
      </c>
      <c r="D1122" s="2" vm="7960">
        <f ca="1"/>
        <v>13.99</v>
      </c>
      <c r="E1122" s="2" vm="8148">
        <f ca="1"/>
        <v>14.2</v>
      </c>
    </row>
    <row r="1123" spans="1:5" x14ac:dyDescent="0.2">
      <c r="A1123" s="1" vm="5819">
        <f ca="1"/>
        <v>46021</v>
      </c>
      <c r="B1123" s="2" vm="7911">
        <f ca="1"/>
        <v>14.43</v>
      </c>
      <c r="C1123" s="2" vm="8457">
        <f ca="1"/>
        <v>14.62</v>
      </c>
      <c r="D1123" s="2" vm="8147">
        <f ca="1"/>
        <v>14.04</v>
      </c>
      <c r="E1123" s="2" vm="7938">
        <f ca="1"/>
        <v>14.33</v>
      </c>
    </row>
    <row r="1124" spans="1:5" x14ac:dyDescent="0.2">
      <c r="A1124" s="1" vm="5824">
        <f ca="1"/>
        <v>46022</v>
      </c>
      <c r="B1124" s="2" vm="7994">
        <f ca="1"/>
        <v>14.77</v>
      </c>
      <c r="C1124" s="2" vm="8070">
        <f ca="1"/>
        <v>15.17</v>
      </c>
      <c r="D1124" s="2" vm="8159">
        <f ca="1"/>
        <v>14.38</v>
      </c>
      <c r="E1124" s="2" vm="6901">
        <f ca="1"/>
        <v>14.95</v>
      </c>
    </row>
    <row r="1125" spans="1:5" x14ac:dyDescent="0.2">
      <c r="A1125" s="1" vm="5829">
        <f ca="1"/>
        <v>46024</v>
      </c>
      <c r="B1125" s="2" vm="7935">
        <f ca="1"/>
        <v>14.85</v>
      </c>
      <c r="C1125" s="2" vm="8175">
        <f ca="1"/>
        <v>15.42</v>
      </c>
      <c r="D1125" s="2" vm="8183">
        <f ca="1"/>
        <v>14.46</v>
      </c>
      <c r="E1125" s="2" vm="8212">
        <f ca="1"/>
        <v>14.51</v>
      </c>
    </row>
    <row r="1126" spans="1:5" x14ac:dyDescent="0.2">
      <c r="A1126" s="1" vm="5834">
        <f ca="1"/>
        <v>46027</v>
      </c>
      <c r="B1126" s="2" vm="8041">
        <f ca="1"/>
        <v>15.14</v>
      </c>
      <c r="C1126" s="2" vm="8206">
        <f ca="1"/>
        <v>15.27</v>
      </c>
      <c r="D1126" s="2" vm="8174">
        <f ca="1"/>
        <v>14.65</v>
      </c>
      <c r="E1126" s="2" vm="6881">
        <f ca="1"/>
        <v>14.9</v>
      </c>
    </row>
    <row r="1127" spans="1:5" x14ac:dyDescent="0.2">
      <c r="A1127" s="1" vm="5840">
        <f ca="1"/>
        <v>46028</v>
      </c>
      <c r="B1127" s="2" vm="8011">
        <f ca="1"/>
        <v>15</v>
      </c>
      <c r="C1127" s="2" vm="8262">
        <f ca="1"/>
        <v>15.21</v>
      </c>
      <c r="D1127" s="2" vm="7944">
        <f ca="1"/>
        <v>14.63</v>
      </c>
      <c r="E1127" s="2" vm="8038">
        <f ca="1"/>
        <v>14.75</v>
      </c>
    </row>
    <row r="1128" spans="1:5" x14ac:dyDescent="0.2">
      <c r="A1128" s="1" vm="5846">
        <f ca="1"/>
        <v>46029</v>
      </c>
      <c r="B1128" s="2" vm="6901">
        <f ca="1"/>
        <v>14.95</v>
      </c>
      <c r="C1128" s="2" vm="8007">
        <f ca="1"/>
        <v>15.48</v>
      </c>
      <c r="D1128" s="2" vm="7939">
        <f ca="1"/>
        <v>14.83</v>
      </c>
      <c r="E1128" s="2" vm="7991">
        <f ca="1"/>
        <v>15.38</v>
      </c>
    </row>
    <row r="1129" spans="1:5" x14ac:dyDescent="0.2">
      <c r="A1129" s="1" vm="5852">
        <f ca="1"/>
        <v>46030</v>
      </c>
      <c r="B1129" s="2" vm="8026">
        <f ca="1"/>
        <v>15.69</v>
      </c>
      <c r="C1129" s="2" vm="7848">
        <f ca="1"/>
        <v>15.85</v>
      </c>
      <c r="D1129" s="2" vm="8040">
        <f ca="1"/>
        <v>15.15</v>
      </c>
      <c r="E1129" s="2" vm="8009">
        <f ca="1"/>
        <v>15.45</v>
      </c>
    </row>
    <row r="1130" spans="1:5" x14ac:dyDescent="0.2">
      <c r="A1130" s="1" vm="5858">
        <f ca="1"/>
        <v>46031</v>
      </c>
      <c r="B1130" s="2" vm="6744">
        <f ca="1"/>
        <v>15.68</v>
      </c>
      <c r="C1130" s="2" vm="7990">
        <f ca="1"/>
        <v>15.81</v>
      </c>
      <c r="D1130" s="2" vm="7911">
        <f ca="1"/>
        <v>14.43</v>
      </c>
      <c r="E1130" s="2" vm="7891">
        <f ca="1"/>
        <v>14.49</v>
      </c>
    </row>
    <row r="1131" spans="1:5" x14ac:dyDescent="0.2">
      <c r="A1131" s="1" vm="5864">
        <f ca="1"/>
        <v>46034</v>
      </c>
      <c r="B1131" s="2" vm="6742">
        <f ca="1"/>
        <v>16.059999999999999</v>
      </c>
      <c r="C1131" s="2" vm="8267">
        <f ca="1"/>
        <v>16.66</v>
      </c>
      <c r="D1131" s="2" vm="8208">
        <f ca="1"/>
        <v>15.03</v>
      </c>
      <c r="E1131" s="2" vm="8350">
        <f ca="1"/>
        <v>15.12</v>
      </c>
    </row>
    <row r="1132" spans="1:5" x14ac:dyDescent="0.2">
      <c r="A1132" s="1" vm="5870">
        <f ca="1"/>
        <v>46035</v>
      </c>
      <c r="B1132" s="2" vm="8458">
        <f ca="1"/>
        <v>15.36</v>
      </c>
      <c r="C1132" s="2" vm="8055">
        <f ca="1"/>
        <v>16.5</v>
      </c>
      <c r="D1132" s="2" vm="8038">
        <f ca="1"/>
        <v>14.75</v>
      </c>
      <c r="E1132" s="2" vm="6738">
        <f ca="1"/>
        <v>15.98</v>
      </c>
    </row>
    <row r="1133" spans="1:5" x14ac:dyDescent="0.2">
      <c r="A1133" s="1" vm="5876">
        <f ca="1"/>
        <v>46036</v>
      </c>
      <c r="B1133" s="2" vm="6877">
        <f ca="1"/>
        <v>16.329999999999998</v>
      </c>
      <c r="C1133" s="2" vm="8435">
        <f ca="1"/>
        <v>18.100000000000001</v>
      </c>
      <c r="D1133" s="2" vm="8211">
        <f ca="1"/>
        <v>16.22</v>
      </c>
      <c r="E1133" s="2" vm="8197">
        <f ca="1"/>
        <v>16.75</v>
      </c>
    </row>
    <row r="1134" spans="1:5" x14ac:dyDescent="0.2">
      <c r="A1134" s="1" vm="5881">
        <f ca="1"/>
        <v>46037</v>
      </c>
      <c r="B1134" s="2" vm="8261">
        <f ca="1"/>
        <v>16.52</v>
      </c>
      <c r="C1134" s="2" vm="6893">
        <f ca="1"/>
        <v>16.54</v>
      </c>
      <c r="D1134" s="2" vm="8013">
        <f ca="1"/>
        <v>15.3</v>
      </c>
      <c r="E1134" s="2" vm="8344">
        <f ca="1"/>
        <v>15.84</v>
      </c>
    </row>
    <row r="1135" spans="1:5" x14ac:dyDescent="0.2">
      <c r="A1135" s="1" vm="5886">
        <f ca="1"/>
        <v>46038</v>
      </c>
      <c r="B1135" s="2" vm="6898">
        <f ca="1"/>
        <v>15.44</v>
      </c>
      <c r="C1135" s="2" vm="6916">
        <f ca="1"/>
        <v>16.29</v>
      </c>
      <c r="D1135" s="2" vm="8013">
        <f ca="1"/>
        <v>15.3</v>
      </c>
      <c r="E1135" s="2" vm="8291">
        <f ca="1"/>
        <v>15.86</v>
      </c>
    </row>
    <row r="1136" spans="1:5" x14ac:dyDescent="0.2">
      <c r="A1136" s="1" vm="8482">
        <f ca="1"/>
        <v>46041</v>
      </c>
      <c r="B1136" s="2" vm="6803">
        <f ca="1"/>
        <v>18.63</v>
      </c>
      <c r="C1136" s="2" vm="6933">
        <f ca="1"/>
        <v>19.59</v>
      </c>
      <c r="D1136" s="2" vm="8483">
        <f ca="1"/>
        <v>18.28</v>
      </c>
      <c r="E1136" s="2" vm="7824">
        <f ca="1"/>
        <v>18.84</v>
      </c>
    </row>
    <row r="1137" spans="1:5" x14ac:dyDescent="0.2">
      <c r="A1137" s="1" vm="5892">
        <f ca="1"/>
        <v>46042</v>
      </c>
      <c r="B1137" s="2" vm="6841">
        <f ca="1"/>
        <v>19.940000000000001</v>
      </c>
      <c r="C1137" s="2" vm="6836">
        <f ca="1"/>
        <v>20.99</v>
      </c>
      <c r="D1137" s="2" vm="6852">
        <f ca="1"/>
        <v>18.64</v>
      </c>
      <c r="E1137" s="2" vm="7829">
        <f ca="1"/>
        <v>20.09</v>
      </c>
    </row>
    <row r="1138" spans="1:5" x14ac:dyDescent="0.2">
      <c r="A1138" s="1" vm="5897">
        <f ca="1"/>
        <v>46043</v>
      </c>
      <c r="B1138" s="2" vm="7851">
        <f ca="1"/>
        <v>19.309999999999999</v>
      </c>
      <c r="C1138" s="2" vm="6787">
        <f ca="1"/>
        <v>20.81</v>
      </c>
      <c r="D1138" s="2" vm="8292">
        <f ca="1"/>
        <v>16.670000000000002</v>
      </c>
      <c r="E1138" s="2" vm="7812">
        <f ca="1"/>
        <v>16.899999999999999</v>
      </c>
    </row>
    <row r="1139" spans="1:5" x14ac:dyDescent="0.2">
      <c r="A1139" s="1" vm="5902">
        <f ca="1"/>
        <v>46044</v>
      </c>
      <c r="B1139" s="2" vm="6894">
        <f ca="1"/>
        <v>16.649999999999999</v>
      </c>
      <c r="C1139" s="2" vm="8292">
        <f ca="1"/>
        <v>16.670000000000002</v>
      </c>
      <c r="D1139" s="2" vm="8206">
        <f ca="1"/>
        <v>15.27</v>
      </c>
      <c r="E1139" s="2" vm="8303">
        <f ca="1"/>
        <v>15.64</v>
      </c>
    </row>
    <row r="1140" spans="1:5" x14ac:dyDescent="0.2">
      <c r="A1140" s="1" vm="5908">
        <f ca="1"/>
        <v>46045</v>
      </c>
      <c r="B1140" s="2" vm="6744">
        <f ca="1"/>
        <v>15.68</v>
      </c>
      <c r="C1140" s="2" vm="7940">
        <f ca="1"/>
        <v>16.21</v>
      </c>
      <c r="D1140" s="2" vm="8013">
        <f ca="1"/>
        <v>15.3</v>
      </c>
      <c r="E1140" s="2" vm="6863">
        <f ca="1"/>
        <v>16.09</v>
      </c>
    </row>
    <row r="1141" spans="1:5" x14ac:dyDescent="0.2">
      <c r="A1141" s="1" vm="5914">
        <f ca="1"/>
        <v>46048</v>
      </c>
      <c r="B1141" s="2" vm="7812">
        <f ca="1"/>
        <v>16.899999999999999</v>
      </c>
      <c r="C1141" s="2" vm="7984">
        <f ca="1"/>
        <v>17.39</v>
      </c>
      <c r="D1141" s="2" vm="7995">
        <f ca="1"/>
        <v>15.8</v>
      </c>
      <c r="E1141" s="2" vm="6915">
        <f ca="1"/>
        <v>16.149999999999999</v>
      </c>
    </row>
    <row r="1142" spans="1:5" x14ac:dyDescent="0.2">
      <c r="A1142" s="1" vm="5920">
        <f ca="1"/>
        <v>46049</v>
      </c>
      <c r="B1142" s="2" vm="8200">
        <f ca="1"/>
        <v>16.02</v>
      </c>
      <c r="C1142" s="2" vm="6921">
        <f ca="1"/>
        <v>16.37</v>
      </c>
      <c r="D1142" s="2" vm="8464">
        <f ca="1"/>
        <v>15.74</v>
      </c>
      <c r="E1142" s="2" vm="8195">
        <f ca="1"/>
        <v>16.350000000000001</v>
      </c>
    </row>
    <row r="1143" spans="1:5" x14ac:dyDescent="0.2">
      <c r="A1143" s="1" vm="5926">
        <f ca="1"/>
        <v>46050</v>
      </c>
      <c r="B1143" s="2" vm="6863">
        <f ca="1"/>
        <v>16.09</v>
      </c>
      <c r="C1143" s="2" vm="8301">
        <f ca="1"/>
        <v>17.18</v>
      </c>
      <c r="D1143" s="2" vm="7847">
        <f ca="1"/>
        <v>16.05</v>
      </c>
      <c r="E1143" s="2" vm="8195">
        <f ca="1"/>
        <v>16.350000000000001</v>
      </c>
    </row>
    <row r="1144" spans="1:5" x14ac:dyDescent="0.2">
      <c r="A1144" s="1" vm="5931">
        <f ca="1"/>
        <v>46051</v>
      </c>
      <c r="B1144" s="2" vm="8187">
        <f ca="1"/>
        <v>16.04</v>
      </c>
      <c r="C1144" s="2" vm="6810">
        <f ca="1"/>
        <v>19.739999999999998</v>
      </c>
      <c r="D1144" s="2" vm="8200">
        <f ca="1"/>
        <v>16.02</v>
      </c>
      <c r="E1144" s="2" vm="8002">
        <f ca="1"/>
        <v>16.88</v>
      </c>
    </row>
    <row r="1145" spans="1:5" x14ac:dyDescent="0.2">
      <c r="A1145" s="1" vm="5936">
        <f ca="1"/>
        <v>46052</v>
      </c>
      <c r="B1145" s="2" vm="7217">
        <f ca="1"/>
        <v>18.72</v>
      </c>
      <c r="C1145" s="2" vm="8484">
        <f ca="1"/>
        <v>19.27</v>
      </c>
      <c r="D1145" s="2" vm="8292">
        <f ca="1"/>
        <v>16.670000000000002</v>
      </c>
      <c r="E1145" s="2" vm="7838">
        <f ca="1"/>
        <v>17.440000000000001</v>
      </c>
    </row>
    <row r="1146" spans="1:5" x14ac:dyDescent="0.2">
      <c r="A1146" s="1" vm="5940">
        <f ca="1"/>
        <v>46055</v>
      </c>
      <c r="B1146" s="2" vm="7495">
        <f ca="1"/>
        <v>19.95</v>
      </c>
      <c r="C1146" s="2" vm="7101">
        <f ca="1"/>
        <v>19.96</v>
      </c>
      <c r="D1146" s="2" vm="6751">
        <f ca="1"/>
        <v>16.079999999999998</v>
      </c>
      <c r="E1146" s="2" vm="7025">
        <f ca="1"/>
        <v>16.34</v>
      </c>
    </row>
    <row r="1147" spans="1:5" x14ac:dyDescent="0.2">
      <c r="A1147" s="1" vm="5945">
        <f ca="1"/>
        <v>46056</v>
      </c>
      <c r="B1147" s="2" vm="8485">
        <f ca="1"/>
        <v>16.16</v>
      </c>
      <c r="C1147" s="2" vm="7102">
        <f ca="1"/>
        <v>20.37</v>
      </c>
      <c r="D1147" s="2" vm="7847">
        <f ca="1"/>
        <v>16.05</v>
      </c>
      <c r="E1147" s="2" vm="7012">
        <f ca="1"/>
        <v>18</v>
      </c>
    </row>
    <row r="1148" spans="1:5" x14ac:dyDescent="0.2">
      <c r="A1148" s="1" vm="5951">
        <f ca="1"/>
        <v>46057</v>
      </c>
      <c r="B1148" s="2" vm="6806">
        <f ca="1"/>
        <v>17.63</v>
      </c>
      <c r="C1148" s="2" vm="7226">
        <f ca="1"/>
        <v>21.24</v>
      </c>
      <c r="D1148" s="2" vm="8486">
        <f ca="1"/>
        <v>17.47</v>
      </c>
      <c r="E1148" s="2" vm="6852">
        <f ca="1"/>
        <v>18.64</v>
      </c>
    </row>
    <row r="1149" spans="1:5" x14ac:dyDescent="0.2">
      <c r="A1149" s="1" vm="5957">
        <f ca="1"/>
        <v>46058</v>
      </c>
      <c r="B1149" s="2" vm="7746">
        <f ca="1"/>
        <v>19.239999999999998</v>
      </c>
      <c r="C1149" s="2" vm="8487">
        <f ca="1"/>
        <v>23.1</v>
      </c>
      <c r="D1149" s="2" vm="7668">
        <f ca="1"/>
        <v>19.059999999999999</v>
      </c>
      <c r="E1149" s="2" vm="7487">
        <f ca="1"/>
        <v>21.77</v>
      </c>
    </row>
    <row r="1150" spans="1:5" x14ac:dyDescent="0.2">
      <c r="A1150" s="1" vm="5963">
        <f ca="1"/>
        <v>46059</v>
      </c>
      <c r="B1150" s="2" vm="7226">
        <f ca="1"/>
        <v>21.24</v>
      </c>
      <c r="C1150" s="2" vm="7208">
        <f ca="1"/>
        <v>21.49</v>
      </c>
      <c r="D1150" s="2" vm="6912">
        <f ca="1"/>
        <v>17.27</v>
      </c>
      <c r="E1150" s="2" vm="8488">
        <f ca="1"/>
        <v>17.760000000000002</v>
      </c>
    </row>
    <row r="1151" spans="1:5" x14ac:dyDescent="0.2">
      <c r="A1151" s="1" vm="5968">
        <f ca="1"/>
        <v>46062</v>
      </c>
      <c r="B1151" s="2" vm="7854">
        <f ca="1"/>
        <v>17.95</v>
      </c>
      <c r="C1151" s="2" vm="7729">
        <f ca="1"/>
        <v>19.2</v>
      </c>
      <c r="D1151" s="2" vm="7812">
        <f ca="1"/>
        <v>16.899999999999999</v>
      </c>
      <c r="E1151" s="2" vm="6930">
        <f ca="1"/>
        <v>17.36</v>
      </c>
    </row>
    <row r="1152" spans="1:5" x14ac:dyDescent="0.2">
      <c r="A1152" s="1" vm="5974">
        <f ca="1"/>
        <v>46063</v>
      </c>
      <c r="B1152" s="2" vm="8486">
        <f ca="1"/>
        <v>17.47</v>
      </c>
      <c r="C1152" s="2" vm="7732">
        <f ca="1"/>
        <v>17.97</v>
      </c>
      <c r="D1152" s="2" vm="8000">
        <f ca="1"/>
        <v>17.14</v>
      </c>
      <c r="E1152" s="2" vm="7015">
        <f ca="1"/>
        <v>17.79</v>
      </c>
    </row>
    <row r="1153" spans="1:5" x14ac:dyDescent="0.2">
      <c r="A1153" s="1" vm="5979">
        <f ca="1"/>
        <v>46064</v>
      </c>
      <c r="B1153" s="2" vm="7738">
        <f ca="1"/>
        <v>17.87</v>
      </c>
      <c r="C1153" s="2" vm="6978">
        <f ca="1"/>
        <v>18.96</v>
      </c>
      <c r="D1153" s="2" vm="8197">
        <f ca="1"/>
        <v>16.75</v>
      </c>
      <c r="E1153" s="2" vm="6782">
        <f ca="1"/>
        <v>17.649999999999999</v>
      </c>
    </row>
    <row r="1154" spans="1:5" x14ac:dyDescent="0.2">
      <c r="A1154" s="1" vm="5984">
        <f ca="1"/>
        <v>46065</v>
      </c>
      <c r="B1154" s="2" vm="7838">
        <f ca="1"/>
        <v>17.440000000000001</v>
      </c>
      <c r="C1154" s="2" vm="7466">
        <f ca="1"/>
        <v>21.21</v>
      </c>
      <c r="D1154" s="2" vm="6920">
        <f ca="1"/>
        <v>17.079999999999998</v>
      </c>
      <c r="E1154" s="2" vm="8447">
        <f ca="1"/>
        <v>20.82</v>
      </c>
    </row>
    <row r="1155" spans="1:5" x14ac:dyDescent="0.2">
      <c r="A1155" s="1" vm="5988">
        <f ca="1"/>
        <v>46066</v>
      </c>
      <c r="B1155" s="2" vm="6818">
        <f ca="1"/>
        <v>21.48</v>
      </c>
      <c r="C1155" s="2" vm="7703">
        <f ca="1"/>
        <v>22.4</v>
      </c>
      <c r="D1155" s="2" vm="8377">
        <f ca="1"/>
        <v>18.920000000000002</v>
      </c>
      <c r="E1155" s="2" vm="6820">
        <f ca="1"/>
        <v>20.6</v>
      </c>
    </row>
    <row r="1156" spans="1:5" x14ac:dyDescent="0.2">
      <c r="A1156" s="1" vm="8489">
        <f ca="1"/>
        <v>46069</v>
      </c>
      <c r="B1156" s="2" vm="8307">
        <f ca="1"/>
        <v>20.73</v>
      </c>
      <c r="C1156" s="2" vm="8490">
        <f ca="1"/>
        <v>21.62</v>
      </c>
      <c r="D1156" s="2" vm="7102">
        <f ca="1"/>
        <v>20.37</v>
      </c>
      <c r="E1156" s="2" vm="8491">
        <f ca="1"/>
        <v>21.2</v>
      </c>
    </row>
    <row r="1157" spans="1:5" x14ac:dyDescent="0.2">
      <c r="A1157" s="1" vm="5994">
        <f ca="1"/>
        <v>46070</v>
      </c>
      <c r="B1157" s="2" vm="6972">
        <f ca="1"/>
        <v>21.74</v>
      </c>
      <c r="C1157" s="2" vm="6829">
        <f ca="1"/>
        <v>22.96</v>
      </c>
      <c r="D1157" s="2" vm="6781">
        <f ca="1"/>
        <v>19.760000000000002</v>
      </c>
      <c r="E1157" s="2" vm="7030">
        <f ca="1"/>
        <v>20.29</v>
      </c>
    </row>
    <row r="1158" spans="1:5" x14ac:dyDescent="0.2">
      <c r="A1158" s="1" vm="6000">
        <f ca="1"/>
        <v>46071</v>
      </c>
      <c r="B1158" s="2" vm="7670">
        <f ca="1"/>
        <v>19.78</v>
      </c>
      <c r="C1158" s="2" vm="7490">
        <f ca="1"/>
        <v>20.34</v>
      </c>
      <c r="D1158" s="2" vm="7754">
        <f ca="1"/>
        <v>18.48</v>
      </c>
      <c r="E1158" s="2" vm="7037">
        <f ca="1"/>
        <v>19.62</v>
      </c>
    </row>
    <row r="1159" spans="1:5" x14ac:dyDescent="0.2">
      <c r="A1159" s="1" vm="6006">
        <f ca="1"/>
        <v>46072</v>
      </c>
      <c r="B1159" s="2" vm="8299">
        <f ca="1"/>
        <v>19.34</v>
      </c>
      <c r="C1159" s="2" vm="7658">
        <f ca="1"/>
        <v>21.11</v>
      </c>
      <c r="D1159" s="2" vm="7741">
        <f ca="1"/>
        <v>19.23</v>
      </c>
      <c r="E1159" s="2" vm="6850">
        <f ca="1"/>
        <v>20.23</v>
      </c>
    </row>
    <row r="1160" spans="1:5" x14ac:dyDescent="0.2">
      <c r="A1160" s="1" vm="6012">
        <f ca="1"/>
        <v>46073</v>
      </c>
      <c r="B1160" s="2" vm="7737">
        <f ca="1"/>
        <v>20.04</v>
      </c>
      <c r="C1160" s="2" vm="7466">
        <f ca="1"/>
        <v>21.21</v>
      </c>
      <c r="D1160" s="2" vm="6771">
        <f ca="1"/>
        <v>18.760000000000002</v>
      </c>
      <c r="E1160" s="2" vm="7795">
        <f ca="1"/>
        <v>19.09</v>
      </c>
    </row>
    <row r="1161" spans="1:5" x14ac:dyDescent="0.2">
      <c r="A1161" s="1" vm="6018">
        <f ca="1"/>
        <v>46076</v>
      </c>
      <c r="B1161" s="2" vm="6990">
        <f ca="1"/>
        <v>20.49</v>
      </c>
      <c r="C1161" s="2" vm="8336">
        <f ca="1"/>
        <v>22.04</v>
      </c>
      <c r="D1161" s="2" vm="7497">
        <f ca="1"/>
        <v>19.5</v>
      </c>
      <c r="E1161" s="2" vm="6998">
        <f ca="1"/>
        <v>21.01</v>
      </c>
    </row>
    <row r="1162" spans="1:5" x14ac:dyDescent="0.2">
      <c r="A1162" s="1" vm="6023">
        <f ca="1"/>
        <v>46077</v>
      </c>
      <c r="B1162" s="2" vm="7226">
        <f ca="1"/>
        <v>21.24</v>
      </c>
      <c r="C1162" s="2" vm="8492">
        <f ca="1"/>
        <v>22.08</v>
      </c>
      <c r="D1162" s="2" vm="7741">
        <f ca="1"/>
        <v>19.23</v>
      </c>
      <c r="E1162" s="2" vm="7727">
        <f ca="1"/>
        <v>19.55</v>
      </c>
    </row>
    <row r="1163" spans="1:5" x14ac:dyDescent="0.2">
      <c r="A1163" s="1" vm="6028">
        <f ca="1"/>
        <v>46078</v>
      </c>
      <c r="B1163" s="2" vm="6933">
        <f ca="1"/>
        <v>19.59</v>
      </c>
      <c r="C1163" s="2" vm="7037">
        <f ca="1"/>
        <v>19.62</v>
      </c>
      <c r="D1163" s="2" vm="7833">
        <f ca="1"/>
        <v>17.86</v>
      </c>
      <c r="E1163" s="2" vm="6861">
        <f ca="1"/>
        <v>17.93</v>
      </c>
    </row>
    <row r="1164" spans="1:5" x14ac:dyDescent="0.2">
      <c r="A1164" s="1" vm="6033">
        <f ca="1"/>
        <v>46079</v>
      </c>
      <c r="B1164" s="2" vm="8335">
        <f ca="1"/>
        <v>18.07</v>
      </c>
      <c r="C1164" s="2" vm="6838">
        <f ca="1"/>
        <v>20.54</v>
      </c>
      <c r="D1164" s="2" vm="8444">
        <f ca="1"/>
        <v>17.5</v>
      </c>
      <c r="E1164" s="2" vm="6803">
        <f ca="1"/>
        <v>18.63</v>
      </c>
    </row>
    <row r="1165" spans="1:5" x14ac:dyDescent="0.2">
      <c r="A1165" s="1" vm="6037">
        <f ca="1"/>
        <v>46080</v>
      </c>
      <c r="B1165" s="2" vm="7722">
        <f ca="1"/>
        <v>19.28</v>
      </c>
      <c r="C1165" s="2" vm="6972">
        <f ca="1"/>
        <v>21.74</v>
      </c>
      <c r="D1165" s="2" vm="6843">
        <f ca="1"/>
        <v>18.77</v>
      </c>
      <c r="E1165" s="2" vm="7823">
        <f ca="1"/>
        <v>19.86</v>
      </c>
    </row>
    <row r="1166" spans="1:5" x14ac:dyDescent="0.2">
      <c r="A1166" s="1" vm="6043">
        <f ca="1"/>
        <v>46083</v>
      </c>
      <c r="B1166" s="2" vm="8371">
        <f ca="1"/>
        <v>24.66</v>
      </c>
      <c r="C1166" s="2" vm="7684">
        <f ca="1"/>
        <v>25.24</v>
      </c>
      <c r="D1166" s="2" vm="7102">
        <f ca="1"/>
        <v>20.37</v>
      </c>
      <c r="E1166" s="2" vm="7100">
        <f ca="1"/>
        <v>21.44</v>
      </c>
    </row>
    <row r="1167" spans="1:5" x14ac:dyDescent="0.2">
      <c r="A1167" s="1" vm="6048">
        <f ca="1"/>
        <v>46084</v>
      </c>
      <c r="B1167" s="2" vm="7080">
        <f ca="1"/>
        <v>24.57</v>
      </c>
      <c r="C1167" s="2" vm="7541">
        <f ca="1"/>
        <v>28.15</v>
      </c>
      <c r="D1167" s="2" vm="7676">
        <f ca="1"/>
        <v>22.18</v>
      </c>
      <c r="E1167" s="2" vm="7206">
        <f ca="1"/>
        <v>23.57</v>
      </c>
    </row>
    <row r="1168" spans="1:5" x14ac:dyDescent="0.2">
      <c r="A1168" s="1" vm="6054">
        <f ca="1"/>
        <v>46085</v>
      </c>
      <c r="B1168" s="2" vm="7106">
        <f ca="1"/>
        <v>24.39</v>
      </c>
      <c r="C1168" s="2" vm="8361">
        <f ca="1"/>
        <v>24.87</v>
      </c>
      <c r="D1168" s="2" vm="8493">
        <f ca="1"/>
        <v>20.399999999999999</v>
      </c>
      <c r="E1168" s="2" vm="6825">
        <f ca="1"/>
        <v>21.15</v>
      </c>
    </row>
    <row r="1169" spans="1:5" x14ac:dyDescent="0.2">
      <c r="A1169" s="1" vm="6059">
        <f ca="1"/>
        <v>46086</v>
      </c>
      <c r="B1169" s="2" vm="7788">
        <f ca="1"/>
        <v>22.11</v>
      </c>
      <c r="C1169" s="2" vm="7529">
        <f ca="1"/>
        <v>25.84</v>
      </c>
      <c r="D1169" s="2" vm="8443">
        <f ca="1"/>
        <v>20.55</v>
      </c>
      <c r="E1169" s="2" vm="8494">
        <f ca="1"/>
        <v>23.75</v>
      </c>
    </row>
    <row r="1170" spans="1:5" x14ac:dyDescent="0.2">
      <c r="A1170" s="1" vm="6065">
        <f ca="1"/>
        <v>46087</v>
      </c>
      <c r="B1170" s="2" vm="7045">
        <f ca="1"/>
        <v>23.2</v>
      </c>
      <c r="C1170" s="2" vm="8495">
        <f ca="1"/>
        <v>29.93</v>
      </c>
      <c r="D1170" s="2" vm="6830">
        <f ca="1"/>
        <v>22.92</v>
      </c>
      <c r="E1170" s="2" vm="8496">
        <f ca="1"/>
        <v>29.49</v>
      </c>
    </row>
    <row r="1171" spans="1:5" x14ac:dyDescent="0.2">
      <c r="A1171" s="1" vm="6070">
        <f ca="1"/>
        <v>46090</v>
      </c>
      <c r="B1171" s="2" vm="8497">
        <f ca="1"/>
        <v>35.119999999999997</v>
      </c>
      <c r="C1171" s="2" vm="8498">
        <f ca="1"/>
        <v>35.299999999999997</v>
      </c>
      <c r="D1171" s="2" vm="7118">
        <f ca="1"/>
        <v>24.76</v>
      </c>
      <c r="E1171" s="2" vm="8499">
        <f ca="1"/>
        <v>25.5</v>
      </c>
    </row>
    <row r="1172" spans="1:5" x14ac:dyDescent="0.2">
      <c r="A1172" s="1" vm="6076">
        <f ca="1"/>
        <v>46091</v>
      </c>
      <c r="B1172" s="2" vm="7106">
        <f ca="1"/>
        <v>24.39</v>
      </c>
      <c r="C1172" s="2" vm="8500">
        <f ca="1"/>
        <v>26.01</v>
      </c>
      <c r="D1172" s="2" vm="8501">
        <f ca="1"/>
        <v>22.19</v>
      </c>
      <c r="E1172" s="2" vm="8380">
        <f ca="1"/>
        <v>24.93</v>
      </c>
    </row>
    <row r="1173" spans="1:5" x14ac:dyDescent="0.2">
      <c r="A1173" s="1" vm="6082">
        <f ca="1"/>
        <v>46092</v>
      </c>
      <c r="B1173" s="2" vm="8502">
        <f ca="1"/>
        <v>24.9</v>
      </c>
      <c r="C1173" s="2" vm="6950">
        <f ca="1"/>
        <v>26.23</v>
      </c>
      <c r="D1173" s="2" vm="8494">
        <f ca="1"/>
        <v>23.75</v>
      </c>
      <c r="E1173" s="2" vm="7441">
        <f ca="1"/>
        <v>24.23</v>
      </c>
    </row>
    <row r="1174" spans="1:5" x14ac:dyDescent="0.2">
      <c r="A1174" s="1" vm="6088">
        <f ca="1"/>
        <v>46093</v>
      </c>
      <c r="B1174" s="2" vm="8503">
        <f ca="1"/>
        <v>25.48</v>
      </c>
      <c r="C1174" s="2" vm="8504">
        <f ca="1"/>
        <v>27.33</v>
      </c>
      <c r="D1174" s="2" vm="7249">
        <f ca="1"/>
        <v>24.6</v>
      </c>
      <c r="E1174" s="2" vm="7434">
        <f ca="1"/>
        <v>27.29</v>
      </c>
    </row>
    <row r="1175" spans="1:5" x14ac:dyDescent="0.2">
      <c r="A1175" s="1" vm="6093">
        <f ca="1"/>
        <v>46094</v>
      </c>
      <c r="B1175" s="2" vm="7404">
        <f ca="1"/>
        <v>27.85</v>
      </c>
      <c r="C1175" s="2" vm="8505">
        <f ca="1"/>
        <v>28.47</v>
      </c>
      <c r="D1175" s="2" vm="7450">
        <f ca="1"/>
        <v>24.67</v>
      </c>
      <c r="E1175" s="2" vm="6953">
        <f ca="1"/>
        <v>27.19</v>
      </c>
    </row>
    <row r="1176" spans="1:5" x14ac:dyDescent="0.2">
      <c r="A1176" s="1" vm="6098">
        <f ca="1"/>
        <v>46097</v>
      </c>
      <c r="B1176" s="2" vm="7627">
        <f ca="1"/>
        <v>25.88</v>
      </c>
      <c r="C1176" s="2" vm="7429">
        <f ca="1"/>
        <v>26.42</v>
      </c>
      <c r="D1176" s="2" vm="8506">
        <f ca="1"/>
        <v>23.23</v>
      </c>
      <c r="E1176" s="2" vm="8357">
        <f ca="1"/>
        <v>23.51</v>
      </c>
    </row>
    <row r="1177" spans="1:5" x14ac:dyDescent="0.2">
      <c r="A1177" s="1" vm="6103">
        <f ca="1"/>
        <v>46098</v>
      </c>
      <c r="B1177" s="2" vm="8429">
        <f ca="1"/>
        <v>24.56</v>
      </c>
      <c r="C1177" s="2" vm="6827">
        <f ca="1"/>
        <v>24.58</v>
      </c>
      <c r="D1177" s="2" vm="7210">
        <f ca="1"/>
        <v>21.87</v>
      </c>
      <c r="E1177" s="2" vm="7643">
        <f ca="1"/>
        <v>22.37</v>
      </c>
    </row>
    <row r="1178" spans="1:5" x14ac:dyDescent="0.2">
      <c r="A1178" s="1" vm="6108">
        <f ca="1"/>
        <v>46099</v>
      </c>
      <c r="B1178" s="2" vm="6785">
        <f ca="1"/>
        <v>21.51</v>
      </c>
      <c r="C1178" s="2" vm="7521">
        <f ca="1"/>
        <v>25.13</v>
      </c>
      <c r="D1178" s="2" vm="7700">
        <f ca="1"/>
        <v>21.47</v>
      </c>
      <c r="E1178" s="2" vm="8507">
        <f ca="1"/>
        <v>25.09</v>
      </c>
    </row>
    <row r="1179" spans="1:5" x14ac:dyDescent="0.2">
      <c r="A1179" s="1" vm="6114">
        <f ca="1"/>
        <v>46100</v>
      </c>
      <c r="B1179" s="2" vm="6793">
        <f ca="1"/>
        <v>25.6</v>
      </c>
      <c r="C1179" s="2" vm="8508">
        <f ca="1"/>
        <v>27.52</v>
      </c>
      <c r="D1179" s="2" vm="7462">
        <f ca="1"/>
        <v>23.54</v>
      </c>
      <c r="E1179" s="2" vm="8509">
        <f ca="1"/>
        <v>24.06</v>
      </c>
    </row>
    <row r="1180" spans="1:5" x14ac:dyDescent="0.2">
      <c r="A1180" s="1" vm="6120">
        <f ca="1"/>
        <v>46101</v>
      </c>
      <c r="B1180" s="2" vm="8510">
        <f ca="1"/>
        <v>24.46</v>
      </c>
      <c r="C1180" s="2" vm="8511">
        <f ca="1"/>
        <v>29.28</v>
      </c>
      <c r="D1180" s="2" vm="8479">
        <f ca="1"/>
        <v>23.68</v>
      </c>
      <c r="E1180" s="2" vm="8512">
        <f ca="1"/>
        <v>26.78</v>
      </c>
    </row>
    <row r="1181" spans="1:5" x14ac:dyDescent="0.2">
      <c r="A1181" s="1" vm="6125">
        <f ca="1"/>
        <v>46104</v>
      </c>
      <c r="B1181" s="2" vm="7262">
        <f ca="1"/>
        <v>30.04</v>
      </c>
      <c r="C1181" s="2" vm="7174">
        <f ca="1"/>
        <v>31.04</v>
      </c>
      <c r="D1181" s="2" vm="7234">
        <f ca="1"/>
        <v>20.28</v>
      </c>
      <c r="E1181" s="2" vm="8513">
        <f ca="1"/>
        <v>26.15</v>
      </c>
    </row>
    <row r="1182" spans="1:5" x14ac:dyDescent="0.2">
      <c r="A1182" s="1" vm="6131">
        <f ca="1"/>
        <v>46105</v>
      </c>
      <c r="B1182" s="2" vm="7442">
        <f ca="1"/>
        <v>25.91</v>
      </c>
      <c r="C1182" s="2" vm="8367">
        <f ca="1"/>
        <v>27.94</v>
      </c>
      <c r="D1182" s="2" vm="8514">
        <f ca="1"/>
        <v>25.64</v>
      </c>
      <c r="E1182" s="2" vm="6962">
        <f ca="1"/>
        <v>26.95</v>
      </c>
    </row>
    <row r="1183" spans="1:5" x14ac:dyDescent="0.2">
      <c r="A1183" s="1" vm="6137">
        <f ca="1"/>
        <v>46106</v>
      </c>
      <c r="B1183" s="2" vm="7430">
        <f ca="1"/>
        <v>25.79</v>
      </c>
      <c r="C1183" s="2" vm="7188">
        <f ca="1"/>
        <v>26.67</v>
      </c>
      <c r="D1183" s="2" vm="6811">
        <f ca="1"/>
        <v>24.82</v>
      </c>
      <c r="E1183" s="2" vm="7081">
        <f ca="1"/>
        <v>25.33</v>
      </c>
    </row>
    <row r="1184" spans="1:5" x14ac:dyDescent="0.2">
      <c r="A1184" s="1" vm="6143">
        <f ca="1"/>
        <v>46107</v>
      </c>
      <c r="B1184" s="2" vm="8515">
        <f ca="1"/>
        <v>26.49</v>
      </c>
      <c r="C1184" s="2" vm="8516">
        <f ca="1"/>
        <v>28.49</v>
      </c>
      <c r="D1184" s="2" vm="8517">
        <f ca="1"/>
        <v>26.12</v>
      </c>
      <c r="E1184" s="2" vm="8518">
        <f ca="1"/>
        <v>27.44</v>
      </c>
    </row>
    <row r="1185" spans="1:5" x14ac:dyDescent="0.2">
      <c r="A1185" s="1" vm="6149">
        <f ca="1"/>
        <v>46108</v>
      </c>
      <c r="B1185" s="2" vm="7336">
        <f ca="1"/>
        <v>27.54</v>
      </c>
      <c r="C1185" s="2" vm="8519">
        <f ca="1"/>
        <v>31.65</v>
      </c>
      <c r="D1185" s="2" vm="7336">
        <f ca="1"/>
        <v>27.54</v>
      </c>
      <c r="E1185" s="2" vm="8520">
        <f ca="1"/>
        <v>31.05</v>
      </c>
    </row>
    <row r="1186" spans="1:5" x14ac:dyDescent="0.2">
      <c r="A1186" s="1" vm="6154">
        <f ca="1"/>
        <v>46111</v>
      </c>
      <c r="B1186" s="2" vm="8407">
        <f ca="1"/>
        <v>30.79</v>
      </c>
      <c r="C1186" s="2" vm="8521">
        <f ca="1"/>
        <v>31.52</v>
      </c>
      <c r="D1186" s="2" vm="7331">
        <f ca="1"/>
        <v>29.33</v>
      </c>
      <c r="E1186" s="2" vm="8522">
        <f ca="1"/>
        <v>30.61</v>
      </c>
    </row>
    <row r="1187" spans="1:5" x14ac:dyDescent="0.2">
      <c r="A1187" s="1" vm="6158">
        <f ca="1"/>
        <v>46112</v>
      </c>
      <c r="B1187" s="2" vm="7408">
        <f ca="1"/>
        <v>29.53</v>
      </c>
      <c r="C1187" s="2" vm="8523">
        <f ca="1"/>
        <v>29.64</v>
      </c>
      <c r="D1187" s="2" vm="8524">
        <f ca="1"/>
        <v>25.08</v>
      </c>
      <c r="E1187" s="2" vm="7191">
        <f ca="1"/>
        <v>25.25</v>
      </c>
    </row>
    <row r="1188" spans="1:5" x14ac:dyDescent="0.2">
      <c r="A1188" s="1" vm="6162">
        <f ca="1"/>
        <v>46113</v>
      </c>
      <c r="B1188" s="2" vm="7695">
        <f ca="1"/>
        <v>24.3</v>
      </c>
      <c r="C1188" s="2" vm="8525">
        <f ca="1"/>
        <v>25.35</v>
      </c>
      <c r="D1188" s="2" vm="8526">
        <f ca="1"/>
        <v>23.5</v>
      </c>
      <c r="E1188" s="2" vm="7534">
        <f ca="1"/>
        <v>24.54</v>
      </c>
    </row>
    <row r="1189" spans="1:5" x14ac:dyDescent="0.2">
      <c r="A1189" s="1" vm="6167">
        <f ca="1"/>
        <v>46114</v>
      </c>
      <c r="B1189" s="2" vm="8512">
        <f ca="1"/>
        <v>26.78</v>
      </c>
      <c r="C1189" s="2" vm="8527">
        <f ca="1"/>
        <v>27.89</v>
      </c>
      <c r="D1189" s="2" vm="7195">
        <f ca="1"/>
        <v>23.87</v>
      </c>
      <c r="E1189" s="2" vm="7195">
        <f ca="1"/>
        <v>23.87</v>
      </c>
    </row>
    <row r="1190" spans="1:5" x14ac:dyDescent="0.2">
      <c r="A1190" s="1" vm="6172">
        <f ca="1"/>
        <v>46118</v>
      </c>
      <c r="B1190" s="2" vm="8380">
        <f ca="1"/>
        <v>24.93</v>
      </c>
      <c r="C1190" s="2" vm="7444">
        <f ca="1"/>
        <v>25.3</v>
      </c>
      <c r="D1190" s="2" vm="8279">
        <f ca="1"/>
        <v>23.78</v>
      </c>
      <c r="E1190" s="2" vm="8421">
        <f ca="1"/>
        <v>24.17</v>
      </c>
    </row>
    <row r="1191" spans="1:5" x14ac:dyDescent="0.2">
      <c r="A1191" s="1" vm="6178">
        <f ca="1"/>
        <v>46119</v>
      </c>
      <c r="B1191" s="2" vm="8507">
        <f ca="1"/>
        <v>25.09</v>
      </c>
      <c r="C1191" s="2" vm="7274">
        <f ca="1"/>
        <v>28</v>
      </c>
      <c r="D1191" s="2" vm="7637">
        <f ca="1"/>
        <v>24.34</v>
      </c>
      <c r="E1191" s="2" vm="7292">
        <f ca="1"/>
        <v>25.78</v>
      </c>
    </row>
    <row r="1192" spans="1:5" x14ac:dyDescent="0.2">
      <c r="A1192" s="1" vm="6183">
        <f ca="1"/>
        <v>46120</v>
      </c>
      <c r="B1192" s="2" vm="8528">
        <f ca="1"/>
        <v>20.97</v>
      </c>
      <c r="C1192" s="2" vm="7251">
        <f ca="1"/>
        <v>22.17</v>
      </c>
      <c r="D1192" s="2" vm="6800">
        <f ca="1"/>
        <v>19.91</v>
      </c>
      <c r="E1192" s="2" vm="6999">
        <f ca="1"/>
        <v>21.04</v>
      </c>
    </row>
    <row r="1193" spans="1:5" x14ac:dyDescent="0.2">
      <c r="A1193" s="1" vm="6188">
        <f ca="1"/>
        <v>46121</v>
      </c>
      <c r="B1193" s="2" vm="7232">
        <f ca="1"/>
        <v>21.25</v>
      </c>
      <c r="C1193" s="2" vm="8529">
        <f ca="1"/>
        <v>21.63</v>
      </c>
      <c r="D1193" s="2" vm="7794">
        <f ca="1"/>
        <v>19.45</v>
      </c>
      <c r="E1193" s="2" vm="7717">
        <f ca="1"/>
        <v>19.489999999999998</v>
      </c>
    </row>
    <row r="1194" spans="1:5" x14ac:dyDescent="0.2">
      <c r="A1194" s="1" vm="6192">
        <f ca="1"/>
        <v>46122</v>
      </c>
      <c r="B1194" s="2" vm="6812">
        <f ca="1"/>
        <v>19.71</v>
      </c>
      <c r="C1194" s="2" vm="7234">
        <f ca="1"/>
        <v>20.28</v>
      </c>
      <c r="D1194" s="2" vm="7714">
        <f ca="1"/>
        <v>18.829999999999998</v>
      </c>
      <c r="E1194" s="2" vm="7741">
        <f ca="1"/>
        <v>19.23</v>
      </c>
    </row>
    <row r="1195" spans="1:5" x14ac:dyDescent="0.2">
      <c r="A1195" s="1" vm="6198">
        <f ca="1"/>
        <v>46125</v>
      </c>
      <c r="B1195" s="2" vm="8375">
        <f ca="1"/>
        <v>21.17</v>
      </c>
      <c r="C1195" s="2" vm="6970">
        <f ca="1"/>
        <v>21.58</v>
      </c>
      <c r="D1195" s="2" vm="6978">
        <f ca="1"/>
        <v>18.96</v>
      </c>
      <c r="E1195" s="2" vm="7492">
        <f ca="1"/>
        <v>19.12</v>
      </c>
    </row>
    <row r="1196" spans="1:5" x14ac:dyDescent="0.2">
      <c r="A1196" s="1" vm="6204">
        <f ca="1"/>
        <v>46126</v>
      </c>
      <c r="B1196" s="2" vm="6910">
        <f ca="1"/>
        <v>18.73</v>
      </c>
      <c r="C1196" s="2" vm="6771">
        <f ca="1"/>
        <v>18.760000000000002</v>
      </c>
      <c r="D1196" s="2" vm="7999">
        <f ca="1"/>
        <v>17.89</v>
      </c>
      <c r="E1196" s="2" vm="8057">
        <f ca="1"/>
        <v>18.36</v>
      </c>
    </row>
    <row r="1197" spans="1:5" x14ac:dyDescent="0.2">
      <c r="A1197" s="1" vm="6209">
        <f ca="1"/>
        <v>46127</v>
      </c>
      <c r="B1197" s="2" vm="6779">
        <f ca="1"/>
        <v>18.18</v>
      </c>
      <c r="C1197" s="2" vm="8453">
        <f ca="1"/>
        <v>18.5</v>
      </c>
      <c r="D1197" s="2" vm="6887">
        <f ca="1"/>
        <v>17.399999999999999</v>
      </c>
      <c r="E1197" s="2" vm="7038">
        <f ca="1"/>
        <v>18.170000000000002</v>
      </c>
    </row>
    <row r="1198" spans="1:5" x14ac:dyDescent="0.2">
      <c r="A1198" s="1" vm="6214">
        <f ca="1"/>
        <v>46128</v>
      </c>
      <c r="B1198" s="2" vm="7858">
        <f ca="1"/>
        <v>18.04</v>
      </c>
      <c r="C1198" s="2" vm="7795">
        <f ca="1"/>
        <v>19.09</v>
      </c>
      <c r="D1198" s="2" vm="8488">
        <f ca="1"/>
        <v>17.760000000000002</v>
      </c>
      <c r="E1198" s="2" vm="6766">
        <f ca="1"/>
        <v>17.940000000000001</v>
      </c>
    </row>
    <row r="1199" spans="1:5" x14ac:dyDescent="0.2">
      <c r="A1199" s="1" vm="6219">
        <f ca="1"/>
        <v>46129</v>
      </c>
      <c r="B1199" s="2" vm="6779">
        <f ca="1"/>
        <v>18.18</v>
      </c>
      <c r="C1199" s="2" vm="7821">
        <f ca="1"/>
        <v>18.239999999999998</v>
      </c>
      <c r="D1199" s="2" vm="7844">
        <f ca="1"/>
        <v>16.87</v>
      </c>
      <c r="E1199" s="2" vm="8376">
        <f ca="1"/>
        <v>17.48</v>
      </c>
    </row>
    <row r="1200" spans="1:5" x14ac:dyDescent="0.2">
      <c r="A1200" s="1" vm="6225">
        <f ca="1"/>
        <v>46132</v>
      </c>
      <c r="B1200" s="2" vm="6773">
        <f ca="1"/>
        <v>19.579999999999998</v>
      </c>
      <c r="C1200" s="2" vm="7742">
        <f ca="1"/>
        <v>19.989999999999998</v>
      </c>
      <c r="D1200" s="2" vm="6843">
        <f ca="1"/>
        <v>18.77</v>
      </c>
      <c r="E1200" s="2" vm="8316">
        <f ca="1"/>
        <v>18.87</v>
      </c>
    </row>
    <row r="1201" spans="1:5" x14ac:dyDescent="0.2">
      <c r="A1201" s="1" vm="6231">
        <f ca="1"/>
        <v>46133</v>
      </c>
      <c r="B1201" s="2" vm="8442">
        <f ca="1"/>
        <v>19.18</v>
      </c>
      <c r="C1201" s="2" vm="7246">
        <f ca="1"/>
        <v>20.85</v>
      </c>
      <c r="D1201" s="2" vm="8530">
        <f ca="1"/>
        <v>18.75</v>
      </c>
      <c r="E1201" s="2" vm="7497">
        <f ca="1"/>
        <v>19.5</v>
      </c>
    </row>
    <row r="1202" spans="1:5" x14ac:dyDescent="0.2">
      <c r="A1202" s="1" vm="6237">
        <f ca="1"/>
        <v>46134</v>
      </c>
      <c r="B1202" s="2" vm="6938">
        <f ca="1"/>
        <v>19.03</v>
      </c>
      <c r="C1202" s="2" vm="6763">
        <f ca="1"/>
        <v>19.54</v>
      </c>
      <c r="D1202" s="2" vm="8438">
        <f ca="1"/>
        <v>18.68</v>
      </c>
      <c r="E1202" s="2" vm="8377">
        <f ca="1"/>
        <v>18.920000000000002</v>
      </c>
    </row>
    <row r="1203" spans="1:5" x14ac:dyDescent="0.2">
      <c r="A1203" s="1" vm="6242">
        <f ca="1"/>
        <v>46135</v>
      </c>
      <c r="B1203" s="2" vm="7801">
        <f ca="1"/>
        <v>19.420000000000002</v>
      </c>
      <c r="C1203" s="2" vm="7083">
        <f ca="1"/>
        <v>21.56</v>
      </c>
      <c r="D1203" s="2" vm="7797">
        <f ca="1"/>
        <v>18.7</v>
      </c>
      <c r="E1203" s="2" vm="7851">
        <f ca="1"/>
        <v>19.309999999999999</v>
      </c>
    </row>
    <row r="1204" spans="1:5" x14ac:dyDescent="0.2">
      <c r="A1204" s="1" vm="6248">
        <f ca="1"/>
        <v>46136</v>
      </c>
      <c r="B1204" s="2" vm="8283">
        <f ca="1"/>
        <v>18.89</v>
      </c>
      <c r="C1204" s="2" vm="8472">
        <f ca="1"/>
        <v>19.350000000000001</v>
      </c>
      <c r="D1204" s="2" vm="8263">
        <f ca="1"/>
        <v>18.46</v>
      </c>
      <c r="E1204" s="2" vm="7723">
        <f ca="1"/>
        <v>18.71</v>
      </c>
    </row>
    <row r="1205" spans="1:5" x14ac:dyDescent="0.2">
      <c r="A1205" s="1" vm="6254">
        <f ca="1"/>
        <v>46139</v>
      </c>
      <c r="B1205" s="2" vm="7720">
        <f ca="1"/>
        <v>19.21</v>
      </c>
      <c r="C1205" s="2" vm="8484">
        <f ca="1"/>
        <v>19.27</v>
      </c>
      <c r="D1205" s="2" vm="8065">
        <f ca="1"/>
        <v>18.02</v>
      </c>
      <c r="E1205" s="2" vm="8065">
        <f ca="1"/>
        <v>18.02</v>
      </c>
    </row>
    <row r="1206" spans="1:5" x14ac:dyDescent="0.2">
      <c r="A1206" s="1" vm="6260">
        <f ca="1"/>
        <v>46140</v>
      </c>
      <c r="B1206" s="2" vm="7840">
        <f ca="1"/>
        <v>18.3</v>
      </c>
      <c r="C1206" s="2" vm="7500">
        <f ca="1"/>
        <v>19.43</v>
      </c>
      <c r="D1206" s="2" vm="6760">
        <f ca="1"/>
        <v>17.78</v>
      </c>
      <c r="E1206" s="2" vm="8353">
        <f ca="1"/>
        <v>17.829999999999998</v>
      </c>
    </row>
    <row r="1207" spans="1:5" x14ac:dyDescent="0.2">
      <c r="A1207" s="1" vm="6266">
        <f ca="1"/>
        <v>46141</v>
      </c>
      <c r="B1207" s="2" vm="8353">
        <f ca="1"/>
        <v>17.829999999999998</v>
      </c>
      <c r="C1207" s="2" vm="7715">
        <f ca="1"/>
        <v>19</v>
      </c>
      <c r="D1207" s="2" vm="7024">
        <f ca="1"/>
        <v>17.809999999999999</v>
      </c>
      <c r="E1207" s="2" vm="7002">
        <f ca="1"/>
        <v>18.809999999999999</v>
      </c>
    </row>
    <row r="1208" spans="1:5" x14ac:dyDescent="0.2">
      <c r="A1208" s="1" vm="6271">
        <f ca="1"/>
        <v>46142</v>
      </c>
      <c r="B1208" s="2" vm="8438">
        <f ca="1"/>
        <v>18.68</v>
      </c>
      <c r="C1208" s="2" vm="6910">
        <f ca="1"/>
        <v>18.73</v>
      </c>
      <c r="D1208" s="2" vm="7844">
        <f ca="1"/>
        <v>16.87</v>
      </c>
      <c r="E1208" s="2" vm="6756">
        <f ca="1"/>
        <v>16.89</v>
      </c>
    </row>
    <row r="1209" spans="1:5" x14ac:dyDescent="0.2">
      <c r="A1209" s="1" vm="6276">
        <f ca="1"/>
        <v>46143</v>
      </c>
      <c r="B1209" s="2" vm="8304">
        <f ca="1"/>
        <v>17.010000000000002</v>
      </c>
      <c r="C1209" s="2" vm="7984">
        <f ca="1"/>
        <v>17.39</v>
      </c>
      <c r="D1209" s="2" vm="6904">
        <f ca="1"/>
        <v>16.440000000000001</v>
      </c>
      <c r="E1209" s="2" vm="6768">
        <f ca="1"/>
        <v>16.989999999999998</v>
      </c>
    </row>
    <row r="1210" spans="1:5" x14ac:dyDescent="0.2">
      <c r="A1210" s="1" vm="6281">
        <f ca="1"/>
        <v>46146</v>
      </c>
      <c r="B1210" s="2" vm="8455">
        <f ca="1"/>
        <v>17.38</v>
      </c>
      <c r="C1210" s="2" vm="7032">
        <f ca="1"/>
        <v>19.079999999999998</v>
      </c>
      <c r="D1210" s="2" vm="7846">
        <f ca="1"/>
        <v>17.149999999999999</v>
      </c>
      <c r="E1210" s="2" vm="8048">
        <f ca="1"/>
        <v>18.29</v>
      </c>
    </row>
    <row r="1211" spans="1:5" x14ac:dyDescent="0.2">
      <c r="A1211" s="1" vm="6287">
        <f ca="1"/>
        <v>46147</v>
      </c>
      <c r="B1211" s="2" vm="7854">
        <f ca="1"/>
        <v>17.95</v>
      </c>
      <c r="C1211" s="2" vm="8065">
        <f ca="1"/>
        <v>18.02</v>
      </c>
      <c r="D1211" s="2" vm="8008">
        <f ca="1"/>
        <v>17.2</v>
      </c>
      <c r="E1211" s="2" vm="8455">
        <f ca="1"/>
        <v>17.38</v>
      </c>
    </row>
    <row r="1212" spans="1:5" x14ac:dyDescent="0.2">
      <c r="A1212" s="1" vm="6293">
        <f ca="1"/>
        <v>46148</v>
      </c>
      <c r="B1212" s="2" vm="7846">
        <f ca="1"/>
        <v>17.149999999999999</v>
      </c>
      <c r="C1212" s="2" vm="6918">
        <f ca="1"/>
        <v>17.46</v>
      </c>
      <c r="D1212" s="2" vm="8462">
        <f ca="1"/>
        <v>16.18</v>
      </c>
      <c r="E1212" s="2" vm="7984">
        <f ca="1"/>
        <v>17.39</v>
      </c>
    </row>
    <row r="1213" spans="1:5" x14ac:dyDescent="0.2">
      <c r="A1213" s="1" vm="6299">
        <f ca="1"/>
        <v>46149</v>
      </c>
      <c r="B1213" s="2" vm="7856">
        <f ca="1"/>
        <v>17.53</v>
      </c>
      <c r="C1213" s="2" vm="7019">
        <f ca="1"/>
        <v>17.600000000000001</v>
      </c>
      <c r="D1213" s="2" vm="6857">
        <f ca="1"/>
        <v>16.850000000000001</v>
      </c>
      <c r="E1213" s="2" vm="6920">
        <f ca="1"/>
        <v>17.079999999999998</v>
      </c>
    </row>
    <row r="1214" spans="1:5" x14ac:dyDescent="0.2">
      <c r="A1214" s="1" vm="6305">
        <f ca="1"/>
        <v>46150</v>
      </c>
      <c r="B1214" s="2" vm="8333">
        <f ca="1"/>
        <v>17.37</v>
      </c>
      <c r="C1214" s="2" vm="7856">
        <f ca="1"/>
        <v>17.53</v>
      </c>
      <c r="D1214" s="2" vm="7850">
        <f ca="1"/>
        <v>16.82</v>
      </c>
      <c r="E1214" s="2" vm="6923">
        <f ca="1"/>
        <v>17.190000000000001</v>
      </c>
    </row>
    <row r="1215" spans="1:5" x14ac:dyDescent="0.2">
      <c r="A1215" s="1" vm="6311">
        <f ca="1"/>
        <v>46153</v>
      </c>
      <c r="B1215" s="2" vm="8202">
        <f ca="1"/>
        <v>18.21</v>
      </c>
      <c r="C1215" s="2" vm="7009">
        <f ca="1"/>
        <v>18.47</v>
      </c>
      <c r="D1215" s="2" vm="8342">
        <f ca="1"/>
        <v>17.899999999999999</v>
      </c>
      <c r="E1215" s="2" vm="8531">
        <f ca="1"/>
        <v>18.38</v>
      </c>
    </row>
    <row r="1216" spans="1:5" x14ac:dyDescent="0.2">
      <c r="A1216" s="1" vm="6317">
        <f ca="1"/>
        <v>46154</v>
      </c>
      <c r="B1216" s="2" vm="6843">
        <f ca="1"/>
        <v>18.77</v>
      </c>
      <c r="C1216" s="2" vm="7805">
        <f ca="1"/>
        <v>19.100000000000001</v>
      </c>
      <c r="D1216" s="2" vm="7837">
        <f ca="1"/>
        <v>17.920000000000002</v>
      </c>
      <c r="E1216" s="2" vm="7842">
        <f ca="1"/>
        <v>17.989999999999998</v>
      </c>
    </row>
    <row r="1217" spans="1:5" x14ac:dyDescent="0.2">
      <c r="A1217" s="1" vm="6322">
        <f ca="1"/>
        <v>46155</v>
      </c>
      <c r="B1217" s="2" vm="8532">
        <f ca="1"/>
        <v>17.98</v>
      </c>
      <c r="C1217" s="2" vm="7803">
        <f ca="1"/>
        <v>18.399999999999999</v>
      </c>
      <c r="D1217" s="2" vm="8488">
        <f ca="1"/>
        <v>17.760000000000002</v>
      </c>
      <c r="E1217" s="2" vm="7738">
        <f ca="1"/>
        <v>17.87</v>
      </c>
    </row>
    <row r="1218" spans="1:5" x14ac:dyDescent="0.2">
      <c r="A1218" s="1" vm="6328">
        <f ca="1"/>
        <v>46156</v>
      </c>
      <c r="B1218" s="2" vm="7833">
        <f ca="1"/>
        <v>17.86</v>
      </c>
      <c r="C1218" s="2" vm="6853">
        <f ca="1"/>
        <v>18.079999999999998</v>
      </c>
      <c r="D1218" s="2" vm="8008">
        <f ca="1"/>
        <v>17.2</v>
      </c>
      <c r="E1218" s="2" vm="7841">
        <f ca="1"/>
        <v>17.260000000000002</v>
      </c>
    </row>
    <row r="1219" spans="1:5" x14ac:dyDescent="0.2">
      <c r="A1219" s="1" vm="6334">
        <f ca="1"/>
        <v>46157</v>
      </c>
      <c r="B1219" s="2" vm="8335">
        <f ca="1"/>
        <v>18.07</v>
      </c>
      <c r="C1219" s="2" vm="8484">
        <f ca="1"/>
        <v>19.27</v>
      </c>
      <c r="D1219" s="2" vm="7809">
        <f ca="1"/>
        <v>17.8</v>
      </c>
      <c r="E1219" s="2" vm="7743">
        <f ca="1"/>
        <v>18.43</v>
      </c>
    </row>
    <row r="1220" spans="1:5" x14ac:dyDescent="0.2">
      <c r="A1220" s="1" vm="6338">
        <f ca="1"/>
        <v>46160</v>
      </c>
      <c r="B1220" s="2" vm="7739">
        <f ca="1"/>
        <v>19.25</v>
      </c>
      <c r="C1220" s="2" vm="6762">
        <f ca="1"/>
        <v>19.440000000000001</v>
      </c>
      <c r="D1220" s="2" vm="6891">
        <f ca="1"/>
        <v>17.7</v>
      </c>
      <c r="E1220" s="2" vm="7828">
        <f ca="1"/>
        <v>17.82</v>
      </c>
    </row>
    <row r="1221" spans="1:5" x14ac:dyDescent="0.2">
      <c r="A1221" s="1" vm="6344">
        <f ca="1"/>
        <v>46161</v>
      </c>
      <c r="B1221" s="2" vm="6778">
        <f ca="1"/>
        <v>18.010000000000002</v>
      </c>
      <c r="C1221" s="2" vm="8057">
        <f ca="1"/>
        <v>18.36</v>
      </c>
      <c r="D1221" s="2" vm="6913">
        <f ca="1"/>
        <v>17.66</v>
      </c>
      <c r="E1221" s="2" vm="6888">
        <f ca="1"/>
        <v>18.059999999999999</v>
      </c>
    </row>
    <row r="1222" spans="1:5" x14ac:dyDescent="0.2">
      <c r="A1222" s="1" vm="6350">
        <f ca="1"/>
        <v>46162</v>
      </c>
      <c r="B1222" s="2" vm="7038">
        <f ca="1"/>
        <v>18.170000000000002</v>
      </c>
      <c r="C1222" s="2" vm="6779">
        <f ca="1"/>
        <v>18.18</v>
      </c>
      <c r="D1222" s="2" vm="8003">
        <f ca="1"/>
        <v>17.13</v>
      </c>
      <c r="E1222" s="2" vm="7838">
        <f ca="1"/>
        <v>17.440000000000001</v>
      </c>
    </row>
    <row r="1223" spans="1:5" x14ac:dyDescent="0.2">
      <c r="A1223" s="1" vm="6356">
        <f ca="1"/>
        <v>46163</v>
      </c>
      <c r="B1223" s="2" vm="7811">
        <f ca="1"/>
        <v>17.579999999999998</v>
      </c>
      <c r="C1223" s="2" vm="7738">
        <f ca="1"/>
        <v>17.87</v>
      </c>
      <c r="D1223" s="2" vm="7022">
        <f ca="1"/>
        <v>16.600000000000001</v>
      </c>
      <c r="E1223" s="2" vm="8203">
        <f ca="1"/>
        <v>16.760000000000002</v>
      </c>
    </row>
    <row r="1224" spans="1:5" x14ac:dyDescent="0.2">
      <c r="A1224" s="1" vm="6361">
        <f ca="1"/>
        <v>46164</v>
      </c>
      <c r="B1224" s="2" vm="7814">
        <f ca="1"/>
        <v>16.829999999999998</v>
      </c>
      <c r="C1224" s="2" vm="7984">
        <f ca="1"/>
        <v>17.39</v>
      </c>
      <c r="D1224" s="2" vm="7817">
        <f ca="1"/>
        <v>16.46</v>
      </c>
      <c r="E1224" s="2" vm="8465">
        <f ca="1"/>
        <v>16.7</v>
      </c>
    </row>
    <row r="1225" spans="1:5" x14ac:dyDescent="0.2">
      <c r="A1225" s="1" vm="8533">
        <f ca="1"/>
        <v>46167</v>
      </c>
      <c r="B1225" s="2" vm="6926">
        <f ca="1"/>
        <v>16.809999999999999</v>
      </c>
      <c r="C1225" s="2" vm="7844">
        <f ca="1"/>
        <v>16.87</v>
      </c>
      <c r="D1225" s="2" vm="6886">
        <f ca="1"/>
        <v>16.53</v>
      </c>
      <c r="E1225" s="2" vm="8066">
        <f ca="1"/>
        <v>16.59</v>
      </c>
    </row>
    <row r="1226" spans="1:5" x14ac:dyDescent="0.2">
      <c r="A1226" s="1" vm="6367">
        <f ca="1"/>
        <v>46168</v>
      </c>
      <c r="B1226" s="2" vm="7845">
        <f ca="1"/>
        <v>16.920000000000002</v>
      </c>
      <c r="C1226" s="2" vm="6902">
        <f ca="1"/>
        <v>17.23</v>
      </c>
      <c r="D1226" s="2" vm="7021">
        <f ca="1"/>
        <v>16.559999999999999</v>
      </c>
      <c r="E1226" s="2" vm="8304">
        <f ca="1"/>
        <v>17.010000000000002</v>
      </c>
    </row>
    <row r="1227" spans="1:5" x14ac:dyDescent="0.2">
      <c r="A1227" s="1" vm="6373">
        <f ca="1"/>
        <v>46169</v>
      </c>
      <c r="B1227" s="2" vm="8304">
        <f ca="1"/>
        <v>17.010000000000002</v>
      </c>
      <c r="C1227" s="2" vm="8301">
        <f ca="1"/>
        <v>17.18</v>
      </c>
      <c r="D1227" s="2" vm="6916">
        <f ca="1"/>
        <v>16.29</v>
      </c>
      <c r="E1227" s="2" vm="6916">
        <f ca="1"/>
        <v>16.29</v>
      </c>
    </row>
    <row r="1228" spans="1:5" x14ac:dyDescent="0.2">
      <c r="A1228" s="1" vm="6379">
        <f ca="1"/>
        <v>46170</v>
      </c>
      <c r="B1228" s="2" vm="8203">
        <f ca="1"/>
        <v>16.760000000000002</v>
      </c>
      <c r="C1228" s="2" vm="6857">
        <f ca="1"/>
        <v>16.850000000000001</v>
      </c>
      <c r="D1228" s="2" vm="8290">
        <f ca="1"/>
        <v>15.61</v>
      </c>
      <c r="E1228" s="2" vm="8464">
        <f ca="1"/>
        <v>15.74</v>
      </c>
    </row>
    <row r="1229" spans="1:5" x14ac:dyDescent="0.2">
      <c r="A1229" s="1" vm="6384">
        <f ca="1"/>
        <v>46171</v>
      </c>
      <c r="B1229" s="2" vm="7990">
        <f ca="1"/>
        <v>15.81</v>
      </c>
      <c r="C1229" s="2" vm="7993">
        <f ca="1"/>
        <v>15.88</v>
      </c>
      <c r="D1229" s="2" vm="8177">
        <f ca="1"/>
        <v>15.22</v>
      </c>
      <c r="E1229" s="2" vm="8343">
        <f ca="1"/>
        <v>15.32</v>
      </c>
    </row>
    <row r="1230" spans="1:5" x14ac:dyDescent="0.2">
      <c r="A1230" s="1" vm="6390">
        <f ca="1"/>
        <v>46174</v>
      </c>
      <c r="B1230" s="2" vm="7993">
        <f ca="1"/>
        <v>15.88</v>
      </c>
      <c r="C1230" s="2" vm="7025">
        <f ca="1"/>
        <v>16.34</v>
      </c>
      <c r="D1230" s="2" vm="8268">
        <f ca="1"/>
        <v>15.71</v>
      </c>
      <c r="E1230" s="2" vm="7847">
        <f ca="1"/>
        <v>16.05</v>
      </c>
    </row>
    <row r="1231" spans="1:5" x14ac:dyDescent="0.2">
      <c r="A1231" s="1" vm="6396">
        <f ca="1"/>
        <v>46175</v>
      </c>
      <c r="B1231" s="2" vm="6924">
        <f ca="1"/>
        <v>16.28</v>
      </c>
      <c r="C1231" s="2" vm="6916">
        <f ca="1"/>
        <v>16.29</v>
      </c>
      <c r="D1231" s="2" vm="8268">
        <f ca="1"/>
        <v>15.71</v>
      </c>
      <c r="E1231" s="2" vm="7987">
        <f ca="1"/>
        <v>15.77</v>
      </c>
    </row>
    <row r="1232" spans="1:5" x14ac:dyDescent="0.2">
      <c r="A1232" s="1" vm="6402">
        <f ca="1"/>
        <v>46176</v>
      </c>
      <c r="B1232" s="2" vm="7937">
        <f ca="1"/>
        <v>15.97</v>
      </c>
      <c r="C1232" s="2" vm="7835">
        <f ca="1"/>
        <v>16.63</v>
      </c>
      <c r="D1232" s="2" vm="8288">
        <f ca="1"/>
        <v>15.94</v>
      </c>
      <c r="E1232" s="2" vm="6742">
        <f ca="1"/>
        <v>16.059999999999999</v>
      </c>
    </row>
    <row r="1233" spans="1:5" x14ac:dyDescent="0.2">
      <c r="A1233" s="1" vm="6408">
        <f ca="1"/>
        <v>46177</v>
      </c>
      <c r="B1233" s="2" vm="6877">
        <f ca="1"/>
        <v>16.329999999999998</v>
      </c>
      <c r="C1233" s="2" vm="6854">
        <f ca="1"/>
        <v>16.8</v>
      </c>
      <c r="D1233" s="2" vm="8194">
        <f ca="1"/>
        <v>15.18</v>
      </c>
      <c r="E1233" s="2" vm="8158">
        <f ca="1"/>
        <v>15.4</v>
      </c>
    </row>
    <row r="1234" spans="1:5" x14ac:dyDescent="0.2">
      <c r="A1234" s="1" vm="6414">
        <f ca="1"/>
        <v>46178</v>
      </c>
      <c r="B1234" s="2" vm="8296">
        <f ca="1"/>
        <v>15.87</v>
      </c>
      <c r="C1234" s="2" vm="6991">
        <f ca="1"/>
        <v>21.57</v>
      </c>
      <c r="D1234" s="2" vm="8319">
        <f ca="1"/>
        <v>15.56</v>
      </c>
      <c r="E1234" s="2" vm="6785">
        <f ca="1"/>
        <v>21.51</v>
      </c>
    </row>
    <row r="1235" spans="1:5" x14ac:dyDescent="0.2">
      <c r="A1235" s="1" vm="6420">
        <f ca="1"/>
        <v>46181</v>
      </c>
      <c r="B1235" s="2" vm="7030">
        <f ca="1"/>
        <v>20.29</v>
      </c>
      <c r="C1235" s="2" vm="7491">
        <f ca="1"/>
        <v>20.350000000000001</v>
      </c>
      <c r="D1235" s="2" vm="6766">
        <f ca="1"/>
        <v>17.940000000000001</v>
      </c>
      <c r="E1235" s="2" vm="8377">
        <f ca="1"/>
        <v>18.920000000000002</v>
      </c>
    </row>
    <row r="1236" spans="1:5" x14ac:dyDescent="0.2">
      <c r="A1236" s="1" vm="6425">
        <f ca="1"/>
        <v>46182</v>
      </c>
      <c r="B1236" s="2" vm="6986">
        <f ca="1"/>
        <v>18.190000000000001</v>
      </c>
      <c r="C1236" s="2" vm="7762">
        <f ca="1"/>
        <v>23.34</v>
      </c>
      <c r="D1236" s="2" vm="8050">
        <f ca="1"/>
        <v>17.52</v>
      </c>
      <c r="E1236" s="2" vm="8534">
        <f ca="1"/>
        <v>19.87</v>
      </c>
    </row>
    <row r="1237" spans="1:5" x14ac:dyDescent="0.2">
      <c r="A1237" s="1" vm="6431">
        <f ca="1"/>
        <v>46183</v>
      </c>
      <c r="B1237" s="2" vm="7768">
        <f ca="1"/>
        <v>20.100000000000001</v>
      </c>
      <c r="C1237" s="2" vm="7479">
        <f ca="1"/>
        <v>22.66</v>
      </c>
      <c r="D1237" s="2" vm="8284">
        <f ca="1"/>
        <v>20.059999999999999</v>
      </c>
      <c r="E1237" s="2" vm="7463">
        <f ca="1"/>
        <v>22.22</v>
      </c>
    </row>
    <row r="1238" spans="1:5" x14ac:dyDescent="0.2">
      <c r="A1238" s="1" vm="6437">
        <f ca="1"/>
        <v>46184</v>
      </c>
      <c r="B1238" s="2" vm="7232">
        <f ca="1"/>
        <v>21.25</v>
      </c>
      <c r="C1238" s="2" vm="7653">
        <f ca="1"/>
        <v>22.59</v>
      </c>
      <c r="D1238" s="2" vm="7721">
        <f ca="1"/>
        <v>19.36</v>
      </c>
      <c r="E1238" s="2" vm="6762">
        <f ca="1"/>
        <v>19.440000000000001</v>
      </c>
    </row>
    <row r="1239" spans="1:5" x14ac:dyDescent="0.2">
      <c r="A1239" s="1" vm="6443">
        <f ca="1"/>
        <v>46185</v>
      </c>
      <c r="B1239" s="2" vm="8535">
        <f ca="1"/>
        <v>19.510000000000002</v>
      </c>
      <c r="C1239" s="2" vm="6848">
        <f ca="1"/>
        <v>19.850000000000001</v>
      </c>
      <c r="D1239" s="2" vm="6929">
        <f ca="1"/>
        <v>17.59</v>
      </c>
      <c r="E1239" s="2" vm="7008">
        <f ca="1"/>
        <v>17.68</v>
      </c>
    </row>
    <row r="1240" spans="1:5" x14ac:dyDescent="0.2">
      <c r="A1240" s="1" vm="6448">
        <f ca="1"/>
        <v>46188</v>
      </c>
      <c r="B1240" s="2" vm="7996">
        <f ca="1"/>
        <v>16.78</v>
      </c>
      <c r="C1240" s="2" vm="6857">
        <f ca="1"/>
        <v>16.850000000000001</v>
      </c>
      <c r="D1240" s="2" vm="6738">
        <f ca="1"/>
        <v>15.98</v>
      </c>
      <c r="E1240" s="2" vm="8269">
        <f ca="1"/>
        <v>16.2</v>
      </c>
    </row>
    <row r="1241" spans="1:5" x14ac:dyDescent="0.2">
      <c r="A1241" s="1" vm="6453">
        <f ca="1"/>
        <v>46189</v>
      </c>
      <c r="B1241" s="2" vm="8269">
        <f ca="1"/>
        <v>16.2</v>
      </c>
      <c r="C1241" s="2" vm="6904">
        <f ca="1"/>
        <v>16.440000000000001</v>
      </c>
      <c r="D1241" s="2" vm="7987">
        <f ca="1"/>
        <v>15.77</v>
      </c>
      <c r="E1241" s="2" vm="6749">
        <f ca="1"/>
        <v>16.41</v>
      </c>
    </row>
    <row r="1242" spans="1:5" x14ac:dyDescent="0.2">
      <c r="A1242" s="1" vm="6458">
        <f ca="1"/>
        <v>46190</v>
      </c>
      <c r="B1242" s="2" vm="6751">
        <f ca="1"/>
        <v>16.079999999999998</v>
      </c>
      <c r="C1242" s="2" vm="7824">
        <f ca="1"/>
        <v>18.84</v>
      </c>
      <c r="D1242" s="2" vm="8200">
        <f ca="1"/>
        <v>16.02</v>
      </c>
      <c r="E1242" s="2" vm="6851">
        <f ca="1"/>
        <v>18.440000000000001</v>
      </c>
    </row>
    <row r="1243" spans="1:5" x14ac:dyDescent="0.2">
      <c r="A1243" s="1" vm="6464">
        <f ca="1"/>
        <v>46191</v>
      </c>
      <c r="B1243" s="2" vm="6902">
        <f ca="1"/>
        <v>17.23</v>
      </c>
      <c r="C1243" s="2" vm="7019">
        <f ca="1"/>
        <v>17.600000000000001</v>
      </c>
      <c r="D1243" s="2" vm="8195">
        <f ca="1"/>
        <v>16.350000000000001</v>
      </c>
      <c r="E1243" s="2" vm="7998">
        <f ca="1"/>
        <v>16.399999999999999</v>
      </c>
    </row>
    <row r="1244" spans="1:5" x14ac:dyDescent="0.2">
      <c r="A1244" s="1" vm="8536">
        <f ca="1"/>
        <v>46192</v>
      </c>
      <c r="B1244" s="2" vm="8331">
        <f ca="1"/>
        <v>17.04</v>
      </c>
      <c r="C1244" s="2" vm="6912">
        <f ca="1"/>
        <v>17.27</v>
      </c>
      <c r="D1244" s="2" vm="7825">
        <f ca="1"/>
        <v>16.72</v>
      </c>
      <c r="E1244" s="2" vm="7996">
        <f ca="1"/>
        <v>16.78</v>
      </c>
    </row>
    <row r="1245" spans="1:5" x14ac:dyDescent="0.2">
      <c r="A1245" s="1" vm="6469">
        <f ca="1"/>
        <v>46195</v>
      </c>
      <c r="B1245" s="2" vm="8376">
        <f ca="1"/>
        <v>17.48</v>
      </c>
      <c r="C1245" s="2" vm="7837">
        <f ca="1"/>
        <v>17.920000000000002</v>
      </c>
      <c r="D1245" s="2" vm="6919">
        <f ca="1"/>
        <v>16.489999999999998</v>
      </c>
      <c r="E1245" s="2" vm="8450">
        <f ca="1"/>
        <v>17.28</v>
      </c>
    </row>
    <row r="1246" spans="1:5" x14ac:dyDescent="0.2">
      <c r="A1246" s="1" vm="6474">
        <f ca="1"/>
        <v>46196</v>
      </c>
      <c r="B1246" s="2" vm="6979">
        <f ca="1"/>
        <v>19.670000000000002</v>
      </c>
      <c r="C1246" s="2" vm="6838">
        <f ca="1"/>
        <v>20.54</v>
      </c>
      <c r="D1246" s="2" vm="7772">
        <f ca="1"/>
        <v>18.61</v>
      </c>
      <c r="E1246" s="2" vm="7717">
        <f ca="1"/>
        <v>19.489999999999998</v>
      </c>
    </row>
    <row r="1247" spans="1:5" x14ac:dyDescent="0.2">
      <c r="A1247" s="1" vm="6479">
        <f ca="1"/>
        <v>46197</v>
      </c>
      <c r="B1247" s="2" vm="7736">
        <f ca="1"/>
        <v>19.13</v>
      </c>
      <c r="C1247" s="2" vm="7490">
        <f ca="1"/>
        <v>20.34</v>
      </c>
      <c r="D1247" s="2" vm="7858">
        <f ca="1"/>
        <v>18.04</v>
      </c>
      <c r="E1247" s="2" vm="6803">
        <f ca="1"/>
        <v>18.63</v>
      </c>
    </row>
    <row r="1248" spans="1:5" x14ac:dyDescent="0.2">
      <c r="A1248" s="1" vm="6483">
        <f ca="1"/>
        <v>46198</v>
      </c>
      <c r="B1248" s="2" vm="6846">
        <f ca="1"/>
        <v>18.11</v>
      </c>
      <c r="C1248" s="2" vm="7495">
        <f ca="1"/>
        <v>19.95</v>
      </c>
      <c r="D1248" s="2" vm="7815">
        <f ca="1"/>
        <v>17.72</v>
      </c>
      <c r="E1248" s="2" vm="8283">
        <f ca="1"/>
        <v>18.89</v>
      </c>
    </row>
    <row r="1249" spans="1:5" x14ac:dyDescent="0.2">
      <c r="A1249" s="1" vm="6489">
        <f ca="1"/>
        <v>46199</v>
      </c>
      <c r="B1249" s="2" vm="7213">
        <f ca="1"/>
        <v>19.7</v>
      </c>
      <c r="C1249" s="2" vm="7753">
        <f ca="1"/>
        <v>20.72</v>
      </c>
      <c r="D1249" s="2" vm="6842">
        <f ca="1"/>
        <v>18.2</v>
      </c>
      <c r="E1249" s="2" vm="6780">
        <f ca="1"/>
        <v>18.41</v>
      </c>
    </row>
    <row r="1250" spans="1:5" x14ac:dyDescent="0.2">
      <c r="A1250" s="1" vm="6495">
        <f ca="1"/>
        <v>46202</v>
      </c>
      <c r="B1250" s="2" vm="8471">
        <f ca="1"/>
        <v>18.600000000000001</v>
      </c>
      <c r="C1250" s="2" vm="7794">
        <f ca="1"/>
        <v>19.45</v>
      </c>
      <c r="D1250" s="2" vm="6914">
        <f ca="1"/>
        <v>17.489999999999998</v>
      </c>
      <c r="E1250" s="2" vm="6782">
        <f ca="1"/>
        <v>17.649999999999999</v>
      </c>
    </row>
    <row r="1251" spans="1:5" x14ac:dyDescent="0.2">
      <c r="A1251" s="1" vm="6499">
        <f ca="1"/>
        <v>46203</v>
      </c>
      <c r="B1251" s="2" vm="7011">
        <f ca="1"/>
        <v>17.54</v>
      </c>
      <c r="C1251" s="2" vm="6807">
        <f ca="1"/>
        <v>17.75</v>
      </c>
      <c r="D1251" s="2" vm="6746">
        <f ca="1"/>
        <v>16.27</v>
      </c>
      <c r="E1251" s="2" vm="8196">
        <f ca="1"/>
        <v>16.45</v>
      </c>
    </row>
    <row r="1252" spans="1:5" x14ac:dyDescent="0.2">
      <c r="A1252" s="1" vm="6504">
        <f ca="1"/>
        <v>46204</v>
      </c>
      <c r="B1252" s="2" vm="6925">
        <f ca="1"/>
        <v>17.11</v>
      </c>
      <c r="C1252" s="2" vm="7014">
        <f ca="1"/>
        <v>17.3</v>
      </c>
      <c r="D1252" s="2" vm="7937">
        <f ca="1"/>
        <v>15.97</v>
      </c>
      <c r="E1252" s="2" vm="8066">
        <f ca="1"/>
        <v>16.59</v>
      </c>
    </row>
    <row r="1253" spans="1:5" x14ac:dyDescent="0.2">
      <c r="A1253" s="1" vm="6509">
        <f ca="1"/>
        <v>46205</v>
      </c>
      <c r="B1253" s="2" vm="8463">
        <f ca="1"/>
        <v>17.05</v>
      </c>
      <c r="C1253" s="2" vm="6908">
        <f ca="1"/>
        <v>17.21</v>
      </c>
      <c r="D1253" s="2" vm="6882">
        <f ca="1"/>
        <v>15.79</v>
      </c>
      <c r="E1253" s="2" vm="6915">
        <f ca="1"/>
        <v>16.149999999999999</v>
      </c>
    </row>
    <row r="1254" spans="1:5" x14ac:dyDescent="0.2">
      <c r="A1254" s="1" vm="8537">
        <f ca="1"/>
        <v>46206</v>
      </c>
      <c r="B1254" s="2" vm="7826">
        <f ca="1"/>
        <v>15.78</v>
      </c>
      <c r="C1254" s="2" vm="7983">
        <f ca="1"/>
        <v>16.010000000000002</v>
      </c>
      <c r="D1254" s="2" vm="8210">
        <f ca="1"/>
        <v>15.75</v>
      </c>
      <c r="E1254" s="2" vm="7990">
        <f ca="1"/>
        <v>15.81</v>
      </c>
    </row>
    <row r="1255" spans="1:5" x14ac:dyDescent="0.2">
      <c r="A1255" s="1" vm="6514">
        <f ca="1"/>
        <v>46209</v>
      </c>
      <c r="B1255" s="2" vm="7998">
        <f ca="1"/>
        <v>16.399999999999999</v>
      </c>
      <c r="C1255" s="2" vm="8055">
        <f ca="1"/>
        <v>16.5</v>
      </c>
      <c r="D1255" s="2" vm="8319">
        <f ca="1"/>
        <v>15.56</v>
      </c>
      <c r="E1255" s="2" vm="6864">
        <f ca="1"/>
        <v>15.57</v>
      </c>
    </row>
    <row r="1256" spans="1:5" x14ac:dyDescent="0.2">
      <c r="A1256" s="1" vm="6519">
        <f ca="1"/>
        <v>46210</v>
      </c>
      <c r="B1256" s="2" vm="8296">
        <f ca="1"/>
        <v>15.87</v>
      </c>
      <c r="C1256" s="2" vm="6856">
        <f ca="1"/>
        <v>16.64</v>
      </c>
      <c r="D1256" s="2" vm="7827">
        <f ca="1"/>
        <v>15.53</v>
      </c>
      <c r="E1256" s="2" vm="6889">
        <f ca="1"/>
        <v>16.13</v>
      </c>
    </row>
    <row r="1257" spans="1:5" x14ac:dyDescent="0.2">
      <c r="A1257" s="1" vm="6524">
        <f ca="1"/>
        <v>46211</v>
      </c>
      <c r="B1257" s="2" vm="8451">
        <f ca="1"/>
        <v>16.55</v>
      </c>
      <c r="C1257" s="2" vm="7728">
        <f ca="1"/>
        <v>18.91</v>
      </c>
      <c r="D1257" s="2" vm="8195">
        <f ca="1"/>
        <v>16.350000000000001</v>
      </c>
      <c r="E1257" s="2" vm="7812">
        <f ca="1"/>
        <v>16.899999999999999</v>
      </c>
    </row>
    <row r="1258" spans="1:5" x14ac:dyDescent="0.2">
      <c r="A1258" s="1" vm="6530">
        <f ca="1"/>
        <v>46212</v>
      </c>
      <c r="B1258" s="2" vm="7028">
        <f ca="1"/>
        <v>16.579999999999998</v>
      </c>
      <c r="C1258" s="2" vm="6912">
        <f ca="1"/>
        <v>17.27</v>
      </c>
      <c r="D1258" s="2" vm="8204">
        <f ca="1"/>
        <v>15.76</v>
      </c>
      <c r="E1258" s="2" vm="8344">
        <f ca="1"/>
        <v>15.84</v>
      </c>
    </row>
    <row r="1259" spans="1:5" x14ac:dyDescent="0.2">
      <c r="A1259" s="1" vm="6534">
        <f ca="1"/>
        <v>46213</v>
      </c>
      <c r="B1259" s="2" vm="6742">
        <f ca="1"/>
        <v>16.059999999999999</v>
      </c>
      <c r="C1259" s="2" vm="8485">
        <f ca="1"/>
        <v>16.16</v>
      </c>
      <c r="D1259" s="2" vm="8538">
        <f ca="1"/>
        <v>14.96</v>
      </c>
      <c r="E1259" s="2" vm="8208">
        <f ca="1"/>
        <v>15.03</v>
      </c>
    </row>
    <row r="1260" spans="1:5" x14ac:dyDescent="0.2">
      <c r="A1260" s="1" vm="6538">
        <f ca="1"/>
        <v>46216</v>
      </c>
      <c r="B1260" s="2" vm="6892">
        <f ca="1"/>
        <v>16.32</v>
      </c>
      <c r="C1260" s="2" vm="8043">
        <f ca="1"/>
        <v>17.41</v>
      </c>
      <c r="D1260" s="2" vm="6895">
        <f ca="1"/>
        <v>16.03</v>
      </c>
      <c r="E1260" s="2" vm="6884">
        <f ca="1"/>
        <v>17.16</v>
      </c>
    </row>
    <row r="1261" spans="1:5" x14ac:dyDescent="0.2">
      <c r="A1261" s="1" vm="6543">
        <f ca="1"/>
        <v>46217</v>
      </c>
      <c r="B1261" s="2" vm="6908">
        <f ca="1"/>
        <v>17.21</v>
      </c>
      <c r="C1261" s="2" vm="7857">
        <f ca="1"/>
        <v>17.559999999999999</v>
      </c>
      <c r="D1261" s="2" vm="6915">
        <f ca="1"/>
        <v>16.149999999999999</v>
      </c>
      <c r="E1261" s="2" vm="8055">
        <f ca="1"/>
        <v>16.5</v>
      </c>
    </row>
    <row r="1262" spans="1:5" x14ac:dyDescent="0.2">
      <c r="A1262" s="1" vm="6547">
        <f ca="1"/>
        <v>46218</v>
      </c>
      <c r="B1262" s="2" vm="8269">
        <f ca="1"/>
        <v>16.2</v>
      </c>
      <c r="C1262" s="2" vm="7023">
        <f ca="1"/>
        <v>16.57</v>
      </c>
      <c r="D1262" s="2" vm="8303">
        <f ca="1"/>
        <v>15.64</v>
      </c>
      <c r="E1262" s="2" vm="8294">
        <f ca="1"/>
        <v>15.67</v>
      </c>
    </row>
    <row r="1263" spans="1:5" x14ac:dyDescent="0.2">
      <c r="A1263" s="1" vm="6552">
        <f ca="1"/>
        <v>46219</v>
      </c>
      <c r="B1263" s="2" vm="6866">
        <f ca="1"/>
        <v>15.82</v>
      </c>
      <c r="C1263" s="2" vm="6902">
        <f ca="1"/>
        <v>17.23</v>
      </c>
      <c r="D1263" s="2" vm="7987">
        <f ca="1"/>
        <v>15.77</v>
      </c>
      <c r="E1263" s="2" vm="8306">
        <f ca="1"/>
        <v>16.73</v>
      </c>
    </row>
    <row r="1264" spans="1:5" x14ac:dyDescent="0.2">
      <c r="A1264" s="1" vm="6557">
        <f ca="1"/>
        <v>46220</v>
      </c>
      <c r="B1264" s="2" vm="6778">
        <f ca="1"/>
        <v>18.010000000000002</v>
      </c>
      <c r="C1264" s="2" vm="7497">
        <f ca="1"/>
        <v>19.5</v>
      </c>
      <c r="D1264" s="2" vm="7008">
        <f ca="1"/>
        <v>17.68</v>
      </c>
      <c r="E1264" s="2" vm="6843">
        <f ca="1"/>
        <v>18.77</v>
      </c>
    </row>
    <row r="1265" spans="1:5" x14ac:dyDescent="0.2">
      <c r="A1265" s="1" vm="6563">
        <f ca="1"/>
        <v>46223</v>
      </c>
      <c r="B1265" s="2" vm="7215">
        <f ca="1"/>
        <v>18.899999999999999</v>
      </c>
      <c r="C1265" s="2" vm="8047">
        <f ca="1"/>
        <v>18.940000000000001</v>
      </c>
      <c r="D1265" s="2" vm="8043">
        <f ca="1"/>
        <v>17.41</v>
      </c>
      <c r="E1265" s="2" vm="8061">
        <f ca="1"/>
        <v>18.649999999999999</v>
      </c>
    </row>
    <row r="1266" spans="1:5" x14ac:dyDescent="0.2">
      <c r="A1266" s="1" vm="6568">
        <f ca="1"/>
        <v>46224</v>
      </c>
      <c r="B1266" s="2" vm="8376">
        <f ca="1"/>
        <v>17.48</v>
      </c>
      <c r="C1266" s="2" vm="7842">
        <f ca="1"/>
        <v>17.989999999999998</v>
      </c>
      <c r="D1266" s="2" vm="6855">
        <f ca="1"/>
        <v>16.86</v>
      </c>
      <c r="E1266" s="2" vm="8463">
        <f ca="1"/>
        <v>17.05</v>
      </c>
    </row>
    <row r="1267" spans="1:5" x14ac:dyDescent="0.2">
      <c r="A1267" s="1" vm="6574">
        <f ca="1"/>
        <v>46225</v>
      </c>
      <c r="B1267" s="2" vm="7981">
        <f ca="1"/>
        <v>17.420000000000002</v>
      </c>
      <c r="C1267" s="2" vm="7717">
        <f ca="1"/>
        <v>19.489999999999998</v>
      </c>
      <c r="D1267" s="2" vm="6856">
        <f ca="1"/>
        <v>16.64</v>
      </c>
      <c r="E1267" s="2" vm="6856">
        <f ca="1"/>
        <v>16.64</v>
      </c>
    </row>
    <row r="1268" spans="1:5" x14ac:dyDescent="0.2">
      <c r="A1268" s="1" vm="6578">
        <f ca="1"/>
        <v>46226</v>
      </c>
      <c r="B1268" s="2" vm="8354">
        <f ca="1"/>
        <v>17.670000000000002</v>
      </c>
      <c r="C1268" s="2" vm="6974">
        <f ca="1"/>
        <v>20.309999999999999</v>
      </c>
      <c r="D1268" s="2" vm="8006">
        <f ca="1"/>
        <v>17.32</v>
      </c>
      <c r="E1268" s="2" vm="7797">
        <f ca="1"/>
        <v>18.7</v>
      </c>
    </row>
    <row r="1269" spans="1:5" x14ac:dyDescent="0.2">
      <c r="A1269" s="1" vm="6582">
        <f ca="1"/>
        <v>46227</v>
      </c>
      <c r="B1269" s="2" vm="6978">
        <f ca="1"/>
        <v>18.96</v>
      </c>
      <c r="C1269" s="2" vm="7042">
        <f ca="1"/>
        <v>19.05</v>
      </c>
      <c r="D1269" s="2" vm="8043">
        <f ca="1"/>
        <v>17.41</v>
      </c>
      <c r="E1269" s="2" vm="6942">
        <f ca="1"/>
        <v>18.579999999999998</v>
      </c>
    </row>
    <row r="1270" spans="1:5" x14ac:dyDescent="0.2">
      <c r="A1270" s="1" vm="6584">
        <f ca="1"/>
        <v>46230</v>
      </c>
      <c r="B1270" s="2" vm="7004">
        <f ca="1"/>
        <v>17.62</v>
      </c>
      <c r="C1270" s="2" vm="6844">
        <f ca="1"/>
        <v>19.93</v>
      </c>
      <c r="D1270" s="2" vm="7856">
        <f ca="1"/>
        <v>17.53</v>
      </c>
      <c r="E1270" s="2" vm="7214">
        <f ca="1"/>
        <v>18.670000000000002</v>
      </c>
    </row>
    <row r="1271" spans="1:5" x14ac:dyDescent="0.2">
      <c r="A1271" s="1" vm="6587">
        <f ca="1"/>
        <v>46231</v>
      </c>
      <c r="B1271" s="2" vm="7042">
        <f ca="1"/>
        <v>19.05</v>
      </c>
      <c r="C1271" s="2" vm="8374">
        <f ca="1"/>
        <v>19.52</v>
      </c>
      <c r="D1271" s="2" vm="7832">
        <f ca="1"/>
        <v>17.88</v>
      </c>
      <c r="E1271" s="2" vm="8202">
        <f ca="1"/>
        <v>18.21</v>
      </c>
    </row>
    <row r="1272" spans="1:5" x14ac:dyDescent="0.2">
      <c r="A1272" s="1" vm="6591">
        <f ca="1"/>
        <v>46232</v>
      </c>
      <c r="B1272" s="2" vm="7018">
        <f ca="1"/>
        <v>18.27</v>
      </c>
      <c r="C1272" s="2" vm="8053">
        <f ca="1"/>
        <v>20.88</v>
      </c>
      <c r="D1272" s="2" vm="7040">
        <f ca="1"/>
        <v>17.45</v>
      </c>
      <c r="E1272" s="2" vm="8539">
        <f ca="1"/>
        <v>20.66</v>
      </c>
    </row>
    <row r="1273" spans="1:5" x14ac:dyDescent="0.2">
      <c r="A1273" s="1" vm="6597">
        <f ca="1"/>
        <v>46233</v>
      </c>
      <c r="B1273" s="2" vm="7501">
        <f ca="1"/>
        <v>19.559999999999999</v>
      </c>
      <c r="C1273" s="2" vm="7503">
        <f ca="1"/>
        <v>20.079999999999998</v>
      </c>
      <c r="D1273" s="2" vm="8323">
        <f ca="1"/>
        <v>17</v>
      </c>
      <c r="E1273" s="2" vm="8345">
        <f ca="1"/>
        <v>17.09</v>
      </c>
    </row>
    <row r="1274" spans="1:5" x14ac:dyDescent="0.2">
      <c r="A1274" s="1" vm="6602">
        <f ca="1"/>
        <v>46234</v>
      </c>
      <c r="B1274" s="2" vm="7850">
        <f ca="1"/>
        <v>16.82</v>
      </c>
      <c r="C1274" s="2" vm="7797">
        <f ca="1"/>
        <v>18.7</v>
      </c>
      <c r="D1274" s="2" vm="6866">
        <f ca="1"/>
        <v>15.82</v>
      </c>
      <c r="E1274" s="2" vm="7989">
        <f ca="1"/>
        <v>15.99</v>
      </c>
    </row>
    <row r="1275" spans="1:5" x14ac:dyDescent="0.2">
      <c r="A1275" s="1" vm="6608">
        <f ca="1"/>
        <v>46237</v>
      </c>
      <c r="B1275" s="2" vm="6895">
        <f ca="1"/>
        <v>16.03</v>
      </c>
      <c r="C1275" s="2" vm="6859">
        <f ca="1"/>
        <v>16.3</v>
      </c>
      <c r="D1275" s="2" vm="6883">
        <f ca="1"/>
        <v>15.54</v>
      </c>
      <c r="E1275" s="2" vm="8291">
        <f ca="1"/>
        <v>15.86</v>
      </c>
    </row>
    <row r="1276" spans="1:5" x14ac:dyDescent="0.2">
      <c r="A1276" s="1" vm="6613">
        <f ca="1"/>
        <v>46238</v>
      </c>
      <c r="B1276" s="2" vm="8204">
        <f ca="1"/>
        <v>15.76</v>
      </c>
      <c r="C1276" s="2" vm="6894">
        <f ca="1"/>
        <v>16.649999999999999</v>
      </c>
      <c r="D1276" s="2" vm="8186">
        <f ca="1"/>
        <v>15.51</v>
      </c>
      <c r="E1276" s="2" vm="8055">
        <f ca="1"/>
        <v>16.5</v>
      </c>
    </row>
    <row r="1277" spans="1:5" x14ac:dyDescent="0.2">
      <c r="A1277" s="1" vm="6618">
        <f ca="1"/>
        <v>46239</v>
      </c>
      <c r="B1277" s="2" vm="6915">
        <f ca="1"/>
        <v>16.149999999999999</v>
      </c>
      <c r="C1277" s="2" vm="7743">
        <f ca="1"/>
        <v>18.43</v>
      </c>
      <c r="D1277" s="2" vm="8007">
        <f ca="1"/>
        <v>15.48</v>
      </c>
      <c r="E1277" s="2" vm="7990">
        <f ca="1"/>
        <v>15.81</v>
      </c>
    </row>
    <row r="1278" spans="1:5" x14ac:dyDescent="0.2">
      <c r="A1278" s="1" vm="6623">
        <f ca="1"/>
        <v>46240</v>
      </c>
      <c r="B1278" s="2" vm="8049">
        <f ca="1"/>
        <v>15.83</v>
      </c>
      <c r="C1278" s="2" vm="6895">
        <f ca="1"/>
        <v>16.03</v>
      </c>
      <c r="D1278" s="2" vm="8198">
        <f ca="1"/>
        <v>15.11</v>
      </c>
      <c r="E1278" s="2" vm="8040">
        <f ca="1"/>
        <v>15.15</v>
      </c>
    </row>
    <row r="1279" spans="1:5" x14ac:dyDescent="0.2">
      <c r="A1279" s="1" vm="6628">
        <f ca="1"/>
        <v>46241</v>
      </c>
      <c r="B1279" s="2" vm="8013">
        <f ca="1"/>
        <v>15.3</v>
      </c>
      <c r="C1279" s="2" vm="8458">
        <f ca="1"/>
        <v>15.36</v>
      </c>
      <c r="D1279" s="2" vm="7994">
        <f ca="1"/>
        <v>14.77</v>
      </c>
      <c r="E1279" s="2" vm="6881">
        <f ca="1"/>
        <v>14.9</v>
      </c>
    </row>
    <row r="1280" spans="1:5" x14ac:dyDescent="0.2">
      <c r="A1280" s="1" vm="6633">
        <f ca="1"/>
        <v>46244</v>
      </c>
      <c r="B1280" s="2" vm="8158">
        <f ca="1"/>
        <v>15.4</v>
      </c>
      <c r="C1280" s="2" vm="6858">
        <f ca="1"/>
        <v>15.72</v>
      </c>
      <c r="D1280" s="2" vm="6878">
        <f ca="1"/>
        <v>15.1</v>
      </c>
      <c r="E1280" s="2" vm="8293">
        <f ca="1"/>
        <v>15.46</v>
      </c>
    </row>
    <row r="1281" spans="1:5" x14ac:dyDescent="0.2">
      <c r="A1281" s="1" vm="6639">
        <f ca="1"/>
        <v>46245</v>
      </c>
      <c r="B1281" s="2" vm="8175">
        <f ca="1"/>
        <v>15.42</v>
      </c>
      <c r="C1281" s="2" vm="8290">
        <f ca="1"/>
        <v>15.61</v>
      </c>
      <c r="D1281" s="2" vm="8286">
        <f ca="1"/>
        <v>15.23</v>
      </c>
      <c r="E1281" s="2" vm="7864">
        <f ca="1"/>
        <v>15.28</v>
      </c>
    </row>
    <row r="1282" spans="1:5" x14ac:dyDescent="0.2">
      <c r="A1282" s="1" vm="6643">
        <f ca="1"/>
        <v>46246</v>
      </c>
      <c r="B1282" s="2" vm="7864">
        <f ca="1"/>
        <v>15.28</v>
      </c>
      <c r="C1282" s="2" vm="8175">
        <f ca="1"/>
        <v>15.42</v>
      </c>
      <c r="D1282" s="2" vm="8540">
        <f ca="1"/>
        <v>14.39</v>
      </c>
      <c r="E1282" s="2" vm="8332">
        <f ca="1"/>
        <v>14.55</v>
      </c>
    </row>
    <row r="1283" spans="1:5" x14ac:dyDescent="0.2">
      <c r="A1283" s="1" vm="6648">
        <f ca="1"/>
        <v>46247</v>
      </c>
      <c r="B1283" s="2" vm="8031">
        <f ca="1"/>
        <v>14.68</v>
      </c>
      <c r="C1283" s="2" vm="8287">
        <f ca="1"/>
        <v>14.8</v>
      </c>
      <c r="D1283" s="2" vm="8540">
        <f ca="1"/>
        <v>14.39</v>
      </c>
      <c r="E1283" s="2" vm="7944">
        <f ca="1"/>
        <v>14.63</v>
      </c>
    </row>
    <row r="1284" spans="1:5" x14ac:dyDescent="0.2">
      <c r="A1284" s="1" vm="6654">
        <f ca="1"/>
        <v>46248</v>
      </c>
      <c r="B1284" s="2" vm="8170">
        <f ca="1"/>
        <v>14.64</v>
      </c>
      <c r="C1284" s="2" vm="8172">
        <f ca="1"/>
        <v>14.72</v>
      </c>
      <c r="D1284" s="2" vm="7934">
        <f ca="1"/>
        <v>14.18</v>
      </c>
      <c r="E1284" s="2" vm="7913">
        <f ca="1"/>
        <v>14.25</v>
      </c>
    </row>
    <row r="1285" spans="1:5" x14ac:dyDescent="0.2">
      <c r="A1285" s="1" vm="6660">
        <f ca="1"/>
        <v>46251</v>
      </c>
      <c r="B1285" s="2" vm="8185">
        <f ca="1"/>
        <v>14.98</v>
      </c>
      <c r="C1285" s="2" vm="8169">
        <f ca="1"/>
        <v>15.47</v>
      </c>
      <c r="D1285" s="2" vm="8069">
        <f ca="1"/>
        <v>14.89</v>
      </c>
      <c r="E1285" s="2" vm="8073">
        <f ca="1"/>
        <v>15.19</v>
      </c>
    </row>
    <row r="1286" spans="1:5" x14ac:dyDescent="0.2">
      <c r="A1286" s="1" vm="6664">
        <f ca="1"/>
        <v>46252</v>
      </c>
      <c r="B1286" s="2" vm="7990">
        <f ca="1"/>
        <v>15.81</v>
      </c>
      <c r="C1286" s="2" vm="6863">
        <f ca="1"/>
        <v>16.09</v>
      </c>
      <c r="D1286" s="2" vm="8460">
        <f ca="1"/>
        <v>15.6</v>
      </c>
      <c r="E1286" s="2" vm="8344">
        <f ca="1"/>
        <v>15.84</v>
      </c>
    </row>
    <row r="1287" spans="1:5" x14ac:dyDescent="0.2">
      <c r="A1287" s="1" vm="6669">
        <f ca="1"/>
        <v>46253</v>
      </c>
      <c r="B1287" s="2" vm="7982">
        <f ca="1"/>
        <v>15.92</v>
      </c>
      <c r="C1287" s="2" vm="8270">
        <f ca="1"/>
        <v>15.95</v>
      </c>
      <c r="D1287" s="2" vm="7994">
        <f ca="1"/>
        <v>14.77</v>
      </c>
      <c r="E1287" s="2" vm="8069">
        <f ca="1"/>
        <v>14.89</v>
      </c>
    </row>
    <row r="1288" spans="1:5" x14ac:dyDescent="0.2">
      <c r="A1288" s="1"/>
      <c r="B1288" s="2"/>
      <c r="C1288" s="2"/>
      <c r="D1288" s="2"/>
      <c r="E1288" s="2"/>
    </row>
    <row r="1289" spans="1:5" x14ac:dyDescent="0.2">
      <c r="A1289" s="1"/>
      <c r="B1289" s="2"/>
      <c r="C1289" s="2"/>
      <c r="D1289" s="2"/>
      <c r="E1289" s="2"/>
    </row>
    <row r="1290" spans="1:5" x14ac:dyDescent="0.2">
      <c r="A1290" s="1"/>
      <c r="B1290" s="2"/>
      <c r="C1290" s="2"/>
      <c r="D1290" s="2"/>
      <c r="E1290" s="2"/>
    </row>
    <row r="1291" spans="1:5" x14ac:dyDescent="0.2">
      <c r="A1291" s="1"/>
      <c r="B1291" s="2"/>
      <c r="C1291" s="2"/>
      <c r="D1291" s="2"/>
      <c r="E1291" s="2"/>
    </row>
    <row r="1293" spans="1:5" x14ac:dyDescent="0.2">
      <c r="A1293" s="1"/>
      <c r="B1293" s="2"/>
      <c r="C1293" s="2"/>
      <c r="D1293" s="2"/>
      <c r="E1293" s="2"/>
    </row>
    <row r="1294" spans="1:5" x14ac:dyDescent="0.2">
      <c r="A1294" s="1"/>
      <c r="B1294" s="2"/>
      <c r="C1294" s="2"/>
      <c r="D1294" s="2"/>
      <c r="E1294" s="2"/>
    </row>
    <row r="1295" spans="1:5" x14ac:dyDescent="0.2">
      <c r="A1295" s="1"/>
      <c r="B1295" s="2"/>
      <c r="C1295" s="2"/>
      <c r="D1295" s="2"/>
      <c r="E1295" s="2"/>
    </row>
    <row r="1296" spans="1:5" x14ac:dyDescent="0.2">
      <c r="A1296" s="1"/>
      <c r="B1296" s="2"/>
      <c r="C1296" s="2"/>
      <c r="D1296" s="2"/>
      <c r="E1296" s="2"/>
    </row>
    <row r="1297" spans="1:5" x14ac:dyDescent="0.2">
      <c r="A1297" s="1"/>
      <c r="B1297" s="2"/>
      <c r="C1297" s="2"/>
      <c r="D1297" s="2"/>
      <c r="E1297" s="2"/>
    </row>
    <row r="1298" spans="1:5" x14ac:dyDescent="0.2">
      <c r="A1298" s="1"/>
      <c r="B1298" s="2"/>
      <c r="C1298" s="2"/>
      <c r="D1298" s="2"/>
      <c r="E1298" s="2"/>
    </row>
    <row r="1299" spans="1:5" x14ac:dyDescent="0.2">
      <c r="A1299" s="1"/>
      <c r="B1299" s="2"/>
      <c r="C1299" s="2"/>
      <c r="D1299" s="2"/>
      <c r="E1299" s="2"/>
    </row>
    <row r="1300" spans="1:5" x14ac:dyDescent="0.2">
      <c r="A1300" s="1"/>
      <c r="B1300" s="2"/>
      <c r="C1300" s="2"/>
      <c r="D1300" s="2"/>
      <c r="E1300" s="2"/>
    </row>
    <row r="1301" spans="1:5" x14ac:dyDescent="0.2">
      <c r="A1301" s="1"/>
      <c r="B1301" s="2"/>
      <c r="C1301" s="2"/>
      <c r="D1301" s="2"/>
      <c r="E1301" s="2"/>
    </row>
    <row r="1302" spans="1:5" x14ac:dyDescent="0.2">
      <c r="A1302" s="1"/>
      <c r="B1302" s="2"/>
      <c r="C1302" s="2"/>
      <c r="D1302" s="2"/>
      <c r="E1302" s="2"/>
    </row>
    <row r="1303" spans="1:5" x14ac:dyDescent="0.2">
      <c r="A1303" s="1"/>
      <c r="B1303" s="2"/>
      <c r="C1303" s="2"/>
      <c r="D1303" s="2"/>
      <c r="E1303" s="2"/>
    </row>
    <row r="1304" spans="1:5" x14ac:dyDescent="0.2">
      <c r="A1304" s="1"/>
      <c r="B1304" s="2"/>
      <c r="C1304" s="2"/>
      <c r="D1304" s="2"/>
      <c r="E1304" s="2"/>
    </row>
    <row r="1305" spans="1:5" x14ac:dyDescent="0.2">
      <c r="A1305" s="1"/>
      <c r="B1305" s="2"/>
      <c r="C1305" s="2"/>
      <c r="D1305" s="2"/>
      <c r="E1305" s="2"/>
    </row>
    <row r="1306" spans="1:5" x14ac:dyDescent="0.2">
      <c r="A1306" s="1"/>
      <c r="B1306" s="2"/>
      <c r="C1306" s="2"/>
      <c r="D1306" s="2"/>
      <c r="E1306" s="2"/>
    </row>
    <row r="1307" spans="1:5" x14ac:dyDescent="0.2">
      <c r="A1307" s="1"/>
      <c r="B1307" s="2"/>
      <c r="C1307" s="2"/>
      <c r="D1307" s="2"/>
      <c r="E1307" s="2"/>
    </row>
    <row r="1308" spans="1:5" x14ac:dyDescent="0.2">
      <c r="A1308" s="1"/>
      <c r="B1308" s="2"/>
      <c r="C1308" s="2"/>
      <c r="D1308" s="2"/>
      <c r="E1308" s="2"/>
    </row>
    <row r="1309" spans="1:5" x14ac:dyDescent="0.2">
      <c r="A1309" s="1"/>
      <c r="B1309" s="2"/>
      <c r="C1309" s="2"/>
      <c r="D1309" s="2"/>
      <c r="E1309" s="2"/>
    </row>
    <row r="1310" spans="1:5" x14ac:dyDescent="0.2">
      <c r="A1310" s="1"/>
      <c r="B1310" s="2"/>
      <c r="C1310" s="2"/>
      <c r="D1310" s="2"/>
      <c r="E1310" s="2"/>
    </row>
    <row r="1311" spans="1:5" x14ac:dyDescent="0.2">
      <c r="A1311" s="1"/>
      <c r="B1311" s="2"/>
      <c r="C1311" s="2"/>
      <c r="D1311" s="2"/>
      <c r="E1311" s="2"/>
    </row>
    <row r="1312" spans="1:5" x14ac:dyDescent="0.2">
      <c r="A1312" s="1"/>
      <c r="B1312" s="2"/>
      <c r="C1312" s="2"/>
      <c r="D1312" s="2"/>
      <c r="E1312" s="2"/>
    </row>
    <row r="1313" spans="1:5" x14ac:dyDescent="0.2">
      <c r="A1313" s="1"/>
      <c r="B1313" s="2"/>
      <c r="C1313" s="2"/>
      <c r="D1313" s="2"/>
      <c r="E1313" s="2"/>
    </row>
    <row r="1314" spans="1:5" x14ac:dyDescent="0.2">
      <c r="A1314" s="1"/>
      <c r="B1314" s="2"/>
      <c r="C1314" s="2"/>
      <c r="D1314" s="2"/>
      <c r="E1314" s="2"/>
    </row>
    <row r="1315" spans="1:5" x14ac:dyDescent="0.2">
      <c r="A1315" s="1"/>
      <c r="B1315" s="2"/>
      <c r="C1315" s="2"/>
      <c r="D1315" s="2"/>
      <c r="E1315" s="2"/>
    </row>
    <row r="1316" spans="1:5" x14ac:dyDescent="0.2">
      <c r="A1316" s="1"/>
      <c r="B1316" s="2"/>
      <c r="C1316" s="2"/>
      <c r="D1316" s="2"/>
      <c r="E1316" s="2"/>
    </row>
    <row r="1317" spans="1:5" x14ac:dyDescent="0.2">
      <c r="A1317" s="1"/>
      <c r="B1317" s="2"/>
      <c r="C1317" s="2"/>
      <c r="D1317" s="2"/>
      <c r="E1317" s="2"/>
    </row>
    <row r="1318" spans="1:5" x14ac:dyDescent="0.2">
      <c r="A1318" s="1"/>
      <c r="B1318" s="2"/>
      <c r="C1318" s="2"/>
      <c r="D1318" s="2"/>
      <c r="E1318" s="2"/>
    </row>
    <row r="1319" spans="1:5" x14ac:dyDescent="0.2">
      <c r="A1319" s="1"/>
      <c r="B1319" s="2"/>
      <c r="C1319" s="2"/>
      <c r="D1319" s="2"/>
      <c r="E1319" s="2"/>
    </row>
    <row r="1320" spans="1:5" x14ac:dyDescent="0.2">
      <c r="A1320" s="1"/>
      <c r="B1320" s="2"/>
      <c r="C1320" s="2"/>
      <c r="D1320" s="2"/>
      <c r="E1320" s="2"/>
    </row>
    <row r="1321" spans="1:5" x14ac:dyDescent="0.2">
      <c r="A1321" s="1"/>
      <c r="B1321" s="2"/>
      <c r="C1321" s="2"/>
      <c r="D1321" s="2"/>
      <c r="E1321" s="2"/>
    </row>
    <row r="1322" spans="1:5" x14ac:dyDescent="0.2">
      <c r="A1322" s="1"/>
      <c r="B1322" s="2"/>
      <c r="C1322" s="2"/>
      <c r="D1322" s="2"/>
      <c r="E1322" s="2"/>
    </row>
    <row r="1323" spans="1:5" x14ac:dyDescent="0.2">
      <c r="A1323" s="1"/>
      <c r="B1323" s="2"/>
      <c r="C1323" s="2"/>
      <c r="D1323" s="2"/>
      <c r="E1323" s="2"/>
    </row>
    <row r="1324" spans="1:5" x14ac:dyDescent="0.2">
      <c r="A1324" s="1"/>
      <c r="B1324" s="2"/>
      <c r="C1324" s="2"/>
      <c r="D1324" s="2"/>
      <c r="E1324" s="2"/>
    </row>
    <row r="1325" spans="1:5" x14ac:dyDescent="0.2">
      <c r="A1325" s="1"/>
      <c r="B1325" s="2"/>
      <c r="C1325" s="2"/>
      <c r="D1325" s="2"/>
      <c r="E1325" s="2"/>
    </row>
    <row r="1326" spans="1:5" x14ac:dyDescent="0.2">
      <c r="A1326" s="1"/>
      <c r="B1326" s="2"/>
      <c r="C1326" s="2"/>
      <c r="D1326" s="2"/>
      <c r="E1326" s="2"/>
    </row>
    <row r="1327" spans="1:5" x14ac:dyDescent="0.2">
      <c r="A1327" s="1"/>
      <c r="B1327" s="2"/>
      <c r="C1327" s="2"/>
      <c r="D1327" s="2"/>
      <c r="E1327" s="2"/>
    </row>
    <row r="1328" spans="1:5" x14ac:dyDescent="0.2">
      <c r="A1328" s="1"/>
      <c r="B1328" s="2"/>
      <c r="C1328" s="2"/>
      <c r="D1328" s="2"/>
      <c r="E1328" s="2"/>
    </row>
    <row r="1329" spans="1:5" x14ac:dyDescent="0.2">
      <c r="A1329" s="1"/>
      <c r="B1329" s="2"/>
      <c r="C1329" s="2"/>
      <c r="D1329" s="2"/>
      <c r="E1329" s="2"/>
    </row>
    <row r="1330" spans="1:5" x14ac:dyDescent="0.2">
      <c r="A1330" s="1"/>
      <c r="B1330" s="2"/>
      <c r="C1330" s="2"/>
      <c r="D1330" s="2"/>
      <c r="E1330" s="2"/>
    </row>
    <row r="1331" spans="1:5" x14ac:dyDescent="0.2">
      <c r="A1331" s="1"/>
      <c r="B1331" s="2"/>
      <c r="C1331" s="2"/>
      <c r="D1331" s="2"/>
      <c r="E1331" s="2"/>
    </row>
    <row r="1332" spans="1:5" x14ac:dyDescent="0.2">
      <c r="A1332" s="1"/>
      <c r="B1332" s="2"/>
      <c r="C1332" s="2"/>
      <c r="D1332" s="2"/>
      <c r="E1332" s="2"/>
    </row>
    <row r="1333" spans="1:5" x14ac:dyDescent="0.2">
      <c r="A1333" s="1"/>
      <c r="B1333" s="2"/>
      <c r="C1333" s="2"/>
      <c r="D1333" s="2"/>
      <c r="E1333" s="2"/>
    </row>
    <row r="1334" spans="1:5" x14ac:dyDescent="0.2">
      <c r="A1334" s="1"/>
      <c r="B1334" s="2"/>
      <c r="C1334" s="2"/>
      <c r="D1334" s="2"/>
      <c r="E1334" s="2"/>
    </row>
    <row r="1335" spans="1:5" x14ac:dyDescent="0.2">
      <c r="A1335" s="1"/>
      <c r="B1335" s="2"/>
      <c r="C1335" s="2"/>
      <c r="D1335" s="2"/>
      <c r="E1335" s="2"/>
    </row>
    <row r="1336" spans="1:5" x14ac:dyDescent="0.2">
      <c r="A1336" s="1"/>
      <c r="B1336" s="2"/>
      <c r="C1336" s="2"/>
      <c r="D1336" s="2"/>
      <c r="E1336" s="2"/>
    </row>
    <row r="1337" spans="1:5" x14ac:dyDescent="0.2">
      <c r="A1337" s="1"/>
      <c r="B1337" s="2"/>
      <c r="C1337" s="2"/>
      <c r="D1337" s="2"/>
      <c r="E1337" s="2"/>
    </row>
    <row r="1338" spans="1:5" x14ac:dyDescent="0.2">
      <c r="A1338" s="1"/>
      <c r="B1338" s="2"/>
      <c r="C1338" s="2"/>
      <c r="D1338" s="2"/>
      <c r="E1338" s="2"/>
    </row>
    <row r="1339" spans="1:5" x14ac:dyDescent="0.2">
      <c r="A1339" s="1"/>
      <c r="B1339" s="2"/>
      <c r="C1339" s="2"/>
      <c r="D1339" s="2"/>
      <c r="E1339" s="2"/>
    </row>
    <row r="1340" spans="1:5" x14ac:dyDescent="0.2">
      <c r="A1340" s="1"/>
      <c r="B1340" s="2"/>
      <c r="C1340" s="2"/>
      <c r="D1340" s="2"/>
      <c r="E1340" s="2"/>
    </row>
    <row r="1341" spans="1:5" x14ac:dyDescent="0.2">
      <c r="A1341" s="1"/>
      <c r="B1341" s="2"/>
      <c r="C1341" s="2"/>
      <c r="D1341" s="2"/>
      <c r="E1341" s="2"/>
    </row>
    <row r="1342" spans="1:5" x14ac:dyDescent="0.2">
      <c r="A1342" s="1"/>
      <c r="B1342" s="2"/>
      <c r="C1342" s="2"/>
      <c r="D1342" s="2"/>
      <c r="E1342" s="2"/>
    </row>
    <row r="1343" spans="1:5" x14ac:dyDescent="0.2">
      <c r="A1343" s="1"/>
      <c r="B1343" s="2"/>
      <c r="C1343" s="2"/>
      <c r="D1343" s="2"/>
      <c r="E1343" s="2"/>
    </row>
    <row r="1344" spans="1:5" x14ac:dyDescent="0.2">
      <c r="A1344" s="1"/>
      <c r="B1344" s="2"/>
      <c r="C1344" s="2"/>
      <c r="D1344" s="2"/>
      <c r="E1344" s="2"/>
    </row>
    <row r="1345" spans="1:5" x14ac:dyDescent="0.2">
      <c r="A1345" s="1"/>
      <c r="B1345" s="2"/>
      <c r="C1345" s="2"/>
      <c r="D1345" s="2"/>
      <c r="E1345" s="2"/>
    </row>
    <row r="1346" spans="1:5" x14ac:dyDescent="0.2">
      <c r="A1346" s="1"/>
      <c r="B1346" s="2"/>
      <c r="C1346" s="2"/>
      <c r="D1346" s="2"/>
      <c r="E1346" s="2"/>
    </row>
    <row r="1347" spans="1:5" x14ac:dyDescent="0.2">
      <c r="A1347" s="1"/>
      <c r="B1347" s="2"/>
      <c r="C1347" s="2"/>
      <c r="D1347" s="2"/>
      <c r="E1347" s="2"/>
    </row>
    <row r="1348" spans="1:5" x14ac:dyDescent="0.2">
      <c r="A1348" s="1"/>
      <c r="B1348" s="2"/>
      <c r="C1348" s="2"/>
      <c r="D1348" s="2"/>
      <c r="E1348" s="2"/>
    </row>
    <row r="1349" spans="1:5" x14ac:dyDescent="0.2">
      <c r="A1349" s="1"/>
      <c r="B1349" s="2"/>
      <c r="C1349" s="2"/>
      <c r="D1349" s="2"/>
      <c r="E1349" s="2"/>
    </row>
    <row r="1350" spans="1:5" x14ac:dyDescent="0.2">
      <c r="A1350" s="1"/>
      <c r="B1350" s="2"/>
      <c r="C1350" s="2"/>
      <c r="D1350" s="2"/>
      <c r="E1350" s="2"/>
    </row>
    <row r="1351" spans="1:5" x14ac:dyDescent="0.2">
      <c r="A1351" s="1"/>
      <c r="B1351" s="2"/>
      <c r="C1351" s="2"/>
      <c r="D1351" s="2"/>
      <c r="E1351" s="2"/>
    </row>
    <row r="1352" spans="1:5" x14ac:dyDescent="0.2">
      <c r="A1352" s="1"/>
      <c r="B1352" s="2"/>
      <c r="C1352" s="2"/>
      <c r="D1352" s="2"/>
      <c r="E1352" s="2"/>
    </row>
    <row r="1353" spans="1:5" x14ac:dyDescent="0.2">
      <c r="A1353" s="1"/>
      <c r="B1353" s="2"/>
      <c r="C1353" s="2"/>
      <c r="D1353" s="2"/>
      <c r="E1353" s="2"/>
    </row>
    <row r="1354" spans="1:5" x14ac:dyDescent="0.2">
      <c r="A1354" s="1"/>
      <c r="B1354" s="2"/>
      <c r="C1354" s="2"/>
      <c r="D1354" s="2"/>
      <c r="E1354" s="2"/>
    </row>
    <row r="1355" spans="1:5" x14ac:dyDescent="0.2">
      <c r="A1355" s="1"/>
      <c r="B1355" s="2"/>
      <c r="C1355" s="2"/>
      <c r="D1355" s="2"/>
      <c r="E1355" s="2"/>
    </row>
    <row r="1356" spans="1:5" x14ac:dyDescent="0.2">
      <c r="A1356" s="1"/>
      <c r="B1356" s="2"/>
      <c r="C1356" s="2"/>
      <c r="D1356" s="2"/>
      <c r="E1356" s="2"/>
    </row>
    <row r="1357" spans="1:5" x14ac:dyDescent="0.2">
      <c r="A1357" s="1"/>
      <c r="B1357" s="2"/>
      <c r="C1357" s="2"/>
      <c r="D1357" s="2"/>
      <c r="E1357" s="2"/>
    </row>
    <row r="1358" spans="1:5" x14ac:dyDescent="0.2">
      <c r="A1358" s="1"/>
      <c r="B1358" s="2"/>
      <c r="C1358" s="2"/>
      <c r="D1358" s="2"/>
      <c r="E1358" s="2"/>
    </row>
    <row r="1359" spans="1:5" x14ac:dyDescent="0.2">
      <c r="A1359" s="1"/>
      <c r="B1359" s="2"/>
      <c r="C1359" s="2"/>
      <c r="D1359" s="2"/>
      <c r="E1359" s="2"/>
    </row>
    <row r="1360" spans="1:5" x14ac:dyDescent="0.2">
      <c r="A1360" s="1"/>
      <c r="B1360" s="2"/>
      <c r="C1360" s="2"/>
      <c r="D1360" s="2"/>
      <c r="E1360" s="2"/>
    </row>
    <row r="1361" spans="1:5" x14ac:dyDescent="0.2">
      <c r="A1361" s="1"/>
      <c r="B1361" s="2"/>
      <c r="C1361" s="2"/>
      <c r="D1361" s="2"/>
      <c r="E1361" s="2"/>
    </row>
    <row r="1362" spans="1:5" x14ac:dyDescent="0.2">
      <c r="A1362" s="1"/>
      <c r="B1362" s="2"/>
      <c r="C1362" s="2"/>
      <c r="D1362" s="2"/>
      <c r="E1362" s="2"/>
    </row>
    <row r="1363" spans="1:5" x14ac:dyDescent="0.2">
      <c r="A1363" s="1"/>
      <c r="B1363" s="2"/>
      <c r="C1363" s="2"/>
      <c r="D1363" s="2"/>
      <c r="E1363" s="2"/>
    </row>
    <row r="1364" spans="1:5" x14ac:dyDescent="0.2">
      <c r="A1364" s="1"/>
      <c r="B1364" s="2"/>
      <c r="C1364" s="2"/>
      <c r="D1364" s="2"/>
      <c r="E1364" s="2"/>
    </row>
    <row r="1365" spans="1:5" x14ac:dyDescent="0.2">
      <c r="A1365" s="1"/>
      <c r="B1365" s="2"/>
      <c r="C1365" s="2"/>
      <c r="D1365" s="2"/>
      <c r="E1365" s="2"/>
    </row>
    <row r="1366" spans="1:5" x14ac:dyDescent="0.2">
      <c r="A1366" s="1"/>
      <c r="B1366" s="2"/>
      <c r="C1366" s="2"/>
      <c r="D1366" s="2"/>
      <c r="E1366" s="2"/>
    </row>
    <row r="1367" spans="1:5" x14ac:dyDescent="0.2">
      <c r="A1367" s="1"/>
      <c r="B1367" s="2"/>
      <c r="C1367" s="2"/>
      <c r="D1367" s="2"/>
      <c r="E1367" s="2"/>
    </row>
    <row r="1368" spans="1:5" x14ac:dyDescent="0.2">
      <c r="A1368" s="1"/>
      <c r="B1368" s="2"/>
      <c r="C1368" s="2"/>
      <c r="D1368" s="2"/>
      <c r="E1368" s="2"/>
    </row>
    <row r="1369" spans="1:5" x14ac:dyDescent="0.2">
      <c r="A1369" s="1"/>
      <c r="B1369" s="2"/>
      <c r="C1369" s="2"/>
      <c r="D1369" s="2"/>
      <c r="E1369" s="2"/>
    </row>
    <row r="1370" spans="1:5" x14ac:dyDescent="0.2">
      <c r="A1370" s="1"/>
      <c r="B1370" s="2"/>
      <c r="C1370" s="2"/>
      <c r="D1370" s="2"/>
      <c r="E1370" s="2"/>
    </row>
    <row r="1371" spans="1:5" x14ac:dyDescent="0.2">
      <c r="A1371" s="1"/>
      <c r="B1371" s="2"/>
      <c r="C1371" s="2"/>
      <c r="D1371" s="2"/>
      <c r="E1371" s="2"/>
    </row>
    <row r="1372" spans="1:5" x14ac:dyDescent="0.2">
      <c r="A1372" s="1"/>
      <c r="B1372" s="2"/>
      <c r="C1372" s="2"/>
      <c r="D1372" s="2"/>
      <c r="E1372" s="2"/>
    </row>
    <row r="1373" spans="1:5" x14ac:dyDescent="0.2">
      <c r="A1373" s="1"/>
      <c r="B1373" s="2"/>
      <c r="C1373" s="2"/>
      <c r="D1373" s="2"/>
      <c r="E1373" s="2"/>
    </row>
    <row r="1374" spans="1:5" x14ac:dyDescent="0.2">
      <c r="A1374" s="1"/>
      <c r="B1374" s="2"/>
      <c r="C1374" s="2"/>
      <c r="D1374" s="2"/>
      <c r="E1374" s="2"/>
    </row>
    <row r="1375" spans="1:5" x14ac:dyDescent="0.2">
      <c r="A1375" s="1"/>
      <c r="B1375" s="2"/>
      <c r="C1375" s="2"/>
      <c r="D1375" s="2"/>
      <c r="E1375" s="2"/>
    </row>
    <row r="1376" spans="1:5" x14ac:dyDescent="0.2">
      <c r="A1376" s="1"/>
      <c r="B1376" s="2"/>
      <c r="C1376" s="2"/>
      <c r="D1376" s="2"/>
      <c r="E1376" s="2"/>
    </row>
    <row r="1377" spans="1:5" x14ac:dyDescent="0.2">
      <c r="A1377" s="1"/>
      <c r="B1377" s="2"/>
      <c r="C1377" s="2"/>
      <c r="D1377" s="2"/>
      <c r="E1377" s="2"/>
    </row>
    <row r="1378" spans="1:5" x14ac:dyDescent="0.2">
      <c r="A1378" s="1"/>
      <c r="B1378" s="2"/>
      <c r="C1378" s="2"/>
      <c r="D1378" s="2"/>
      <c r="E1378" s="2"/>
    </row>
    <row r="1379" spans="1:5" x14ac:dyDescent="0.2">
      <c r="A1379" s="1"/>
      <c r="B1379" s="2"/>
      <c r="C1379" s="2"/>
      <c r="D1379" s="2"/>
      <c r="E1379" s="2"/>
    </row>
    <row r="1380" spans="1:5" x14ac:dyDescent="0.2">
      <c r="A1380" s="1"/>
      <c r="B1380" s="2"/>
      <c r="C1380" s="2"/>
      <c r="D1380" s="2"/>
      <c r="E1380" s="2"/>
    </row>
    <row r="1381" spans="1:5" x14ac:dyDescent="0.2">
      <c r="A1381" s="1"/>
      <c r="B1381" s="2"/>
      <c r="C1381" s="2"/>
      <c r="D1381" s="2"/>
      <c r="E1381" s="2"/>
    </row>
    <row r="1382" spans="1:5" x14ac:dyDescent="0.2">
      <c r="A1382" s="1"/>
      <c r="B1382" s="2"/>
      <c r="C1382" s="2"/>
      <c r="D1382" s="2"/>
      <c r="E1382" s="2"/>
    </row>
    <row r="1383" spans="1:5" x14ac:dyDescent="0.2">
      <c r="A1383" s="1"/>
      <c r="B1383" s="2"/>
      <c r="C1383" s="2"/>
      <c r="D1383" s="2"/>
      <c r="E1383" s="2"/>
    </row>
    <row r="1384" spans="1:5" x14ac:dyDescent="0.2">
      <c r="A1384" s="1"/>
      <c r="B1384" s="2"/>
      <c r="C1384" s="2"/>
      <c r="D1384" s="2"/>
      <c r="E1384" s="2"/>
    </row>
    <row r="1385" spans="1:5" x14ac:dyDescent="0.2">
      <c r="A1385" s="1"/>
      <c r="B1385" s="2"/>
      <c r="C1385" s="2"/>
      <c r="D1385" s="2"/>
      <c r="E1385" s="2"/>
    </row>
    <row r="1386" spans="1:5" x14ac:dyDescent="0.2">
      <c r="A1386" s="1"/>
      <c r="B1386" s="2"/>
      <c r="C1386" s="2"/>
      <c r="D1386" s="2"/>
      <c r="E1386" s="2"/>
    </row>
    <row r="1387" spans="1:5" x14ac:dyDescent="0.2">
      <c r="A1387" s="1"/>
      <c r="B1387" s="2"/>
      <c r="C1387" s="2"/>
      <c r="D1387" s="2"/>
      <c r="E1387" s="2"/>
    </row>
    <row r="1388" spans="1:5" x14ac:dyDescent="0.2">
      <c r="A1388" s="1"/>
      <c r="B1388" s="2"/>
      <c r="C1388" s="2"/>
      <c r="D1388" s="2"/>
      <c r="E1388" s="2"/>
    </row>
    <row r="1389" spans="1:5" x14ac:dyDescent="0.2">
      <c r="A1389" s="1"/>
      <c r="B1389" s="2"/>
      <c r="C1389" s="2"/>
      <c r="D1389" s="2"/>
      <c r="E1389" s="2"/>
    </row>
    <row r="1390" spans="1:5" x14ac:dyDescent="0.2">
      <c r="A1390" s="1"/>
      <c r="B1390" s="2"/>
      <c r="C1390" s="2"/>
      <c r="D1390" s="2"/>
      <c r="E1390" s="2"/>
    </row>
    <row r="1391" spans="1:5" x14ac:dyDescent="0.2">
      <c r="A1391" s="1"/>
      <c r="B1391" s="2"/>
      <c r="C1391" s="2"/>
      <c r="D1391" s="2"/>
      <c r="E1391" s="2"/>
    </row>
    <row r="1392" spans="1:5" x14ac:dyDescent="0.2">
      <c r="A1392" s="1"/>
      <c r="B1392" s="2"/>
      <c r="C1392" s="2"/>
      <c r="D1392" s="2"/>
      <c r="E1392" s="2"/>
    </row>
    <row r="1393" spans="1:5" x14ac:dyDescent="0.2">
      <c r="A1393" s="1"/>
      <c r="B1393" s="2"/>
      <c r="C1393" s="2"/>
      <c r="D1393" s="2"/>
      <c r="E1393" s="2"/>
    </row>
    <row r="1394" spans="1:5" x14ac:dyDescent="0.2">
      <c r="A1394" s="1"/>
      <c r="B1394" s="2"/>
      <c r="C1394" s="2"/>
      <c r="D1394" s="2"/>
      <c r="E1394" s="2"/>
    </row>
    <row r="1395" spans="1:5" x14ac:dyDescent="0.2">
      <c r="A1395" s="1"/>
      <c r="B1395" s="2"/>
      <c r="C1395" s="2"/>
      <c r="D1395" s="2"/>
      <c r="E1395" s="2"/>
    </row>
    <row r="1396" spans="1:5" x14ac:dyDescent="0.2">
      <c r="A1396" s="1"/>
      <c r="B1396" s="2"/>
      <c r="C1396" s="2"/>
      <c r="D1396" s="2"/>
      <c r="E1396" s="2"/>
    </row>
    <row r="1397" spans="1:5" x14ac:dyDescent="0.2">
      <c r="A1397" s="1"/>
      <c r="B1397" s="2"/>
      <c r="C1397" s="2"/>
      <c r="D1397" s="2"/>
      <c r="E1397" s="2"/>
    </row>
    <row r="1398" spans="1:5" x14ac:dyDescent="0.2">
      <c r="A1398" s="1"/>
      <c r="B1398" s="2"/>
      <c r="C1398" s="2"/>
      <c r="D1398" s="2"/>
      <c r="E1398" s="2"/>
    </row>
    <row r="1399" spans="1:5" x14ac:dyDescent="0.2">
      <c r="A1399" s="1"/>
      <c r="B1399" s="2"/>
      <c r="C1399" s="2"/>
      <c r="D1399" s="2"/>
      <c r="E1399" s="2"/>
    </row>
    <row r="1400" spans="1:5" x14ac:dyDescent="0.2">
      <c r="A1400" s="1"/>
      <c r="B1400" s="2"/>
      <c r="C1400" s="2"/>
      <c r="D1400" s="2"/>
      <c r="E1400" s="2"/>
    </row>
    <row r="1401" spans="1:5" x14ac:dyDescent="0.2">
      <c r="A1401" s="1"/>
      <c r="B1401" s="2"/>
      <c r="C1401" s="2"/>
      <c r="D1401" s="2"/>
      <c r="E1401" s="2"/>
    </row>
    <row r="1402" spans="1:5" x14ac:dyDescent="0.2">
      <c r="A1402" s="1"/>
      <c r="B1402" s="2"/>
      <c r="C1402" s="2"/>
      <c r="D1402" s="2"/>
      <c r="E1402" s="2"/>
    </row>
    <row r="1403" spans="1:5" x14ac:dyDescent="0.2">
      <c r="A1403" s="1"/>
      <c r="B1403" s="2"/>
      <c r="C1403" s="2"/>
      <c r="D1403" s="2"/>
      <c r="E1403" s="2"/>
    </row>
    <row r="1404" spans="1:5" x14ac:dyDescent="0.2">
      <c r="A1404" s="1"/>
      <c r="B1404" s="2"/>
      <c r="C1404" s="2"/>
      <c r="D1404" s="2"/>
      <c r="E1404" s="2"/>
    </row>
    <row r="1405" spans="1:5" x14ac:dyDescent="0.2">
      <c r="A1405" s="1"/>
      <c r="B1405" s="2"/>
      <c r="C1405" s="2"/>
      <c r="D1405" s="2"/>
      <c r="E1405" s="2"/>
    </row>
    <row r="1406" spans="1:5" x14ac:dyDescent="0.2">
      <c r="A1406" s="1"/>
      <c r="B1406" s="2"/>
      <c r="C1406" s="2"/>
      <c r="D1406" s="2"/>
      <c r="E1406" s="2"/>
    </row>
    <row r="1407" spans="1:5" x14ac:dyDescent="0.2">
      <c r="A1407" s="1"/>
      <c r="B1407" s="2"/>
      <c r="C1407" s="2"/>
      <c r="D1407" s="2"/>
      <c r="E1407" s="2"/>
    </row>
    <row r="1408" spans="1:5" x14ac:dyDescent="0.2">
      <c r="A1408" s="1"/>
      <c r="B1408" s="2"/>
      <c r="C1408" s="2"/>
      <c r="D1408" s="2"/>
      <c r="E1408" s="2"/>
    </row>
    <row r="1409" spans="1:5" x14ac:dyDescent="0.2">
      <c r="A1409" s="1"/>
      <c r="B1409" s="2"/>
      <c r="C1409" s="2"/>
      <c r="D1409" s="2"/>
      <c r="E1409" s="2"/>
    </row>
    <row r="1410" spans="1:5" x14ac:dyDescent="0.2">
      <c r="A1410" s="1"/>
      <c r="B1410" s="2"/>
      <c r="C1410" s="2"/>
      <c r="D1410" s="2"/>
      <c r="E1410" s="2"/>
    </row>
    <row r="1411" spans="1:5" x14ac:dyDescent="0.2">
      <c r="A1411" s="1"/>
      <c r="B1411" s="2"/>
      <c r="C1411" s="2"/>
      <c r="D1411" s="2"/>
      <c r="E1411" s="2"/>
    </row>
    <row r="1412" spans="1:5" x14ac:dyDescent="0.2">
      <c r="A1412" s="1"/>
      <c r="B1412" s="2"/>
      <c r="C1412" s="2"/>
      <c r="D1412" s="2"/>
      <c r="E1412" s="2"/>
    </row>
    <row r="1413" spans="1:5" x14ac:dyDescent="0.2">
      <c r="A1413" s="1"/>
      <c r="B1413" s="2"/>
      <c r="C1413" s="2"/>
      <c r="D1413" s="2"/>
      <c r="E1413" s="2"/>
    </row>
    <row r="1414" spans="1:5" x14ac:dyDescent="0.2">
      <c r="A1414" s="1"/>
      <c r="B1414" s="2"/>
      <c r="C1414" s="2"/>
      <c r="D1414" s="2"/>
      <c r="E1414" s="2"/>
    </row>
    <row r="1415" spans="1:5" x14ac:dyDescent="0.2">
      <c r="A1415" s="1"/>
      <c r="B1415" s="2"/>
      <c r="C1415" s="2"/>
      <c r="D1415" s="2"/>
      <c r="E1415" s="2"/>
    </row>
    <row r="1416" spans="1:5" x14ac:dyDescent="0.2">
      <c r="A1416" s="1"/>
      <c r="B1416" s="2"/>
      <c r="C1416" s="2"/>
      <c r="D1416" s="2"/>
      <c r="E1416" s="2"/>
    </row>
    <row r="1417" spans="1:5" x14ac:dyDescent="0.2">
      <c r="A1417" s="1"/>
      <c r="B1417" s="2"/>
      <c r="C1417" s="2"/>
      <c r="D1417" s="2"/>
      <c r="E1417" s="2"/>
    </row>
    <row r="1418" spans="1:5" x14ac:dyDescent="0.2">
      <c r="A1418" s="1"/>
      <c r="B1418" s="2"/>
      <c r="C1418" s="2"/>
      <c r="D1418" s="2"/>
      <c r="E1418" s="2"/>
    </row>
    <row r="1419" spans="1:5" x14ac:dyDescent="0.2">
      <c r="A1419" s="1"/>
      <c r="B1419" s="2"/>
      <c r="C1419" s="2"/>
      <c r="D1419" s="2"/>
      <c r="E1419" s="2"/>
    </row>
    <row r="1420" spans="1:5" x14ac:dyDescent="0.2">
      <c r="A1420" s="1"/>
      <c r="B1420" s="2"/>
      <c r="C1420" s="2"/>
      <c r="D1420" s="2"/>
      <c r="E1420" s="2"/>
    </row>
    <row r="1421" spans="1:5" x14ac:dyDescent="0.2">
      <c r="A1421" s="1"/>
      <c r="B1421" s="2"/>
      <c r="C1421" s="2"/>
      <c r="D1421" s="2"/>
      <c r="E1421" s="2"/>
    </row>
    <row r="1422" spans="1:5" x14ac:dyDescent="0.2">
      <c r="A1422" s="1"/>
      <c r="B1422" s="2"/>
      <c r="C1422" s="2"/>
      <c r="D1422" s="2"/>
      <c r="E1422" s="2"/>
    </row>
    <row r="1423" spans="1:5" x14ac:dyDescent="0.2">
      <c r="A1423" s="1"/>
      <c r="B1423" s="2"/>
      <c r="C1423" s="2"/>
      <c r="D1423" s="2"/>
      <c r="E1423" s="2"/>
    </row>
    <row r="1424" spans="1:5" x14ac:dyDescent="0.2">
      <c r="A1424" s="1"/>
      <c r="B1424" s="2"/>
      <c r="C1424" s="2"/>
      <c r="D1424" s="2"/>
      <c r="E1424" s="2"/>
    </row>
    <row r="1425" spans="1:5" x14ac:dyDescent="0.2">
      <c r="A1425" s="1"/>
      <c r="B1425" s="2"/>
      <c r="C1425" s="2"/>
      <c r="D1425" s="2"/>
      <c r="E1425" s="2"/>
    </row>
    <row r="1426" spans="1:5" x14ac:dyDescent="0.2">
      <c r="A1426" s="1"/>
      <c r="B1426" s="2"/>
      <c r="C1426" s="2"/>
      <c r="D1426" s="2"/>
      <c r="E1426" s="2"/>
    </row>
    <row r="1427" spans="1:5" x14ac:dyDescent="0.2">
      <c r="A1427" s="1"/>
      <c r="B1427" s="2"/>
      <c r="C1427" s="2"/>
      <c r="D1427" s="2"/>
      <c r="E1427" s="2"/>
    </row>
  </sheetData>
  <phoneticPr fontId="18" type="noConversion"/>
  <dataValidations disablePrompts="1" count="1">
    <dataValidation type="list" allowBlank="1" showInputMessage="1" showErrorMessage="1" sqref="O4" xr:uid="{D5F1563E-0D3F-477E-8806-16D4ED07A877}">
      <formula1>$R$1:$R$3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9747E-1158-493E-8109-2534E110F03A}">
  <dimension ref="A1:M1280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0.5" style="1" bestFit="1" customWidth="1"/>
    <col min="2" max="2" width="11.33203125" style="9" bestFit="1" customWidth="1"/>
    <col min="3" max="3" width="9.1640625" style="9"/>
    <col min="4" max="4" width="13.1640625" customWidth="1"/>
    <col min="6" max="6" width="12" customWidth="1"/>
    <col min="11" max="11" width="10" bestFit="1" customWidth="1"/>
    <col min="12" max="12" width="53.83203125" customWidth="1"/>
    <col min="13" max="13" width="10.5" bestFit="1" customWidth="1"/>
  </cols>
  <sheetData>
    <row r="1" spans="1:12" x14ac:dyDescent="0.2">
      <c r="A1" s="1" t="s">
        <v>8</v>
      </c>
      <c r="B1" t="s">
        <v>6</v>
      </c>
      <c r="C1" t="s">
        <v>7</v>
      </c>
      <c r="D1" t="s">
        <v>9</v>
      </c>
    </row>
    <row r="2" spans="1:12" x14ac:dyDescent="0.2">
      <c r="A2" s="1" t="e" cm="1">
        <f t="array" aca="1" ref="A2" ca="1">_xll.BDH($L$3,"BEST_TARGET_PRICE, PX_LAST, PX_OPEN",$L$4,$L$5)</f>
        <v>#NAME?</v>
      </c>
      <c r="D2" s="9"/>
      <c r="E2" s="9"/>
      <c r="F2" t="e">
        <f t="array" aca="1" ref="F2" ca="1">_xll.BDP($L$3,"BEST_TARGET_PRICE")</f>
        <v>#NAME?</v>
      </c>
      <c r="G2" s="9" t="e">
        <f>RTD("tos.rtd",,"LAST",$L$2)</f>
        <v>#N/A</v>
      </c>
      <c r="L2" s="8" t="str">
        <f>_xlfn.TEXTBEFORE(L3," ",1)</f>
        <v>QCOM</v>
      </c>
    </row>
    <row r="3" spans="1:12" x14ac:dyDescent="0.2">
      <c r="D3" s="9"/>
      <c r="E3" s="9"/>
      <c r="K3" s="14" t="s">
        <v>5</v>
      </c>
      <c r="L3" s="12" t="s">
        <v>26</v>
      </c>
    </row>
    <row r="4" spans="1:12" x14ac:dyDescent="0.2">
      <c r="D4" s="9"/>
      <c r="E4" s="9"/>
      <c r="F4" s="10"/>
      <c r="K4" s="15" t="s">
        <v>3</v>
      </c>
      <c r="L4" s="13">
        <f ca="1">EOMONTH($L$5,-60)</f>
        <v>44469</v>
      </c>
    </row>
    <row r="5" spans="1:12" x14ac:dyDescent="0.2">
      <c r="D5" s="9"/>
      <c r="E5" s="9"/>
      <c r="F5" s="10"/>
      <c r="K5" s="16" t="s">
        <v>4</v>
      </c>
      <c r="L5" s="13">
        <f ca="1">TODAY()</f>
        <v>46279</v>
      </c>
    </row>
    <row r="6" spans="1:12" x14ac:dyDescent="0.2">
      <c r="D6" s="9"/>
      <c r="E6" s="9"/>
      <c r="F6" s="10"/>
    </row>
    <row r="7" spans="1:12" x14ac:dyDescent="0.2">
      <c r="D7" s="9"/>
      <c r="E7" s="9"/>
      <c r="F7" s="10"/>
    </row>
    <row r="8" spans="1:12" x14ac:dyDescent="0.2">
      <c r="D8" s="9"/>
      <c r="E8" s="9"/>
      <c r="F8" s="10"/>
      <c r="K8" t="s">
        <v>10</v>
      </c>
    </row>
    <row r="9" spans="1:12" x14ac:dyDescent="0.2">
      <c r="D9" s="9"/>
      <c r="E9" s="9"/>
      <c r="F9" s="10"/>
      <c r="K9" t="s">
        <v>11</v>
      </c>
    </row>
    <row r="10" spans="1:12" x14ac:dyDescent="0.2">
      <c r="D10" s="9"/>
      <c r="E10" s="9"/>
      <c r="F10" s="10"/>
      <c r="K10" t="s">
        <v>12</v>
      </c>
    </row>
    <row r="11" spans="1:12" x14ac:dyDescent="0.2">
      <c r="D11" s="9"/>
      <c r="E11" s="9"/>
      <c r="F11" s="10"/>
      <c r="K11" t="s">
        <v>13</v>
      </c>
    </row>
    <row r="12" spans="1:12" x14ac:dyDescent="0.2">
      <c r="D12" s="9"/>
      <c r="E12" s="9"/>
      <c r="F12" s="10"/>
      <c r="K12" t="s">
        <v>14</v>
      </c>
    </row>
    <row r="13" spans="1:12" x14ac:dyDescent="0.2">
      <c r="D13" s="9"/>
      <c r="E13" s="9"/>
      <c r="F13" s="10"/>
      <c r="K13" t="s">
        <v>15</v>
      </c>
    </row>
    <row r="14" spans="1:12" x14ac:dyDescent="0.2">
      <c r="D14" s="9"/>
      <c r="E14" s="9"/>
      <c r="F14" s="10"/>
      <c r="K14" t="s">
        <v>16</v>
      </c>
    </row>
    <row r="15" spans="1:12" x14ac:dyDescent="0.2">
      <c r="D15" s="9"/>
      <c r="E15" s="9"/>
      <c r="F15" s="10"/>
    </row>
    <row r="16" spans="1:12" x14ac:dyDescent="0.2">
      <c r="D16" s="9"/>
      <c r="E16" s="9"/>
      <c r="F16" s="10"/>
    </row>
    <row r="17" spans="4:6" x14ac:dyDescent="0.2">
      <c r="D17" s="9"/>
      <c r="E17" s="9"/>
      <c r="F17" s="10"/>
    </row>
    <row r="18" spans="4:6" x14ac:dyDescent="0.2">
      <c r="D18" s="9"/>
      <c r="E18" s="9"/>
      <c r="F18" s="10"/>
    </row>
    <row r="19" spans="4:6" x14ac:dyDescent="0.2">
      <c r="D19" s="9"/>
      <c r="E19" s="9"/>
      <c r="F19" s="10"/>
    </row>
    <row r="20" spans="4:6" x14ac:dyDescent="0.2">
      <c r="D20" s="9"/>
      <c r="E20" s="9"/>
      <c r="F20" s="10"/>
    </row>
    <row r="21" spans="4:6" x14ac:dyDescent="0.2">
      <c r="D21" s="9"/>
      <c r="E21" s="9"/>
      <c r="F21" s="10"/>
    </row>
    <row r="22" spans="4:6" x14ac:dyDescent="0.2">
      <c r="D22" s="9"/>
      <c r="E22" s="9"/>
      <c r="F22" s="10"/>
    </row>
    <row r="23" spans="4:6" x14ac:dyDescent="0.2">
      <c r="D23" s="9"/>
      <c r="E23" s="9"/>
      <c r="F23" s="10"/>
    </row>
    <row r="24" spans="4:6" x14ac:dyDescent="0.2">
      <c r="D24" s="9"/>
      <c r="E24" s="9"/>
      <c r="F24" s="10"/>
    </row>
    <row r="25" spans="4:6" x14ac:dyDescent="0.2">
      <c r="D25" s="9"/>
      <c r="E25" s="9"/>
      <c r="F25" s="10"/>
    </row>
    <row r="26" spans="4:6" x14ac:dyDescent="0.2">
      <c r="D26" s="9"/>
      <c r="E26" s="9"/>
      <c r="F26" s="10"/>
    </row>
    <row r="27" spans="4:6" x14ac:dyDescent="0.2">
      <c r="D27" s="9"/>
      <c r="E27" s="9"/>
      <c r="F27" s="10"/>
    </row>
    <row r="28" spans="4:6" x14ac:dyDescent="0.2">
      <c r="D28" s="9"/>
      <c r="E28" s="9"/>
      <c r="F28" s="10"/>
    </row>
    <row r="29" spans="4:6" x14ac:dyDescent="0.2">
      <c r="D29" s="9"/>
      <c r="E29" s="9"/>
      <c r="F29" s="10"/>
    </row>
    <row r="30" spans="4:6" x14ac:dyDescent="0.2">
      <c r="D30" s="9"/>
      <c r="E30" s="9"/>
      <c r="F30" s="10"/>
    </row>
    <row r="31" spans="4:6" x14ac:dyDescent="0.2">
      <c r="D31" s="9"/>
      <c r="E31" s="9"/>
      <c r="F31" s="10"/>
    </row>
    <row r="32" spans="4:6" x14ac:dyDescent="0.2">
      <c r="D32" s="9"/>
      <c r="E32" s="9"/>
      <c r="F32" s="10"/>
    </row>
    <row r="33" spans="4:7" x14ac:dyDescent="0.2">
      <c r="D33" s="9"/>
      <c r="E33" s="9"/>
      <c r="F33" s="10"/>
    </row>
    <row r="34" spans="4:7" x14ac:dyDescent="0.2">
      <c r="D34" s="9"/>
      <c r="E34" s="9"/>
      <c r="F34" s="10"/>
    </row>
    <row r="35" spans="4:7" x14ac:dyDescent="0.2">
      <c r="D35" s="9"/>
      <c r="E35" s="9"/>
      <c r="F35" s="10"/>
    </row>
    <row r="36" spans="4:7" x14ac:dyDescent="0.2">
      <c r="D36" s="9"/>
      <c r="E36" s="9"/>
      <c r="F36" s="10"/>
    </row>
    <row r="37" spans="4:7" x14ac:dyDescent="0.2">
      <c r="D37" s="9"/>
      <c r="E37" s="9"/>
      <c r="F37" s="10"/>
    </row>
    <row r="38" spans="4:7" x14ac:dyDescent="0.2">
      <c r="D38" s="9"/>
      <c r="E38" s="9"/>
      <c r="F38" s="10"/>
    </row>
    <row r="39" spans="4:7" x14ac:dyDescent="0.2">
      <c r="D39" s="9"/>
      <c r="E39" s="9"/>
      <c r="F39" s="10"/>
      <c r="G39" s="10"/>
    </row>
    <row r="40" spans="4:7" x14ac:dyDescent="0.2">
      <c r="D40" s="9"/>
      <c r="E40" s="9"/>
      <c r="F40" s="10"/>
      <c r="G40" s="10"/>
    </row>
    <row r="41" spans="4:7" x14ac:dyDescent="0.2">
      <c r="D41" s="9"/>
      <c r="E41" s="9"/>
      <c r="F41" s="10"/>
    </row>
    <row r="42" spans="4:7" x14ac:dyDescent="0.2">
      <c r="D42" s="9"/>
      <c r="E42" s="9"/>
      <c r="F42" s="10"/>
    </row>
    <row r="43" spans="4:7" x14ac:dyDescent="0.2">
      <c r="D43" s="9"/>
      <c r="E43" s="9"/>
      <c r="F43" s="10"/>
    </row>
    <row r="44" spans="4:7" x14ac:dyDescent="0.2">
      <c r="D44" s="9"/>
      <c r="E44" s="9"/>
      <c r="F44" s="10"/>
    </row>
    <row r="45" spans="4:7" x14ac:dyDescent="0.2">
      <c r="D45" s="9"/>
      <c r="E45" s="9"/>
      <c r="F45" s="10"/>
    </row>
    <row r="46" spans="4:7" x14ac:dyDescent="0.2">
      <c r="D46" s="9"/>
      <c r="E46" s="9"/>
      <c r="F46" s="10"/>
    </row>
    <row r="47" spans="4:7" x14ac:dyDescent="0.2">
      <c r="D47" s="9"/>
      <c r="E47" s="9"/>
      <c r="F47" s="10"/>
    </row>
    <row r="48" spans="4:7" x14ac:dyDescent="0.2">
      <c r="D48" s="9"/>
      <c r="E48" s="9"/>
      <c r="F48" s="10"/>
    </row>
    <row r="49" spans="4:6" x14ac:dyDescent="0.2">
      <c r="D49" s="9"/>
      <c r="E49" s="9"/>
      <c r="F49" s="10"/>
    </row>
    <row r="50" spans="4:6" x14ac:dyDescent="0.2">
      <c r="D50" s="9"/>
      <c r="E50" s="9"/>
      <c r="F50" s="10"/>
    </row>
    <row r="51" spans="4:6" x14ac:dyDescent="0.2">
      <c r="D51" s="9"/>
      <c r="E51" s="9"/>
      <c r="F51" s="10"/>
    </row>
    <row r="52" spans="4:6" x14ac:dyDescent="0.2">
      <c r="D52" s="9"/>
      <c r="E52" s="9"/>
      <c r="F52" s="10"/>
    </row>
    <row r="53" spans="4:6" x14ac:dyDescent="0.2">
      <c r="D53" s="9"/>
      <c r="E53" s="9"/>
      <c r="F53" s="10"/>
    </row>
    <row r="54" spans="4:6" x14ac:dyDescent="0.2">
      <c r="D54" s="9"/>
      <c r="E54" s="9"/>
      <c r="F54" s="10"/>
    </row>
    <row r="55" spans="4:6" x14ac:dyDescent="0.2">
      <c r="D55" s="9"/>
      <c r="E55" s="9"/>
      <c r="F55" s="10"/>
    </row>
    <row r="56" spans="4:6" x14ac:dyDescent="0.2">
      <c r="D56" s="9"/>
      <c r="E56" s="9"/>
      <c r="F56" s="10"/>
    </row>
    <row r="57" spans="4:6" x14ac:dyDescent="0.2">
      <c r="D57" s="9"/>
      <c r="E57" s="9"/>
      <c r="F57" s="10"/>
    </row>
    <row r="58" spans="4:6" x14ac:dyDescent="0.2">
      <c r="D58" s="9"/>
      <c r="E58" s="9"/>
      <c r="F58" s="10"/>
    </row>
    <row r="59" spans="4:6" x14ac:dyDescent="0.2">
      <c r="D59" s="9"/>
      <c r="E59" s="9"/>
      <c r="F59" s="10"/>
    </row>
    <row r="60" spans="4:6" x14ac:dyDescent="0.2">
      <c r="D60" s="9"/>
      <c r="E60" s="9"/>
      <c r="F60" s="10"/>
    </row>
    <row r="61" spans="4:6" x14ac:dyDescent="0.2">
      <c r="D61" s="9"/>
      <c r="E61" s="9"/>
      <c r="F61" s="10"/>
    </row>
    <row r="62" spans="4:6" x14ac:dyDescent="0.2">
      <c r="D62" s="9"/>
      <c r="E62" s="9"/>
      <c r="F62" s="10"/>
    </row>
    <row r="63" spans="4:6" x14ac:dyDescent="0.2">
      <c r="D63" s="9"/>
      <c r="E63" s="9"/>
      <c r="F63" s="10"/>
    </row>
    <row r="64" spans="4:6" x14ac:dyDescent="0.2">
      <c r="D64" s="9"/>
      <c r="E64" s="9"/>
      <c r="F64" s="10"/>
    </row>
    <row r="65" spans="4:6" x14ac:dyDescent="0.2">
      <c r="D65" s="9"/>
      <c r="E65" s="9"/>
      <c r="F65" s="10"/>
    </row>
    <row r="66" spans="4:6" x14ac:dyDescent="0.2">
      <c r="D66" s="9"/>
      <c r="E66" s="9"/>
      <c r="F66" s="10"/>
    </row>
    <row r="67" spans="4:6" x14ac:dyDescent="0.2">
      <c r="D67" s="9"/>
      <c r="E67" s="9"/>
      <c r="F67" s="10"/>
    </row>
    <row r="68" spans="4:6" x14ac:dyDescent="0.2">
      <c r="D68" s="9"/>
      <c r="E68" s="9"/>
      <c r="F68" s="10"/>
    </row>
    <row r="69" spans="4:6" x14ac:dyDescent="0.2">
      <c r="D69" s="9"/>
      <c r="E69" s="9"/>
      <c r="F69" s="10"/>
    </row>
    <row r="70" spans="4:6" x14ac:dyDescent="0.2">
      <c r="D70" s="9"/>
      <c r="E70" s="9"/>
      <c r="F70" s="10"/>
    </row>
    <row r="71" spans="4:6" x14ac:dyDescent="0.2">
      <c r="D71" s="9"/>
      <c r="E71" s="9"/>
      <c r="F71" s="10"/>
    </row>
    <row r="72" spans="4:6" x14ac:dyDescent="0.2">
      <c r="D72" s="9"/>
      <c r="E72" s="9"/>
      <c r="F72" s="10"/>
    </row>
    <row r="73" spans="4:6" x14ac:dyDescent="0.2">
      <c r="D73" s="9"/>
      <c r="E73" s="9"/>
      <c r="F73" s="10"/>
    </row>
    <row r="74" spans="4:6" x14ac:dyDescent="0.2">
      <c r="D74" s="9"/>
      <c r="E74" s="9"/>
      <c r="F74" s="10"/>
    </row>
    <row r="75" spans="4:6" x14ac:dyDescent="0.2">
      <c r="D75" s="9"/>
      <c r="E75" s="9"/>
      <c r="F75" s="10"/>
    </row>
    <row r="76" spans="4:6" x14ac:dyDescent="0.2">
      <c r="D76" s="9"/>
      <c r="E76" s="9"/>
      <c r="F76" s="10"/>
    </row>
    <row r="77" spans="4:6" x14ac:dyDescent="0.2">
      <c r="D77" s="9"/>
      <c r="E77" s="9"/>
      <c r="F77" s="10"/>
    </row>
    <row r="78" spans="4:6" x14ac:dyDescent="0.2">
      <c r="D78" s="9"/>
      <c r="E78" s="9"/>
      <c r="F78" s="10"/>
    </row>
    <row r="79" spans="4:6" x14ac:dyDescent="0.2">
      <c r="D79" s="9"/>
      <c r="E79" s="9"/>
      <c r="F79" s="10"/>
    </row>
    <row r="80" spans="4:6" x14ac:dyDescent="0.2">
      <c r="D80" s="9"/>
      <c r="E80" s="9"/>
      <c r="F80" s="10"/>
    </row>
    <row r="81" spans="4:8" x14ac:dyDescent="0.2">
      <c r="D81" s="9"/>
      <c r="E81" s="9"/>
      <c r="F81" s="10"/>
    </row>
    <row r="82" spans="4:8" x14ac:dyDescent="0.2">
      <c r="D82" s="9"/>
      <c r="E82" s="9"/>
      <c r="F82" s="10"/>
    </row>
    <row r="83" spans="4:8" x14ac:dyDescent="0.2">
      <c r="D83" s="9"/>
      <c r="E83" s="9"/>
      <c r="F83" s="10"/>
    </row>
    <row r="84" spans="4:8" x14ac:dyDescent="0.2">
      <c r="D84" s="9"/>
      <c r="E84" s="9"/>
      <c r="F84" s="10"/>
    </row>
    <row r="85" spans="4:8" x14ac:dyDescent="0.2">
      <c r="D85" s="9"/>
      <c r="E85" s="9"/>
      <c r="F85" s="10"/>
    </row>
    <row r="86" spans="4:8" x14ac:dyDescent="0.2">
      <c r="D86" s="9"/>
      <c r="E86" s="9"/>
      <c r="F86" s="10"/>
    </row>
    <row r="87" spans="4:8" x14ac:dyDescent="0.2">
      <c r="D87" s="9"/>
      <c r="E87" s="9"/>
      <c r="F87" s="10"/>
    </row>
    <row r="88" spans="4:8" x14ac:dyDescent="0.2">
      <c r="D88" s="9"/>
      <c r="E88" s="9"/>
      <c r="F88" s="10"/>
    </row>
    <row r="89" spans="4:8" x14ac:dyDescent="0.2">
      <c r="D89" s="9"/>
      <c r="E89" s="9"/>
      <c r="F89" s="10"/>
    </row>
    <row r="90" spans="4:8" x14ac:dyDescent="0.2">
      <c r="D90" s="9"/>
      <c r="E90" s="9"/>
      <c r="F90" s="10"/>
    </row>
    <row r="91" spans="4:8" x14ac:dyDescent="0.2">
      <c r="D91" s="9"/>
      <c r="E91" s="9"/>
      <c r="F91" s="10"/>
      <c r="H91" s="10"/>
    </row>
    <row r="92" spans="4:8" x14ac:dyDescent="0.2">
      <c r="D92" s="9"/>
      <c r="E92" s="9"/>
      <c r="F92" s="10"/>
    </row>
    <row r="93" spans="4:8" x14ac:dyDescent="0.2">
      <c r="D93" s="9"/>
      <c r="E93" s="9"/>
      <c r="F93" s="10"/>
    </row>
    <row r="94" spans="4:8" x14ac:dyDescent="0.2">
      <c r="D94" s="9"/>
      <c r="E94" s="9"/>
      <c r="F94" s="10"/>
    </row>
    <row r="95" spans="4:8" x14ac:dyDescent="0.2">
      <c r="D95" s="9"/>
      <c r="E95" s="9"/>
      <c r="F95" s="10"/>
      <c r="G95" s="11"/>
    </row>
    <row r="96" spans="4:8" x14ac:dyDescent="0.2">
      <c r="D96" s="9"/>
      <c r="E96" s="9"/>
      <c r="F96" s="10"/>
    </row>
    <row r="97" spans="4:6" x14ac:dyDescent="0.2">
      <c r="D97" s="9"/>
      <c r="E97" s="9"/>
      <c r="F97" s="10"/>
    </row>
    <row r="98" spans="4:6" x14ac:dyDescent="0.2">
      <c r="D98" s="9"/>
      <c r="E98" s="9"/>
      <c r="F98" s="10"/>
    </row>
    <row r="99" spans="4:6" x14ac:dyDescent="0.2">
      <c r="D99" s="9"/>
      <c r="E99" s="9"/>
      <c r="F99" s="10"/>
    </row>
    <row r="100" spans="4:6" x14ac:dyDescent="0.2">
      <c r="D100" s="9"/>
      <c r="E100" s="9"/>
      <c r="F100" s="10"/>
    </row>
    <row r="101" spans="4:6" x14ac:dyDescent="0.2">
      <c r="D101" s="9"/>
      <c r="E101" s="9"/>
      <c r="F101" s="10"/>
    </row>
    <row r="102" spans="4:6" x14ac:dyDescent="0.2">
      <c r="D102" s="9"/>
      <c r="E102" s="9"/>
    </row>
    <row r="103" spans="4:6" x14ac:dyDescent="0.2">
      <c r="D103" s="9"/>
      <c r="E103" s="9"/>
    </row>
    <row r="104" spans="4:6" x14ac:dyDescent="0.2">
      <c r="D104" s="9"/>
      <c r="E104" s="9"/>
    </row>
    <row r="105" spans="4:6" x14ac:dyDescent="0.2">
      <c r="D105" s="9"/>
      <c r="E105" s="9"/>
    </row>
    <row r="106" spans="4:6" x14ac:dyDescent="0.2">
      <c r="D106" s="9"/>
      <c r="E106" s="9"/>
    </row>
    <row r="107" spans="4:6" x14ac:dyDescent="0.2">
      <c r="D107" s="9"/>
      <c r="E107" s="9"/>
    </row>
    <row r="108" spans="4:6" x14ac:dyDescent="0.2">
      <c r="D108" s="9"/>
      <c r="E108" s="9"/>
    </row>
    <row r="109" spans="4:6" x14ac:dyDescent="0.2">
      <c r="D109" s="9"/>
      <c r="E109" s="9"/>
    </row>
    <row r="110" spans="4:6" x14ac:dyDescent="0.2">
      <c r="D110" s="9"/>
      <c r="E110" s="9"/>
    </row>
    <row r="111" spans="4:6" x14ac:dyDescent="0.2">
      <c r="D111" s="9"/>
      <c r="E111" s="9"/>
    </row>
    <row r="112" spans="4:6" x14ac:dyDescent="0.2">
      <c r="D112" s="9"/>
      <c r="E112" s="9"/>
    </row>
    <row r="113" spans="4:5" x14ac:dyDescent="0.2">
      <c r="D113" s="9"/>
      <c r="E113" s="9"/>
    </row>
    <row r="114" spans="4:5" x14ac:dyDescent="0.2">
      <c r="D114" s="9"/>
      <c r="E114" s="9"/>
    </row>
    <row r="115" spans="4:5" x14ac:dyDescent="0.2">
      <c r="D115" s="9"/>
      <c r="E115" s="9"/>
    </row>
    <row r="116" spans="4:5" x14ac:dyDescent="0.2">
      <c r="D116" s="9"/>
      <c r="E116" s="9"/>
    </row>
    <row r="117" spans="4:5" x14ac:dyDescent="0.2">
      <c r="D117" s="9"/>
      <c r="E117" s="9"/>
    </row>
    <row r="118" spans="4:5" x14ac:dyDescent="0.2">
      <c r="D118" s="9"/>
      <c r="E118" s="9"/>
    </row>
    <row r="119" spans="4:5" x14ac:dyDescent="0.2">
      <c r="D119" s="9"/>
      <c r="E119" s="9"/>
    </row>
    <row r="120" spans="4:5" x14ac:dyDescent="0.2">
      <c r="D120" s="9"/>
      <c r="E120" s="9"/>
    </row>
    <row r="121" spans="4:5" x14ac:dyDescent="0.2">
      <c r="D121" s="9"/>
      <c r="E121" s="9"/>
    </row>
    <row r="122" spans="4:5" x14ac:dyDescent="0.2">
      <c r="D122" s="9"/>
      <c r="E122" s="9"/>
    </row>
    <row r="123" spans="4:5" x14ac:dyDescent="0.2">
      <c r="D123" s="9"/>
      <c r="E123" s="9"/>
    </row>
    <row r="124" spans="4:5" x14ac:dyDescent="0.2">
      <c r="D124" s="9"/>
      <c r="E124" s="9"/>
    </row>
    <row r="125" spans="4:5" x14ac:dyDescent="0.2">
      <c r="D125" s="9"/>
      <c r="E125" s="9"/>
    </row>
    <row r="126" spans="4:5" x14ac:dyDescent="0.2">
      <c r="D126" s="9"/>
      <c r="E126" s="9"/>
    </row>
    <row r="127" spans="4:5" x14ac:dyDescent="0.2">
      <c r="D127" s="9"/>
      <c r="E127" s="9"/>
    </row>
    <row r="128" spans="4:5" x14ac:dyDescent="0.2">
      <c r="D128" s="9"/>
      <c r="E128" s="9"/>
    </row>
    <row r="129" spans="4:5" x14ac:dyDescent="0.2">
      <c r="D129" s="9"/>
      <c r="E129" s="9"/>
    </row>
    <row r="130" spans="4:5" x14ac:dyDescent="0.2">
      <c r="D130" s="9"/>
      <c r="E130" s="9"/>
    </row>
    <row r="131" spans="4:5" x14ac:dyDescent="0.2">
      <c r="D131" s="9"/>
      <c r="E131" s="9"/>
    </row>
    <row r="132" spans="4:5" x14ac:dyDescent="0.2">
      <c r="D132" s="9"/>
      <c r="E132" s="9"/>
    </row>
    <row r="133" spans="4:5" x14ac:dyDescent="0.2">
      <c r="D133" s="9"/>
      <c r="E133" s="9"/>
    </row>
    <row r="134" spans="4:5" x14ac:dyDescent="0.2">
      <c r="D134" s="9"/>
      <c r="E134" s="9"/>
    </row>
    <row r="135" spans="4:5" x14ac:dyDescent="0.2">
      <c r="D135" s="9"/>
      <c r="E135" s="9"/>
    </row>
    <row r="136" spans="4:5" x14ac:dyDescent="0.2">
      <c r="D136" s="9"/>
      <c r="E136" s="9"/>
    </row>
    <row r="137" spans="4:5" x14ac:dyDescent="0.2">
      <c r="D137" s="9"/>
      <c r="E137" s="9"/>
    </row>
    <row r="138" spans="4:5" x14ac:dyDescent="0.2">
      <c r="D138" s="9"/>
      <c r="E138" s="9"/>
    </row>
    <row r="139" spans="4:5" x14ac:dyDescent="0.2">
      <c r="D139" s="9"/>
      <c r="E139" s="9"/>
    </row>
    <row r="140" spans="4:5" x14ac:dyDescent="0.2">
      <c r="D140" s="9"/>
      <c r="E140" s="9"/>
    </row>
    <row r="141" spans="4:5" x14ac:dyDescent="0.2">
      <c r="D141" s="9"/>
      <c r="E141" s="9"/>
    </row>
    <row r="142" spans="4:5" x14ac:dyDescent="0.2">
      <c r="D142" s="9"/>
      <c r="E142" s="9"/>
    </row>
    <row r="143" spans="4:5" x14ac:dyDescent="0.2">
      <c r="D143" s="9"/>
      <c r="E143" s="9"/>
    </row>
    <row r="144" spans="4:5" x14ac:dyDescent="0.2">
      <c r="D144" s="9"/>
      <c r="E144" s="9"/>
    </row>
    <row r="145" spans="4:5" x14ac:dyDescent="0.2">
      <c r="D145" s="9"/>
      <c r="E145" s="9"/>
    </row>
    <row r="146" spans="4:5" x14ac:dyDescent="0.2">
      <c r="D146" s="9"/>
      <c r="E146" s="9"/>
    </row>
    <row r="147" spans="4:5" x14ac:dyDescent="0.2">
      <c r="D147" s="9"/>
      <c r="E147" s="9"/>
    </row>
    <row r="148" spans="4:5" x14ac:dyDescent="0.2">
      <c r="D148" s="9"/>
      <c r="E148" s="9"/>
    </row>
    <row r="149" spans="4:5" x14ac:dyDescent="0.2">
      <c r="D149" s="9"/>
      <c r="E149" s="9"/>
    </row>
    <row r="150" spans="4:5" x14ac:dyDescent="0.2">
      <c r="D150" s="9"/>
      <c r="E150" s="9"/>
    </row>
    <row r="151" spans="4:5" x14ac:dyDescent="0.2">
      <c r="D151" s="9"/>
      <c r="E151" s="9"/>
    </row>
    <row r="152" spans="4:5" x14ac:dyDescent="0.2">
      <c r="D152" s="9"/>
      <c r="E152" s="9"/>
    </row>
    <row r="153" spans="4:5" x14ac:dyDescent="0.2">
      <c r="D153" s="9"/>
      <c r="E153" s="9"/>
    </row>
    <row r="154" spans="4:5" x14ac:dyDescent="0.2">
      <c r="D154" s="9"/>
      <c r="E154" s="9"/>
    </row>
    <row r="155" spans="4:5" x14ac:dyDescent="0.2">
      <c r="D155" s="9"/>
      <c r="E155" s="9"/>
    </row>
    <row r="156" spans="4:5" x14ac:dyDescent="0.2">
      <c r="D156" s="9"/>
      <c r="E156" s="9"/>
    </row>
    <row r="157" spans="4:5" x14ac:dyDescent="0.2">
      <c r="D157" s="9"/>
      <c r="E157" s="9"/>
    </row>
    <row r="158" spans="4:5" x14ac:dyDescent="0.2">
      <c r="D158" s="9"/>
      <c r="E158" s="9"/>
    </row>
    <row r="159" spans="4:5" x14ac:dyDescent="0.2">
      <c r="D159" s="9"/>
      <c r="E159" s="9"/>
    </row>
    <row r="160" spans="4:5" x14ac:dyDescent="0.2">
      <c r="D160" s="9"/>
      <c r="E160" s="9"/>
    </row>
    <row r="161" spans="4:5" x14ac:dyDescent="0.2">
      <c r="D161" s="9"/>
      <c r="E161" s="9"/>
    </row>
    <row r="162" spans="4:5" x14ac:dyDescent="0.2">
      <c r="D162" s="9"/>
      <c r="E162" s="9"/>
    </row>
    <row r="163" spans="4:5" x14ac:dyDescent="0.2">
      <c r="D163" s="9"/>
      <c r="E163" s="9"/>
    </row>
    <row r="164" spans="4:5" x14ac:dyDescent="0.2">
      <c r="D164" s="9"/>
      <c r="E164" s="9"/>
    </row>
    <row r="165" spans="4:5" x14ac:dyDescent="0.2">
      <c r="D165" s="9"/>
      <c r="E165" s="9"/>
    </row>
    <row r="166" spans="4:5" x14ac:dyDescent="0.2">
      <c r="D166" s="9"/>
      <c r="E166" s="9"/>
    </row>
    <row r="167" spans="4:5" x14ac:dyDescent="0.2">
      <c r="D167" s="9"/>
      <c r="E167" s="9"/>
    </row>
    <row r="168" spans="4:5" x14ac:dyDescent="0.2">
      <c r="D168" s="9"/>
      <c r="E168" s="9"/>
    </row>
    <row r="169" spans="4:5" x14ac:dyDescent="0.2">
      <c r="D169" s="9"/>
      <c r="E169" s="9"/>
    </row>
    <row r="170" spans="4:5" x14ac:dyDescent="0.2">
      <c r="D170" s="9"/>
      <c r="E170" s="9"/>
    </row>
    <row r="171" spans="4:5" x14ac:dyDescent="0.2">
      <c r="D171" s="9"/>
      <c r="E171" s="9"/>
    </row>
    <row r="172" spans="4:5" x14ac:dyDescent="0.2">
      <c r="D172" s="9"/>
      <c r="E172" s="9"/>
    </row>
    <row r="173" spans="4:5" x14ac:dyDescent="0.2">
      <c r="D173" s="9"/>
      <c r="E173" s="9"/>
    </row>
    <row r="174" spans="4:5" x14ac:dyDescent="0.2">
      <c r="D174" s="9"/>
      <c r="E174" s="9"/>
    </row>
    <row r="175" spans="4:5" x14ac:dyDescent="0.2">
      <c r="D175" s="9"/>
      <c r="E175" s="9"/>
    </row>
    <row r="176" spans="4:5" x14ac:dyDescent="0.2">
      <c r="D176" s="9"/>
      <c r="E176" s="9"/>
    </row>
    <row r="177" spans="4:13" x14ac:dyDescent="0.2">
      <c r="D177" s="9"/>
      <c r="E177" s="9"/>
    </row>
    <row r="178" spans="4:13" x14ac:dyDescent="0.2">
      <c r="D178" s="9"/>
      <c r="E178" s="9"/>
      <c r="L178" s="8"/>
      <c r="M178" s="22"/>
    </row>
    <row r="179" spans="4:13" ht="18" x14ac:dyDescent="0.2">
      <c r="D179" s="9"/>
      <c r="E179" s="9"/>
      <c r="L179" s="19"/>
      <c r="M179" s="22"/>
    </row>
    <row r="180" spans="4:13" ht="18" x14ac:dyDescent="0.2">
      <c r="D180" s="9"/>
      <c r="E180" s="9"/>
      <c r="L180" s="19"/>
      <c r="M180" s="22"/>
    </row>
    <row r="181" spans="4:13" ht="18" x14ac:dyDescent="0.2">
      <c r="D181" s="9"/>
      <c r="E181" s="9"/>
      <c r="L181" s="19"/>
      <c r="M181" s="22"/>
    </row>
    <row r="182" spans="4:13" x14ac:dyDescent="0.2">
      <c r="D182" s="9"/>
      <c r="E182" s="9"/>
      <c r="L182" s="20"/>
      <c r="M182" s="22"/>
    </row>
    <row r="183" spans="4:13" ht="18" x14ac:dyDescent="0.2">
      <c r="D183" s="9"/>
      <c r="E183" s="9"/>
      <c r="L183" s="21"/>
      <c r="M183" s="22"/>
    </row>
    <row r="184" spans="4:13" x14ac:dyDescent="0.2">
      <c r="D184" s="9"/>
      <c r="E184" s="9"/>
      <c r="M184" s="22"/>
    </row>
    <row r="185" spans="4:13" x14ac:dyDescent="0.2">
      <c r="D185" s="9"/>
      <c r="E185" s="9"/>
    </row>
    <row r="186" spans="4:13" x14ac:dyDescent="0.2">
      <c r="D186" s="9"/>
      <c r="E186" s="9"/>
    </row>
    <row r="187" spans="4:13" x14ac:dyDescent="0.2">
      <c r="D187" s="9"/>
      <c r="E187" s="9"/>
    </row>
    <row r="188" spans="4:13" x14ac:dyDescent="0.2">
      <c r="D188" s="9"/>
      <c r="E188" s="9"/>
    </row>
    <row r="189" spans="4:13" x14ac:dyDescent="0.2">
      <c r="D189" s="9"/>
      <c r="E189" s="9"/>
    </row>
    <row r="190" spans="4:13" x14ac:dyDescent="0.2">
      <c r="D190" s="9"/>
      <c r="E190" s="9"/>
    </row>
    <row r="191" spans="4:13" x14ac:dyDescent="0.2">
      <c r="D191" s="9"/>
      <c r="E191" s="9"/>
    </row>
    <row r="192" spans="4:13" x14ac:dyDescent="0.2">
      <c r="D192" s="9"/>
      <c r="E192" s="9"/>
    </row>
    <row r="193" spans="4:5" x14ac:dyDescent="0.2">
      <c r="D193" s="9"/>
      <c r="E193" s="9"/>
    </row>
    <row r="194" spans="4:5" x14ac:dyDescent="0.2">
      <c r="D194" s="9"/>
      <c r="E194" s="9"/>
    </row>
    <row r="195" spans="4:5" x14ac:dyDescent="0.2">
      <c r="D195" s="9"/>
      <c r="E195" s="9"/>
    </row>
    <row r="196" spans="4:5" x14ac:dyDescent="0.2">
      <c r="D196" s="9"/>
      <c r="E196" s="9"/>
    </row>
    <row r="197" spans="4:5" x14ac:dyDescent="0.2">
      <c r="D197" s="9"/>
      <c r="E197" s="9"/>
    </row>
    <row r="198" spans="4:5" x14ac:dyDescent="0.2">
      <c r="D198" s="9"/>
      <c r="E198" s="9"/>
    </row>
    <row r="199" spans="4:5" x14ac:dyDescent="0.2">
      <c r="D199" s="9"/>
      <c r="E199" s="9"/>
    </row>
    <row r="200" spans="4:5" x14ac:dyDescent="0.2">
      <c r="D200" s="9"/>
      <c r="E200" s="9"/>
    </row>
    <row r="201" spans="4:5" x14ac:dyDescent="0.2">
      <c r="D201" s="9"/>
      <c r="E201" s="9"/>
    </row>
    <row r="202" spans="4:5" x14ac:dyDescent="0.2">
      <c r="D202" s="9"/>
      <c r="E202" s="9"/>
    </row>
    <row r="203" spans="4:5" x14ac:dyDescent="0.2">
      <c r="D203" s="9"/>
      <c r="E203" s="9"/>
    </row>
    <row r="204" spans="4:5" x14ac:dyDescent="0.2">
      <c r="D204" s="9"/>
      <c r="E204" s="9"/>
    </row>
    <row r="205" spans="4:5" x14ac:dyDescent="0.2">
      <c r="D205" s="9"/>
      <c r="E205" s="9"/>
    </row>
    <row r="206" spans="4:5" x14ac:dyDescent="0.2">
      <c r="D206" s="9"/>
      <c r="E206" s="9"/>
    </row>
    <row r="207" spans="4:5" x14ac:dyDescent="0.2">
      <c r="D207" s="9"/>
      <c r="E207" s="9"/>
    </row>
    <row r="208" spans="4:5" x14ac:dyDescent="0.2">
      <c r="D208" s="9"/>
      <c r="E208" s="9"/>
    </row>
    <row r="209" spans="4:5" x14ac:dyDescent="0.2">
      <c r="D209" s="9"/>
      <c r="E209" s="9"/>
    </row>
    <row r="210" spans="4:5" x14ac:dyDescent="0.2">
      <c r="D210" s="9"/>
      <c r="E210" s="9"/>
    </row>
    <row r="211" spans="4:5" x14ac:dyDescent="0.2">
      <c r="D211" s="9"/>
      <c r="E211" s="9"/>
    </row>
    <row r="212" spans="4:5" x14ac:dyDescent="0.2">
      <c r="D212" s="9"/>
      <c r="E212" s="9"/>
    </row>
    <row r="213" spans="4:5" x14ac:dyDescent="0.2">
      <c r="D213" s="9"/>
      <c r="E213" s="9"/>
    </row>
    <row r="214" spans="4:5" x14ac:dyDescent="0.2">
      <c r="D214" s="9"/>
      <c r="E214" s="9"/>
    </row>
    <row r="215" spans="4:5" x14ac:dyDescent="0.2">
      <c r="D215" s="9"/>
      <c r="E215" s="9"/>
    </row>
    <row r="216" spans="4:5" x14ac:dyDescent="0.2">
      <c r="D216" s="9"/>
      <c r="E216" s="9"/>
    </row>
    <row r="217" spans="4:5" x14ac:dyDescent="0.2">
      <c r="D217" s="9"/>
      <c r="E217" s="9"/>
    </row>
    <row r="218" spans="4:5" x14ac:dyDescent="0.2">
      <c r="D218" s="9"/>
      <c r="E218" s="9"/>
    </row>
    <row r="219" spans="4:5" x14ac:dyDescent="0.2">
      <c r="D219" s="9"/>
      <c r="E219" s="9"/>
    </row>
    <row r="220" spans="4:5" x14ac:dyDescent="0.2">
      <c r="D220" s="9"/>
      <c r="E220" s="9"/>
    </row>
    <row r="221" spans="4:5" x14ac:dyDescent="0.2">
      <c r="D221" s="9"/>
      <c r="E221" s="9"/>
    </row>
    <row r="222" spans="4:5" x14ac:dyDescent="0.2">
      <c r="D222" s="9"/>
      <c r="E222" s="9"/>
    </row>
    <row r="223" spans="4:5" x14ac:dyDescent="0.2">
      <c r="D223" s="9"/>
      <c r="E223" s="9"/>
    </row>
    <row r="224" spans="4:5" x14ac:dyDescent="0.2">
      <c r="D224" s="9"/>
      <c r="E224" s="9"/>
    </row>
    <row r="225" spans="4:5" x14ac:dyDescent="0.2">
      <c r="D225" s="9"/>
      <c r="E225" s="9"/>
    </row>
    <row r="226" spans="4:5" x14ac:dyDescent="0.2">
      <c r="D226" s="9"/>
      <c r="E226" s="9"/>
    </row>
    <row r="227" spans="4:5" x14ac:dyDescent="0.2">
      <c r="D227" s="9"/>
      <c r="E227" s="9"/>
    </row>
    <row r="228" spans="4:5" x14ac:dyDescent="0.2">
      <c r="D228" s="9"/>
      <c r="E228" s="9"/>
    </row>
    <row r="229" spans="4:5" x14ac:dyDescent="0.2">
      <c r="D229" s="9"/>
      <c r="E229" s="9"/>
    </row>
    <row r="230" spans="4:5" x14ac:dyDescent="0.2">
      <c r="D230" s="9"/>
      <c r="E230" s="9"/>
    </row>
    <row r="231" spans="4:5" x14ac:dyDescent="0.2">
      <c r="D231" s="9"/>
      <c r="E231" s="9"/>
    </row>
    <row r="232" spans="4:5" x14ac:dyDescent="0.2">
      <c r="D232" s="9"/>
      <c r="E232" s="9"/>
    </row>
    <row r="233" spans="4:5" x14ac:dyDescent="0.2">
      <c r="D233" s="9"/>
      <c r="E233" s="9"/>
    </row>
    <row r="234" spans="4:5" x14ac:dyDescent="0.2">
      <c r="D234" s="9"/>
      <c r="E234" s="9"/>
    </row>
    <row r="235" spans="4:5" x14ac:dyDescent="0.2">
      <c r="D235" s="9"/>
      <c r="E235" s="9"/>
    </row>
    <row r="236" spans="4:5" x14ac:dyDescent="0.2">
      <c r="D236" s="9"/>
      <c r="E236" s="9"/>
    </row>
    <row r="237" spans="4:5" x14ac:dyDescent="0.2">
      <c r="D237" s="9"/>
      <c r="E237" s="9"/>
    </row>
    <row r="238" spans="4:5" x14ac:dyDescent="0.2">
      <c r="D238" s="9"/>
      <c r="E238" s="9"/>
    </row>
    <row r="239" spans="4:5" x14ac:dyDescent="0.2">
      <c r="D239" s="9"/>
      <c r="E239" s="9"/>
    </row>
    <row r="240" spans="4:5" x14ac:dyDescent="0.2">
      <c r="D240" s="9"/>
      <c r="E240" s="9"/>
    </row>
    <row r="241" spans="4:5" x14ac:dyDescent="0.2">
      <c r="D241" s="9"/>
      <c r="E241" s="9"/>
    </row>
    <row r="242" spans="4:5" x14ac:dyDescent="0.2">
      <c r="D242" s="9"/>
      <c r="E242" s="9"/>
    </row>
    <row r="243" spans="4:5" x14ac:dyDescent="0.2">
      <c r="D243" s="9"/>
      <c r="E243" s="9"/>
    </row>
    <row r="244" spans="4:5" x14ac:dyDescent="0.2">
      <c r="D244" s="9"/>
      <c r="E244" s="9"/>
    </row>
    <row r="245" spans="4:5" x14ac:dyDescent="0.2">
      <c r="D245" s="9"/>
      <c r="E245" s="9"/>
    </row>
    <row r="246" spans="4:5" x14ac:dyDescent="0.2">
      <c r="D246" s="9"/>
      <c r="E246" s="9"/>
    </row>
    <row r="247" spans="4:5" x14ac:dyDescent="0.2">
      <c r="D247" s="9"/>
      <c r="E247" s="9"/>
    </row>
    <row r="248" spans="4:5" x14ac:dyDescent="0.2">
      <c r="D248" s="9"/>
      <c r="E248" s="9"/>
    </row>
    <row r="249" spans="4:5" x14ac:dyDescent="0.2">
      <c r="D249" s="9"/>
      <c r="E249" s="9"/>
    </row>
    <row r="250" spans="4:5" x14ac:dyDescent="0.2">
      <c r="D250" s="9"/>
      <c r="E250" s="9"/>
    </row>
    <row r="251" spans="4:5" x14ac:dyDescent="0.2">
      <c r="D251" s="9"/>
      <c r="E251" s="9"/>
    </row>
    <row r="252" spans="4:5" x14ac:dyDescent="0.2">
      <c r="D252" s="9"/>
      <c r="E252" s="9"/>
    </row>
    <row r="253" spans="4:5" x14ac:dyDescent="0.2">
      <c r="D253" s="9"/>
      <c r="E253" s="9"/>
    </row>
    <row r="254" spans="4:5" x14ac:dyDescent="0.2">
      <c r="D254" s="9"/>
      <c r="E254" s="9"/>
    </row>
    <row r="255" spans="4:5" x14ac:dyDescent="0.2">
      <c r="D255" s="9"/>
      <c r="E255" s="9"/>
    </row>
    <row r="256" spans="4:5" x14ac:dyDescent="0.2">
      <c r="D256" s="9"/>
      <c r="E256" s="9"/>
    </row>
    <row r="257" spans="4:5" x14ac:dyDescent="0.2">
      <c r="D257" s="9"/>
      <c r="E257" s="9"/>
    </row>
    <row r="258" spans="4:5" x14ac:dyDescent="0.2">
      <c r="D258" s="9"/>
      <c r="E258" s="9"/>
    </row>
    <row r="259" spans="4:5" x14ac:dyDescent="0.2">
      <c r="D259" s="9"/>
      <c r="E259" s="9"/>
    </row>
    <row r="260" spans="4:5" x14ac:dyDescent="0.2">
      <c r="D260" s="9"/>
      <c r="E260" s="9"/>
    </row>
    <row r="261" spans="4:5" x14ac:dyDescent="0.2">
      <c r="D261" s="9"/>
      <c r="E261" s="9"/>
    </row>
    <row r="262" spans="4:5" x14ac:dyDescent="0.2">
      <c r="D262" s="9"/>
      <c r="E262" s="9"/>
    </row>
    <row r="263" spans="4:5" x14ac:dyDescent="0.2">
      <c r="D263" s="9"/>
      <c r="E263" s="9"/>
    </row>
    <row r="264" spans="4:5" x14ac:dyDescent="0.2">
      <c r="D264" s="9"/>
      <c r="E264" s="9"/>
    </row>
    <row r="265" spans="4:5" x14ac:dyDescent="0.2">
      <c r="D265" s="9"/>
      <c r="E265" s="9"/>
    </row>
    <row r="266" spans="4:5" x14ac:dyDescent="0.2">
      <c r="D266" s="9"/>
      <c r="E266" s="9"/>
    </row>
    <row r="267" spans="4:5" x14ac:dyDescent="0.2">
      <c r="D267" s="9"/>
      <c r="E267" s="9"/>
    </row>
    <row r="268" spans="4:5" x14ac:dyDescent="0.2">
      <c r="D268" s="9"/>
      <c r="E268" s="9"/>
    </row>
    <row r="269" spans="4:5" x14ac:dyDescent="0.2">
      <c r="D269" s="9"/>
      <c r="E269" s="9"/>
    </row>
    <row r="270" spans="4:5" x14ac:dyDescent="0.2">
      <c r="D270" s="9"/>
      <c r="E270" s="9"/>
    </row>
    <row r="271" spans="4:5" x14ac:dyDescent="0.2">
      <c r="D271" s="9"/>
      <c r="E271" s="9"/>
    </row>
    <row r="272" spans="4:5" x14ac:dyDescent="0.2">
      <c r="D272" s="9"/>
      <c r="E272" s="9"/>
    </row>
    <row r="273" spans="4:5" x14ac:dyDescent="0.2">
      <c r="D273" s="9"/>
      <c r="E273" s="9"/>
    </row>
    <row r="274" spans="4:5" x14ac:dyDescent="0.2">
      <c r="D274" s="9"/>
      <c r="E274" s="9"/>
    </row>
    <row r="275" spans="4:5" x14ac:dyDescent="0.2">
      <c r="D275" s="9"/>
      <c r="E275" s="9"/>
    </row>
    <row r="276" spans="4:5" x14ac:dyDescent="0.2">
      <c r="D276" s="9"/>
      <c r="E276" s="9"/>
    </row>
    <row r="277" spans="4:5" x14ac:dyDescent="0.2">
      <c r="D277" s="9"/>
      <c r="E277" s="9"/>
    </row>
    <row r="278" spans="4:5" x14ac:dyDescent="0.2">
      <c r="D278" s="9"/>
      <c r="E278" s="9"/>
    </row>
    <row r="279" spans="4:5" x14ac:dyDescent="0.2">
      <c r="D279" s="9"/>
      <c r="E279" s="9"/>
    </row>
    <row r="280" spans="4:5" x14ac:dyDescent="0.2">
      <c r="D280" s="9"/>
      <c r="E280" s="9"/>
    </row>
    <row r="281" spans="4:5" x14ac:dyDescent="0.2">
      <c r="D281" s="9"/>
      <c r="E281" s="9"/>
    </row>
    <row r="282" spans="4:5" x14ac:dyDescent="0.2">
      <c r="D282" s="9"/>
      <c r="E282" s="9"/>
    </row>
    <row r="283" spans="4:5" x14ac:dyDescent="0.2">
      <c r="D283" s="9"/>
      <c r="E283" s="9"/>
    </row>
    <row r="284" spans="4:5" x14ac:dyDescent="0.2">
      <c r="D284" s="9"/>
      <c r="E284" s="9"/>
    </row>
    <row r="285" spans="4:5" x14ac:dyDescent="0.2">
      <c r="D285" s="9"/>
      <c r="E285" s="9"/>
    </row>
    <row r="286" spans="4:5" x14ac:dyDescent="0.2">
      <c r="D286" s="9"/>
      <c r="E286" s="9"/>
    </row>
    <row r="287" spans="4:5" x14ac:dyDescent="0.2">
      <c r="D287" s="9"/>
      <c r="E287" s="9"/>
    </row>
    <row r="288" spans="4:5" x14ac:dyDescent="0.2">
      <c r="D288" s="9"/>
      <c r="E288" s="9"/>
    </row>
    <row r="289" spans="4:5" x14ac:dyDescent="0.2">
      <c r="D289" s="9"/>
      <c r="E289" s="9"/>
    </row>
    <row r="290" spans="4:5" x14ac:dyDescent="0.2">
      <c r="D290" s="9"/>
      <c r="E290" s="9"/>
    </row>
    <row r="291" spans="4:5" x14ac:dyDescent="0.2">
      <c r="D291" s="9"/>
      <c r="E291" s="9"/>
    </row>
    <row r="292" spans="4:5" x14ac:dyDescent="0.2">
      <c r="D292" s="9"/>
      <c r="E292" s="9"/>
    </row>
    <row r="293" spans="4:5" x14ac:dyDescent="0.2">
      <c r="D293" s="9"/>
      <c r="E293" s="9"/>
    </row>
    <row r="294" spans="4:5" x14ac:dyDescent="0.2">
      <c r="D294" s="9"/>
      <c r="E294" s="9"/>
    </row>
    <row r="295" spans="4:5" x14ac:dyDescent="0.2">
      <c r="D295" s="9"/>
      <c r="E295" s="9"/>
    </row>
    <row r="296" spans="4:5" x14ac:dyDescent="0.2">
      <c r="D296" s="9"/>
      <c r="E296" s="9"/>
    </row>
    <row r="297" spans="4:5" x14ac:dyDescent="0.2">
      <c r="D297" s="9"/>
      <c r="E297" s="9"/>
    </row>
    <row r="298" spans="4:5" x14ac:dyDescent="0.2">
      <c r="D298" s="9"/>
      <c r="E298" s="9"/>
    </row>
    <row r="299" spans="4:5" x14ac:dyDescent="0.2">
      <c r="D299" s="9"/>
      <c r="E299" s="9"/>
    </row>
    <row r="300" spans="4:5" x14ac:dyDescent="0.2">
      <c r="D300" s="9"/>
      <c r="E300" s="9"/>
    </row>
    <row r="301" spans="4:5" x14ac:dyDescent="0.2">
      <c r="D301" s="9"/>
      <c r="E301" s="9"/>
    </row>
    <row r="302" spans="4:5" x14ac:dyDescent="0.2">
      <c r="D302" s="9"/>
      <c r="E302" s="9"/>
    </row>
    <row r="303" spans="4:5" x14ac:dyDescent="0.2">
      <c r="D303" s="9"/>
      <c r="E303" s="9"/>
    </row>
    <row r="304" spans="4:5" x14ac:dyDescent="0.2">
      <c r="D304" s="9"/>
      <c r="E304" s="9"/>
    </row>
    <row r="305" spans="4:5" x14ac:dyDescent="0.2">
      <c r="D305" s="9"/>
      <c r="E305" s="9"/>
    </row>
    <row r="306" spans="4:5" x14ac:dyDescent="0.2">
      <c r="D306" s="9"/>
      <c r="E306" s="9"/>
    </row>
    <row r="307" spans="4:5" x14ac:dyDescent="0.2">
      <c r="D307" s="9"/>
      <c r="E307" s="9"/>
    </row>
    <row r="308" spans="4:5" x14ac:dyDescent="0.2">
      <c r="D308" s="9"/>
      <c r="E308" s="9"/>
    </row>
    <row r="309" spans="4:5" x14ac:dyDescent="0.2">
      <c r="D309" s="9"/>
      <c r="E309" s="9"/>
    </row>
    <row r="310" spans="4:5" x14ac:dyDescent="0.2">
      <c r="D310" s="9"/>
      <c r="E310" s="9"/>
    </row>
    <row r="311" spans="4:5" x14ac:dyDescent="0.2">
      <c r="D311" s="9"/>
      <c r="E311" s="9"/>
    </row>
    <row r="312" spans="4:5" x14ac:dyDescent="0.2">
      <c r="D312" s="9"/>
      <c r="E312" s="9"/>
    </row>
    <row r="313" spans="4:5" x14ac:dyDescent="0.2">
      <c r="D313" s="9"/>
      <c r="E313" s="9"/>
    </row>
    <row r="314" spans="4:5" x14ac:dyDescent="0.2">
      <c r="D314" s="9"/>
      <c r="E314" s="9"/>
    </row>
    <row r="315" spans="4:5" x14ac:dyDescent="0.2">
      <c r="D315" s="9"/>
      <c r="E315" s="9"/>
    </row>
    <row r="316" spans="4:5" x14ac:dyDescent="0.2">
      <c r="D316" s="9"/>
      <c r="E316" s="9"/>
    </row>
    <row r="317" spans="4:5" x14ac:dyDescent="0.2">
      <c r="D317" s="9"/>
      <c r="E317" s="9"/>
    </row>
    <row r="318" spans="4:5" x14ac:dyDescent="0.2">
      <c r="D318" s="9"/>
      <c r="E318" s="9"/>
    </row>
    <row r="319" spans="4:5" x14ac:dyDescent="0.2">
      <c r="D319" s="9"/>
      <c r="E319" s="9"/>
    </row>
    <row r="320" spans="4:5" x14ac:dyDescent="0.2">
      <c r="D320" s="9"/>
      <c r="E320" s="9"/>
    </row>
    <row r="321" spans="4:5" x14ac:dyDescent="0.2">
      <c r="D321" s="9"/>
      <c r="E321" s="9"/>
    </row>
    <row r="322" spans="4:5" x14ac:dyDescent="0.2">
      <c r="D322" s="9"/>
      <c r="E322" s="9"/>
    </row>
    <row r="323" spans="4:5" x14ac:dyDescent="0.2">
      <c r="D323" s="9"/>
      <c r="E323" s="9"/>
    </row>
    <row r="324" spans="4:5" x14ac:dyDescent="0.2">
      <c r="D324" s="9"/>
      <c r="E324" s="9"/>
    </row>
    <row r="325" spans="4:5" x14ac:dyDescent="0.2">
      <c r="D325" s="9"/>
      <c r="E325" s="9"/>
    </row>
    <row r="326" spans="4:5" x14ac:dyDescent="0.2">
      <c r="D326" s="9"/>
      <c r="E326" s="9"/>
    </row>
    <row r="327" spans="4:5" x14ac:dyDescent="0.2">
      <c r="D327" s="9"/>
      <c r="E327" s="9"/>
    </row>
    <row r="328" spans="4:5" x14ac:dyDescent="0.2">
      <c r="D328" s="9"/>
      <c r="E328" s="9"/>
    </row>
    <row r="329" spans="4:5" x14ac:dyDescent="0.2">
      <c r="D329" s="9"/>
      <c r="E329" s="9"/>
    </row>
    <row r="330" spans="4:5" x14ac:dyDescent="0.2">
      <c r="D330" s="9"/>
      <c r="E330" s="9"/>
    </row>
    <row r="331" spans="4:5" x14ac:dyDescent="0.2">
      <c r="D331" s="9"/>
      <c r="E331" s="9"/>
    </row>
    <row r="332" spans="4:5" x14ac:dyDescent="0.2">
      <c r="D332" s="9"/>
      <c r="E332" s="9"/>
    </row>
    <row r="333" spans="4:5" x14ac:dyDescent="0.2">
      <c r="D333" s="9"/>
      <c r="E333" s="9"/>
    </row>
    <row r="334" spans="4:5" x14ac:dyDescent="0.2">
      <c r="D334" s="9"/>
      <c r="E334" s="9"/>
    </row>
    <row r="335" spans="4:5" x14ac:dyDescent="0.2">
      <c r="D335" s="9"/>
      <c r="E335" s="9"/>
    </row>
    <row r="336" spans="4:5" x14ac:dyDescent="0.2">
      <c r="D336" s="9"/>
      <c r="E336" s="9"/>
    </row>
    <row r="337" spans="4:5" x14ac:dyDescent="0.2">
      <c r="D337" s="9"/>
      <c r="E337" s="9"/>
    </row>
    <row r="338" spans="4:5" x14ac:dyDescent="0.2">
      <c r="D338" s="9"/>
      <c r="E338" s="9"/>
    </row>
    <row r="339" spans="4:5" x14ac:dyDescent="0.2">
      <c r="D339" s="9"/>
      <c r="E339" s="9"/>
    </row>
    <row r="340" spans="4:5" x14ac:dyDescent="0.2">
      <c r="D340" s="9"/>
      <c r="E340" s="9"/>
    </row>
    <row r="341" spans="4:5" x14ac:dyDescent="0.2">
      <c r="D341" s="9"/>
      <c r="E341" s="9"/>
    </row>
    <row r="342" spans="4:5" x14ac:dyDescent="0.2">
      <c r="D342" s="9"/>
      <c r="E342" s="9"/>
    </row>
    <row r="343" spans="4:5" x14ac:dyDescent="0.2">
      <c r="D343" s="9"/>
      <c r="E343" s="9"/>
    </row>
    <row r="344" spans="4:5" x14ac:dyDescent="0.2">
      <c r="D344" s="9"/>
      <c r="E344" s="9"/>
    </row>
    <row r="345" spans="4:5" x14ac:dyDescent="0.2">
      <c r="D345" s="9"/>
      <c r="E345" s="9"/>
    </row>
    <row r="346" spans="4:5" x14ac:dyDescent="0.2">
      <c r="D346" s="9"/>
      <c r="E346" s="9"/>
    </row>
    <row r="347" spans="4:5" x14ac:dyDescent="0.2">
      <c r="D347" s="9"/>
      <c r="E347" s="9"/>
    </row>
    <row r="348" spans="4:5" x14ac:dyDescent="0.2">
      <c r="D348" s="9"/>
      <c r="E348" s="9"/>
    </row>
    <row r="349" spans="4:5" x14ac:dyDescent="0.2">
      <c r="D349" s="9"/>
      <c r="E349" s="9"/>
    </row>
    <row r="350" spans="4:5" x14ac:dyDescent="0.2">
      <c r="D350" s="9"/>
      <c r="E350" s="9"/>
    </row>
    <row r="351" spans="4:5" x14ac:dyDescent="0.2">
      <c r="D351" s="9"/>
      <c r="E351" s="9"/>
    </row>
    <row r="352" spans="4:5" x14ac:dyDescent="0.2">
      <c r="D352" s="9"/>
      <c r="E352" s="9"/>
    </row>
    <row r="353" spans="4:5" x14ac:dyDescent="0.2">
      <c r="D353" s="9"/>
      <c r="E353" s="9"/>
    </row>
    <row r="354" spans="4:5" x14ac:dyDescent="0.2">
      <c r="D354" s="9"/>
      <c r="E354" s="9"/>
    </row>
    <row r="355" spans="4:5" x14ac:dyDescent="0.2">
      <c r="D355" s="9"/>
      <c r="E355" s="9"/>
    </row>
    <row r="356" spans="4:5" x14ac:dyDescent="0.2">
      <c r="D356" s="9"/>
      <c r="E356" s="9"/>
    </row>
    <row r="357" spans="4:5" x14ac:dyDescent="0.2">
      <c r="D357" s="9"/>
      <c r="E357" s="9"/>
    </row>
    <row r="358" spans="4:5" x14ac:dyDescent="0.2">
      <c r="D358" s="9"/>
      <c r="E358" s="9"/>
    </row>
    <row r="359" spans="4:5" x14ac:dyDescent="0.2">
      <c r="D359" s="9"/>
      <c r="E359" s="9"/>
    </row>
    <row r="360" spans="4:5" x14ac:dyDescent="0.2">
      <c r="D360" s="9"/>
      <c r="E360" s="9"/>
    </row>
    <row r="361" spans="4:5" x14ac:dyDescent="0.2">
      <c r="D361" s="9"/>
      <c r="E361" s="9"/>
    </row>
    <row r="362" spans="4:5" x14ac:dyDescent="0.2">
      <c r="D362" s="9"/>
      <c r="E362" s="9"/>
    </row>
    <row r="363" spans="4:5" x14ac:dyDescent="0.2">
      <c r="D363" s="9"/>
      <c r="E363" s="9"/>
    </row>
    <row r="364" spans="4:5" x14ac:dyDescent="0.2">
      <c r="D364" s="9"/>
      <c r="E364" s="9"/>
    </row>
    <row r="365" spans="4:5" x14ac:dyDescent="0.2">
      <c r="D365" s="9"/>
      <c r="E365" s="9"/>
    </row>
    <row r="366" spans="4:5" x14ac:dyDescent="0.2">
      <c r="D366" s="9"/>
      <c r="E366" s="9"/>
    </row>
    <row r="367" spans="4:5" x14ac:dyDescent="0.2">
      <c r="D367" s="9"/>
      <c r="E367" s="9"/>
    </row>
    <row r="368" spans="4:5" x14ac:dyDescent="0.2">
      <c r="D368" s="9"/>
      <c r="E368" s="9"/>
    </row>
    <row r="369" spans="4:5" x14ac:dyDescent="0.2">
      <c r="D369" s="9"/>
      <c r="E369" s="9"/>
    </row>
    <row r="370" spans="4:5" x14ac:dyDescent="0.2">
      <c r="D370" s="9"/>
      <c r="E370" s="9"/>
    </row>
    <row r="371" spans="4:5" x14ac:dyDescent="0.2">
      <c r="D371" s="9"/>
      <c r="E371" s="9"/>
    </row>
    <row r="372" spans="4:5" x14ac:dyDescent="0.2">
      <c r="D372" s="9"/>
      <c r="E372" s="9"/>
    </row>
    <row r="373" spans="4:5" x14ac:dyDescent="0.2">
      <c r="D373" s="9"/>
      <c r="E373" s="9"/>
    </row>
    <row r="374" spans="4:5" x14ac:dyDescent="0.2">
      <c r="D374" s="9"/>
      <c r="E374" s="9"/>
    </row>
    <row r="375" spans="4:5" x14ac:dyDescent="0.2">
      <c r="D375" s="9"/>
      <c r="E375" s="9"/>
    </row>
    <row r="376" spans="4:5" x14ac:dyDescent="0.2">
      <c r="D376" s="9"/>
      <c r="E376" s="9"/>
    </row>
    <row r="377" spans="4:5" x14ac:dyDescent="0.2">
      <c r="D377" s="9"/>
      <c r="E377" s="9"/>
    </row>
    <row r="378" spans="4:5" x14ac:dyDescent="0.2">
      <c r="D378" s="9"/>
      <c r="E378" s="9"/>
    </row>
    <row r="379" spans="4:5" x14ac:dyDescent="0.2">
      <c r="D379" s="9"/>
      <c r="E379" s="9"/>
    </row>
    <row r="380" spans="4:5" x14ac:dyDescent="0.2">
      <c r="D380" s="9"/>
      <c r="E380" s="9"/>
    </row>
    <row r="381" spans="4:5" x14ac:dyDescent="0.2">
      <c r="D381" s="9"/>
      <c r="E381" s="9"/>
    </row>
    <row r="382" spans="4:5" x14ac:dyDescent="0.2">
      <c r="D382" s="9"/>
      <c r="E382" s="9"/>
    </row>
    <row r="383" spans="4:5" x14ac:dyDescent="0.2">
      <c r="D383" s="9"/>
      <c r="E383" s="9"/>
    </row>
    <row r="384" spans="4:5" x14ac:dyDescent="0.2">
      <c r="D384" s="9"/>
      <c r="E384" s="9"/>
    </row>
    <row r="385" spans="4:5" x14ac:dyDescent="0.2">
      <c r="D385" s="9"/>
      <c r="E385" s="9"/>
    </row>
    <row r="386" spans="4:5" x14ac:dyDescent="0.2">
      <c r="D386" s="9"/>
      <c r="E386" s="9"/>
    </row>
    <row r="387" spans="4:5" x14ac:dyDescent="0.2">
      <c r="D387" s="9"/>
      <c r="E387" s="9"/>
    </row>
    <row r="388" spans="4:5" x14ac:dyDescent="0.2">
      <c r="D388" s="9"/>
      <c r="E388" s="9"/>
    </row>
    <row r="389" spans="4:5" x14ac:dyDescent="0.2">
      <c r="D389" s="9"/>
      <c r="E389" s="9"/>
    </row>
    <row r="390" spans="4:5" x14ac:dyDescent="0.2">
      <c r="D390" s="9"/>
      <c r="E390" s="9"/>
    </row>
    <row r="391" spans="4:5" x14ac:dyDescent="0.2">
      <c r="D391" s="9"/>
      <c r="E391" s="9"/>
    </row>
    <row r="392" spans="4:5" x14ac:dyDescent="0.2">
      <c r="D392" s="9"/>
      <c r="E392" s="9"/>
    </row>
    <row r="393" spans="4:5" x14ac:dyDescent="0.2">
      <c r="D393" s="9"/>
      <c r="E393" s="9"/>
    </row>
    <row r="394" spans="4:5" x14ac:dyDescent="0.2">
      <c r="D394" s="9"/>
      <c r="E394" s="9"/>
    </row>
    <row r="395" spans="4:5" x14ac:dyDescent="0.2">
      <c r="D395" s="9"/>
      <c r="E395" s="9"/>
    </row>
    <row r="396" spans="4:5" x14ac:dyDescent="0.2">
      <c r="D396" s="9"/>
      <c r="E396" s="9"/>
    </row>
    <row r="397" spans="4:5" x14ac:dyDescent="0.2">
      <c r="D397" s="9"/>
      <c r="E397" s="9"/>
    </row>
    <row r="398" spans="4:5" x14ac:dyDescent="0.2">
      <c r="D398" s="9"/>
      <c r="E398" s="9"/>
    </row>
    <row r="399" spans="4:5" x14ac:dyDescent="0.2">
      <c r="D399" s="9"/>
      <c r="E399" s="9"/>
    </row>
    <row r="400" spans="4:5" x14ac:dyDescent="0.2">
      <c r="D400" s="9"/>
      <c r="E400" s="9"/>
    </row>
    <row r="401" spans="4:5" x14ac:dyDescent="0.2">
      <c r="D401" s="9"/>
      <c r="E401" s="9"/>
    </row>
    <row r="402" spans="4:5" x14ac:dyDescent="0.2">
      <c r="D402" s="9"/>
      <c r="E402" s="9"/>
    </row>
    <row r="403" spans="4:5" x14ac:dyDescent="0.2">
      <c r="D403" s="9"/>
      <c r="E403" s="9"/>
    </row>
    <row r="404" spans="4:5" x14ac:dyDescent="0.2">
      <c r="D404" s="9"/>
      <c r="E404" s="9"/>
    </row>
    <row r="405" spans="4:5" x14ac:dyDescent="0.2">
      <c r="D405" s="9"/>
      <c r="E405" s="9"/>
    </row>
    <row r="406" spans="4:5" x14ac:dyDescent="0.2">
      <c r="D406" s="9"/>
      <c r="E406" s="9"/>
    </row>
    <row r="407" spans="4:5" x14ac:dyDescent="0.2">
      <c r="D407" s="9"/>
      <c r="E407" s="9"/>
    </row>
    <row r="408" spans="4:5" x14ac:dyDescent="0.2">
      <c r="D408" s="9"/>
      <c r="E408" s="9"/>
    </row>
    <row r="409" spans="4:5" x14ac:dyDescent="0.2">
      <c r="D409" s="9"/>
      <c r="E409" s="9"/>
    </row>
    <row r="410" spans="4:5" x14ac:dyDescent="0.2">
      <c r="D410" s="9"/>
      <c r="E410" s="9"/>
    </row>
    <row r="411" spans="4:5" x14ac:dyDescent="0.2">
      <c r="D411" s="9"/>
      <c r="E411" s="9"/>
    </row>
    <row r="412" spans="4:5" x14ac:dyDescent="0.2">
      <c r="D412" s="9"/>
      <c r="E412" s="9"/>
    </row>
    <row r="413" spans="4:5" x14ac:dyDescent="0.2">
      <c r="D413" s="9"/>
      <c r="E413" s="9"/>
    </row>
    <row r="414" spans="4:5" x14ac:dyDescent="0.2">
      <c r="D414" s="9"/>
      <c r="E414" s="9"/>
    </row>
    <row r="415" spans="4:5" x14ac:dyDescent="0.2">
      <c r="D415" s="9"/>
      <c r="E415" s="9"/>
    </row>
    <row r="416" spans="4:5" x14ac:dyDescent="0.2">
      <c r="D416" s="9"/>
      <c r="E416" s="9"/>
    </row>
    <row r="417" spans="4:5" x14ac:dyDescent="0.2">
      <c r="D417" s="9"/>
      <c r="E417" s="9"/>
    </row>
    <row r="418" spans="4:5" x14ac:dyDescent="0.2">
      <c r="D418" s="9"/>
      <c r="E418" s="9"/>
    </row>
    <row r="419" spans="4:5" x14ac:dyDescent="0.2">
      <c r="D419" s="9"/>
      <c r="E419" s="9"/>
    </row>
    <row r="420" spans="4:5" x14ac:dyDescent="0.2">
      <c r="D420" s="9"/>
      <c r="E420" s="9"/>
    </row>
    <row r="421" spans="4:5" x14ac:dyDescent="0.2">
      <c r="D421" s="9"/>
      <c r="E421" s="9"/>
    </row>
    <row r="422" spans="4:5" x14ac:dyDescent="0.2">
      <c r="D422" s="9"/>
      <c r="E422" s="9"/>
    </row>
    <row r="423" spans="4:5" x14ac:dyDescent="0.2">
      <c r="D423" s="9"/>
      <c r="E423" s="9"/>
    </row>
    <row r="424" spans="4:5" x14ac:dyDescent="0.2">
      <c r="D424" s="9"/>
      <c r="E424" s="9"/>
    </row>
    <row r="425" spans="4:5" x14ac:dyDescent="0.2">
      <c r="D425" s="9"/>
      <c r="E425" s="9"/>
    </row>
    <row r="426" spans="4:5" x14ac:dyDescent="0.2">
      <c r="D426" s="9"/>
      <c r="E426" s="9"/>
    </row>
    <row r="427" spans="4:5" x14ac:dyDescent="0.2">
      <c r="D427" s="9"/>
      <c r="E427" s="9"/>
    </row>
    <row r="428" spans="4:5" x14ac:dyDescent="0.2">
      <c r="D428" s="9"/>
      <c r="E428" s="9"/>
    </row>
    <row r="429" spans="4:5" x14ac:dyDescent="0.2">
      <c r="D429" s="9"/>
      <c r="E429" s="9"/>
    </row>
    <row r="430" spans="4:5" x14ac:dyDescent="0.2">
      <c r="D430" s="9"/>
      <c r="E430" s="9"/>
    </row>
    <row r="431" spans="4:5" x14ac:dyDescent="0.2">
      <c r="D431" s="9"/>
      <c r="E431" s="9"/>
    </row>
    <row r="432" spans="4:5" x14ac:dyDescent="0.2">
      <c r="D432" s="9"/>
      <c r="E432" s="9"/>
    </row>
    <row r="433" spans="4:5" x14ac:dyDescent="0.2">
      <c r="D433" s="9"/>
      <c r="E433" s="9"/>
    </row>
    <row r="434" spans="4:5" x14ac:dyDescent="0.2">
      <c r="D434" s="9"/>
      <c r="E434" s="9"/>
    </row>
    <row r="435" spans="4:5" x14ac:dyDescent="0.2">
      <c r="D435" s="9"/>
      <c r="E435" s="9"/>
    </row>
    <row r="436" spans="4:5" x14ac:dyDescent="0.2">
      <c r="D436" s="9"/>
      <c r="E436" s="9"/>
    </row>
    <row r="437" spans="4:5" x14ac:dyDescent="0.2">
      <c r="D437" s="9"/>
      <c r="E437" s="9"/>
    </row>
    <row r="438" spans="4:5" x14ac:dyDescent="0.2">
      <c r="D438" s="9"/>
      <c r="E438" s="9"/>
    </row>
    <row r="439" spans="4:5" x14ac:dyDescent="0.2">
      <c r="D439" s="9"/>
      <c r="E439" s="9"/>
    </row>
    <row r="440" spans="4:5" x14ac:dyDescent="0.2">
      <c r="D440" s="9"/>
      <c r="E440" s="9"/>
    </row>
    <row r="441" spans="4:5" x14ac:dyDescent="0.2">
      <c r="D441" s="9"/>
      <c r="E441" s="9"/>
    </row>
    <row r="442" spans="4:5" x14ac:dyDescent="0.2">
      <c r="D442" s="9"/>
      <c r="E442" s="9"/>
    </row>
    <row r="443" spans="4:5" x14ac:dyDescent="0.2">
      <c r="D443" s="9"/>
      <c r="E443" s="9"/>
    </row>
    <row r="444" spans="4:5" x14ac:dyDescent="0.2">
      <c r="D444" s="9"/>
      <c r="E444" s="9"/>
    </row>
    <row r="445" spans="4:5" x14ac:dyDescent="0.2">
      <c r="D445" s="9"/>
      <c r="E445" s="9"/>
    </row>
    <row r="446" spans="4:5" x14ac:dyDescent="0.2">
      <c r="D446" s="9"/>
      <c r="E446" s="9"/>
    </row>
    <row r="447" spans="4:5" x14ac:dyDescent="0.2">
      <c r="D447" s="9"/>
      <c r="E447" s="9"/>
    </row>
    <row r="448" spans="4:5" x14ac:dyDescent="0.2">
      <c r="D448" s="9"/>
      <c r="E448" s="9"/>
    </row>
    <row r="449" spans="4:5" x14ac:dyDescent="0.2">
      <c r="D449" s="9"/>
      <c r="E449" s="9"/>
    </row>
    <row r="450" spans="4:5" x14ac:dyDescent="0.2">
      <c r="D450" s="9"/>
      <c r="E450" s="9"/>
    </row>
    <row r="451" spans="4:5" x14ac:dyDescent="0.2">
      <c r="D451" s="9"/>
      <c r="E451" s="9"/>
    </row>
    <row r="452" spans="4:5" x14ac:dyDescent="0.2">
      <c r="D452" s="9"/>
      <c r="E452" s="9"/>
    </row>
    <row r="453" spans="4:5" x14ac:dyDescent="0.2">
      <c r="D453" s="9"/>
      <c r="E453" s="9"/>
    </row>
    <row r="454" spans="4:5" x14ac:dyDescent="0.2">
      <c r="D454" s="9"/>
      <c r="E454" s="9"/>
    </row>
    <row r="455" spans="4:5" x14ac:dyDescent="0.2">
      <c r="D455" s="9"/>
      <c r="E455" s="9"/>
    </row>
    <row r="456" spans="4:5" x14ac:dyDescent="0.2">
      <c r="D456" s="9"/>
      <c r="E456" s="9"/>
    </row>
    <row r="457" spans="4:5" x14ac:dyDescent="0.2">
      <c r="D457" s="9"/>
      <c r="E457" s="9"/>
    </row>
    <row r="458" spans="4:5" x14ac:dyDescent="0.2">
      <c r="D458" s="9"/>
      <c r="E458" s="9"/>
    </row>
    <row r="459" spans="4:5" x14ac:dyDescent="0.2">
      <c r="D459" s="9"/>
      <c r="E459" s="9"/>
    </row>
    <row r="460" spans="4:5" x14ac:dyDescent="0.2">
      <c r="D460" s="9"/>
      <c r="E460" s="9"/>
    </row>
    <row r="461" spans="4:5" x14ac:dyDescent="0.2">
      <c r="D461" s="9"/>
      <c r="E461" s="9"/>
    </row>
    <row r="462" spans="4:5" x14ac:dyDescent="0.2">
      <c r="D462" s="9"/>
      <c r="E462" s="9"/>
    </row>
    <row r="463" spans="4:5" x14ac:dyDescent="0.2">
      <c r="D463" s="9"/>
      <c r="E463" s="9"/>
    </row>
    <row r="464" spans="4:5" x14ac:dyDescent="0.2">
      <c r="D464" s="9"/>
      <c r="E464" s="9"/>
    </row>
    <row r="465" spans="4:5" x14ac:dyDescent="0.2">
      <c r="D465" s="9"/>
      <c r="E465" s="9"/>
    </row>
    <row r="466" spans="4:5" x14ac:dyDescent="0.2">
      <c r="D466" s="9"/>
      <c r="E466" s="9"/>
    </row>
    <row r="467" spans="4:5" x14ac:dyDescent="0.2">
      <c r="D467" s="9"/>
      <c r="E467" s="9"/>
    </row>
    <row r="468" spans="4:5" x14ac:dyDescent="0.2">
      <c r="D468" s="9"/>
      <c r="E468" s="9"/>
    </row>
    <row r="469" spans="4:5" x14ac:dyDescent="0.2">
      <c r="D469" s="9"/>
      <c r="E469" s="9"/>
    </row>
    <row r="470" spans="4:5" x14ac:dyDescent="0.2">
      <c r="D470" s="9"/>
      <c r="E470" s="9"/>
    </row>
    <row r="471" spans="4:5" x14ac:dyDescent="0.2">
      <c r="D471" s="9"/>
      <c r="E471" s="9"/>
    </row>
    <row r="472" spans="4:5" x14ac:dyDescent="0.2">
      <c r="D472" s="9"/>
      <c r="E472" s="9"/>
    </row>
    <row r="473" spans="4:5" x14ac:dyDescent="0.2">
      <c r="D473" s="9"/>
      <c r="E473" s="9"/>
    </row>
    <row r="474" spans="4:5" x14ac:dyDescent="0.2">
      <c r="D474" s="9"/>
      <c r="E474" s="9"/>
    </row>
    <row r="475" spans="4:5" x14ac:dyDescent="0.2">
      <c r="D475" s="9"/>
      <c r="E475" s="9"/>
    </row>
    <row r="476" spans="4:5" x14ac:dyDescent="0.2">
      <c r="D476" s="9"/>
      <c r="E476" s="9"/>
    </row>
    <row r="477" spans="4:5" x14ac:dyDescent="0.2">
      <c r="D477" s="9"/>
      <c r="E477" s="9"/>
    </row>
    <row r="478" spans="4:5" x14ac:dyDescent="0.2">
      <c r="D478" s="9"/>
      <c r="E478" s="9"/>
    </row>
    <row r="479" spans="4:5" x14ac:dyDescent="0.2">
      <c r="D479" s="9"/>
      <c r="E479" s="9"/>
    </row>
    <row r="480" spans="4:5" x14ac:dyDescent="0.2">
      <c r="D480" s="9"/>
      <c r="E480" s="9"/>
    </row>
    <row r="481" spans="4:5" x14ac:dyDescent="0.2">
      <c r="D481" s="9"/>
      <c r="E481" s="9"/>
    </row>
    <row r="482" spans="4:5" x14ac:dyDescent="0.2">
      <c r="D482" s="9"/>
      <c r="E482" s="9"/>
    </row>
    <row r="483" spans="4:5" x14ac:dyDescent="0.2">
      <c r="D483" s="9"/>
      <c r="E483" s="9"/>
    </row>
    <row r="484" spans="4:5" x14ac:dyDescent="0.2">
      <c r="D484" s="9"/>
      <c r="E484" s="9"/>
    </row>
    <row r="485" spans="4:5" x14ac:dyDescent="0.2">
      <c r="D485" s="9"/>
      <c r="E485" s="9"/>
    </row>
    <row r="486" spans="4:5" x14ac:dyDescent="0.2">
      <c r="D486" s="9"/>
      <c r="E486" s="9"/>
    </row>
    <row r="487" spans="4:5" x14ac:dyDescent="0.2">
      <c r="D487" s="9"/>
      <c r="E487" s="9"/>
    </row>
    <row r="488" spans="4:5" x14ac:dyDescent="0.2">
      <c r="D488" s="9"/>
      <c r="E488" s="9"/>
    </row>
    <row r="489" spans="4:5" x14ac:dyDescent="0.2">
      <c r="D489" s="9"/>
      <c r="E489" s="9"/>
    </row>
    <row r="490" spans="4:5" x14ac:dyDescent="0.2">
      <c r="D490" s="9"/>
      <c r="E490" s="9"/>
    </row>
    <row r="491" spans="4:5" x14ac:dyDescent="0.2">
      <c r="D491" s="9"/>
      <c r="E491" s="9"/>
    </row>
    <row r="492" spans="4:5" x14ac:dyDescent="0.2">
      <c r="D492" s="9"/>
      <c r="E492" s="9"/>
    </row>
    <row r="493" spans="4:5" x14ac:dyDescent="0.2">
      <c r="D493" s="9"/>
      <c r="E493" s="9"/>
    </row>
    <row r="494" spans="4:5" x14ac:dyDescent="0.2">
      <c r="D494" s="9"/>
      <c r="E494" s="9"/>
    </row>
    <row r="495" spans="4:5" x14ac:dyDescent="0.2">
      <c r="D495" s="9"/>
      <c r="E495" s="9"/>
    </row>
    <row r="496" spans="4:5" x14ac:dyDescent="0.2">
      <c r="D496" s="9"/>
      <c r="E496" s="9"/>
    </row>
    <row r="497" spans="4:5" x14ac:dyDescent="0.2">
      <c r="D497" s="9"/>
      <c r="E497" s="9"/>
    </row>
    <row r="498" spans="4:5" x14ac:dyDescent="0.2">
      <c r="D498" s="9"/>
      <c r="E498" s="9"/>
    </row>
    <row r="499" spans="4:5" x14ac:dyDescent="0.2">
      <c r="D499" s="9"/>
      <c r="E499" s="9"/>
    </row>
    <row r="500" spans="4:5" x14ac:dyDescent="0.2">
      <c r="D500" s="9"/>
      <c r="E500" s="9"/>
    </row>
    <row r="501" spans="4:5" x14ac:dyDescent="0.2">
      <c r="D501" s="9"/>
      <c r="E501" s="9"/>
    </row>
    <row r="502" spans="4:5" x14ac:dyDescent="0.2">
      <c r="D502" s="9"/>
      <c r="E502" s="9"/>
    </row>
    <row r="503" spans="4:5" x14ac:dyDescent="0.2">
      <c r="D503" s="9"/>
      <c r="E503" s="9"/>
    </row>
    <row r="504" spans="4:5" x14ac:dyDescent="0.2">
      <c r="D504" s="9"/>
      <c r="E504" s="9"/>
    </row>
    <row r="505" spans="4:5" x14ac:dyDescent="0.2">
      <c r="D505" s="9"/>
      <c r="E505" s="9"/>
    </row>
    <row r="506" spans="4:5" x14ac:dyDescent="0.2">
      <c r="D506" s="9"/>
      <c r="E506" s="9"/>
    </row>
    <row r="507" spans="4:5" x14ac:dyDescent="0.2">
      <c r="D507" s="9"/>
      <c r="E507" s="9"/>
    </row>
    <row r="508" spans="4:5" x14ac:dyDescent="0.2">
      <c r="D508" s="9"/>
      <c r="E508" s="9"/>
    </row>
    <row r="509" spans="4:5" x14ac:dyDescent="0.2">
      <c r="D509" s="9"/>
      <c r="E509" s="9"/>
    </row>
    <row r="510" spans="4:5" x14ac:dyDescent="0.2">
      <c r="D510" s="9"/>
      <c r="E510" s="9"/>
    </row>
    <row r="511" spans="4:5" x14ac:dyDescent="0.2">
      <c r="D511" s="9"/>
      <c r="E511" s="9"/>
    </row>
    <row r="512" spans="4:5" x14ac:dyDescent="0.2">
      <c r="D512" s="9"/>
      <c r="E512" s="9"/>
    </row>
    <row r="513" spans="4:5" x14ac:dyDescent="0.2">
      <c r="D513" s="9"/>
      <c r="E513" s="9"/>
    </row>
    <row r="514" spans="4:5" x14ac:dyDescent="0.2">
      <c r="D514" s="9"/>
      <c r="E514" s="9"/>
    </row>
    <row r="515" spans="4:5" x14ac:dyDescent="0.2">
      <c r="D515" s="9"/>
      <c r="E515" s="9"/>
    </row>
    <row r="516" spans="4:5" x14ac:dyDescent="0.2">
      <c r="D516" s="9"/>
      <c r="E516" s="9"/>
    </row>
    <row r="517" spans="4:5" x14ac:dyDescent="0.2">
      <c r="D517" s="9"/>
      <c r="E517" s="9"/>
    </row>
    <row r="518" spans="4:5" x14ac:dyDescent="0.2">
      <c r="D518" s="9"/>
      <c r="E518" s="9"/>
    </row>
    <row r="519" spans="4:5" x14ac:dyDescent="0.2">
      <c r="D519" s="9"/>
      <c r="E519" s="9"/>
    </row>
    <row r="520" spans="4:5" x14ac:dyDescent="0.2">
      <c r="D520" s="9"/>
      <c r="E520" s="9"/>
    </row>
    <row r="521" spans="4:5" x14ac:dyDescent="0.2">
      <c r="D521" s="9"/>
      <c r="E521" s="9"/>
    </row>
    <row r="522" spans="4:5" x14ac:dyDescent="0.2">
      <c r="D522" s="9"/>
      <c r="E522" s="9"/>
    </row>
    <row r="523" spans="4:5" x14ac:dyDescent="0.2">
      <c r="D523" s="9"/>
      <c r="E523" s="9"/>
    </row>
    <row r="524" spans="4:5" x14ac:dyDescent="0.2">
      <c r="D524" s="9"/>
      <c r="E524" s="9"/>
    </row>
    <row r="525" spans="4:5" x14ac:dyDescent="0.2">
      <c r="D525" s="9"/>
      <c r="E525" s="9"/>
    </row>
    <row r="526" spans="4:5" x14ac:dyDescent="0.2">
      <c r="D526" s="9"/>
      <c r="E526" s="9"/>
    </row>
    <row r="527" spans="4:5" x14ac:dyDescent="0.2">
      <c r="D527" s="9"/>
      <c r="E527" s="9"/>
    </row>
    <row r="528" spans="4:5" x14ac:dyDescent="0.2">
      <c r="D528" s="9"/>
      <c r="E528" s="9"/>
    </row>
    <row r="529" spans="4:5" x14ac:dyDescent="0.2">
      <c r="D529" s="9"/>
      <c r="E529" s="9"/>
    </row>
    <row r="530" spans="4:5" x14ac:dyDescent="0.2">
      <c r="D530" s="9"/>
      <c r="E530" s="9"/>
    </row>
    <row r="531" spans="4:5" x14ac:dyDescent="0.2">
      <c r="D531" s="9"/>
      <c r="E531" s="9"/>
    </row>
    <row r="532" spans="4:5" x14ac:dyDescent="0.2">
      <c r="D532" s="9"/>
      <c r="E532" s="9"/>
    </row>
    <row r="533" spans="4:5" x14ac:dyDescent="0.2">
      <c r="D533" s="9"/>
      <c r="E533" s="9"/>
    </row>
    <row r="534" spans="4:5" x14ac:dyDescent="0.2">
      <c r="D534" s="9"/>
      <c r="E534" s="9"/>
    </row>
    <row r="535" spans="4:5" x14ac:dyDescent="0.2">
      <c r="D535" s="9"/>
      <c r="E535" s="9"/>
    </row>
    <row r="536" spans="4:5" x14ac:dyDescent="0.2">
      <c r="D536" s="9"/>
      <c r="E536" s="9"/>
    </row>
    <row r="537" spans="4:5" x14ac:dyDescent="0.2">
      <c r="D537" s="9"/>
      <c r="E537" s="9"/>
    </row>
    <row r="538" spans="4:5" x14ac:dyDescent="0.2">
      <c r="D538" s="9"/>
      <c r="E538" s="9"/>
    </row>
    <row r="539" spans="4:5" x14ac:dyDescent="0.2">
      <c r="D539" s="9"/>
      <c r="E539" s="9"/>
    </row>
    <row r="540" spans="4:5" x14ac:dyDescent="0.2">
      <c r="D540" s="9"/>
      <c r="E540" s="9"/>
    </row>
    <row r="541" spans="4:5" x14ac:dyDescent="0.2">
      <c r="D541" s="9"/>
      <c r="E541" s="9"/>
    </row>
    <row r="542" spans="4:5" x14ac:dyDescent="0.2">
      <c r="D542" s="9"/>
      <c r="E542" s="9"/>
    </row>
    <row r="543" spans="4:5" x14ac:dyDescent="0.2">
      <c r="D543" s="9"/>
      <c r="E543" s="9"/>
    </row>
    <row r="544" spans="4:5" x14ac:dyDescent="0.2">
      <c r="D544" s="9"/>
      <c r="E544" s="9"/>
    </row>
    <row r="545" spans="4:5" x14ac:dyDescent="0.2">
      <c r="D545" s="9"/>
      <c r="E545" s="9"/>
    </row>
    <row r="546" spans="4:5" x14ac:dyDescent="0.2">
      <c r="D546" s="9"/>
      <c r="E546" s="9"/>
    </row>
    <row r="547" spans="4:5" x14ac:dyDescent="0.2">
      <c r="D547" s="9"/>
      <c r="E547" s="9"/>
    </row>
    <row r="548" spans="4:5" x14ac:dyDescent="0.2">
      <c r="D548" s="9"/>
      <c r="E548" s="9"/>
    </row>
    <row r="549" spans="4:5" x14ac:dyDescent="0.2">
      <c r="D549" s="9"/>
      <c r="E549" s="9"/>
    </row>
    <row r="550" spans="4:5" x14ac:dyDescent="0.2">
      <c r="D550" s="9"/>
      <c r="E550" s="9"/>
    </row>
    <row r="551" spans="4:5" x14ac:dyDescent="0.2">
      <c r="D551" s="9"/>
      <c r="E551" s="9"/>
    </row>
    <row r="552" spans="4:5" x14ac:dyDescent="0.2">
      <c r="D552" s="9"/>
      <c r="E552" s="9"/>
    </row>
    <row r="553" spans="4:5" x14ac:dyDescent="0.2">
      <c r="D553" s="9"/>
      <c r="E553" s="9"/>
    </row>
    <row r="554" spans="4:5" x14ac:dyDescent="0.2">
      <c r="D554" s="9"/>
      <c r="E554" s="9"/>
    </row>
    <row r="555" spans="4:5" x14ac:dyDescent="0.2">
      <c r="D555" s="9"/>
      <c r="E555" s="9"/>
    </row>
    <row r="556" spans="4:5" x14ac:dyDescent="0.2">
      <c r="D556" s="9"/>
      <c r="E556" s="9"/>
    </row>
    <row r="557" spans="4:5" x14ac:dyDescent="0.2">
      <c r="D557" s="9"/>
      <c r="E557" s="9"/>
    </row>
    <row r="558" spans="4:5" x14ac:dyDescent="0.2">
      <c r="D558" s="9"/>
      <c r="E558" s="9"/>
    </row>
    <row r="559" spans="4:5" x14ac:dyDescent="0.2">
      <c r="D559" s="9"/>
      <c r="E559" s="9"/>
    </row>
    <row r="560" spans="4:5" x14ac:dyDescent="0.2">
      <c r="D560" s="9"/>
      <c r="E560" s="9"/>
    </row>
    <row r="561" spans="4:5" x14ac:dyDescent="0.2">
      <c r="D561" s="9"/>
      <c r="E561" s="9"/>
    </row>
    <row r="562" spans="4:5" x14ac:dyDescent="0.2">
      <c r="D562" s="9"/>
      <c r="E562" s="9"/>
    </row>
    <row r="563" spans="4:5" x14ac:dyDescent="0.2">
      <c r="D563" s="9"/>
      <c r="E563" s="9"/>
    </row>
    <row r="564" spans="4:5" x14ac:dyDescent="0.2">
      <c r="D564" s="9"/>
      <c r="E564" s="9"/>
    </row>
    <row r="565" spans="4:5" x14ac:dyDescent="0.2">
      <c r="D565" s="9"/>
      <c r="E565" s="9"/>
    </row>
    <row r="566" spans="4:5" x14ac:dyDescent="0.2">
      <c r="D566" s="9"/>
      <c r="E566" s="9"/>
    </row>
    <row r="567" spans="4:5" x14ac:dyDescent="0.2">
      <c r="D567" s="9"/>
      <c r="E567" s="9"/>
    </row>
    <row r="568" spans="4:5" x14ac:dyDescent="0.2">
      <c r="D568" s="9"/>
      <c r="E568" s="9"/>
    </row>
    <row r="569" spans="4:5" x14ac:dyDescent="0.2">
      <c r="D569" s="9"/>
      <c r="E569" s="9"/>
    </row>
    <row r="570" spans="4:5" x14ac:dyDescent="0.2">
      <c r="D570" s="9"/>
      <c r="E570" s="9"/>
    </row>
    <row r="571" spans="4:5" x14ac:dyDescent="0.2">
      <c r="D571" s="9"/>
      <c r="E571" s="9"/>
    </row>
    <row r="572" spans="4:5" x14ac:dyDescent="0.2">
      <c r="D572" s="9"/>
      <c r="E572" s="9"/>
    </row>
    <row r="573" spans="4:5" x14ac:dyDescent="0.2">
      <c r="D573" s="9"/>
      <c r="E573" s="9"/>
    </row>
    <row r="574" spans="4:5" x14ac:dyDescent="0.2">
      <c r="D574" s="9"/>
      <c r="E574" s="9"/>
    </row>
    <row r="575" spans="4:5" x14ac:dyDescent="0.2">
      <c r="D575" s="9"/>
      <c r="E575" s="9"/>
    </row>
    <row r="576" spans="4:5" x14ac:dyDescent="0.2">
      <c r="D576" s="9"/>
      <c r="E576" s="9"/>
    </row>
    <row r="577" spans="4:5" x14ac:dyDescent="0.2">
      <c r="D577" s="9"/>
      <c r="E577" s="9"/>
    </row>
    <row r="578" spans="4:5" x14ac:dyDescent="0.2">
      <c r="D578" s="9"/>
      <c r="E578" s="9"/>
    </row>
    <row r="579" spans="4:5" x14ac:dyDescent="0.2">
      <c r="D579" s="9"/>
      <c r="E579" s="9"/>
    </row>
    <row r="580" spans="4:5" x14ac:dyDescent="0.2">
      <c r="D580" s="9"/>
      <c r="E580" s="9"/>
    </row>
    <row r="581" spans="4:5" x14ac:dyDescent="0.2">
      <c r="D581" s="9"/>
      <c r="E581" s="9"/>
    </row>
    <row r="582" spans="4:5" x14ac:dyDescent="0.2">
      <c r="D582" s="9"/>
      <c r="E582" s="9"/>
    </row>
    <row r="583" spans="4:5" x14ac:dyDescent="0.2">
      <c r="D583" s="9"/>
      <c r="E583" s="9"/>
    </row>
    <row r="584" spans="4:5" x14ac:dyDescent="0.2">
      <c r="D584" s="9"/>
      <c r="E584" s="9"/>
    </row>
    <row r="585" spans="4:5" x14ac:dyDescent="0.2">
      <c r="D585" s="9"/>
      <c r="E585" s="9"/>
    </row>
    <row r="586" spans="4:5" x14ac:dyDescent="0.2">
      <c r="D586" s="9"/>
      <c r="E586" s="9"/>
    </row>
    <row r="587" spans="4:5" x14ac:dyDescent="0.2">
      <c r="D587" s="9"/>
      <c r="E587" s="9"/>
    </row>
    <row r="588" spans="4:5" x14ac:dyDescent="0.2">
      <c r="D588" s="9"/>
      <c r="E588" s="9"/>
    </row>
    <row r="589" spans="4:5" x14ac:dyDescent="0.2">
      <c r="D589" s="9"/>
      <c r="E589" s="9"/>
    </row>
    <row r="590" spans="4:5" x14ac:dyDescent="0.2">
      <c r="D590" s="9"/>
      <c r="E590" s="9"/>
    </row>
    <row r="591" spans="4:5" x14ac:dyDescent="0.2">
      <c r="D591" s="9"/>
      <c r="E591" s="9"/>
    </row>
    <row r="592" spans="4:5" x14ac:dyDescent="0.2">
      <c r="D592" s="9"/>
      <c r="E592" s="9"/>
    </row>
    <row r="593" spans="4:5" x14ac:dyDescent="0.2">
      <c r="D593" s="9"/>
      <c r="E593" s="9"/>
    </row>
    <row r="594" spans="4:5" x14ac:dyDescent="0.2">
      <c r="D594" s="9"/>
      <c r="E594" s="9"/>
    </row>
    <row r="595" spans="4:5" x14ac:dyDescent="0.2">
      <c r="D595" s="9"/>
      <c r="E595" s="9"/>
    </row>
    <row r="596" spans="4:5" x14ac:dyDescent="0.2">
      <c r="D596" s="9"/>
      <c r="E596" s="9"/>
    </row>
    <row r="597" spans="4:5" x14ac:dyDescent="0.2">
      <c r="D597" s="9"/>
      <c r="E597" s="9"/>
    </row>
    <row r="598" spans="4:5" x14ac:dyDescent="0.2">
      <c r="D598" s="9"/>
      <c r="E598" s="9"/>
    </row>
    <row r="599" spans="4:5" x14ac:dyDescent="0.2">
      <c r="D599" s="9"/>
      <c r="E599" s="9"/>
    </row>
    <row r="600" spans="4:5" x14ac:dyDescent="0.2">
      <c r="D600" s="9"/>
      <c r="E600" s="9"/>
    </row>
    <row r="601" spans="4:5" x14ac:dyDescent="0.2">
      <c r="D601" s="9"/>
      <c r="E601" s="9"/>
    </row>
    <row r="602" spans="4:5" x14ac:dyDescent="0.2">
      <c r="D602" s="9"/>
      <c r="E602" s="9"/>
    </row>
    <row r="603" spans="4:5" x14ac:dyDescent="0.2">
      <c r="D603" s="9"/>
      <c r="E603" s="9"/>
    </row>
    <row r="604" spans="4:5" x14ac:dyDescent="0.2">
      <c r="D604" s="9"/>
      <c r="E604" s="9"/>
    </row>
    <row r="605" spans="4:5" x14ac:dyDescent="0.2">
      <c r="D605" s="9"/>
      <c r="E605" s="9"/>
    </row>
    <row r="606" spans="4:5" x14ac:dyDescent="0.2">
      <c r="D606" s="9"/>
      <c r="E606" s="9"/>
    </row>
    <row r="607" spans="4:5" x14ac:dyDescent="0.2">
      <c r="D607" s="9"/>
      <c r="E607" s="9"/>
    </row>
    <row r="608" spans="4:5" x14ac:dyDescent="0.2">
      <c r="D608" s="9"/>
      <c r="E608" s="9"/>
    </row>
    <row r="609" spans="4:5" x14ac:dyDescent="0.2">
      <c r="D609" s="9"/>
      <c r="E609" s="9"/>
    </row>
    <row r="610" spans="4:5" x14ac:dyDescent="0.2">
      <c r="D610" s="9"/>
      <c r="E610" s="9"/>
    </row>
    <row r="611" spans="4:5" x14ac:dyDescent="0.2">
      <c r="D611" s="9"/>
      <c r="E611" s="9"/>
    </row>
    <row r="612" spans="4:5" x14ac:dyDescent="0.2">
      <c r="D612" s="9"/>
      <c r="E612" s="9"/>
    </row>
    <row r="613" spans="4:5" x14ac:dyDescent="0.2">
      <c r="D613" s="9"/>
      <c r="E613" s="9"/>
    </row>
    <row r="614" spans="4:5" x14ac:dyDescent="0.2">
      <c r="D614" s="9"/>
      <c r="E614" s="9"/>
    </row>
    <row r="615" spans="4:5" x14ac:dyDescent="0.2">
      <c r="D615" s="9"/>
      <c r="E615" s="9"/>
    </row>
    <row r="616" spans="4:5" x14ac:dyDescent="0.2">
      <c r="D616" s="9"/>
      <c r="E616" s="9"/>
    </row>
    <row r="617" spans="4:5" x14ac:dyDescent="0.2">
      <c r="D617" s="9"/>
      <c r="E617" s="9"/>
    </row>
    <row r="618" spans="4:5" x14ac:dyDescent="0.2">
      <c r="D618" s="9"/>
      <c r="E618" s="9"/>
    </row>
    <row r="619" spans="4:5" x14ac:dyDescent="0.2">
      <c r="D619" s="9"/>
      <c r="E619" s="9"/>
    </row>
    <row r="620" spans="4:5" x14ac:dyDescent="0.2">
      <c r="D620" s="9"/>
      <c r="E620" s="9"/>
    </row>
    <row r="621" spans="4:5" x14ac:dyDescent="0.2">
      <c r="D621" s="9"/>
      <c r="E621" s="9"/>
    </row>
    <row r="622" spans="4:5" x14ac:dyDescent="0.2">
      <c r="D622" s="9"/>
      <c r="E622" s="9"/>
    </row>
    <row r="623" spans="4:5" x14ac:dyDescent="0.2">
      <c r="D623" s="9"/>
      <c r="E623" s="9"/>
    </row>
    <row r="624" spans="4:5" x14ac:dyDescent="0.2">
      <c r="D624" s="9"/>
      <c r="E624" s="9"/>
    </row>
    <row r="625" spans="4:5" x14ac:dyDescent="0.2">
      <c r="D625" s="9"/>
      <c r="E625" s="9"/>
    </row>
    <row r="626" spans="4:5" x14ac:dyDescent="0.2">
      <c r="D626" s="9"/>
      <c r="E626" s="9"/>
    </row>
    <row r="627" spans="4:5" x14ac:dyDescent="0.2">
      <c r="D627" s="9"/>
      <c r="E627" s="9"/>
    </row>
    <row r="628" spans="4:5" x14ac:dyDescent="0.2">
      <c r="D628" s="9"/>
      <c r="E628" s="9"/>
    </row>
    <row r="629" spans="4:5" x14ac:dyDescent="0.2">
      <c r="D629" s="9"/>
      <c r="E629" s="9"/>
    </row>
    <row r="630" spans="4:5" x14ac:dyDescent="0.2">
      <c r="D630" s="9"/>
      <c r="E630" s="9"/>
    </row>
    <row r="631" spans="4:5" x14ac:dyDescent="0.2">
      <c r="D631" s="9"/>
      <c r="E631" s="9"/>
    </row>
    <row r="632" spans="4:5" x14ac:dyDescent="0.2">
      <c r="D632" s="9"/>
      <c r="E632" s="9"/>
    </row>
    <row r="633" spans="4:5" x14ac:dyDescent="0.2">
      <c r="D633" s="9"/>
      <c r="E633" s="9"/>
    </row>
    <row r="634" spans="4:5" x14ac:dyDescent="0.2">
      <c r="D634" s="9"/>
      <c r="E634" s="9"/>
    </row>
    <row r="635" spans="4:5" x14ac:dyDescent="0.2">
      <c r="D635" s="9"/>
      <c r="E635" s="9"/>
    </row>
    <row r="636" spans="4:5" x14ac:dyDescent="0.2">
      <c r="D636" s="9"/>
      <c r="E636" s="9"/>
    </row>
    <row r="637" spans="4:5" x14ac:dyDescent="0.2">
      <c r="D637" s="9"/>
      <c r="E637" s="9"/>
    </row>
    <row r="638" spans="4:5" x14ac:dyDescent="0.2">
      <c r="D638" s="9"/>
      <c r="E638" s="9"/>
    </row>
    <row r="639" spans="4:5" x14ac:dyDescent="0.2">
      <c r="D639" s="9"/>
      <c r="E639" s="9"/>
    </row>
    <row r="640" spans="4:5" x14ac:dyDescent="0.2">
      <c r="D640" s="9"/>
      <c r="E640" s="9"/>
    </row>
    <row r="641" spans="4:5" x14ac:dyDescent="0.2">
      <c r="D641" s="9"/>
      <c r="E641" s="9"/>
    </row>
    <row r="642" spans="4:5" x14ac:dyDescent="0.2">
      <c r="D642" s="9"/>
      <c r="E642" s="9"/>
    </row>
    <row r="643" spans="4:5" x14ac:dyDescent="0.2">
      <c r="D643" s="9"/>
      <c r="E643" s="9"/>
    </row>
    <row r="644" spans="4:5" x14ac:dyDescent="0.2">
      <c r="D644" s="9"/>
      <c r="E644" s="9"/>
    </row>
    <row r="645" spans="4:5" x14ac:dyDescent="0.2">
      <c r="D645" s="9"/>
      <c r="E645" s="9"/>
    </row>
    <row r="646" spans="4:5" x14ac:dyDescent="0.2">
      <c r="D646" s="9"/>
      <c r="E646" s="9"/>
    </row>
    <row r="647" spans="4:5" x14ac:dyDescent="0.2">
      <c r="D647" s="9"/>
      <c r="E647" s="9"/>
    </row>
    <row r="648" spans="4:5" x14ac:dyDescent="0.2">
      <c r="D648" s="9"/>
      <c r="E648" s="9"/>
    </row>
    <row r="649" spans="4:5" x14ac:dyDescent="0.2">
      <c r="D649" s="9"/>
      <c r="E649" s="9"/>
    </row>
    <row r="650" spans="4:5" x14ac:dyDescent="0.2">
      <c r="D650" s="9"/>
      <c r="E650" s="9"/>
    </row>
    <row r="651" spans="4:5" x14ac:dyDescent="0.2">
      <c r="D651" s="9"/>
      <c r="E651" s="9"/>
    </row>
    <row r="652" spans="4:5" x14ac:dyDescent="0.2">
      <c r="D652" s="9"/>
      <c r="E652" s="9"/>
    </row>
    <row r="653" spans="4:5" x14ac:dyDescent="0.2">
      <c r="D653" s="9"/>
      <c r="E653" s="9"/>
    </row>
    <row r="654" spans="4:5" x14ac:dyDescent="0.2">
      <c r="D654" s="9"/>
      <c r="E654" s="9"/>
    </row>
    <row r="655" spans="4:5" x14ac:dyDescent="0.2">
      <c r="D655" s="9"/>
      <c r="E655" s="9"/>
    </row>
    <row r="656" spans="4:5" x14ac:dyDescent="0.2">
      <c r="D656" s="9"/>
      <c r="E656" s="9"/>
    </row>
    <row r="657" spans="4:5" x14ac:dyDescent="0.2">
      <c r="D657" s="9"/>
      <c r="E657" s="9"/>
    </row>
    <row r="658" spans="4:5" x14ac:dyDescent="0.2">
      <c r="D658" s="9"/>
      <c r="E658" s="9"/>
    </row>
    <row r="659" spans="4:5" x14ac:dyDescent="0.2">
      <c r="D659" s="9"/>
      <c r="E659" s="9"/>
    </row>
    <row r="660" spans="4:5" x14ac:dyDescent="0.2">
      <c r="D660" s="9"/>
      <c r="E660" s="9"/>
    </row>
    <row r="661" spans="4:5" x14ac:dyDescent="0.2">
      <c r="D661" s="9"/>
      <c r="E661" s="9"/>
    </row>
    <row r="662" spans="4:5" x14ac:dyDescent="0.2">
      <c r="D662" s="9"/>
      <c r="E662" s="9"/>
    </row>
    <row r="663" spans="4:5" x14ac:dyDescent="0.2">
      <c r="D663" s="9"/>
      <c r="E663" s="9"/>
    </row>
    <row r="664" spans="4:5" x14ac:dyDescent="0.2">
      <c r="D664" s="9"/>
      <c r="E664" s="9"/>
    </row>
    <row r="665" spans="4:5" x14ac:dyDescent="0.2">
      <c r="D665" s="9"/>
      <c r="E665" s="9"/>
    </row>
    <row r="666" spans="4:5" x14ac:dyDescent="0.2">
      <c r="D666" s="9"/>
      <c r="E666" s="9"/>
    </row>
    <row r="667" spans="4:5" x14ac:dyDescent="0.2">
      <c r="D667" s="9"/>
      <c r="E667" s="9"/>
    </row>
    <row r="668" spans="4:5" x14ac:dyDescent="0.2">
      <c r="D668" s="9"/>
      <c r="E668" s="9"/>
    </row>
    <row r="669" spans="4:5" x14ac:dyDescent="0.2">
      <c r="D669" s="9"/>
      <c r="E669" s="9"/>
    </row>
    <row r="670" spans="4:5" x14ac:dyDescent="0.2">
      <c r="D670" s="9"/>
      <c r="E670" s="9"/>
    </row>
    <row r="671" spans="4:5" x14ac:dyDescent="0.2">
      <c r="D671" s="9"/>
      <c r="E671" s="9"/>
    </row>
    <row r="672" spans="4:5" x14ac:dyDescent="0.2">
      <c r="D672" s="9"/>
      <c r="E672" s="9"/>
    </row>
    <row r="673" spans="4:5" x14ac:dyDescent="0.2">
      <c r="D673" s="9"/>
      <c r="E673" s="9"/>
    </row>
    <row r="674" spans="4:5" x14ac:dyDescent="0.2">
      <c r="D674" s="9"/>
      <c r="E674" s="9"/>
    </row>
    <row r="675" spans="4:5" x14ac:dyDescent="0.2">
      <c r="D675" s="9"/>
      <c r="E675" s="9"/>
    </row>
    <row r="676" spans="4:5" x14ac:dyDescent="0.2">
      <c r="D676" s="9"/>
      <c r="E676" s="9"/>
    </row>
    <row r="677" spans="4:5" x14ac:dyDescent="0.2">
      <c r="D677" s="9"/>
      <c r="E677" s="9"/>
    </row>
    <row r="678" spans="4:5" x14ac:dyDescent="0.2">
      <c r="D678" s="9"/>
      <c r="E678" s="9"/>
    </row>
    <row r="679" spans="4:5" x14ac:dyDescent="0.2">
      <c r="D679" s="9"/>
      <c r="E679" s="9"/>
    </row>
    <row r="680" spans="4:5" x14ac:dyDescent="0.2">
      <c r="D680" s="9"/>
      <c r="E680" s="9"/>
    </row>
    <row r="681" spans="4:5" x14ac:dyDescent="0.2">
      <c r="D681" s="9"/>
      <c r="E681" s="9"/>
    </row>
    <row r="682" spans="4:5" x14ac:dyDescent="0.2">
      <c r="D682" s="9"/>
      <c r="E682" s="9"/>
    </row>
    <row r="683" spans="4:5" x14ac:dyDescent="0.2">
      <c r="D683" s="9"/>
      <c r="E683" s="9"/>
    </row>
    <row r="684" spans="4:5" x14ac:dyDescent="0.2">
      <c r="D684" s="9"/>
      <c r="E684" s="9"/>
    </row>
    <row r="685" spans="4:5" x14ac:dyDescent="0.2">
      <c r="D685" s="9"/>
      <c r="E685" s="9"/>
    </row>
    <row r="686" spans="4:5" x14ac:dyDescent="0.2">
      <c r="D686" s="9"/>
      <c r="E686" s="9"/>
    </row>
    <row r="687" spans="4:5" x14ac:dyDescent="0.2">
      <c r="D687" s="9"/>
      <c r="E687" s="9"/>
    </row>
    <row r="688" spans="4:5" x14ac:dyDescent="0.2">
      <c r="D688" s="9"/>
      <c r="E688" s="9"/>
    </row>
    <row r="689" spans="4:5" x14ac:dyDescent="0.2">
      <c r="D689" s="9"/>
      <c r="E689" s="9"/>
    </row>
    <row r="690" spans="4:5" x14ac:dyDescent="0.2">
      <c r="D690" s="9"/>
      <c r="E690" s="9"/>
    </row>
    <row r="691" spans="4:5" x14ac:dyDescent="0.2">
      <c r="D691" s="9"/>
      <c r="E691" s="9"/>
    </row>
    <row r="692" spans="4:5" x14ac:dyDescent="0.2">
      <c r="D692" s="9"/>
      <c r="E692" s="9"/>
    </row>
    <row r="693" spans="4:5" x14ac:dyDescent="0.2">
      <c r="D693" s="9"/>
      <c r="E693" s="9"/>
    </row>
    <row r="694" spans="4:5" x14ac:dyDescent="0.2">
      <c r="D694" s="9"/>
      <c r="E694" s="9"/>
    </row>
    <row r="695" spans="4:5" x14ac:dyDescent="0.2">
      <c r="D695" s="9"/>
      <c r="E695" s="9"/>
    </row>
    <row r="696" spans="4:5" x14ac:dyDescent="0.2">
      <c r="D696" s="9"/>
      <c r="E696" s="9"/>
    </row>
    <row r="697" spans="4:5" x14ac:dyDescent="0.2">
      <c r="D697" s="9"/>
      <c r="E697" s="9"/>
    </row>
    <row r="698" spans="4:5" x14ac:dyDescent="0.2">
      <c r="D698" s="9"/>
      <c r="E698" s="9"/>
    </row>
    <row r="699" spans="4:5" x14ac:dyDescent="0.2">
      <c r="D699" s="9"/>
      <c r="E699" s="9"/>
    </row>
    <row r="700" spans="4:5" x14ac:dyDescent="0.2">
      <c r="D700" s="9"/>
      <c r="E700" s="9"/>
    </row>
    <row r="701" spans="4:5" x14ac:dyDescent="0.2">
      <c r="D701" s="9"/>
      <c r="E701" s="9"/>
    </row>
    <row r="702" spans="4:5" x14ac:dyDescent="0.2">
      <c r="D702" s="9"/>
      <c r="E702" s="9"/>
    </row>
    <row r="703" spans="4:5" x14ac:dyDescent="0.2">
      <c r="D703" s="9"/>
      <c r="E703" s="9"/>
    </row>
    <row r="704" spans="4:5" x14ac:dyDescent="0.2">
      <c r="D704" s="9"/>
      <c r="E704" s="9"/>
    </row>
    <row r="705" spans="4:5" x14ac:dyDescent="0.2">
      <c r="D705" s="9"/>
      <c r="E705" s="9"/>
    </row>
    <row r="706" spans="4:5" x14ac:dyDescent="0.2">
      <c r="D706" s="9"/>
      <c r="E706" s="9"/>
    </row>
    <row r="707" spans="4:5" x14ac:dyDescent="0.2">
      <c r="D707" s="9"/>
      <c r="E707" s="9"/>
    </row>
    <row r="708" spans="4:5" x14ac:dyDescent="0.2">
      <c r="D708" s="9"/>
      <c r="E708" s="9"/>
    </row>
    <row r="709" spans="4:5" x14ac:dyDescent="0.2">
      <c r="D709" s="9"/>
      <c r="E709" s="9"/>
    </row>
    <row r="710" spans="4:5" x14ac:dyDescent="0.2">
      <c r="D710" s="9"/>
      <c r="E710" s="9"/>
    </row>
    <row r="711" spans="4:5" x14ac:dyDescent="0.2">
      <c r="D711" s="9"/>
      <c r="E711" s="9"/>
    </row>
    <row r="712" spans="4:5" x14ac:dyDescent="0.2">
      <c r="D712" s="9"/>
      <c r="E712" s="9"/>
    </row>
    <row r="713" spans="4:5" x14ac:dyDescent="0.2">
      <c r="D713" s="9"/>
      <c r="E713" s="9"/>
    </row>
    <row r="714" spans="4:5" x14ac:dyDescent="0.2">
      <c r="D714" s="9"/>
      <c r="E714" s="9"/>
    </row>
    <row r="715" spans="4:5" x14ac:dyDescent="0.2">
      <c r="D715" s="9"/>
      <c r="E715" s="9"/>
    </row>
    <row r="716" spans="4:5" x14ac:dyDescent="0.2">
      <c r="D716" s="9"/>
      <c r="E716" s="9"/>
    </row>
    <row r="717" spans="4:5" x14ac:dyDescent="0.2">
      <c r="D717" s="9"/>
      <c r="E717" s="9"/>
    </row>
    <row r="718" spans="4:5" x14ac:dyDescent="0.2">
      <c r="D718" s="9"/>
      <c r="E718" s="9"/>
    </row>
    <row r="719" spans="4:5" x14ac:dyDescent="0.2">
      <c r="D719" s="9"/>
      <c r="E719" s="9"/>
    </row>
    <row r="720" spans="4:5" x14ac:dyDescent="0.2">
      <c r="D720" s="9"/>
      <c r="E720" s="9"/>
    </row>
    <row r="721" spans="4:5" x14ac:dyDescent="0.2">
      <c r="D721" s="9"/>
      <c r="E721" s="9"/>
    </row>
    <row r="722" spans="4:5" x14ac:dyDescent="0.2">
      <c r="D722" s="9"/>
      <c r="E722" s="9"/>
    </row>
    <row r="723" spans="4:5" x14ac:dyDescent="0.2">
      <c r="D723" s="9"/>
      <c r="E723" s="9"/>
    </row>
    <row r="724" spans="4:5" x14ac:dyDescent="0.2">
      <c r="D724" s="9"/>
      <c r="E724" s="9"/>
    </row>
    <row r="725" spans="4:5" x14ac:dyDescent="0.2">
      <c r="D725" s="9"/>
      <c r="E725" s="9"/>
    </row>
    <row r="726" spans="4:5" x14ac:dyDescent="0.2">
      <c r="D726" s="9"/>
      <c r="E726" s="9"/>
    </row>
    <row r="727" spans="4:5" x14ac:dyDescent="0.2">
      <c r="D727" s="9"/>
      <c r="E727" s="9"/>
    </row>
    <row r="728" spans="4:5" x14ac:dyDescent="0.2">
      <c r="D728" s="9"/>
      <c r="E728" s="9"/>
    </row>
    <row r="729" spans="4:5" x14ac:dyDescent="0.2">
      <c r="D729" s="9"/>
      <c r="E729" s="9"/>
    </row>
    <row r="730" spans="4:5" x14ac:dyDescent="0.2">
      <c r="D730" s="9"/>
      <c r="E730" s="9"/>
    </row>
    <row r="731" spans="4:5" x14ac:dyDescent="0.2">
      <c r="D731" s="9"/>
      <c r="E731" s="9"/>
    </row>
    <row r="732" spans="4:5" x14ac:dyDescent="0.2">
      <c r="D732" s="9"/>
      <c r="E732" s="9"/>
    </row>
    <row r="733" spans="4:5" x14ac:dyDescent="0.2">
      <c r="D733" s="9"/>
      <c r="E733" s="9"/>
    </row>
    <row r="734" spans="4:5" x14ac:dyDescent="0.2">
      <c r="D734" s="9"/>
      <c r="E734" s="9"/>
    </row>
    <row r="735" spans="4:5" x14ac:dyDescent="0.2">
      <c r="D735" s="9"/>
      <c r="E735" s="9"/>
    </row>
    <row r="736" spans="4:5" x14ac:dyDescent="0.2">
      <c r="D736" s="9"/>
      <c r="E736" s="9"/>
    </row>
    <row r="737" spans="4:5" x14ac:dyDescent="0.2">
      <c r="D737" s="9"/>
      <c r="E737" s="9"/>
    </row>
    <row r="738" spans="4:5" x14ac:dyDescent="0.2">
      <c r="D738" s="9"/>
      <c r="E738" s="9"/>
    </row>
    <row r="739" spans="4:5" x14ac:dyDescent="0.2">
      <c r="D739" s="9"/>
      <c r="E739" s="9"/>
    </row>
    <row r="740" spans="4:5" x14ac:dyDescent="0.2">
      <c r="D740" s="9"/>
      <c r="E740" s="9"/>
    </row>
    <row r="741" spans="4:5" x14ac:dyDescent="0.2">
      <c r="D741" s="9"/>
      <c r="E741" s="9"/>
    </row>
    <row r="742" spans="4:5" x14ac:dyDescent="0.2">
      <c r="D742" s="9"/>
      <c r="E742" s="9"/>
    </row>
    <row r="743" spans="4:5" x14ac:dyDescent="0.2">
      <c r="D743" s="9"/>
      <c r="E743" s="9"/>
    </row>
    <row r="744" spans="4:5" x14ac:dyDescent="0.2">
      <c r="D744" s="9"/>
      <c r="E744" s="9"/>
    </row>
    <row r="745" spans="4:5" x14ac:dyDescent="0.2">
      <c r="D745" s="9"/>
      <c r="E745" s="9"/>
    </row>
    <row r="746" spans="4:5" x14ac:dyDescent="0.2">
      <c r="D746" s="9"/>
      <c r="E746" s="9"/>
    </row>
    <row r="747" spans="4:5" x14ac:dyDescent="0.2">
      <c r="D747" s="9"/>
      <c r="E747" s="9"/>
    </row>
    <row r="748" spans="4:5" x14ac:dyDescent="0.2">
      <c r="D748" s="9"/>
      <c r="E748" s="9"/>
    </row>
    <row r="749" spans="4:5" x14ac:dyDescent="0.2">
      <c r="D749" s="9"/>
      <c r="E749" s="9"/>
    </row>
    <row r="750" spans="4:5" x14ac:dyDescent="0.2">
      <c r="D750" s="9"/>
      <c r="E750" s="9"/>
    </row>
    <row r="751" spans="4:5" x14ac:dyDescent="0.2">
      <c r="D751" s="9"/>
      <c r="E751" s="9"/>
    </row>
    <row r="752" spans="4:5" x14ac:dyDescent="0.2">
      <c r="D752" s="9"/>
      <c r="E752" s="9"/>
    </row>
    <row r="753" spans="4:5" x14ac:dyDescent="0.2">
      <c r="D753" s="9"/>
      <c r="E753" s="9"/>
    </row>
    <row r="754" spans="4:5" x14ac:dyDescent="0.2">
      <c r="D754" s="9"/>
      <c r="E754" s="9"/>
    </row>
    <row r="755" spans="4:5" x14ac:dyDescent="0.2">
      <c r="D755" s="9"/>
      <c r="E755" s="9"/>
    </row>
    <row r="756" spans="4:5" x14ac:dyDescent="0.2">
      <c r="D756" s="9"/>
      <c r="E756" s="9"/>
    </row>
    <row r="757" spans="4:5" x14ac:dyDescent="0.2">
      <c r="D757" s="9"/>
      <c r="E757" s="9"/>
    </row>
    <row r="758" spans="4:5" x14ac:dyDescent="0.2">
      <c r="D758" s="9"/>
      <c r="E758" s="9"/>
    </row>
    <row r="759" spans="4:5" x14ac:dyDescent="0.2">
      <c r="D759" s="9"/>
      <c r="E759" s="9"/>
    </row>
    <row r="760" spans="4:5" x14ac:dyDescent="0.2">
      <c r="D760" s="9"/>
      <c r="E760" s="9"/>
    </row>
    <row r="761" spans="4:5" x14ac:dyDescent="0.2">
      <c r="D761" s="9"/>
      <c r="E761" s="9"/>
    </row>
    <row r="762" spans="4:5" x14ac:dyDescent="0.2">
      <c r="D762" s="9"/>
      <c r="E762" s="9"/>
    </row>
    <row r="763" spans="4:5" x14ac:dyDescent="0.2">
      <c r="D763" s="9"/>
      <c r="E763" s="9"/>
    </row>
    <row r="764" spans="4:5" x14ac:dyDescent="0.2">
      <c r="D764" s="9"/>
      <c r="E764" s="9"/>
    </row>
    <row r="765" spans="4:5" x14ac:dyDescent="0.2">
      <c r="D765" s="9"/>
      <c r="E765" s="9"/>
    </row>
    <row r="766" spans="4:5" x14ac:dyDescent="0.2">
      <c r="D766" s="9"/>
      <c r="E766" s="9"/>
    </row>
    <row r="767" spans="4:5" x14ac:dyDescent="0.2">
      <c r="D767" s="9"/>
      <c r="E767" s="9"/>
    </row>
    <row r="768" spans="4:5" x14ac:dyDescent="0.2">
      <c r="D768" s="9"/>
      <c r="E768" s="9"/>
    </row>
    <row r="769" spans="4:5" x14ac:dyDescent="0.2">
      <c r="D769" s="9"/>
      <c r="E769" s="9"/>
    </row>
    <row r="770" spans="4:5" x14ac:dyDescent="0.2">
      <c r="D770" s="9"/>
      <c r="E770" s="9"/>
    </row>
    <row r="771" spans="4:5" x14ac:dyDescent="0.2">
      <c r="D771" s="9"/>
      <c r="E771" s="9"/>
    </row>
    <row r="772" spans="4:5" x14ac:dyDescent="0.2">
      <c r="D772" s="9"/>
      <c r="E772" s="9"/>
    </row>
    <row r="773" spans="4:5" x14ac:dyDescent="0.2">
      <c r="D773" s="9"/>
      <c r="E773" s="9"/>
    </row>
    <row r="774" spans="4:5" x14ac:dyDescent="0.2">
      <c r="D774" s="9"/>
      <c r="E774" s="9"/>
    </row>
    <row r="775" spans="4:5" x14ac:dyDescent="0.2">
      <c r="D775" s="9"/>
      <c r="E775" s="9"/>
    </row>
    <row r="776" spans="4:5" x14ac:dyDescent="0.2">
      <c r="D776" s="9"/>
      <c r="E776" s="9"/>
    </row>
    <row r="777" spans="4:5" x14ac:dyDescent="0.2">
      <c r="D777" s="9"/>
      <c r="E777" s="9"/>
    </row>
    <row r="778" spans="4:5" x14ac:dyDescent="0.2">
      <c r="D778" s="9"/>
      <c r="E778" s="9"/>
    </row>
    <row r="779" spans="4:5" x14ac:dyDescent="0.2">
      <c r="D779" s="9"/>
      <c r="E779" s="9"/>
    </row>
    <row r="780" spans="4:5" x14ac:dyDescent="0.2">
      <c r="D780" s="9"/>
      <c r="E780" s="9"/>
    </row>
    <row r="781" spans="4:5" x14ac:dyDescent="0.2">
      <c r="D781" s="9"/>
      <c r="E781" s="9"/>
    </row>
    <row r="782" spans="4:5" x14ac:dyDescent="0.2">
      <c r="D782" s="9"/>
      <c r="E782" s="9"/>
    </row>
    <row r="783" spans="4:5" x14ac:dyDescent="0.2">
      <c r="D783" s="9"/>
      <c r="E783" s="9"/>
    </row>
    <row r="784" spans="4:5" x14ac:dyDescent="0.2">
      <c r="D784" s="9"/>
      <c r="E784" s="9"/>
    </row>
    <row r="785" spans="4:5" x14ac:dyDescent="0.2">
      <c r="D785" s="9"/>
      <c r="E785" s="9"/>
    </row>
    <row r="786" spans="4:5" x14ac:dyDescent="0.2">
      <c r="D786" s="9"/>
      <c r="E786" s="9"/>
    </row>
    <row r="787" spans="4:5" x14ac:dyDescent="0.2">
      <c r="D787" s="9"/>
      <c r="E787" s="9"/>
    </row>
    <row r="788" spans="4:5" x14ac:dyDescent="0.2">
      <c r="D788" s="9"/>
      <c r="E788" s="9"/>
    </row>
    <row r="789" spans="4:5" x14ac:dyDescent="0.2">
      <c r="D789" s="9"/>
      <c r="E789" s="9"/>
    </row>
    <row r="790" spans="4:5" x14ac:dyDescent="0.2">
      <c r="D790" s="9"/>
      <c r="E790" s="9"/>
    </row>
    <row r="791" spans="4:5" x14ac:dyDescent="0.2">
      <c r="D791" s="9"/>
      <c r="E791" s="9"/>
    </row>
    <row r="792" spans="4:5" x14ac:dyDescent="0.2">
      <c r="D792" s="9"/>
      <c r="E792" s="9"/>
    </row>
    <row r="793" spans="4:5" x14ac:dyDescent="0.2">
      <c r="D793" s="9"/>
      <c r="E793" s="9"/>
    </row>
    <row r="794" spans="4:5" x14ac:dyDescent="0.2">
      <c r="D794" s="9"/>
      <c r="E794" s="9"/>
    </row>
    <row r="795" spans="4:5" x14ac:dyDescent="0.2">
      <c r="D795" s="9"/>
      <c r="E795" s="9"/>
    </row>
    <row r="796" spans="4:5" x14ac:dyDescent="0.2">
      <c r="D796" s="9"/>
      <c r="E796" s="9"/>
    </row>
    <row r="797" spans="4:5" x14ac:dyDescent="0.2">
      <c r="D797" s="9"/>
      <c r="E797" s="9"/>
    </row>
    <row r="798" spans="4:5" x14ac:dyDescent="0.2">
      <c r="D798" s="9"/>
      <c r="E798" s="9"/>
    </row>
    <row r="799" spans="4:5" x14ac:dyDescent="0.2">
      <c r="D799" s="9"/>
      <c r="E799" s="9"/>
    </row>
    <row r="800" spans="4:5" x14ac:dyDescent="0.2">
      <c r="D800" s="9"/>
      <c r="E800" s="9"/>
    </row>
    <row r="801" spans="4:5" x14ac:dyDescent="0.2">
      <c r="D801" s="9"/>
      <c r="E801" s="9"/>
    </row>
    <row r="802" spans="4:5" x14ac:dyDescent="0.2">
      <c r="D802" s="9"/>
      <c r="E802" s="9"/>
    </row>
    <row r="803" spans="4:5" x14ac:dyDescent="0.2">
      <c r="D803" s="9"/>
      <c r="E803" s="9"/>
    </row>
    <row r="804" spans="4:5" x14ac:dyDescent="0.2">
      <c r="D804" s="9"/>
      <c r="E804" s="9"/>
    </row>
    <row r="805" spans="4:5" x14ac:dyDescent="0.2">
      <c r="D805" s="9"/>
      <c r="E805" s="9"/>
    </row>
    <row r="806" spans="4:5" x14ac:dyDescent="0.2">
      <c r="D806" s="9"/>
      <c r="E806" s="9"/>
    </row>
    <row r="807" spans="4:5" x14ac:dyDescent="0.2">
      <c r="D807" s="9"/>
      <c r="E807" s="9"/>
    </row>
    <row r="808" spans="4:5" x14ac:dyDescent="0.2">
      <c r="D808" s="9"/>
      <c r="E808" s="9"/>
    </row>
    <row r="809" spans="4:5" x14ac:dyDescent="0.2">
      <c r="D809" s="9"/>
      <c r="E809" s="9"/>
    </row>
    <row r="810" spans="4:5" x14ac:dyDescent="0.2">
      <c r="D810" s="9"/>
      <c r="E810" s="9"/>
    </row>
    <row r="811" spans="4:5" x14ac:dyDescent="0.2">
      <c r="D811" s="9"/>
      <c r="E811" s="9"/>
    </row>
    <row r="812" spans="4:5" x14ac:dyDescent="0.2">
      <c r="D812" s="9"/>
      <c r="E812" s="9"/>
    </row>
    <row r="813" spans="4:5" x14ac:dyDescent="0.2">
      <c r="D813" s="9"/>
      <c r="E813" s="9"/>
    </row>
    <row r="814" spans="4:5" x14ac:dyDescent="0.2">
      <c r="D814" s="9"/>
      <c r="E814" s="9"/>
    </row>
    <row r="815" spans="4:5" x14ac:dyDescent="0.2">
      <c r="D815" s="9"/>
      <c r="E815" s="9"/>
    </row>
    <row r="816" spans="4:5" x14ac:dyDescent="0.2">
      <c r="D816" s="9"/>
      <c r="E816" s="9"/>
    </row>
    <row r="817" spans="4:5" x14ac:dyDescent="0.2">
      <c r="D817" s="9"/>
      <c r="E817" s="9"/>
    </row>
    <row r="818" spans="4:5" x14ac:dyDescent="0.2">
      <c r="D818" s="9"/>
      <c r="E818" s="9"/>
    </row>
    <row r="819" spans="4:5" x14ac:dyDescent="0.2">
      <c r="D819" s="9"/>
      <c r="E819" s="9"/>
    </row>
    <row r="820" spans="4:5" x14ac:dyDescent="0.2">
      <c r="D820" s="9"/>
      <c r="E820" s="9"/>
    </row>
    <row r="821" spans="4:5" x14ac:dyDescent="0.2">
      <c r="D821" s="9"/>
      <c r="E821" s="9"/>
    </row>
    <row r="822" spans="4:5" x14ac:dyDescent="0.2">
      <c r="D822" s="9"/>
      <c r="E822" s="9"/>
    </row>
    <row r="823" spans="4:5" x14ac:dyDescent="0.2">
      <c r="D823" s="9"/>
      <c r="E823" s="9"/>
    </row>
    <row r="824" spans="4:5" x14ac:dyDescent="0.2">
      <c r="D824" s="9"/>
      <c r="E824" s="9"/>
    </row>
    <row r="825" spans="4:5" x14ac:dyDescent="0.2">
      <c r="D825" s="9"/>
      <c r="E825" s="9"/>
    </row>
    <row r="826" spans="4:5" x14ac:dyDescent="0.2">
      <c r="D826" s="9"/>
      <c r="E826" s="9"/>
    </row>
    <row r="827" spans="4:5" x14ac:dyDescent="0.2">
      <c r="D827" s="9"/>
      <c r="E827" s="9"/>
    </row>
    <row r="828" spans="4:5" x14ac:dyDescent="0.2">
      <c r="D828" s="9"/>
      <c r="E828" s="9"/>
    </row>
    <row r="829" spans="4:5" x14ac:dyDescent="0.2">
      <c r="D829" s="9"/>
      <c r="E829" s="9"/>
    </row>
    <row r="830" spans="4:5" x14ac:dyDescent="0.2">
      <c r="D830" s="9"/>
      <c r="E830" s="9"/>
    </row>
    <row r="831" spans="4:5" x14ac:dyDescent="0.2">
      <c r="D831" s="9"/>
      <c r="E831" s="9"/>
    </row>
    <row r="832" spans="4:5" x14ac:dyDescent="0.2">
      <c r="D832" s="9"/>
      <c r="E832" s="9"/>
    </row>
    <row r="833" spans="4:5" x14ac:dyDescent="0.2">
      <c r="D833" s="9"/>
      <c r="E833" s="9"/>
    </row>
    <row r="834" spans="4:5" x14ac:dyDescent="0.2">
      <c r="D834" s="9"/>
      <c r="E834" s="9"/>
    </row>
    <row r="835" spans="4:5" x14ac:dyDescent="0.2">
      <c r="D835" s="9"/>
      <c r="E835" s="9"/>
    </row>
    <row r="836" spans="4:5" x14ac:dyDescent="0.2">
      <c r="D836" s="9"/>
      <c r="E836" s="9"/>
    </row>
    <row r="837" spans="4:5" x14ac:dyDescent="0.2">
      <c r="D837" s="9"/>
      <c r="E837" s="9"/>
    </row>
    <row r="838" spans="4:5" x14ac:dyDescent="0.2">
      <c r="D838" s="9"/>
      <c r="E838" s="9"/>
    </row>
    <row r="839" spans="4:5" x14ac:dyDescent="0.2">
      <c r="D839" s="9"/>
      <c r="E839" s="9"/>
    </row>
    <row r="840" spans="4:5" x14ac:dyDescent="0.2">
      <c r="D840" s="9"/>
      <c r="E840" s="9"/>
    </row>
    <row r="841" spans="4:5" x14ac:dyDescent="0.2">
      <c r="D841" s="9"/>
      <c r="E841" s="9"/>
    </row>
    <row r="842" spans="4:5" x14ac:dyDescent="0.2">
      <c r="D842" s="9"/>
      <c r="E842" s="9"/>
    </row>
    <row r="843" spans="4:5" x14ac:dyDescent="0.2">
      <c r="D843" s="9"/>
      <c r="E843" s="9"/>
    </row>
    <row r="844" spans="4:5" x14ac:dyDescent="0.2">
      <c r="D844" s="9"/>
      <c r="E844" s="9"/>
    </row>
    <row r="845" spans="4:5" x14ac:dyDescent="0.2">
      <c r="D845" s="9"/>
      <c r="E845" s="9"/>
    </row>
    <row r="846" spans="4:5" x14ac:dyDescent="0.2">
      <c r="D846" s="9"/>
      <c r="E846" s="9"/>
    </row>
    <row r="847" spans="4:5" x14ac:dyDescent="0.2">
      <c r="D847" s="9"/>
      <c r="E847" s="9"/>
    </row>
    <row r="848" spans="4:5" x14ac:dyDescent="0.2">
      <c r="D848" s="9"/>
      <c r="E848" s="9"/>
    </row>
    <row r="849" spans="4:5" x14ac:dyDescent="0.2">
      <c r="D849" s="9"/>
      <c r="E849" s="9"/>
    </row>
    <row r="850" spans="4:5" x14ac:dyDescent="0.2">
      <c r="D850" s="9"/>
      <c r="E850" s="9"/>
    </row>
    <row r="851" spans="4:5" x14ac:dyDescent="0.2">
      <c r="D851" s="9"/>
      <c r="E851" s="9"/>
    </row>
    <row r="852" spans="4:5" x14ac:dyDescent="0.2">
      <c r="D852" s="9"/>
      <c r="E852" s="9"/>
    </row>
    <row r="853" spans="4:5" x14ac:dyDescent="0.2">
      <c r="D853" s="9"/>
      <c r="E853" s="9"/>
    </row>
    <row r="854" spans="4:5" x14ac:dyDescent="0.2">
      <c r="D854" s="9"/>
      <c r="E854" s="9"/>
    </row>
    <row r="855" spans="4:5" x14ac:dyDescent="0.2">
      <c r="D855" s="9"/>
      <c r="E855" s="9"/>
    </row>
    <row r="856" spans="4:5" x14ac:dyDescent="0.2">
      <c r="D856" s="9"/>
      <c r="E856" s="9"/>
    </row>
    <row r="857" spans="4:5" x14ac:dyDescent="0.2">
      <c r="D857" s="9"/>
      <c r="E857" s="9"/>
    </row>
    <row r="858" spans="4:5" x14ac:dyDescent="0.2">
      <c r="D858" s="9"/>
      <c r="E858" s="9"/>
    </row>
    <row r="859" spans="4:5" x14ac:dyDescent="0.2">
      <c r="D859" s="9"/>
      <c r="E859" s="9"/>
    </row>
    <row r="860" spans="4:5" x14ac:dyDescent="0.2">
      <c r="D860" s="9"/>
      <c r="E860" s="9"/>
    </row>
    <row r="861" spans="4:5" x14ac:dyDescent="0.2">
      <c r="D861" s="9"/>
      <c r="E861" s="9"/>
    </row>
    <row r="862" spans="4:5" x14ac:dyDescent="0.2">
      <c r="D862" s="9"/>
      <c r="E862" s="9"/>
    </row>
    <row r="863" spans="4:5" x14ac:dyDescent="0.2">
      <c r="D863" s="9"/>
      <c r="E863" s="9"/>
    </row>
    <row r="864" spans="4:5" x14ac:dyDescent="0.2">
      <c r="D864" s="9"/>
      <c r="E864" s="9"/>
    </row>
    <row r="865" spans="4:5" x14ac:dyDescent="0.2">
      <c r="D865" s="9"/>
      <c r="E865" s="9"/>
    </row>
    <row r="866" spans="4:5" x14ac:dyDescent="0.2">
      <c r="D866" s="9"/>
      <c r="E866" s="9"/>
    </row>
    <row r="867" spans="4:5" x14ac:dyDescent="0.2">
      <c r="D867" s="9"/>
      <c r="E867" s="9"/>
    </row>
    <row r="868" spans="4:5" x14ac:dyDescent="0.2">
      <c r="D868" s="9"/>
      <c r="E868" s="9"/>
    </row>
    <row r="869" spans="4:5" x14ac:dyDescent="0.2">
      <c r="D869" s="9"/>
      <c r="E869" s="9"/>
    </row>
    <row r="870" spans="4:5" x14ac:dyDescent="0.2">
      <c r="D870" s="9"/>
      <c r="E870" s="9"/>
    </row>
    <row r="871" spans="4:5" x14ac:dyDescent="0.2">
      <c r="D871" s="9"/>
      <c r="E871" s="9"/>
    </row>
    <row r="872" spans="4:5" x14ac:dyDescent="0.2">
      <c r="D872" s="9"/>
      <c r="E872" s="9"/>
    </row>
    <row r="873" spans="4:5" x14ac:dyDescent="0.2">
      <c r="D873" s="9"/>
      <c r="E873" s="9"/>
    </row>
    <row r="874" spans="4:5" x14ac:dyDescent="0.2">
      <c r="D874" s="9"/>
      <c r="E874" s="9"/>
    </row>
    <row r="875" spans="4:5" x14ac:dyDescent="0.2">
      <c r="D875" s="9"/>
      <c r="E875" s="9"/>
    </row>
    <row r="876" spans="4:5" x14ac:dyDescent="0.2">
      <c r="D876" s="9"/>
      <c r="E876" s="9"/>
    </row>
    <row r="877" spans="4:5" x14ac:dyDescent="0.2">
      <c r="D877" s="9"/>
      <c r="E877" s="9"/>
    </row>
    <row r="878" spans="4:5" x14ac:dyDescent="0.2">
      <c r="D878" s="9"/>
      <c r="E878" s="9"/>
    </row>
    <row r="879" spans="4:5" x14ac:dyDescent="0.2">
      <c r="D879" s="9"/>
      <c r="E879" s="9"/>
    </row>
    <row r="880" spans="4:5" x14ac:dyDescent="0.2">
      <c r="D880" s="9"/>
      <c r="E880" s="9"/>
    </row>
    <row r="881" spans="4:5" x14ac:dyDescent="0.2">
      <c r="D881" s="9"/>
      <c r="E881" s="9"/>
    </row>
    <row r="882" spans="4:5" x14ac:dyDescent="0.2">
      <c r="D882" s="9"/>
      <c r="E882" s="9"/>
    </row>
    <row r="883" spans="4:5" x14ac:dyDescent="0.2">
      <c r="D883" s="9"/>
      <c r="E883" s="9"/>
    </row>
    <row r="884" spans="4:5" x14ac:dyDescent="0.2">
      <c r="D884" s="9"/>
      <c r="E884" s="9"/>
    </row>
    <row r="885" spans="4:5" x14ac:dyDescent="0.2">
      <c r="D885" s="9"/>
      <c r="E885" s="9"/>
    </row>
    <row r="886" spans="4:5" x14ac:dyDescent="0.2">
      <c r="D886" s="9"/>
      <c r="E886" s="9"/>
    </row>
    <row r="887" spans="4:5" x14ac:dyDescent="0.2">
      <c r="D887" s="9"/>
      <c r="E887" s="9"/>
    </row>
    <row r="888" spans="4:5" x14ac:dyDescent="0.2">
      <c r="D888" s="9"/>
      <c r="E888" s="9"/>
    </row>
    <row r="889" spans="4:5" x14ac:dyDescent="0.2">
      <c r="D889" s="9"/>
      <c r="E889" s="9"/>
    </row>
    <row r="890" spans="4:5" x14ac:dyDescent="0.2">
      <c r="D890" s="9"/>
      <c r="E890" s="9"/>
    </row>
    <row r="891" spans="4:5" x14ac:dyDescent="0.2">
      <c r="D891" s="9"/>
      <c r="E891" s="9"/>
    </row>
    <row r="892" spans="4:5" x14ac:dyDescent="0.2">
      <c r="D892" s="9"/>
      <c r="E892" s="9"/>
    </row>
    <row r="893" spans="4:5" x14ac:dyDescent="0.2">
      <c r="D893" s="9"/>
      <c r="E893" s="9"/>
    </row>
    <row r="894" spans="4:5" x14ac:dyDescent="0.2">
      <c r="D894" s="9"/>
      <c r="E894" s="9"/>
    </row>
    <row r="895" spans="4:5" x14ac:dyDescent="0.2">
      <c r="D895" s="9"/>
      <c r="E895" s="9"/>
    </row>
    <row r="896" spans="4:5" x14ac:dyDescent="0.2">
      <c r="D896" s="9"/>
      <c r="E896" s="9"/>
    </row>
    <row r="897" spans="4:5" x14ac:dyDescent="0.2">
      <c r="D897" s="9"/>
      <c r="E897" s="9"/>
    </row>
    <row r="898" spans="4:5" x14ac:dyDescent="0.2">
      <c r="D898" s="9"/>
      <c r="E898" s="9"/>
    </row>
    <row r="899" spans="4:5" x14ac:dyDescent="0.2">
      <c r="D899" s="9"/>
      <c r="E899" s="9"/>
    </row>
    <row r="900" spans="4:5" x14ac:dyDescent="0.2">
      <c r="D900" s="9"/>
      <c r="E900" s="9"/>
    </row>
    <row r="901" spans="4:5" x14ac:dyDescent="0.2">
      <c r="D901" s="9"/>
      <c r="E901" s="9"/>
    </row>
    <row r="902" spans="4:5" x14ac:dyDescent="0.2">
      <c r="D902" s="9"/>
      <c r="E902" s="9"/>
    </row>
    <row r="903" spans="4:5" x14ac:dyDescent="0.2">
      <c r="D903" s="9"/>
      <c r="E903" s="9"/>
    </row>
    <row r="904" spans="4:5" x14ac:dyDescent="0.2">
      <c r="D904" s="9"/>
      <c r="E904" s="9"/>
    </row>
    <row r="905" spans="4:5" x14ac:dyDescent="0.2">
      <c r="D905" s="9"/>
      <c r="E905" s="9"/>
    </row>
    <row r="906" spans="4:5" x14ac:dyDescent="0.2">
      <c r="D906" s="9"/>
      <c r="E906" s="9"/>
    </row>
    <row r="907" spans="4:5" x14ac:dyDescent="0.2">
      <c r="D907" s="9"/>
      <c r="E907" s="9"/>
    </row>
    <row r="908" spans="4:5" x14ac:dyDescent="0.2">
      <c r="D908" s="9"/>
      <c r="E908" s="9"/>
    </row>
    <row r="909" spans="4:5" x14ac:dyDescent="0.2">
      <c r="D909" s="9"/>
      <c r="E909" s="9"/>
    </row>
    <row r="910" spans="4:5" x14ac:dyDescent="0.2">
      <c r="D910" s="9"/>
      <c r="E910" s="9"/>
    </row>
    <row r="911" spans="4:5" x14ac:dyDescent="0.2">
      <c r="D911" s="9"/>
      <c r="E911" s="9"/>
    </row>
    <row r="912" spans="4:5" x14ac:dyDescent="0.2">
      <c r="D912" s="9"/>
      <c r="E912" s="9"/>
    </row>
    <row r="913" spans="4:5" x14ac:dyDescent="0.2">
      <c r="D913" s="9"/>
      <c r="E913" s="9"/>
    </row>
    <row r="914" spans="4:5" x14ac:dyDescent="0.2">
      <c r="D914" s="9"/>
      <c r="E914" s="9"/>
    </row>
    <row r="915" spans="4:5" x14ac:dyDescent="0.2">
      <c r="D915" s="9"/>
      <c r="E915" s="9"/>
    </row>
    <row r="916" spans="4:5" x14ac:dyDescent="0.2">
      <c r="D916" s="9"/>
      <c r="E916" s="9"/>
    </row>
    <row r="917" spans="4:5" x14ac:dyDescent="0.2">
      <c r="D917" s="9"/>
      <c r="E917" s="9"/>
    </row>
    <row r="918" spans="4:5" x14ac:dyDescent="0.2">
      <c r="D918" s="9"/>
      <c r="E918" s="9"/>
    </row>
    <row r="919" spans="4:5" x14ac:dyDescent="0.2">
      <c r="D919" s="9"/>
      <c r="E919" s="9"/>
    </row>
    <row r="920" spans="4:5" x14ac:dyDescent="0.2">
      <c r="D920" s="9"/>
      <c r="E920" s="9"/>
    </row>
    <row r="921" spans="4:5" x14ac:dyDescent="0.2">
      <c r="D921" s="9"/>
      <c r="E921" s="9"/>
    </row>
    <row r="922" spans="4:5" x14ac:dyDescent="0.2">
      <c r="D922" s="9"/>
      <c r="E922" s="9"/>
    </row>
    <row r="923" spans="4:5" x14ac:dyDescent="0.2">
      <c r="D923" s="9"/>
      <c r="E923" s="9"/>
    </row>
    <row r="924" spans="4:5" x14ac:dyDescent="0.2">
      <c r="D924" s="9"/>
      <c r="E924" s="9"/>
    </row>
    <row r="925" spans="4:5" x14ac:dyDescent="0.2">
      <c r="D925" s="9"/>
      <c r="E925" s="9"/>
    </row>
    <row r="926" spans="4:5" x14ac:dyDescent="0.2">
      <c r="D926" s="9"/>
      <c r="E926" s="9"/>
    </row>
    <row r="927" spans="4:5" x14ac:dyDescent="0.2">
      <c r="D927" s="9"/>
      <c r="E927" s="9"/>
    </row>
    <row r="928" spans="4:5" x14ac:dyDescent="0.2">
      <c r="D928" s="9"/>
      <c r="E928" s="9"/>
    </row>
    <row r="929" spans="4:5" x14ac:dyDescent="0.2">
      <c r="D929" s="9"/>
      <c r="E929" s="9"/>
    </row>
    <row r="930" spans="4:5" x14ac:dyDescent="0.2">
      <c r="D930" s="9"/>
      <c r="E930" s="9"/>
    </row>
    <row r="931" spans="4:5" x14ac:dyDescent="0.2">
      <c r="D931" s="9"/>
      <c r="E931" s="9"/>
    </row>
    <row r="932" spans="4:5" x14ac:dyDescent="0.2">
      <c r="D932" s="9"/>
      <c r="E932" s="9"/>
    </row>
    <row r="933" spans="4:5" x14ac:dyDescent="0.2">
      <c r="D933" s="9"/>
      <c r="E933" s="9"/>
    </row>
    <row r="934" spans="4:5" x14ac:dyDescent="0.2">
      <c r="D934" s="9"/>
      <c r="E934" s="9"/>
    </row>
    <row r="935" spans="4:5" x14ac:dyDescent="0.2">
      <c r="D935" s="9"/>
      <c r="E935" s="9"/>
    </row>
    <row r="936" spans="4:5" x14ac:dyDescent="0.2">
      <c r="D936" s="9"/>
      <c r="E936" s="9"/>
    </row>
    <row r="937" spans="4:5" x14ac:dyDescent="0.2">
      <c r="D937" s="9"/>
      <c r="E937" s="9"/>
    </row>
    <row r="938" spans="4:5" x14ac:dyDescent="0.2">
      <c r="D938" s="9"/>
      <c r="E938" s="9"/>
    </row>
    <row r="939" spans="4:5" x14ac:dyDescent="0.2">
      <c r="D939" s="9"/>
      <c r="E939" s="9"/>
    </row>
    <row r="940" spans="4:5" x14ac:dyDescent="0.2">
      <c r="D940" s="9"/>
      <c r="E940" s="9"/>
    </row>
    <row r="941" spans="4:5" x14ac:dyDescent="0.2">
      <c r="D941" s="9"/>
      <c r="E941" s="9"/>
    </row>
    <row r="942" spans="4:5" x14ac:dyDescent="0.2">
      <c r="D942" s="9"/>
      <c r="E942" s="9"/>
    </row>
    <row r="943" spans="4:5" x14ac:dyDescent="0.2">
      <c r="D943" s="9"/>
      <c r="E943" s="9"/>
    </row>
    <row r="944" spans="4:5" x14ac:dyDescent="0.2">
      <c r="D944" s="9"/>
      <c r="E944" s="9"/>
    </row>
    <row r="945" spans="4:5" x14ac:dyDescent="0.2">
      <c r="D945" s="9"/>
      <c r="E945" s="9"/>
    </row>
    <row r="946" spans="4:5" x14ac:dyDescent="0.2">
      <c r="D946" s="9"/>
      <c r="E946" s="9"/>
    </row>
    <row r="947" spans="4:5" x14ac:dyDescent="0.2">
      <c r="D947" s="9"/>
      <c r="E947" s="9"/>
    </row>
    <row r="948" spans="4:5" x14ac:dyDescent="0.2">
      <c r="D948" s="9"/>
      <c r="E948" s="9"/>
    </row>
    <row r="949" spans="4:5" x14ac:dyDescent="0.2">
      <c r="D949" s="9"/>
      <c r="E949" s="9"/>
    </row>
    <row r="950" spans="4:5" x14ac:dyDescent="0.2">
      <c r="D950" s="9"/>
      <c r="E950" s="9"/>
    </row>
    <row r="951" spans="4:5" x14ac:dyDescent="0.2">
      <c r="D951" s="9"/>
      <c r="E951" s="9"/>
    </row>
    <row r="952" spans="4:5" x14ac:dyDescent="0.2">
      <c r="D952" s="9"/>
      <c r="E952" s="9"/>
    </row>
    <row r="953" spans="4:5" x14ac:dyDescent="0.2">
      <c r="D953" s="9"/>
      <c r="E953" s="9"/>
    </row>
    <row r="954" spans="4:5" x14ac:dyDescent="0.2">
      <c r="D954" s="9"/>
      <c r="E954" s="9"/>
    </row>
    <row r="955" spans="4:5" x14ac:dyDescent="0.2">
      <c r="D955" s="9"/>
      <c r="E955" s="9"/>
    </row>
    <row r="956" spans="4:5" x14ac:dyDescent="0.2">
      <c r="D956" s="9"/>
      <c r="E956" s="9"/>
    </row>
    <row r="957" spans="4:5" x14ac:dyDescent="0.2">
      <c r="D957" s="9"/>
      <c r="E957" s="9"/>
    </row>
    <row r="958" spans="4:5" x14ac:dyDescent="0.2">
      <c r="D958" s="9"/>
      <c r="E958" s="9"/>
    </row>
    <row r="959" spans="4:5" x14ac:dyDescent="0.2">
      <c r="D959" s="9"/>
      <c r="E959" s="9"/>
    </row>
    <row r="960" spans="4:5" x14ac:dyDescent="0.2">
      <c r="D960" s="9"/>
      <c r="E960" s="9"/>
    </row>
    <row r="961" spans="4:5" x14ac:dyDescent="0.2">
      <c r="D961" s="9"/>
      <c r="E961" s="9"/>
    </row>
    <row r="962" spans="4:5" x14ac:dyDescent="0.2">
      <c r="D962" s="9"/>
      <c r="E962" s="9"/>
    </row>
    <row r="963" spans="4:5" x14ac:dyDescent="0.2">
      <c r="D963" s="9"/>
      <c r="E963" s="9"/>
    </row>
    <row r="964" spans="4:5" x14ac:dyDescent="0.2">
      <c r="D964" s="9"/>
      <c r="E964" s="9"/>
    </row>
    <row r="965" spans="4:5" x14ac:dyDescent="0.2">
      <c r="D965" s="9"/>
      <c r="E965" s="9"/>
    </row>
    <row r="966" spans="4:5" x14ac:dyDescent="0.2">
      <c r="D966" s="9"/>
      <c r="E966" s="9"/>
    </row>
    <row r="967" spans="4:5" x14ac:dyDescent="0.2">
      <c r="D967" s="9"/>
      <c r="E967" s="9"/>
    </row>
    <row r="968" spans="4:5" x14ac:dyDescent="0.2">
      <c r="D968" s="9"/>
      <c r="E968" s="9"/>
    </row>
    <row r="969" spans="4:5" x14ac:dyDescent="0.2">
      <c r="D969" s="9"/>
      <c r="E969" s="9"/>
    </row>
    <row r="970" spans="4:5" x14ac:dyDescent="0.2">
      <c r="D970" s="9"/>
      <c r="E970" s="9"/>
    </row>
    <row r="971" spans="4:5" x14ac:dyDescent="0.2">
      <c r="D971" s="9"/>
      <c r="E971" s="9"/>
    </row>
    <row r="972" spans="4:5" x14ac:dyDescent="0.2">
      <c r="D972" s="9"/>
      <c r="E972" s="9"/>
    </row>
    <row r="973" spans="4:5" x14ac:dyDescent="0.2">
      <c r="D973" s="9"/>
      <c r="E973" s="9"/>
    </row>
    <row r="974" spans="4:5" x14ac:dyDescent="0.2">
      <c r="D974" s="9"/>
      <c r="E974" s="9"/>
    </row>
    <row r="975" spans="4:5" x14ac:dyDescent="0.2">
      <c r="D975" s="9"/>
      <c r="E975" s="9"/>
    </row>
    <row r="976" spans="4:5" x14ac:dyDescent="0.2">
      <c r="D976" s="9"/>
      <c r="E976" s="9"/>
    </row>
    <row r="977" spans="4:5" x14ac:dyDescent="0.2">
      <c r="D977" s="9"/>
      <c r="E977" s="9"/>
    </row>
    <row r="978" spans="4:5" x14ac:dyDescent="0.2">
      <c r="D978" s="9"/>
      <c r="E978" s="9"/>
    </row>
    <row r="979" spans="4:5" x14ac:dyDescent="0.2">
      <c r="D979" s="9"/>
      <c r="E979" s="9"/>
    </row>
    <row r="980" spans="4:5" x14ac:dyDescent="0.2">
      <c r="D980" s="9"/>
      <c r="E980" s="9"/>
    </row>
    <row r="981" spans="4:5" x14ac:dyDescent="0.2">
      <c r="D981" s="9"/>
      <c r="E981" s="9"/>
    </row>
    <row r="982" spans="4:5" x14ac:dyDescent="0.2">
      <c r="D982" s="9"/>
      <c r="E982" s="9"/>
    </row>
    <row r="983" spans="4:5" x14ac:dyDescent="0.2">
      <c r="D983" s="9"/>
      <c r="E983" s="9"/>
    </row>
    <row r="984" spans="4:5" x14ac:dyDescent="0.2">
      <c r="D984" s="9"/>
      <c r="E984" s="9"/>
    </row>
    <row r="985" spans="4:5" x14ac:dyDescent="0.2">
      <c r="D985" s="9"/>
      <c r="E985" s="9"/>
    </row>
    <row r="986" spans="4:5" x14ac:dyDescent="0.2">
      <c r="D986" s="9"/>
      <c r="E986" s="9"/>
    </row>
    <row r="987" spans="4:5" x14ac:dyDescent="0.2">
      <c r="D987" s="9"/>
      <c r="E987" s="9"/>
    </row>
    <row r="988" spans="4:5" x14ac:dyDescent="0.2">
      <c r="D988" s="9"/>
      <c r="E988" s="9"/>
    </row>
    <row r="989" spans="4:5" x14ac:dyDescent="0.2">
      <c r="D989" s="9"/>
      <c r="E989" s="9"/>
    </row>
    <row r="990" spans="4:5" x14ac:dyDescent="0.2">
      <c r="D990" s="9"/>
      <c r="E990" s="9"/>
    </row>
    <row r="991" spans="4:5" x14ac:dyDescent="0.2">
      <c r="D991" s="9"/>
      <c r="E991" s="9"/>
    </row>
    <row r="992" spans="4:5" x14ac:dyDescent="0.2">
      <c r="D992" s="9"/>
      <c r="E992" s="9"/>
    </row>
    <row r="993" spans="4:5" x14ac:dyDescent="0.2">
      <c r="D993" s="9"/>
      <c r="E993" s="9"/>
    </row>
    <row r="994" spans="4:5" x14ac:dyDescent="0.2">
      <c r="D994" s="9"/>
      <c r="E994" s="9"/>
    </row>
    <row r="995" spans="4:5" x14ac:dyDescent="0.2">
      <c r="D995" s="9"/>
      <c r="E995" s="9"/>
    </row>
    <row r="996" spans="4:5" x14ac:dyDescent="0.2">
      <c r="D996" s="9"/>
      <c r="E996" s="9"/>
    </row>
    <row r="997" spans="4:5" x14ac:dyDescent="0.2">
      <c r="D997" s="9"/>
      <c r="E997" s="9"/>
    </row>
    <row r="998" spans="4:5" x14ac:dyDescent="0.2">
      <c r="D998" s="9"/>
      <c r="E998" s="9"/>
    </row>
    <row r="999" spans="4:5" x14ac:dyDescent="0.2">
      <c r="D999" s="9"/>
      <c r="E999" s="9"/>
    </row>
    <row r="1000" spans="4:5" x14ac:dyDescent="0.2">
      <c r="D1000" s="9"/>
      <c r="E1000" s="9"/>
    </row>
    <row r="1001" spans="4:5" x14ac:dyDescent="0.2">
      <c r="D1001" s="9"/>
      <c r="E1001" s="9"/>
    </row>
    <row r="1002" spans="4:5" x14ac:dyDescent="0.2">
      <c r="D1002" s="9"/>
      <c r="E1002" s="9"/>
    </row>
    <row r="1003" spans="4:5" x14ac:dyDescent="0.2">
      <c r="D1003" s="9"/>
      <c r="E1003" s="9"/>
    </row>
    <row r="1004" spans="4:5" x14ac:dyDescent="0.2">
      <c r="D1004" s="9"/>
      <c r="E1004" s="9"/>
    </row>
    <row r="1005" spans="4:5" x14ac:dyDescent="0.2">
      <c r="D1005" s="9"/>
      <c r="E1005" s="9"/>
    </row>
    <row r="1006" spans="4:5" x14ac:dyDescent="0.2">
      <c r="D1006" s="9"/>
      <c r="E1006" s="9"/>
    </row>
    <row r="1007" spans="4:5" x14ac:dyDescent="0.2">
      <c r="D1007" s="9"/>
      <c r="E1007" s="9"/>
    </row>
    <row r="1008" spans="4:5" x14ac:dyDescent="0.2">
      <c r="D1008" s="9"/>
      <c r="E1008" s="9"/>
    </row>
    <row r="1009" spans="4:5" x14ac:dyDescent="0.2">
      <c r="D1009" s="9"/>
      <c r="E1009" s="9"/>
    </row>
    <row r="1010" spans="4:5" x14ac:dyDescent="0.2">
      <c r="D1010" s="9"/>
      <c r="E1010" s="9"/>
    </row>
    <row r="1011" spans="4:5" x14ac:dyDescent="0.2">
      <c r="D1011" s="9"/>
      <c r="E1011" s="9"/>
    </row>
    <row r="1012" spans="4:5" x14ac:dyDescent="0.2">
      <c r="D1012" s="9"/>
      <c r="E1012" s="9"/>
    </row>
    <row r="1013" spans="4:5" x14ac:dyDescent="0.2">
      <c r="D1013" s="9"/>
      <c r="E1013" s="9"/>
    </row>
    <row r="1014" spans="4:5" x14ac:dyDescent="0.2">
      <c r="D1014" s="9"/>
      <c r="E1014" s="9"/>
    </row>
    <row r="1015" spans="4:5" x14ac:dyDescent="0.2">
      <c r="D1015" s="9"/>
      <c r="E1015" s="9"/>
    </row>
    <row r="1016" spans="4:5" x14ac:dyDescent="0.2">
      <c r="D1016" s="9"/>
      <c r="E1016" s="9"/>
    </row>
    <row r="1017" spans="4:5" x14ac:dyDescent="0.2">
      <c r="D1017" s="9"/>
      <c r="E1017" s="9"/>
    </row>
    <row r="1018" spans="4:5" x14ac:dyDescent="0.2">
      <c r="D1018" s="9"/>
      <c r="E1018" s="9"/>
    </row>
    <row r="1019" spans="4:5" x14ac:dyDescent="0.2">
      <c r="D1019" s="9"/>
      <c r="E1019" s="9"/>
    </row>
    <row r="1020" spans="4:5" x14ac:dyDescent="0.2">
      <c r="D1020" s="9"/>
      <c r="E1020" s="9"/>
    </row>
    <row r="1021" spans="4:5" x14ac:dyDescent="0.2">
      <c r="D1021" s="9"/>
      <c r="E1021" s="9"/>
    </row>
    <row r="1022" spans="4:5" x14ac:dyDescent="0.2">
      <c r="D1022" s="9"/>
      <c r="E1022" s="9"/>
    </row>
    <row r="1023" spans="4:5" x14ac:dyDescent="0.2">
      <c r="D1023" s="9"/>
      <c r="E1023" s="9"/>
    </row>
    <row r="1024" spans="4:5" x14ac:dyDescent="0.2">
      <c r="D1024" s="9"/>
      <c r="E1024" s="9"/>
    </row>
    <row r="1025" spans="4:5" x14ac:dyDescent="0.2">
      <c r="D1025" s="9"/>
      <c r="E1025" s="9"/>
    </row>
    <row r="1026" spans="4:5" x14ac:dyDescent="0.2">
      <c r="D1026" s="9"/>
      <c r="E1026" s="9"/>
    </row>
    <row r="1027" spans="4:5" x14ac:dyDescent="0.2">
      <c r="D1027" s="9"/>
      <c r="E1027" s="9"/>
    </row>
    <row r="1028" spans="4:5" x14ac:dyDescent="0.2">
      <c r="D1028" s="9"/>
      <c r="E1028" s="9"/>
    </row>
    <row r="1029" spans="4:5" x14ac:dyDescent="0.2">
      <c r="D1029" s="9"/>
      <c r="E1029" s="9"/>
    </row>
    <row r="1030" spans="4:5" x14ac:dyDescent="0.2">
      <c r="D1030" s="9"/>
      <c r="E1030" s="9"/>
    </row>
    <row r="1031" spans="4:5" x14ac:dyDescent="0.2">
      <c r="D1031" s="9"/>
      <c r="E1031" s="9"/>
    </row>
    <row r="1032" spans="4:5" x14ac:dyDescent="0.2">
      <c r="D1032" s="9"/>
      <c r="E1032" s="9"/>
    </row>
    <row r="1033" spans="4:5" x14ac:dyDescent="0.2">
      <c r="D1033" s="9"/>
      <c r="E1033" s="9"/>
    </row>
    <row r="1034" spans="4:5" x14ac:dyDescent="0.2">
      <c r="D1034" s="9"/>
      <c r="E1034" s="9"/>
    </row>
    <row r="1035" spans="4:5" x14ac:dyDescent="0.2">
      <c r="D1035" s="9"/>
      <c r="E1035" s="9"/>
    </row>
    <row r="1036" spans="4:5" x14ac:dyDescent="0.2">
      <c r="D1036" s="9"/>
      <c r="E1036" s="9"/>
    </row>
    <row r="1037" spans="4:5" x14ac:dyDescent="0.2">
      <c r="D1037" s="9"/>
      <c r="E1037" s="9"/>
    </row>
    <row r="1038" spans="4:5" x14ac:dyDescent="0.2">
      <c r="D1038" s="9"/>
      <c r="E1038" s="9"/>
    </row>
    <row r="1039" spans="4:5" x14ac:dyDescent="0.2">
      <c r="D1039" s="9"/>
      <c r="E1039" s="9"/>
    </row>
    <row r="1040" spans="4:5" x14ac:dyDescent="0.2">
      <c r="D1040" s="9"/>
      <c r="E1040" s="9"/>
    </row>
    <row r="1041" spans="4:5" x14ac:dyDescent="0.2">
      <c r="D1041" s="9"/>
      <c r="E1041" s="9"/>
    </row>
    <row r="1042" spans="4:5" x14ac:dyDescent="0.2">
      <c r="D1042" s="9"/>
      <c r="E1042" s="9"/>
    </row>
    <row r="1043" spans="4:5" x14ac:dyDescent="0.2">
      <c r="D1043" s="9"/>
      <c r="E1043" s="9"/>
    </row>
    <row r="1044" spans="4:5" x14ac:dyDescent="0.2">
      <c r="D1044" s="9"/>
      <c r="E1044" s="9"/>
    </row>
    <row r="1045" spans="4:5" x14ac:dyDescent="0.2">
      <c r="D1045" s="9"/>
      <c r="E1045" s="9"/>
    </row>
    <row r="1046" spans="4:5" x14ac:dyDescent="0.2">
      <c r="D1046" s="9"/>
      <c r="E1046" s="9"/>
    </row>
    <row r="1047" spans="4:5" x14ac:dyDescent="0.2">
      <c r="D1047" s="9"/>
      <c r="E1047" s="9"/>
    </row>
    <row r="1048" spans="4:5" x14ac:dyDescent="0.2">
      <c r="D1048" s="9"/>
      <c r="E1048" s="9"/>
    </row>
    <row r="1049" spans="4:5" x14ac:dyDescent="0.2">
      <c r="D1049" s="9"/>
      <c r="E1049" s="9"/>
    </row>
    <row r="1050" spans="4:5" x14ac:dyDescent="0.2">
      <c r="D1050" s="9"/>
      <c r="E1050" s="9"/>
    </row>
    <row r="1051" spans="4:5" x14ac:dyDescent="0.2">
      <c r="D1051" s="9"/>
      <c r="E1051" s="9"/>
    </row>
    <row r="1052" spans="4:5" x14ac:dyDescent="0.2">
      <c r="D1052" s="9"/>
      <c r="E1052" s="9"/>
    </row>
    <row r="1053" spans="4:5" x14ac:dyDescent="0.2">
      <c r="D1053" s="9"/>
      <c r="E1053" s="9"/>
    </row>
    <row r="1054" spans="4:5" x14ac:dyDescent="0.2">
      <c r="D1054" s="9"/>
      <c r="E1054" s="9"/>
    </row>
    <row r="1055" spans="4:5" x14ac:dyDescent="0.2">
      <c r="D1055" s="9"/>
      <c r="E1055" s="9"/>
    </row>
    <row r="1056" spans="4:5" x14ac:dyDescent="0.2">
      <c r="D1056" s="9"/>
      <c r="E1056" s="9"/>
    </row>
    <row r="1057" spans="4:5" x14ac:dyDescent="0.2">
      <c r="D1057" s="9"/>
      <c r="E1057" s="9"/>
    </row>
    <row r="1058" spans="4:5" x14ac:dyDescent="0.2">
      <c r="D1058" s="9"/>
      <c r="E1058" s="9"/>
    </row>
    <row r="1059" spans="4:5" x14ac:dyDescent="0.2">
      <c r="D1059" s="9"/>
      <c r="E1059" s="9"/>
    </row>
    <row r="1060" spans="4:5" x14ac:dyDescent="0.2">
      <c r="D1060" s="9"/>
      <c r="E1060" s="9"/>
    </row>
    <row r="1061" spans="4:5" x14ac:dyDescent="0.2">
      <c r="D1061" s="9"/>
      <c r="E1061" s="9"/>
    </row>
    <row r="1062" spans="4:5" x14ac:dyDescent="0.2">
      <c r="D1062" s="9"/>
      <c r="E1062" s="9"/>
    </row>
    <row r="1063" spans="4:5" x14ac:dyDescent="0.2">
      <c r="D1063" s="9"/>
      <c r="E1063" s="9"/>
    </row>
    <row r="1064" spans="4:5" x14ac:dyDescent="0.2">
      <c r="D1064" s="9"/>
      <c r="E1064" s="9"/>
    </row>
    <row r="1065" spans="4:5" x14ac:dyDescent="0.2">
      <c r="D1065" s="9"/>
      <c r="E1065" s="9"/>
    </row>
    <row r="1066" spans="4:5" x14ac:dyDescent="0.2">
      <c r="D1066" s="9"/>
      <c r="E1066" s="9"/>
    </row>
    <row r="1067" spans="4:5" x14ac:dyDescent="0.2">
      <c r="D1067" s="9"/>
      <c r="E1067" s="9"/>
    </row>
    <row r="1068" spans="4:5" x14ac:dyDescent="0.2">
      <c r="D1068" s="9"/>
      <c r="E1068" s="9"/>
    </row>
    <row r="1069" spans="4:5" x14ac:dyDescent="0.2">
      <c r="D1069" s="9"/>
      <c r="E1069" s="9"/>
    </row>
    <row r="1070" spans="4:5" x14ac:dyDescent="0.2">
      <c r="D1070" s="9"/>
      <c r="E1070" s="9"/>
    </row>
    <row r="1071" spans="4:5" x14ac:dyDescent="0.2">
      <c r="D1071" s="9"/>
      <c r="E1071" s="9"/>
    </row>
    <row r="1072" spans="4:5" x14ac:dyDescent="0.2">
      <c r="D1072" s="9"/>
      <c r="E1072" s="9"/>
    </row>
    <row r="1073" spans="4:5" x14ac:dyDescent="0.2">
      <c r="D1073" s="9"/>
      <c r="E1073" s="9"/>
    </row>
    <row r="1074" spans="4:5" x14ac:dyDescent="0.2">
      <c r="D1074" s="9"/>
      <c r="E1074" s="9"/>
    </row>
    <row r="1075" spans="4:5" x14ac:dyDescent="0.2">
      <c r="D1075" s="9"/>
      <c r="E1075" s="9"/>
    </row>
    <row r="1076" spans="4:5" x14ac:dyDescent="0.2">
      <c r="D1076" s="9"/>
      <c r="E1076" s="9"/>
    </row>
    <row r="1077" spans="4:5" x14ac:dyDescent="0.2">
      <c r="D1077" s="9"/>
      <c r="E1077" s="9"/>
    </row>
    <row r="1078" spans="4:5" x14ac:dyDescent="0.2">
      <c r="D1078" s="9"/>
      <c r="E1078" s="9"/>
    </row>
    <row r="1079" spans="4:5" x14ac:dyDescent="0.2">
      <c r="D1079" s="9"/>
      <c r="E1079" s="9"/>
    </row>
    <row r="1080" spans="4:5" x14ac:dyDescent="0.2">
      <c r="D1080" s="9"/>
      <c r="E1080" s="9"/>
    </row>
    <row r="1081" spans="4:5" x14ac:dyDescent="0.2">
      <c r="D1081" s="9"/>
      <c r="E1081" s="9"/>
    </row>
    <row r="1082" spans="4:5" x14ac:dyDescent="0.2">
      <c r="D1082" s="9"/>
      <c r="E1082" s="9"/>
    </row>
    <row r="1083" spans="4:5" x14ac:dyDescent="0.2">
      <c r="D1083" s="9"/>
      <c r="E1083" s="9"/>
    </row>
    <row r="1084" spans="4:5" x14ac:dyDescent="0.2">
      <c r="D1084" s="9"/>
      <c r="E1084" s="9"/>
    </row>
    <row r="1085" spans="4:5" x14ac:dyDescent="0.2">
      <c r="D1085" s="9"/>
      <c r="E1085" s="9"/>
    </row>
    <row r="1086" spans="4:5" x14ac:dyDescent="0.2">
      <c r="D1086" s="9"/>
      <c r="E1086" s="9"/>
    </row>
    <row r="1087" spans="4:5" x14ac:dyDescent="0.2">
      <c r="D1087" s="9"/>
      <c r="E1087" s="9"/>
    </row>
    <row r="1088" spans="4:5" x14ac:dyDescent="0.2">
      <c r="D1088" s="9"/>
      <c r="E1088" s="9"/>
    </row>
    <row r="1089" spans="4:5" x14ac:dyDescent="0.2">
      <c r="D1089" s="9"/>
      <c r="E1089" s="9"/>
    </row>
    <row r="1090" spans="4:5" x14ac:dyDescent="0.2">
      <c r="D1090" s="9"/>
      <c r="E1090" s="9"/>
    </row>
    <row r="1091" spans="4:5" x14ac:dyDescent="0.2">
      <c r="D1091" s="9"/>
      <c r="E1091" s="9"/>
    </row>
    <row r="1092" spans="4:5" x14ac:dyDescent="0.2">
      <c r="D1092" s="9"/>
      <c r="E1092" s="9"/>
    </row>
    <row r="1093" spans="4:5" x14ac:dyDescent="0.2">
      <c r="D1093" s="9"/>
      <c r="E1093" s="9"/>
    </row>
    <row r="1094" spans="4:5" x14ac:dyDescent="0.2">
      <c r="D1094" s="9"/>
      <c r="E1094" s="9"/>
    </row>
    <row r="1095" spans="4:5" x14ac:dyDescent="0.2">
      <c r="D1095" s="9"/>
      <c r="E1095" s="9"/>
    </row>
    <row r="1096" spans="4:5" x14ac:dyDescent="0.2">
      <c r="D1096" s="9"/>
      <c r="E1096" s="9"/>
    </row>
    <row r="1097" spans="4:5" x14ac:dyDescent="0.2">
      <c r="D1097" s="9"/>
      <c r="E1097" s="9"/>
    </row>
    <row r="1098" spans="4:5" x14ac:dyDescent="0.2">
      <c r="D1098" s="9"/>
      <c r="E1098" s="9"/>
    </row>
    <row r="1099" spans="4:5" x14ac:dyDescent="0.2">
      <c r="D1099" s="9"/>
      <c r="E1099" s="9"/>
    </row>
    <row r="1100" spans="4:5" x14ac:dyDescent="0.2">
      <c r="D1100" s="9"/>
      <c r="E1100" s="9"/>
    </row>
    <row r="1101" spans="4:5" x14ac:dyDescent="0.2">
      <c r="D1101" s="9"/>
      <c r="E1101" s="9"/>
    </row>
    <row r="1102" spans="4:5" x14ac:dyDescent="0.2">
      <c r="D1102" s="9"/>
      <c r="E1102" s="9"/>
    </row>
    <row r="1103" spans="4:5" x14ac:dyDescent="0.2">
      <c r="D1103" s="9"/>
      <c r="E1103" s="9"/>
    </row>
    <row r="1104" spans="4:5" x14ac:dyDescent="0.2">
      <c r="D1104" s="9"/>
      <c r="E1104" s="9"/>
    </row>
    <row r="1105" spans="4:5" x14ac:dyDescent="0.2">
      <c r="D1105" s="9"/>
      <c r="E1105" s="9"/>
    </row>
    <row r="1106" spans="4:5" x14ac:dyDescent="0.2">
      <c r="D1106" s="9"/>
      <c r="E1106" s="9"/>
    </row>
    <row r="1107" spans="4:5" x14ac:dyDescent="0.2">
      <c r="D1107" s="9"/>
      <c r="E1107" s="9"/>
    </row>
    <row r="1108" spans="4:5" x14ac:dyDescent="0.2">
      <c r="D1108" s="9"/>
      <c r="E1108" s="9"/>
    </row>
    <row r="1109" spans="4:5" x14ac:dyDescent="0.2">
      <c r="D1109" s="9"/>
      <c r="E1109" s="9"/>
    </row>
    <row r="1110" spans="4:5" x14ac:dyDescent="0.2">
      <c r="D1110" s="9"/>
      <c r="E1110" s="9"/>
    </row>
    <row r="1111" spans="4:5" x14ac:dyDescent="0.2">
      <c r="D1111" s="9"/>
      <c r="E1111" s="9"/>
    </row>
    <row r="1112" spans="4:5" x14ac:dyDescent="0.2">
      <c r="D1112" s="9"/>
      <c r="E1112" s="9"/>
    </row>
    <row r="1113" spans="4:5" x14ac:dyDescent="0.2">
      <c r="D1113" s="9"/>
      <c r="E1113" s="9"/>
    </row>
    <row r="1114" spans="4:5" x14ac:dyDescent="0.2">
      <c r="D1114" s="9"/>
      <c r="E1114" s="9"/>
    </row>
    <row r="1115" spans="4:5" x14ac:dyDescent="0.2">
      <c r="D1115" s="9"/>
      <c r="E1115" s="9"/>
    </row>
    <row r="1116" spans="4:5" x14ac:dyDescent="0.2">
      <c r="D1116" s="9"/>
      <c r="E1116" s="9"/>
    </row>
    <row r="1117" spans="4:5" x14ac:dyDescent="0.2">
      <c r="D1117" s="9"/>
      <c r="E1117" s="9"/>
    </row>
    <row r="1118" spans="4:5" x14ac:dyDescent="0.2">
      <c r="D1118" s="9"/>
      <c r="E1118" s="9"/>
    </row>
    <row r="1119" spans="4:5" x14ac:dyDescent="0.2">
      <c r="D1119" s="9"/>
      <c r="E1119" s="9"/>
    </row>
    <row r="1120" spans="4:5" x14ac:dyDescent="0.2">
      <c r="D1120" s="9"/>
      <c r="E1120" s="9"/>
    </row>
    <row r="1121" spans="4:5" x14ac:dyDescent="0.2">
      <c r="D1121" s="9"/>
      <c r="E1121" s="9"/>
    </row>
    <row r="1122" spans="4:5" x14ac:dyDescent="0.2">
      <c r="D1122" s="9"/>
      <c r="E1122" s="9"/>
    </row>
    <row r="1123" spans="4:5" x14ac:dyDescent="0.2">
      <c r="D1123" s="9"/>
      <c r="E1123" s="9"/>
    </row>
    <row r="1124" spans="4:5" x14ac:dyDescent="0.2">
      <c r="D1124" s="9"/>
      <c r="E1124" s="9"/>
    </row>
    <row r="1125" spans="4:5" x14ac:dyDescent="0.2">
      <c r="D1125" s="9"/>
      <c r="E1125" s="9"/>
    </row>
    <row r="1126" spans="4:5" x14ac:dyDescent="0.2">
      <c r="D1126" s="9"/>
      <c r="E1126" s="9"/>
    </row>
    <row r="1127" spans="4:5" x14ac:dyDescent="0.2">
      <c r="D1127" s="9"/>
      <c r="E1127" s="9"/>
    </row>
    <row r="1128" spans="4:5" x14ac:dyDescent="0.2">
      <c r="D1128" s="9"/>
      <c r="E1128" s="9"/>
    </row>
    <row r="1129" spans="4:5" x14ac:dyDescent="0.2">
      <c r="D1129" s="9"/>
      <c r="E1129" s="9"/>
    </row>
    <row r="1130" spans="4:5" x14ac:dyDescent="0.2">
      <c r="D1130" s="9"/>
      <c r="E1130" s="9"/>
    </row>
    <row r="1131" spans="4:5" x14ac:dyDescent="0.2">
      <c r="D1131" s="9"/>
      <c r="E1131" s="9"/>
    </row>
    <row r="1132" spans="4:5" x14ac:dyDescent="0.2">
      <c r="D1132" s="9"/>
      <c r="E1132" s="9"/>
    </row>
    <row r="1133" spans="4:5" x14ac:dyDescent="0.2">
      <c r="D1133" s="9"/>
      <c r="E1133" s="9"/>
    </row>
    <row r="1134" spans="4:5" x14ac:dyDescent="0.2">
      <c r="D1134" s="9"/>
      <c r="E1134" s="9"/>
    </row>
    <row r="1135" spans="4:5" x14ac:dyDescent="0.2">
      <c r="D1135" s="9"/>
      <c r="E1135" s="9"/>
    </row>
    <row r="1136" spans="4:5" x14ac:dyDescent="0.2">
      <c r="D1136" s="9"/>
      <c r="E1136" s="9"/>
    </row>
    <row r="1137" spans="4:5" x14ac:dyDescent="0.2">
      <c r="D1137" s="9"/>
      <c r="E1137" s="9"/>
    </row>
    <row r="1138" spans="4:5" x14ac:dyDescent="0.2">
      <c r="D1138" s="9"/>
      <c r="E1138" s="9"/>
    </row>
    <row r="1139" spans="4:5" x14ac:dyDescent="0.2">
      <c r="D1139" s="9"/>
      <c r="E1139" s="9"/>
    </row>
    <row r="1140" spans="4:5" x14ac:dyDescent="0.2">
      <c r="D1140" s="9"/>
      <c r="E1140" s="9"/>
    </row>
    <row r="1141" spans="4:5" x14ac:dyDescent="0.2">
      <c r="D1141" s="9"/>
      <c r="E1141" s="9"/>
    </row>
    <row r="1142" spans="4:5" x14ac:dyDescent="0.2">
      <c r="D1142" s="9"/>
      <c r="E1142" s="9"/>
    </row>
    <row r="1143" spans="4:5" x14ac:dyDescent="0.2">
      <c r="D1143" s="9"/>
      <c r="E1143" s="9"/>
    </row>
    <row r="1144" spans="4:5" x14ac:dyDescent="0.2">
      <c r="D1144" s="9"/>
      <c r="E1144" s="9"/>
    </row>
    <row r="1145" spans="4:5" x14ac:dyDescent="0.2">
      <c r="D1145" s="9"/>
      <c r="E1145" s="9"/>
    </row>
    <row r="1146" spans="4:5" x14ac:dyDescent="0.2">
      <c r="D1146" s="9"/>
      <c r="E1146" s="9"/>
    </row>
    <row r="1147" spans="4:5" x14ac:dyDescent="0.2">
      <c r="D1147" s="9"/>
      <c r="E1147" s="9"/>
    </row>
    <row r="1148" spans="4:5" x14ac:dyDescent="0.2">
      <c r="D1148" s="9"/>
      <c r="E1148" s="9"/>
    </row>
    <row r="1149" spans="4:5" x14ac:dyDescent="0.2">
      <c r="D1149" s="9"/>
      <c r="E1149" s="9"/>
    </row>
    <row r="1150" spans="4:5" x14ac:dyDescent="0.2">
      <c r="D1150" s="9"/>
      <c r="E1150" s="9"/>
    </row>
    <row r="1151" spans="4:5" x14ac:dyDescent="0.2">
      <c r="D1151" s="9"/>
      <c r="E1151" s="9"/>
    </row>
    <row r="1152" spans="4:5" x14ac:dyDescent="0.2">
      <c r="D1152" s="9"/>
      <c r="E1152" s="9"/>
    </row>
    <row r="1153" spans="4:5" x14ac:dyDescent="0.2">
      <c r="D1153" s="9"/>
      <c r="E1153" s="9"/>
    </row>
    <row r="1154" spans="4:5" x14ac:dyDescent="0.2">
      <c r="D1154" s="9"/>
      <c r="E1154" s="9"/>
    </row>
    <row r="1155" spans="4:5" x14ac:dyDescent="0.2">
      <c r="D1155" s="9"/>
      <c r="E1155" s="9"/>
    </row>
    <row r="1156" spans="4:5" x14ac:dyDescent="0.2">
      <c r="D1156" s="9"/>
      <c r="E1156" s="9"/>
    </row>
    <row r="1157" spans="4:5" x14ac:dyDescent="0.2">
      <c r="D1157" s="9"/>
      <c r="E1157" s="9"/>
    </row>
    <row r="1158" spans="4:5" x14ac:dyDescent="0.2">
      <c r="D1158" s="9"/>
      <c r="E1158" s="9"/>
    </row>
    <row r="1159" spans="4:5" x14ac:dyDescent="0.2">
      <c r="D1159" s="9"/>
      <c r="E1159" s="9"/>
    </row>
    <row r="1160" spans="4:5" x14ac:dyDescent="0.2">
      <c r="D1160" s="9"/>
      <c r="E1160" s="9"/>
    </row>
    <row r="1161" spans="4:5" x14ac:dyDescent="0.2">
      <c r="D1161" s="9"/>
      <c r="E1161" s="9"/>
    </row>
    <row r="1162" spans="4:5" x14ac:dyDescent="0.2">
      <c r="D1162" s="9"/>
      <c r="E1162" s="9"/>
    </row>
    <row r="1163" spans="4:5" x14ac:dyDescent="0.2">
      <c r="D1163" s="9"/>
      <c r="E1163" s="9"/>
    </row>
    <row r="1164" spans="4:5" x14ac:dyDescent="0.2">
      <c r="D1164" s="9"/>
      <c r="E1164" s="9"/>
    </row>
    <row r="1165" spans="4:5" x14ac:dyDescent="0.2">
      <c r="D1165" s="9"/>
      <c r="E1165" s="9"/>
    </row>
    <row r="1166" spans="4:5" x14ac:dyDescent="0.2">
      <c r="D1166" s="9"/>
      <c r="E1166" s="9"/>
    </row>
    <row r="1167" spans="4:5" x14ac:dyDescent="0.2">
      <c r="D1167" s="9"/>
      <c r="E1167" s="9"/>
    </row>
    <row r="1168" spans="4:5" x14ac:dyDescent="0.2">
      <c r="D1168" s="9"/>
      <c r="E1168" s="9"/>
    </row>
    <row r="1169" spans="4:5" x14ac:dyDescent="0.2">
      <c r="D1169" s="9"/>
      <c r="E1169" s="9"/>
    </row>
    <row r="1170" spans="4:5" x14ac:dyDescent="0.2">
      <c r="D1170" s="9"/>
      <c r="E1170" s="9"/>
    </row>
    <row r="1171" spans="4:5" x14ac:dyDescent="0.2">
      <c r="D1171" s="9"/>
      <c r="E1171" s="9"/>
    </row>
    <row r="1172" spans="4:5" x14ac:dyDescent="0.2">
      <c r="D1172" s="9"/>
      <c r="E1172" s="9"/>
    </row>
    <row r="1173" spans="4:5" x14ac:dyDescent="0.2">
      <c r="D1173" s="9"/>
      <c r="E1173" s="9"/>
    </row>
    <row r="1174" spans="4:5" x14ac:dyDescent="0.2">
      <c r="D1174" s="9"/>
      <c r="E1174" s="9"/>
    </row>
    <row r="1175" spans="4:5" x14ac:dyDescent="0.2">
      <c r="D1175" s="9"/>
      <c r="E1175" s="9"/>
    </row>
    <row r="1176" spans="4:5" x14ac:dyDescent="0.2">
      <c r="D1176" s="9"/>
      <c r="E1176" s="9"/>
    </row>
    <row r="1177" spans="4:5" x14ac:dyDescent="0.2">
      <c r="D1177" s="9"/>
      <c r="E1177" s="9"/>
    </row>
    <row r="1178" spans="4:5" x14ac:dyDescent="0.2">
      <c r="D1178" s="9"/>
      <c r="E1178" s="9"/>
    </row>
    <row r="1179" spans="4:5" x14ac:dyDescent="0.2">
      <c r="D1179" s="9"/>
      <c r="E1179" s="9"/>
    </row>
    <row r="1180" spans="4:5" x14ac:dyDescent="0.2">
      <c r="D1180" s="9"/>
      <c r="E1180" s="9"/>
    </row>
    <row r="1181" spans="4:5" x14ac:dyDescent="0.2">
      <c r="D1181" s="9"/>
      <c r="E1181" s="9"/>
    </row>
    <row r="1182" spans="4:5" x14ac:dyDescent="0.2">
      <c r="D1182" s="9"/>
      <c r="E1182" s="9"/>
    </row>
    <row r="1183" spans="4:5" x14ac:dyDescent="0.2">
      <c r="D1183" s="9"/>
      <c r="E1183" s="9"/>
    </row>
    <row r="1184" spans="4:5" x14ac:dyDescent="0.2">
      <c r="D1184" s="9"/>
      <c r="E1184" s="9"/>
    </row>
    <row r="1185" spans="4:5" x14ac:dyDescent="0.2">
      <c r="D1185" s="9"/>
      <c r="E1185" s="9"/>
    </row>
    <row r="1186" spans="4:5" x14ac:dyDescent="0.2">
      <c r="D1186" s="9"/>
      <c r="E1186" s="9"/>
    </row>
    <row r="1187" spans="4:5" x14ac:dyDescent="0.2">
      <c r="D1187" s="9"/>
      <c r="E1187" s="9"/>
    </row>
    <row r="1188" spans="4:5" x14ac:dyDescent="0.2">
      <c r="D1188" s="9"/>
      <c r="E1188" s="9"/>
    </row>
    <row r="1189" spans="4:5" x14ac:dyDescent="0.2">
      <c r="D1189" s="9"/>
      <c r="E1189" s="9"/>
    </row>
    <row r="1190" spans="4:5" x14ac:dyDescent="0.2">
      <c r="D1190" s="9"/>
      <c r="E1190" s="9"/>
    </row>
    <row r="1191" spans="4:5" x14ac:dyDescent="0.2">
      <c r="D1191" s="9"/>
      <c r="E1191" s="9"/>
    </row>
    <row r="1192" spans="4:5" x14ac:dyDescent="0.2">
      <c r="D1192" s="9"/>
      <c r="E1192" s="9"/>
    </row>
    <row r="1193" spans="4:5" x14ac:dyDescent="0.2">
      <c r="D1193" s="9"/>
      <c r="E1193" s="9"/>
    </row>
    <row r="1194" spans="4:5" x14ac:dyDescent="0.2">
      <c r="D1194" s="9"/>
      <c r="E1194" s="9"/>
    </row>
    <row r="1195" spans="4:5" x14ac:dyDescent="0.2">
      <c r="D1195" s="9"/>
      <c r="E1195" s="9"/>
    </row>
    <row r="1196" spans="4:5" x14ac:dyDescent="0.2">
      <c r="D1196" s="9"/>
      <c r="E1196" s="9"/>
    </row>
    <row r="1197" spans="4:5" x14ac:dyDescent="0.2">
      <c r="D1197" s="9"/>
      <c r="E1197" s="9"/>
    </row>
    <row r="1198" spans="4:5" x14ac:dyDescent="0.2">
      <c r="D1198" s="9"/>
      <c r="E1198" s="9"/>
    </row>
    <row r="1199" spans="4:5" x14ac:dyDescent="0.2">
      <c r="D1199" s="9"/>
      <c r="E1199" s="9"/>
    </row>
    <row r="1200" spans="4:5" x14ac:dyDescent="0.2">
      <c r="D1200" s="9"/>
      <c r="E1200" s="9"/>
    </row>
    <row r="1201" spans="4:5" x14ac:dyDescent="0.2">
      <c r="D1201" s="9"/>
      <c r="E1201" s="9"/>
    </row>
    <row r="1202" spans="4:5" x14ac:dyDescent="0.2">
      <c r="D1202" s="9"/>
      <c r="E1202" s="9"/>
    </row>
    <row r="1203" spans="4:5" x14ac:dyDescent="0.2">
      <c r="D1203" s="9"/>
      <c r="E1203" s="9"/>
    </row>
    <row r="1204" spans="4:5" x14ac:dyDescent="0.2">
      <c r="D1204" s="9"/>
      <c r="E1204" s="9"/>
    </row>
    <row r="1205" spans="4:5" x14ac:dyDescent="0.2">
      <c r="D1205" s="9"/>
      <c r="E1205" s="9"/>
    </row>
    <row r="1206" spans="4:5" x14ac:dyDescent="0.2">
      <c r="D1206" s="9"/>
      <c r="E1206" s="9"/>
    </row>
    <row r="1207" spans="4:5" x14ac:dyDescent="0.2">
      <c r="D1207" s="9"/>
      <c r="E1207" s="9"/>
    </row>
    <row r="1208" spans="4:5" x14ac:dyDescent="0.2">
      <c r="D1208" s="9"/>
      <c r="E1208" s="9"/>
    </row>
    <row r="1209" spans="4:5" x14ac:dyDescent="0.2">
      <c r="D1209" s="9"/>
      <c r="E1209" s="9"/>
    </row>
    <row r="1210" spans="4:5" x14ac:dyDescent="0.2">
      <c r="D1210" s="9"/>
      <c r="E1210" s="9"/>
    </row>
    <row r="1211" spans="4:5" x14ac:dyDescent="0.2">
      <c r="D1211" s="9"/>
      <c r="E1211" s="9"/>
    </row>
    <row r="1212" spans="4:5" x14ac:dyDescent="0.2">
      <c r="D1212" s="9"/>
      <c r="E1212" s="9"/>
    </row>
    <row r="1213" spans="4:5" x14ac:dyDescent="0.2">
      <c r="D1213" s="9"/>
      <c r="E1213" s="9"/>
    </row>
    <row r="1214" spans="4:5" x14ac:dyDescent="0.2">
      <c r="D1214" s="9"/>
      <c r="E1214" s="9"/>
    </row>
    <row r="1215" spans="4:5" x14ac:dyDescent="0.2">
      <c r="D1215" s="9"/>
      <c r="E1215" s="9"/>
    </row>
    <row r="1216" spans="4:5" x14ac:dyDescent="0.2">
      <c r="D1216" s="9"/>
      <c r="E1216" s="9"/>
    </row>
    <row r="1217" spans="4:5" x14ac:dyDescent="0.2">
      <c r="D1217" s="9"/>
      <c r="E1217" s="9"/>
    </row>
    <row r="1218" spans="4:5" x14ac:dyDescent="0.2">
      <c r="D1218" s="9"/>
      <c r="E1218" s="9"/>
    </row>
    <row r="1219" spans="4:5" x14ac:dyDescent="0.2">
      <c r="D1219" s="9"/>
      <c r="E1219" s="9"/>
    </row>
    <row r="1220" spans="4:5" x14ac:dyDescent="0.2">
      <c r="D1220" s="9"/>
      <c r="E1220" s="9"/>
    </row>
    <row r="1221" spans="4:5" x14ac:dyDescent="0.2">
      <c r="D1221" s="9"/>
      <c r="E1221" s="9"/>
    </row>
    <row r="1222" spans="4:5" x14ac:dyDescent="0.2">
      <c r="D1222" s="9"/>
      <c r="E1222" s="9"/>
    </row>
    <row r="1223" spans="4:5" x14ac:dyDescent="0.2">
      <c r="D1223" s="9"/>
      <c r="E1223" s="9"/>
    </row>
    <row r="1224" spans="4:5" x14ac:dyDescent="0.2">
      <c r="D1224" s="9"/>
      <c r="E1224" s="9"/>
    </row>
    <row r="1225" spans="4:5" x14ac:dyDescent="0.2">
      <c r="D1225" s="9"/>
      <c r="E1225" s="9"/>
    </row>
    <row r="1226" spans="4:5" x14ac:dyDescent="0.2">
      <c r="D1226" s="9"/>
      <c r="E1226" s="9"/>
    </row>
    <row r="1227" spans="4:5" x14ac:dyDescent="0.2">
      <c r="D1227" s="9"/>
      <c r="E1227" s="9"/>
    </row>
    <row r="1228" spans="4:5" x14ac:dyDescent="0.2">
      <c r="D1228" s="9"/>
      <c r="E1228" s="9"/>
    </row>
    <row r="1229" spans="4:5" x14ac:dyDescent="0.2">
      <c r="D1229" s="9"/>
      <c r="E1229" s="9"/>
    </row>
    <row r="1230" spans="4:5" x14ac:dyDescent="0.2">
      <c r="D1230" s="9"/>
      <c r="E1230" s="9"/>
    </row>
    <row r="1231" spans="4:5" x14ac:dyDescent="0.2">
      <c r="D1231" s="9"/>
      <c r="E1231" s="9"/>
    </row>
    <row r="1232" spans="4:5" x14ac:dyDescent="0.2">
      <c r="D1232" s="9"/>
      <c r="E1232" s="9"/>
    </row>
    <row r="1233" spans="4:5" x14ac:dyDescent="0.2">
      <c r="D1233" s="9"/>
      <c r="E1233" s="9"/>
    </row>
    <row r="1234" spans="4:5" x14ac:dyDescent="0.2">
      <c r="D1234" s="9"/>
      <c r="E1234" s="9"/>
    </row>
    <row r="1235" spans="4:5" x14ac:dyDescent="0.2">
      <c r="D1235" s="9"/>
      <c r="E1235" s="9"/>
    </row>
    <row r="1236" spans="4:5" x14ac:dyDescent="0.2">
      <c r="D1236" s="9"/>
      <c r="E1236" s="9"/>
    </row>
    <row r="1237" spans="4:5" x14ac:dyDescent="0.2">
      <c r="D1237" s="9"/>
      <c r="E1237" s="9"/>
    </row>
    <row r="1238" spans="4:5" x14ac:dyDescent="0.2">
      <c r="D1238" s="9"/>
      <c r="E1238" s="9"/>
    </row>
    <row r="1239" spans="4:5" x14ac:dyDescent="0.2">
      <c r="D1239" s="9"/>
      <c r="E1239" s="9"/>
    </row>
    <row r="1240" spans="4:5" x14ac:dyDescent="0.2">
      <c r="D1240" s="9"/>
      <c r="E1240" s="9"/>
    </row>
    <row r="1241" spans="4:5" x14ac:dyDescent="0.2">
      <c r="D1241" s="9"/>
      <c r="E1241" s="9"/>
    </row>
    <row r="1242" spans="4:5" x14ac:dyDescent="0.2">
      <c r="D1242" s="9"/>
      <c r="E1242" s="9"/>
    </row>
    <row r="1243" spans="4:5" x14ac:dyDescent="0.2">
      <c r="D1243" s="9"/>
      <c r="E1243" s="9"/>
    </row>
    <row r="1244" spans="4:5" x14ac:dyDescent="0.2">
      <c r="D1244" s="9"/>
      <c r="E1244" s="9"/>
    </row>
    <row r="1245" spans="4:5" x14ac:dyDescent="0.2">
      <c r="D1245" s="9"/>
      <c r="E1245" s="9"/>
    </row>
    <row r="1246" spans="4:5" x14ac:dyDescent="0.2">
      <c r="D1246" s="9"/>
      <c r="E1246" s="9"/>
    </row>
    <row r="1247" spans="4:5" x14ac:dyDescent="0.2">
      <c r="D1247" s="9"/>
      <c r="E1247" s="9"/>
    </row>
    <row r="1248" spans="4:5" x14ac:dyDescent="0.2">
      <c r="D1248" s="9"/>
      <c r="E1248" s="9"/>
    </row>
    <row r="1249" spans="4:5" x14ac:dyDescent="0.2">
      <c r="D1249" s="9"/>
      <c r="E1249" s="9"/>
    </row>
    <row r="1250" spans="4:5" x14ac:dyDescent="0.2">
      <c r="D1250" s="9"/>
      <c r="E1250" s="9"/>
    </row>
    <row r="1251" spans="4:5" x14ac:dyDescent="0.2">
      <c r="D1251" s="9"/>
      <c r="E1251" s="9"/>
    </row>
    <row r="1252" spans="4:5" x14ac:dyDescent="0.2">
      <c r="D1252" s="9"/>
      <c r="E1252" s="9"/>
    </row>
    <row r="1253" spans="4:5" x14ac:dyDescent="0.2">
      <c r="D1253" s="9"/>
      <c r="E1253" s="9"/>
    </row>
    <row r="1254" spans="4:5" x14ac:dyDescent="0.2">
      <c r="D1254" s="9"/>
      <c r="E1254" s="9"/>
    </row>
    <row r="1255" spans="4:5" x14ac:dyDescent="0.2">
      <c r="D1255" s="9"/>
      <c r="E1255" s="9"/>
    </row>
    <row r="1256" spans="4:5" x14ac:dyDescent="0.2">
      <c r="D1256" s="9"/>
      <c r="E1256" s="9"/>
    </row>
    <row r="1257" spans="4:5" x14ac:dyDescent="0.2">
      <c r="D1257" s="9"/>
      <c r="E1257" s="9"/>
    </row>
    <row r="1258" spans="4:5" x14ac:dyDescent="0.2">
      <c r="D1258" s="9"/>
      <c r="E1258" s="9"/>
    </row>
    <row r="1259" spans="4:5" x14ac:dyDescent="0.2">
      <c r="D1259" s="9"/>
      <c r="E1259" s="9"/>
    </row>
    <row r="1260" spans="4:5" x14ac:dyDescent="0.2">
      <c r="D1260" s="9"/>
      <c r="E1260" s="9"/>
    </row>
    <row r="1261" spans="4:5" x14ac:dyDescent="0.2">
      <c r="D1261" s="9"/>
      <c r="E1261" s="9"/>
    </row>
    <row r="1262" spans="4:5" x14ac:dyDescent="0.2">
      <c r="D1262" s="9"/>
      <c r="E1262" s="9"/>
    </row>
    <row r="1263" spans="4:5" x14ac:dyDescent="0.2">
      <c r="D1263" s="9"/>
      <c r="E1263" s="9"/>
    </row>
    <row r="1264" spans="4:5" x14ac:dyDescent="0.2">
      <c r="D1264" s="9"/>
      <c r="E1264" s="9"/>
    </row>
    <row r="1265" spans="4:8" x14ac:dyDescent="0.2">
      <c r="D1265" s="9"/>
      <c r="E1265" s="9"/>
    </row>
    <row r="1266" spans="4:8" x14ac:dyDescent="0.2">
      <c r="D1266" s="9"/>
      <c r="E1266" s="9"/>
    </row>
    <row r="1267" spans="4:8" x14ac:dyDescent="0.2">
      <c r="D1267" s="9"/>
      <c r="E1267" s="9"/>
    </row>
    <row r="1268" spans="4:8" x14ac:dyDescent="0.2">
      <c r="D1268" s="9"/>
      <c r="E1268" s="9"/>
    </row>
    <row r="1269" spans="4:8" x14ac:dyDescent="0.2">
      <c r="D1269" s="9"/>
      <c r="E1269" s="9"/>
    </row>
    <row r="1270" spans="4:8" x14ac:dyDescent="0.2">
      <c r="D1270" s="9"/>
      <c r="E1270" s="9"/>
    </row>
    <row r="1271" spans="4:8" x14ac:dyDescent="0.2">
      <c r="D1271" s="9"/>
      <c r="E1271" s="9"/>
    </row>
    <row r="1272" spans="4:8" x14ac:dyDescent="0.2">
      <c r="D1272" s="9"/>
      <c r="E1272" s="9"/>
    </row>
    <row r="1273" spans="4:8" x14ac:dyDescent="0.2">
      <c r="D1273" s="9"/>
      <c r="E1273" s="9"/>
    </row>
    <row r="1274" spans="4:8" x14ac:dyDescent="0.2">
      <c r="D1274" s="9"/>
      <c r="E1274" s="9"/>
    </row>
    <row r="1275" spans="4:8" x14ac:dyDescent="0.2">
      <c r="D1275" s="9"/>
      <c r="E1275" s="9"/>
    </row>
    <row r="1276" spans="4:8" x14ac:dyDescent="0.2">
      <c r="D1276" s="9"/>
      <c r="E1276" s="9"/>
    </row>
    <row r="1277" spans="4:8" x14ac:dyDescent="0.2">
      <c r="D1277" s="9"/>
      <c r="E1277" s="9"/>
    </row>
    <row r="1278" spans="4:8" x14ac:dyDescent="0.2">
      <c r="D1278" s="9"/>
      <c r="E1278" s="9"/>
    </row>
    <row r="1279" spans="4:8" x14ac:dyDescent="0.2">
      <c r="D1279" s="9"/>
      <c r="E1279" s="9"/>
    </row>
    <row r="1280" spans="4:8" x14ac:dyDescent="0.2">
      <c r="D1280" s="9"/>
      <c r="E1280" s="9"/>
      <c r="F1280" s="10"/>
      <c r="G1280" s="10"/>
      <c r="H1280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CAE0B-0089-ED40-8D7B-E9C36B533549}">
  <dimension ref="A1:L1260"/>
  <sheetViews>
    <sheetView workbookViewId="0"/>
  </sheetViews>
  <sheetFormatPr baseColWidth="10" defaultRowHeight="15" x14ac:dyDescent="0.2"/>
  <sheetData>
    <row r="1" spans="1:12" ht="19" x14ac:dyDescent="0.25">
      <c r="A1" s="31" t="s">
        <v>56</v>
      </c>
      <c r="I1" s="30" t="s">
        <v>8</v>
      </c>
      <c r="J1" s="30" t="s">
        <v>53</v>
      </c>
      <c r="K1" s="30" t="s">
        <v>54</v>
      </c>
      <c r="L1" s="30" t="s">
        <v>55</v>
      </c>
    </row>
    <row r="2" spans="1:12" x14ac:dyDescent="0.2">
      <c r="A2" t="s">
        <v>58</v>
      </c>
      <c r="I2" s="1">
        <v>44439</v>
      </c>
      <c r="J2" s="27">
        <v>89.13</v>
      </c>
      <c r="K2" s="23"/>
      <c r="L2" s="36"/>
    </row>
    <row r="3" spans="1:12" x14ac:dyDescent="0.2">
      <c r="A3" t="s">
        <v>57</v>
      </c>
      <c r="I3" s="1">
        <v>44440</v>
      </c>
      <c r="J3" s="27">
        <v>89.95</v>
      </c>
      <c r="K3" s="23">
        <v>9.1579822539163101E-3</v>
      </c>
      <c r="L3" s="36">
        <v>0.32381513362837394</v>
      </c>
    </row>
    <row r="4" spans="1:12" x14ac:dyDescent="0.2">
      <c r="A4" s="30" t="s">
        <v>28</v>
      </c>
      <c r="B4" s="30" t="s">
        <v>29</v>
      </c>
      <c r="I4" s="1">
        <v>44441</v>
      </c>
      <c r="J4" s="27">
        <v>89.8</v>
      </c>
      <c r="K4" s="23">
        <v>-1.6689850883882967E-3</v>
      </c>
      <c r="L4" s="36">
        <v>-7.921320840230861E-2</v>
      </c>
    </row>
    <row r="5" spans="1:12" x14ac:dyDescent="0.2">
      <c r="A5" t="s">
        <v>30</v>
      </c>
      <c r="B5" t="s">
        <v>27</v>
      </c>
      <c r="I5" s="1">
        <v>44442</v>
      </c>
      <c r="J5" s="27">
        <v>90</v>
      </c>
      <c r="K5" s="23">
        <v>2.2246950221111086E-3</v>
      </c>
      <c r="L5" s="36">
        <v>6.572704954053929E-2</v>
      </c>
    </row>
    <row r="6" spans="1:12" x14ac:dyDescent="0.2">
      <c r="A6" t="s">
        <v>31</v>
      </c>
      <c r="B6" t="s">
        <v>1</v>
      </c>
      <c r="I6" s="1">
        <v>44446</v>
      </c>
      <c r="J6" s="27">
        <v>88.72</v>
      </c>
      <c r="K6" s="23">
        <v>-1.4324327288153497E-2</v>
      </c>
      <c r="L6" s="36">
        <v>-0.55030187278509279</v>
      </c>
    </row>
    <row r="7" spans="1:12" x14ac:dyDescent="0.2">
      <c r="A7" t="s">
        <v>32</v>
      </c>
      <c r="B7" s="32">
        <v>44439</v>
      </c>
      <c r="I7" s="1">
        <v>44447</v>
      </c>
      <c r="J7" s="27">
        <v>89.47</v>
      </c>
      <c r="K7" s="23">
        <v>8.4180305173930485E-3</v>
      </c>
      <c r="L7" s="36">
        <v>0.29627080730640909</v>
      </c>
    </row>
    <row r="8" spans="1:12" x14ac:dyDescent="0.2">
      <c r="A8" t="s">
        <v>33</v>
      </c>
      <c r="B8" s="32">
        <v>46269</v>
      </c>
      <c r="I8" s="1">
        <v>44448</v>
      </c>
      <c r="J8" s="27">
        <v>89.54</v>
      </c>
      <c r="K8" s="23">
        <v>7.8207925331486114E-4</v>
      </c>
      <c r="L8" s="36">
        <v>1.2026412685980235E-2</v>
      </c>
    </row>
    <row r="9" spans="1:12" x14ac:dyDescent="0.2">
      <c r="A9" t="s">
        <v>34</v>
      </c>
      <c r="B9" s="29">
        <v>1258</v>
      </c>
      <c r="I9" s="1">
        <v>44449</v>
      </c>
      <c r="J9" s="27">
        <v>89.68</v>
      </c>
      <c r="K9" s="23">
        <v>1.5623259510851057E-3</v>
      </c>
      <c r="L9" s="36">
        <v>4.1070698406557742E-2</v>
      </c>
    </row>
    <row r="10" spans="1:12" x14ac:dyDescent="0.2">
      <c r="A10" t="s">
        <v>35</v>
      </c>
      <c r="B10" s="27">
        <v>158.78</v>
      </c>
      <c r="I10" s="1">
        <v>44452</v>
      </c>
      <c r="J10" s="27">
        <v>88.89</v>
      </c>
      <c r="K10" s="23">
        <v>-8.8481285103210235E-3</v>
      </c>
      <c r="L10" s="36">
        <v>-0.3464531638824131</v>
      </c>
    </row>
    <row r="11" spans="1:12" x14ac:dyDescent="0.2">
      <c r="A11" t="s">
        <v>36</v>
      </c>
      <c r="B11" s="33">
        <v>4.5900128629120966E-4</v>
      </c>
      <c r="I11" s="1">
        <v>44453</v>
      </c>
      <c r="J11" s="27">
        <v>86.39</v>
      </c>
      <c r="K11" s="23">
        <v>-2.8527721882790728E-2</v>
      </c>
      <c r="L11" s="36">
        <v>-1.0790159986989263</v>
      </c>
    </row>
    <row r="12" spans="1:12" x14ac:dyDescent="0.2">
      <c r="A12" t="s">
        <v>37</v>
      </c>
      <c r="B12" s="23">
        <v>2.686403464270597E-2</v>
      </c>
      <c r="I12" s="1">
        <v>44454</v>
      </c>
      <c r="J12" s="27">
        <v>87.73</v>
      </c>
      <c r="K12" s="23">
        <v>1.539198776949968E-2</v>
      </c>
      <c r="L12" s="36">
        <v>0.55587281217503282</v>
      </c>
    </row>
    <row r="13" spans="1:12" x14ac:dyDescent="0.2">
      <c r="A13" t="s">
        <v>38</v>
      </c>
      <c r="B13" s="23">
        <v>0.11566832414538483</v>
      </c>
      <c r="I13" s="1">
        <v>44455</v>
      </c>
      <c r="J13" s="27">
        <v>87.25</v>
      </c>
      <c r="K13" s="23">
        <v>-5.4863550577560118E-3</v>
      </c>
      <c r="L13" s="36">
        <v>-0.22131286022821905</v>
      </c>
    </row>
    <row r="14" spans="1:12" x14ac:dyDescent="0.2">
      <c r="A14" t="s">
        <v>39</v>
      </c>
      <c r="B14" s="23">
        <v>0.4264533292585434</v>
      </c>
      <c r="I14" s="1">
        <v>44456</v>
      </c>
      <c r="J14" s="27">
        <v>86.39</v>
      </c>
      <c r="K14" s="23">
        <v>-9.9056327117437865E-3</v>
      </c>
      <c r="L14" s="36">
        <v>-0.38581821888951318</v>
      </c>
    </row>
    <row r="15" spans="1:12" x14ac:dyDescent="0.2">
      <c r="A15" t="s">
        <v>40</v>
      </c>
      <c r="B15" s="34">
        <v>1.2498995905826289</v>
      </c>
      <c r="I15" s="1">
        <v>44459</v>
      </c>
      <c r="J15" s="27">
        <v>86.17</v>
      </c>
      <c r="K15" s="23">
        <v>-2.5498391191173591E-3</v>
      </c>
      <c r="L15" s="36">
        <v>-0.11200255082404455</v>
      </c>
    </row>
    <row r="16" spans="1:12" x14ac:dyDescent="0.2">
      <c r="A16" t="s">
        <v>41</v>
      </c>
      <c r="B16" s="34">
        <v>17.868032740548273</v>
      </c>
      <c r="I16" s="1">
        <v>44460</v>
      </c>
      <c r="J16" s="27">
        <v>86.92</v>
      </c>
      <c r="K16" s="23">
        <v>8.6660661365533624E-3</v>
      </c>
      <c r="L16" s="36">
        <v>0.30550380683381473</v>
      </c>
    </row>
    <row r="17" spans="1:12" x14ac:dyDescent="0.2">
      <c r="A17" t="s">
        <v>42</v>
      </c>
      <c r="B17" s="35">
        <v>0</v>
      </c>
      <c r="I17" s="1">
        <v>44461</v>
      </c>
      <c r="J17" s="27">
        <v>88.44</v>
      </c>
      <c r="K17" s="23">
        <v>1.7336200601016701E-2</v>
      </c>
      <c r="L17" s="36">
        <v>0.62824514408180787</v>
      </c>
    </row>
    <row r="18" spans="1:12" x14ac:dyDescent="0.2">
      <c r="I18" s="1">
        <v>44462</v>
      </c>
      <c r="J18" s="27">
        <v>89.42</v>
      </c>
      <c r="K18" s="23">
        <v>1.1020014816589142E-2</v>
      </c>
      <c r="L18" s="36">
        <v>0.39312834690545717</v>
      </c>
    </row>
    <row r="19" spans="1:12" x14ac:dyDescent="0.2">
      <c r="A19" s="30" t="s">
        <v>43</v>
      </c>
      <c r="B19" s="30" t="s">
        <v>44</v>
      </c>
      <c r="C19" s="30" t="s">
        <v>45</v>
      </c>
      <c r="D19" s="30" t="s">
        <v>46</v>
      </c>
      <c r="E19" s="30" t="s">
        <v>47</v>
      </c>
      <c r="F19" s="30" t="s">
        <v>48</v>
      </c>
      <c r="G19" s="30" t="s">
        <v>49</v>
      </c>
      <c r="I19" s="1">
        <v>44463</v>
      </c>
      <c r="J19" s="27">
        <v>89.94</v>
      </c>
      <c r="K19" s="23">
        <v>5.7984105367267485E-3</v>
      </c>
      <c r="L19" s="36">
        <v>0.19875678845155439</v>
      </c>
    </row>
    <row r="20" spans="1:12" x14ac:dyDescent="0.2">
      <c r="A20" t="s">
        <v>50</v>
      </c>
      <c r="B20" s="23">
        <v>0.68268949213708585</v>
      </c>
      <c r="C20" s="23">
        <v>-2.6059468692836929E-2</v>
      </c>
      <c r="D20" s="23">
        <v>2.7699733085900347E-2</v>
      </c>
      <c r="E20" s="27">
        <v>154.64227756095136</v>
      </c>
      <c r="F20" s="27">
        <v>163.17816361937926</v>
      </c>
      <c r="G20" s="23">
        <v>0.81399046104928463</v>
      </c>
      <c r="I20" s="1">
        <v>44466</v>
      </c>
      <c r="J20" s="27">
        <v>91.04</v>
      </c>
      <c r="K20" s="23">
        <v>1.2156189035459598E-2</v>
      </c>
      <c r="L20" s="36">
        <v>0.43542185322279459</v>
      </c>
    </row>
    <row r="21" spans="1:12" x14ac:dyDescent="0.2">
      <c r="A21" t="s">
        <v>51</v>
      </c>
      <c r="B21" s="23">
        <v>0.95449973610364158</v>
      </c>
      <c r="C21" s="23">
        <v>-5.1875131902932581E-2</v>
      </c>
      <c r="D21" s="23">
        <v>5.5682070732733013E-2</v>
      </c>
      <c r="E21" s="27">
        <v>150.54326655645235</v>
      </c>
      <c r="F21" s="27">
        <v>167.62119919094334</v>
      </c>
      <c r="G21" s="23">
        <v>0.95389507154213038</v>
      </c>
      <c r="I21" s="1">
        <v>44467</v>
      </c>
      <c r="J21" s="27">
        <v>90.49</v>
      </c>
      <c r="K21" s="23">
        <v>-6.0596230149790892E-3</v>
      </c>
      <c r="L21" s="36">
        <v>-0.24265246780569547</v>
      </c>
    </row>
    <row r="22" spans="1:12" x14ac:dyDescent="0.2">
      <c r="A22" t="s">
        <v>52</v>
      </c>
      <c r="B22" s="23">
        <v>0.99730020393673979</v>
      </c>
      <c r="C22" s="23">
        <v>-7.7006514661035252E-2</v>
      </c>
      <c r="D22" s="23">
        <v>8.4426314990001528E-2</v>
      </c>
      <c r="E22" s="27">
        <v>146.55290560212083</v>
      </c>
      <c r="F22" s="27">
        <v>172.18521029411244</v>
      </c>
      <c r="G22" s="23">
        <v>0.98410174880763113</v>
      </c>
      <c r="I22" s="1">
        <v>44468</v>
      </c>
      <c r="J22" s="27">
        <v>91.25</v>
      </c>
      <c r="K22" s="23">
        <v>8.3636450995591104E-3</v>
      </c>
      <c r="L22" s="36">
        <v>0.29424633784166676</v>
      </c>
    </row>
    <row r="23" spans="1:12" x14ac:dyDescent="0.2">
      <c r="I23" s="1">
        <v>44469</v>
      </c>
      <c r="J23" s="27">
        <v>87.13</v>
      </c>
      <c r="K23" s="23">
        <v>-4.6201736219405445E-2</v>
      </c>
      <c r="L23" s="36">
        <v>-1.7369221759236309</v>
      </c>
    </row>
    <row r="24" spans="1:12" x14ac:dyDescent="0.2">
      <c r="I24" s="1">
        <v>44470</v>
      </c>
      <c r="J24" s="27">
        <v>89.74</v>
      </c>
      <c r="K24" s="23">
        <v>2.951534430464179E-2</v>
      </c>
      <c r="L24" s="36">
        <v>1.0816075621105505</v>
      </c>
    </row>
    <row r="25" spans="1:12" x14ac:dyDescent="0.2">
      <c r="I25" s="1">
        <v>44473</v>
      </c>
      <c r="J25" s="27">
        <v>89.26</v>
      </c>
      <c r="K25" s="23">
        <v>-5.3631413467133179E-3</v>
      </c>
      <c r="L25" s="36">
        <v>-0.21672629262281476</v>
      </c>
    </row>
    <row r="26" spans="1:12" x14ac:dyDescent="0.2">
      <c r="I26" s="1">
        <v>44474</v>
      </c>
      <c r="J26" s="27">
        <v>91.49</v>
      </c>
      <c r="K26" s="23">
        <v>2.4676217490319875E-2</v>
      </c>
      <c r="L26" s="36">
        <v>0.90147353240567829</v>
      </c>
    </row>
    <row r="27" spans="1:12" x14ac:dyDescent="0.2">
      <c r="I27" s="1">
        <v>44475</v>
      </c>
      <c r="J27" s="27">
        <v>91.34</v>
      </c>
      <c r="K27" s="23">
        <v>-1.6408689345908541E-3</v>
      </c>
      <c r="L27" s="36">
        <v>-7.816659890483775E-2</v>
      </c>
    </row>
    <row r="28" spans="1:12" x14ac:dyDescent="0.2">
      <c r="I28" s="1">
        <v>44476</v>
      </c>
      <c r="J28" s="27">
        <v>92.31</v>
      </c>
      <c r="K28" s="23">
        <v>1.0563670245207282E-2</v>
      </c>
      <c r="L28" s="36">
        <v>0.37614115278323085</v>
      </c>
    </row>
    <row r="29" spans="1:12" x14ac:dyDescent="0.2">
      <c r="I29" s="1">
        <v>44477</v>
      </c>
      <c r="J29" s="27">
        <v>94.39</v>
      </c>
      <c r="K29" s="23">
        <v>2.2282657334792847E-2</v>
      </c>
      <c r="L29" s="36">
        <v>0.81237447534438467</v>
      </c>
    </row>
    <row r="30" spans="1:12" x14ac:dyDescent="0.2">
      <c r="I30" s="1">
        <v>44480</v>
      </c>
      <c r="J30" s="27">
        <v>95.29</v>
      </c>
      <c r="K30" s="23">
        <v>9.4897380232439356E-3</v>
      </c>
      <c r="L30" s="36">
        <v>0.3361645730830205</v>
      </c>
    </row>
    <row r="31" spans="1:12" x14ac:dyDescent="0.2">
      <c r="I31" s="1">
        <v>44481</v>
      </c>
      <c r="J31" s="27">
        <v>95.57</v>
      </c>
      <c r="K31" s="23">
        <v>2.9340899179913804E-3</v>
      </c>
      <c r="L31" s="36">
        <v>9.2133913040951143E-2</v>
      </c>
    </row>
    <row r="32" spans="1:12" x14ac:dyDescent="0.2">
      <c r="I32" s="1">
        <v>44482</v>
      </c>
      <c r="J32" s="27">
        <v>96.4</v>
      </c>
      <c r="K32" s="23">
        <v>8.6472383384118643E-3</v>
      </c>
      <c r="L32" s="36">
        <v>0.30480295164240701</v>
      </c>
    </row>
    <row r="33" spans="9:12" x14ac:dyDescent="0.2">
      <c r="I33" s="1">
        <v>44483</v>
      </c>
      <c r="J33" s="27">
        <v>95.28</v>
      </c>
      <c r="K33" s="23">
        <v>-1.1686276569455336E-2</v>
      </c>
      <c r="L33" s="36">
        <v>-0.45210177909907473</v>
      </c>
    </row>
    <row r="34" spans="9:12" x14ac:dyDescent="0.2">
      <c r="I34" s="1">
        <v>44484</v>
      </c>
      <c r="J34" s="27">
        <v>95.33</v>
      </c>
      <c r="K34" s="23">
        <v>5.2463145844208433E-4</v>
      </c>
      <c r="L34" s="36">
        <v>2.4430497140046853E-3</v>
      </c>
    </row>
    <row r="35" spans="9:12" x14ac:dyDescent="0.2">
      <c r="I35" s="1">
        <v>44487</v>
      </c>
      <c r="J35" s="27">
        <v>96.51</v>
      </c>
      <c r="K35" s="23">
        <v>1.2302073413557957E-2</v>
      </c>
      <c r="L35" s="36">
        <v>0.44085232485665876</v>
      </c>
    </row>
    <row r="36" spans="9:12" x14ac:dyDescent="0.2">
      <c r="I36" s="1">
        <v>44488</v>
      </c>
      <c r="J36" s="27">
        <v>97.06</v>
      </c>
      <c r="K36" s="23">
        <v>5.6827140580253893E-3</v>
      </c>
      <c r="L36" s="36">
        <v>0.19445004598936907</v>
      </c>
    </row>
    <row r="37" spans="9:12" x14ac:dyDescent="0.2">
      <c r="I37" s="1">
        <v>44489</v>
      </c>
      <c r="J37" s="27">
        <v>96.64</v>
      </c>
      <c r="K37" s="23">
        <v>-4.3366097905653172E-3</v>
      </c>
      <c r="L37" s="36">
        <v>-0.17851417855279658</v>
      </c>
    </row>
    <row r="38" spans="9:12" x14ac:dyDescent="0.2">
      <c r="I38" s="1">
        <v>44490</v>
      </c>
      <c r="J38" s="27">
        <v>96.3</v>
      </c>
      <c r="K38" s="23">
        <v>-3.5244153824249562E-3</v>
      </c>
      <c r="L38" s="36">
        <v>-0.14828065559384354</v>
      </c>
    </row>
    <row r="39" spans="9:12" x14ac:dyDescent="0.2">
      <c r="I39" s="1">
        <v>44491</v>
      </c>
      <c r="J39" s="27">
        <v>98.25</v>
      </c>
      <c r="K39" s="23">
        <v>2.0046931945290693E-2</v>
      </c>
      <c r="L39" s="36">
        <v>0.72915073701775213</v>
      </c>
    </row>
    <row r="40" spans="9:12" x14ac:dyDescent="0.2">
      <c r="I40" s="1">
        <v>44494</v>
      </c>
      <c r="J40" s="27">
        <v>97.89</v>
      </c>
      <c r="K40" s="23">
        <v>-3.6708514760316149E-3</v>
      </c>
      <c r="L40" s="36">
        <v>-0.15373166455635687</v>
      </c>
    </row>
    <row r="41" spans="9:12" x14ac:dyDescent="0.2">
      <c r="I41" s="1">
        <v>44495</v>
      </c>
      <c r="J41" s="27">
        <v>96.98</v>
      </c>
      <c r="K41" s="23">
        <v>-9.3396275961327192E-3</v>
      </c>
      <c r="L41" s="36">
        <v>-0.36474896688999092</v>
      </c>
    </row>
    <row r="42" spans="9:12" x14ac:dyDescent="0.2">
      <c r="I42" s="1">
        <v>44496</v>
      </c>
      <c r="J42" s="27">
        <v>96.03</v>
      </c>
      <c r="K42" s="23">
        <v>-9.8441290273248959E-3</v>
      </c>
      <c r="L42" s="36">
        <v>-0.38352877557852527</v>
      </c>
    </row>
    <row r="43" spans="9:12" x14ac:dyDescent="0.2">
      <c r="I43" s="1">
        <v>44497</v>
      </c>
      <c r="J43" s="27">
        <v>96.23</v>
      </c>
      <c r="K43" s="23">
        <v>2.0805167184281773E-3</v>
      </c>
      <c r="L43" s="36">
        <v>6.0360085657395326E-2</v>
      </c>
    </row>
    <row r="44" spans="9:12" x14ac:dyDescent="0.2">
      <c r="I44" s="1">
        <v>44498</v>
      </c>
      <c r="J44" s="27">
        <v>95.94</v>
      </c>
      <c r="K44" s="23">
        <v>-3.0181632943916763E-3</v>
      </c>
      <c r="L44" s="36">
        <v>-0.12943567959651189</v>
      </c>
    </row>
    <row r="45" spans="9:12" x14ac:dyDescent="0.2">
      <c r="I45" s="1">
        <v>44501</v>
      </c>
      <c r="J45" s="27">
        <v>94.38</v>
      </c>
      <c r="K45" s="23">
        <v>-1.6393809775676383E-2</v>
      </c>
      <c r="L45" s="36">
        <v>-0.62733730380084252</v>
      </c>
    </row>
    <row r="46" spans="9:12" x14ac:dyDescent="0.2">
      <c r="I46" s="1">
        <v>44502</v>
      </c>
      <c r="J46" s="27">
        <v>95.87</v>
      </c>
      <c r="K46" s="23">
        <v>1.5663920790663796E-2</v>
      </c>
      <c r="L46" s="36">
        <v>0.56599538031421404</v>
      </c>
    </row>
    <row r="47" spans="9:12" x14ac:dyDescent="0.2">
      <c r="I47" s="1">
        <v>44503</v>
      </c>
      <c r="J47" s="27">
        <v>96.15</v>
      </c>
      <c r="K47" s="23">
        <v>2.9163649458835163E-3</v>
      </c>
      <c r="L47" s="36">
        <v>9.1474109986659113E-2</v>
      </c>
    </row>
    <row r="48" spans="9:12" x14ac:dyDescent="0.2">
      <c r="I48" s="1">
        <v>44504</v>
      </c>
      <c r="J48" s="27">
        <v>95.63</v>
      </c>
      <c r="K48" s="23">
        <v>-5.4228936733375799E-3</v>
      </c>
      <c r="L48" s="36">
        <v>-0.21895054253236756</v>
      </c>
    </row>
    <row r="49" spans="9:12" x14ac:dyDescent="0.2">
      <c r="I49" s="1">
        <v>44505</v>
      </c>
      <c r="J49" s="27">
        <v>94.95</v>
      </c>
      <c r="K49" s="23">
        <v>-7.1361411031563311E-3</v>
      </c>
      <c r="L49" s="36">
        <v>-0.28272530505799309</v>
      </c>
    </row>
    <row r="50" spans="9:12" x14ac:dyDescent="0.2">
      <c r="I50" s="1">
        <v>44508</v>
      </c>
      <c r="J50" s="27">
        <v>95.14</v>
      </c>
      <c r="K50" s="23">
        <v>1.9990537458406195E-3</v>
      </c>
      <c r="L50" s="36">
        <v>5.7327668015331408E-2</v>
      </c>
    </row>
    <row r="51" spans="9:12" x14ac:dyDescent="0.2">
      <c r="I51" s="1">
        <v>44509</v>
      </c>
      <c r="J51" s="27">
        <v>94.59</v>
      </c>
      <c r="K51" s="23">
        <v>-5.7977287790562911E-3</v>
      </c>
      <c r="L51" s="36">
        <v>-0.23290358833148342</v>
      </c>
    </row>
    <row r="52" spans="9:12" x14ac:dyDescent="0.2">
      <c r="I52" s="1">
        <v>44510</v>
      </c>
      <c r="J52" s="27">
        <v>93.83</v>
      </c>
      <c r="K52" s="23">
        <v>-8.0671279231209203E-3</v>
      </c>
      <c r="L52" s="36">
        <v>-0.31738081501198168</v>
      </c>
    </row>
    <row r="53" spans="9:12" x14ac:dyDescent="0.2">
      <c r="I53" s="1">
        <v>44511</v>
      </c>
      <c r="J53" s="27">
        <v>94.04</v>
      </c>
      <c r="K53" s="23">
        <v>2.2355893699105918E-3</v>
      </c>
      <c r="L53" s="36">
        <v>6.6132586085752204E-2</v>
      </c>
    </row>
    <row r="54" spans="9:12" x14ac:dyDescent="0.2">
      <c r="I54" s="1">
        <v>44512</v>
      </c>
      <c r="J54" s="27">
        <v>93.54</v>
      </c>
      <c r="K54" s="23">
        <v>-5.3310713741285716E-3</v>
      </c>
      <c r="L54" s="36">
        <v>-0.21553250423580292</v>
      </c>
    </row>
    <row r="55" spans="9:12" x14ac:dyDescent="0.2">
      <c r="I55" s="1">
        <v>44515</v>
      </c>
      <c r="J55" s="27">
        <v>94.02</v>
      </c>
      <c r="K55" s="23">
        <v>5.118373298244207E-3</v>
      </c>
      <c r="L55" s="36">
        <v>0.17344274878747948</v>
      </c>
    </row>
    <row r="56" spans="9:12" x14ac:dyDescent="0.2">
      <c r="I56" s="1">
        <v>44516</v>
      </c>
      <c r="J56" s="27">
        <v>95.61</v>
      </c>
      <c r="K56" s="23">
        <v>1.676989150137026E-2</v>
      </c>
      <c r="L56" s="36">
        <v>0.60716457643147537</v>
      </c>
    </row>
    <row r="57" spans="9:12" x14ac:dyDescent="0.2">
      <c r="I57" s="1">
        <v>44517</v>
      </c>
      <c r="J57" s="27">
        <v>95.33</v>
      </c>
      <c r="K57" s="23">
        <v>-2.9328605918679399E-3</v>
      </c>
      <c r="L57" s="36">
        <v>-0.12626032996425191</v>
      </c>
    </row>
    <row r="58" spans="9:12" x14ac:dyDescent="0.2">
      <c r="I58" s="1">
        <v>44518</v>
      </c>
      <c r="J58" s="27">
        <v>94.66</v>
      </c>
      <c r="K58" s="23">
        <v>-7.0530320273848347E-3</v>
      </c>
      <c r="L58" s="36">
        <v>-0.2796316120637406</v>
      </c>
    </row>
    <row r="59" spans="9:12" x14ac:dyDescent="0.2">
      <c r="I59" s="1">
        <v>44519</v>
      </c>
      <c r="J59" s="27">
        <v>93.97</v>
      </c>
      <c r="K59" s="23">
        <v>-7.3159420831282991E-3</v>
      </c>
      <c r="L59" s="36">
        <v>-0.28941830491312792</v>
      </c>
    </row>
    <row r="60" spans="9:12" x14ac:dyDescent="0.2">
      <c r="I60" s="1">
        <v>44522</v>
      </c>
      <c r="J60" s="27">
        <v>94.61</v>
      </c>
      <c r="K60" s="23">
        <v>6.7875963213792608E-3</v>
      </c>
      <c r="L60" s="36">
        <v>0.23557872520858925</v>
      </c>
    </row>
    <row r="61" spans="9:12" x14ac:dyDescent="0.2">
      <c r="I61" s="1">
        <v>44523</v>
      </c>
      <c r="J61" s="27">
        <v>92.94</v>
      </c>
      <c r="K61" s="23">
        <v>-1.780905505952058E-2</v>
      </c>
      <c r="L61" s="36">
        <v>-0.680019088300717</v>
      </c>
    </row>
    <row r="62" spans="9:12" x14ac:dyDescent="0.2">
      <c r="I62" s="1">
        <v>44524</v>
      </c>
      <c r="J62" s="27">
        <v>93.58</v>
      </c>
      <c r="K62" s="23">
        <v>6.8625617812380401E-3</v>
      </c>
      <c r="L62" s="36">
        <v>0.23836927625037527</v>
      </c>
    </row>
    <row r="63" spans="9:12" x14ac:dyDescent="0.2">
      <c r="I63" s="1">
        <v>44526</v>
      </c>
      <c r="J63" s="27">
        <v>92.33</v>
      </c>
      <c r="K63" s="23">
        <v>-1.3447569653533701E-2</v>
      </c>
      <c r="L63" s="36">
        <v>-0.51766501662105224</v>
      </c>
    </row>
    <row r="64" spans="9:12" x14ac:dyDescent="0.2">
      <c r="I64" s="1">
        <v>44529</v>
      </c>
      <c r="J64" s="27">
        <v>92.94</v>
      </c>
      <c r="K64" s="23">
        <v>6.5850078722957204E-3</v>
      </c>
      <c r="L64" s="36">
        <v>0.22803747342798425</v>
      </c>
    </row>
    <row r="65" spans="9:12" x14ac:dyDescent="0.2">
      <c r="I65" s="1">
        <v>44530</v>
      </c>
      <c r="J65" s="27">
        <v>90.74</v>
      </c>
      <c r="K65" s="23">
        <v>-2.3955849421014405E-2</v>
      </c>
      <c r="L65" s="36">
        <v>-0.90883037607810158</v>
      </c>
    </row>
    <row r="66" spans="9:12" x14ac:dyDescent="0.2">
      <c r="I66" s="1">
        <v>44531</v>
      </c>
      <c r="J66" s="27">
        <v>89.75</v>
      </c>
      <c r="K66" s="23">
        <v>-1.0970246867429582E-2</v>
      </c>
      <c r="L66" s="36">
        <v>-0.42544793832091127</v>
      </c>
    </row>
    <row r="67" spans="9:12" x14ac:dyDescent="0.2">
      <c r="I67" s="1">
        <v>44532</v>
      </c>
      <c r="J67" s="27">
        <v>89.99</v>
      </c>
      <c r="K67" s="23">
        <v>2.6705256774687985E-3</v>
      </c>
      <c r="L67" s="36">
        <v>8.2322868496525495E-2</v>
      </c>
    </row>
    <row r="68" spans="9:12" x14ac:dyDescent="0.2">
      <c r="I68" s="1">
        <v>44533</v>
      </c>
      <c r="J68" s="27">
        <v>88.24</v>
      </c>
      <c r="K68" s="23">
        <v>-1.9638178100610155E-2</v>
      </c>
      <c r="L68" s="36">
        <v>-0.74810726140714245</v>
      </c>
    </row>
    <row r="69" spans="9:12" x14ac:dyDescent="0.2">
      <c r="I69" s="1">
        <v>44536</v>
      </c>
      <c r="J69" s="27">
        <v>88.94</v>
      </c>
      <c r="K69" s="23">
        <v>7.9016101373033422E-3</v>
      </c>
      <c r="L69" s="36">
        <v>0.27704732181891095</v>
      </c>
    </row>
    <row r="70" spans="9:12" x14ac:dyDescent="0.2">
      <c r="I70" s="1">
        <v>44537</v>
      </c>
      <c r="J70" s="27">
        <v>90.05</v>
      </c>
      <c r="K70" s="23">
        <v>1.2403086539414781E-2</v>
      </c>
      <c r="L70" s="36">
        <v>0.44461248699165845</v>
      </c>
    </row>
    <row r="71" spans="9:12" x14ac:dyDescent="0.2">
      <c r="I71" s="1">
        <v>44538</v>
      </c>
      <c r="J71" s="27">
        <v>88.94</v>
      </c>
      <c r="K71" s="23">
        <v>-1.2403086539414706E-2</v>
      </c>
      <c r="L71" s="36">
        <v>-0.4787846649534524</v>
      </c>
    </row>
    <row r="72" spans="9:12" x14ac:dyDescent="0.2">
      <c r="I72" s="1">
        <v>44539</v>
      </c>
      <c r="J72" s="27">
        <v>88.77</v>
      </c>
      <c r="K72" s="23">
        <v>-1.9132300023224434E-3</v>
      </c>
      <c r="L72" s="36">
        <v>-8.8305100859365993E-2</v>
      </c>
    </row>
    <row r="73" spans="9:12" x14ac:dyDescent="0.2">
      <c r="I73" s="1">
        <v>44540</v>
      </c>
      <c r="J73" s="27">
        <v>102.63</v>
      </c>
      <c r="K73" s="23">
        <v>0.14508153257739509</v>
      </c>
      <c r="L73" s="36">
        <v>5.383500029485381</v>
      </c>
    </row>
    <row r="74" spans="9:12" x14ac:dyDescent="0.2">
      <c r="I74" s="1">
        <v>44543</v>
      </c>
      <c r="J74" s="27">
        <v>100.89</v>
      </c>
      <c r="K74" s="23">
        <v>-1.7099473237335069E-2</v>
      </c>
      <c r="L74" s="36">
        <v>-0.65360526656384788</v>
      </c>
    </row>
    <row r="75" spans="9:12" x14ac:dyDescent="0.2">
      <c r="I75" s="1">
        <v>44544</v>
      </c>
      <c r="J75" s="27">
        <v>99.89</v>
      </c>
      <c r="K75" s="23">
        <v>-9.9612338762296044E-3</v>
      </c>
      <c r="L75" s="36">
        <v>-0.38788794390384246</v>
      </c>
    </row>
    <row r="76" spans="9:12" x14ac:dyDescent="0.2">
      <c r="I76" s="1">
        <v>44545</v>
      </c>
      <c r="J76" s="27">
        <v>103.65</v>
      </c>
      <c r="K76" s="23">
        <v>3.6950258337730267E-2</v>
      </c>
      <c r="L76" s="36">
        <v>1.3583684482534362</v>
      </c>
    </row>
    <row r="77" spans="9:12" x14ac:dyDescent="0.2">
      <c r="I77" s="1">
        <v>44546</v>
      </c>
      <c r="J77" s="27">
        <v>103.22</v>
      </c>
      <c r="K77" s="23">
        <v>-4.1572061612075275E-3</v>
      </c>
      <c r="L77" s="36">
        <v>-0.17183596987178965</v>
      </c>
    </row>
    <row r="78" spans="9:12" x14ac:dyDescent="0.2">
      <c r="I78" s="1">
        <v>44547</v>
      </c>
      <c r="J78" s="27">
        <v>96.62</v>
      </c>
      <c r="K78" s="23">
        <v>-6.6076873594320421E-2</v>
      </c>
      <c r="L78" s="36">
        <v>-2.4767640365844015</v>
      </c>
    </row>
    <row r="79" spans="9:12" x14ac:dyDescent="0.2">
      <c r="I79" s="1">
        <v>44550</v>
      </c>
      <c r="J79" s="27">
        <v>91.64</v>
      </c>
      <c r="K79" s="23">
        <v>-5.2917901540965831E-2</v>
      </c>
      <c r="L79" s="36">
        <v>-1.9869280075452014</v>
      </c>
    </row>
    <row r="80" spans="9:12" x14ac:dyDescent="0.2">
      <c r="I80" s="1">
        <v>44551</v>
      </c>
      <c r="J80" s="27">
        <v>91.51</v>
      </c>
      <c r="K80" s="23">
        <v>-1.419601658007907E-3</v>
      </c>
      <c r="L80" s="36">
        <v>-6.9930037289063288E-2</v>
      </c>
    </row>
    <row r="81" spans="9:12" x14ac:dyDescent="0.2">
      <c r="I81" s="1">
        <v>44552</v>
      </c>
      <c r="J81" s="27">
        <v>89.86</v>
      </c>
      <c r="K81" s="23">
        <v>-1.819535228527297E-2</v>
      </c>
      <c r="L81" s="36">
        <v>-0.69439880567713408</v>
      </c>
    </row>
    <row r="82" spans="9:12" x14ac:dyDescent="0.2">
      <c r="I82" s="1">
        <v>44553</v>
      </c>
      <c r="J82" s="27">
        <v>89.72</v>
      </c>
      <c r="K82" s="23">
        <v>-1.5591939900063587E-3</v>
      </c>
      <c r="L82" s="36">
        <v>-7.512629071320609E-2</v>
      </c>
    </row>
    <row r="83" spans="9:12" x14ac:dyDescent="0.2">
      <c r="I83" s="1">
        <v>44557</v>
      </c>
      <c r="J83" s="27">
        <v>89.54</v>
      </c>
      <c r="K83" s="23">
        <v>-2.0082568391880311E-3</v>
      </c>
      <c r="L83" s="36">
        <v>-9.1842426437204666E-2</v>
      </c>
    </row>
    <row r="84" spans="9:12" x14ac:dyDescent="0.2">
      <c r="I84" s="1">
        <v>44558</v>
      </c>
      <c r="J84" s="27">
        <v>88.65</v>
      </c>
      <c r="K84" s="23">
        <v>-9.9894202926025712E-3</v>
      </c>
      <c r="L84" s="36">
        <v>-0.38893716888988233</v>
      </c>
    </row>
    <row r="85" spans="9:12" x14ac:dyDescent="0.2">
      <c r="I85" s="1">
        <v>44559</v>
      </c>
      <c r="J85" s="27">
        <v>88.21</v>
      </c>
      <c r="K85" s="23">
        <v>-4.975697249541511E-3</v>
      </c>
      <c r="L85" s="36">
        <v>-0.20230388354224113</v>
      </c>
    </row>
    <row r="86" spans="9:12" x14ac:dyDescent="0.2">
      <c r="I86" s="1">
        <v>44560</v>
      </c>
      <c r="J86" s="27">
        <v>88.01</v>
      </c>
      <c r="K86" s="23">
        <v>-2.2698908849551201E-3</v>
      </c>
      <c r="L86" s="36">
        <v>-0.1015816204654601</v>
      </c>
    </row>
    <row r="87" spans="9:12" x14ac:dyDescent="0.2">
      <c r="I87" s="1">
        <v>44561</v>
      </c>
      <c r="J87" s="27">
        <v>87.21</v>
      </c>
      <c r="K87" s="23">
        <v>-9.1314411468262132E-3</v>
      </c>
      <c r="L87" s="36">
        <v>-0.3569993324037567</v>
      </c>
    </row>
    <row r="88" spans="9:12" x14ac:dyDescent="0.2">
      <c r="I88" s="1">
        <v>44564</v>
      </c>
      <c r="J88" s="27">
        <v>87.9</v>
      </c>
      <c r="K88" s="23">
        <v>7.8808014522371087E-3</v>
      </c>
      <c r="L88" s="36">
        <v>0.27627272912116502</v>
      </c>
    </row>
    <row r="89" spans="9:12" x14ac:dyDescent="0.2">
      <c r="I89" s="1">
        <v>44565</v>
      </c>
      <c r="J89" s="27">
        <v>88.84</v>
      </c>
      <c r="K89" s="23">
        <v>1.0637194335095289E-2</v>
      </c>
      <c r="L89" s="36">
        <v>0.37887804956235888</v>
      </c>
    </row>
    <row r="90" spans="9:12" x14ac:dyDescent="0.2">
      <c r="I90" s="1">
        <v>44566</v>
      </c>
      <c r="J90" s="27">
        <v>86.46</v>
      </c>
      <c r="K90" s="23">
        <v>-2.7155119786741091E-2</v>
      </c>
      <c r="L90" s="36">
        <v>-1.0279215851342713</v>
      </c>
    </row>
    <row r="91" spans="9:12" x14ac:dyDescent="0.2">
      <c r="I91" s="1">
        <v>44567</v>
      </c>
      <c r="J91" s="27">
        <v>86.34</v>
      </c>
      <c r="K91" s="23">
        <v>-1.3888891121541826E-3</v>
      </c>
      <c r="L91" s="36">
        <v>-6.8786778420386122E-2</v>
      </c>
    </row>
    <row r="92" spans="9:12" x14ac:dyDescent="0.2">
      <c r="I92" s="1">
        <v>44568</v>
      </c>
      <c r="J92" s="27">
        <v>87.51</v>
      </c>
      <c r="K92" s="23">
        <v>1.3460082420408401E-2</v>
      </c>
      <c r="L92" s="36">
        <v>0.48395862002981743</v>
      </c>
    </row>
    <row r="93" spans="9:12" x14ac:dyDescent="0.2">
      <c r="I93" s="1">
        <v>44571</v>
      </c>
      <c r="J93" s="27">
        <v>89.28</v>
      </c>
      <c r="K93" s="23">
        <v>2.0024426085260949E-2</v>
      </c>
      <c r="L93" s="36">
        <v>0.72831296784684851</v>
      </c>
    </row>
    <row r="94" spans="9:12" x14ac:dyDescent="0.2">
      <c r="I94" s="1">
        <v>44572</v>
      </c>
      <c r="J94" s="27">
        <v>88.48</v>
      </c>
      <c r="K94" s="23">
        <v>-9.0009608589760558E-3</v>
      </c>
      <c r="L94" s="36">
        <v>-0.35214227017965083</v>
      </c>
    </row>
    <row r="95" spans="9:12" x14ac:dyDescent="0.2">
      <c r="I95" s="1">
        <v>44573</v>
      </c>
      <c r="J95" s="27">
        <v>88.31</v>
      </c>
      <c r="K95" s="23">
        <v>-1.9231862933138761E-3</v>
      </c>
      <c r="L95" s="36">
        <v>-8.8675718717921209E-2</v>
      </c>
    </row>
    <row r="96" spans="9:12" x14ac:dyDescent="0.2">
      <c r="I96" s="1">
        <v>44574</v>
      </c>
      <c r="J96" s="27">
        <v>87.79</v>
      </c>
      <c r="K96" s="23">
        <v>-5.9057525425934522E-3</v>
      </c>
      <c r="L96" s="36">
        <v>-0.23692471788160074</v>
      </c>
    </row>
    <row r="97" spans="9:12" x14ac:dyDescent="0.2">
      <c r="I97" s="1">
        <v>44575</v>
      </c>
      <c r="J97" s="27">
        <v>87.69</v>
      </c>
      <c r="K97" s="23">
        <v>-1.1397311468531852E-3</v>
      </c>
      <c r="L97" s="36">
        <v>-5.9512000129826999E-2</v>
      </c>
    </row>
    <row r="98" spans="9:12" x14ac:dyDescent="0.2">
      <c r="I98" s="1">
        <v>44579</v>
      </c>
      <c r="J98" s="27">
        <v>85.55</v>
      </c>
      <c r="K98" s="23">
        <v>-2.4706867453061762E-2</v>
      </c>
      <c r="L98" s="36">
        <v>-0.93678663961170561</v>
      </c>
    </row>
    <row r="99" spans="9:12" x14ac:dyDescent="0.2">
      <c r="I99" s="1">
        <v>44580</v>
      </c>
      <c r="J99" s="27">
        <v>83.38</v>
      </c>
      <c r="K99" s="23">
        <v>-2.5692527885551635E-2</v>
      </c>
      <c r="L99" s="36">
        <v>-0.97347734693096144</v>
      </c>
    </row>
    <row r="100" spans="9:12" x14ac:dyDescent="0.2">
      <c r="I100" s="1">
        <v>44581</v>
      </c>
      <c r="J100" s="27">
        <v>82.72</v>
      </c>
      <c r="K100" s="23">
        <v>-7.947061692531834E-3</v>
      </c>
      <c r="L100" s="36">
        <v>-0.31291141076254642</v>
      </c>
    </row>
    <row r="101" spans="9:12" x14ac:dyDescent="0.2">
      <c r="I101" s="1">
        <v>44582</v>
      </c>
      <c r="J101" s="27">
        <v>82.22</v>
      </c>
      <c r="K101" s="23">
        <v>-6.0628292903866024E-3</v>
      </c>
      <c r="L101" s="36">
        <v>-0.24277181977386247</v>
      </c>
    </row>
    <row r="102" spans="9:12" x14ac:dyDescent="0.2">
      <c r="I102" s="1">
        <v>44585</v>
      </c>
      <c r="J102" s="27">
        <v>82.42</v>
      </c>
      <c r="K102" s="23">
        <v>2.4295444409388679E-3</v>
      </c>
      <c r="L102" s="36">
        <v>7.335246476771104E-2</v>
      </c>
    </row>
    <row r="103" spans="9:12" x14ac:dyDescent="0.2">
      <c r="I103" s="1">
        <v>44586</v>
      </c>
      <c r="J103" s="27">
        <v>81.069999999999993</v>
      </c>
      <c r="K103" s="23">
        <v>-1.6515146911055625E-2</v>
      </c>
      <c r="L103" s="36">
        <v>-0.63185401683345421</v>
      </c>
    </row>
    <row r="104" spans="9:12" x14ac:dyDescent="0.2">
      <c r="I104" s="1">
        <v>44587</v>
      </c>
      <c r="J104" s="27">
        <v>79.59</v>
      </c>
      <c r="K104" s="23">
        <v>-1.8424522181857656E-2</v>
      </c>
      <c r="L104" s="36">
        <v>-0.70292953829539728</v>
      </c>
    </row>
    <row r="105" spans="9:12" x14ac:dyDescent="0.2">
      <c r="I105" s="1">
        <v>44588</v>
      </c>
      <c r="J105" s="27">
        <v>79.78</v>
      </c>
      <c r="K105" s="23">
        <v>2.3843896595026398E-3</v>
      </c>
      <c r="L105" s="36">
        <v>7.1671601039057065E-2</v>
      </c>
    </row>
    <row r="106" spans="9:12" x14ac:dyDescent="0.2">
      <c r="I106" s="1">
        <v>44589</v>
      </c>
      <c r="J106" s="27">
        <v>80.48</v>
      </c>
      <c r="K106" s="23">
        <v>8.7358598741685209E-3</v>
      </c>
      <c r="L106" s="36">
        <v>0.30810184315052669</v>
      </c>
    </row>
    <row r="107" spans="9:12" x14ac:dyDescent="0.2">
      <c r="I107" s="1">
        <v>44592</v>
      </c>
      <c r="J107" s="27">
        <v>81.16</v>
      </c>
      <c r="K107" s="23">
        <v>8.4138086061848871E-3</v>
      </c>
      <c r="L107" s="36">
        <v>0.29611364881311819</v>
      </c>
    </row>
    <row r="108" spans="9:12" x14ac:dyDescent="0.2">
      <c r="I108" s="1">
        <v>44593</v>
      </c>
      <c r="J108" s="27">
        <v>81.040000000000006</v>
      </c>
      <c r="K108" s="23">
        <v>-1.47965501718594E-3</v>
      </c>
      <c r="L108" s="36">
        <v>-7.2165492982027804E-2</v>
      </c>
    </row>
    <row r="109" spans="9:12" x14ac:dyDescent="0.2">
      <c r="I109" s="1">
        <v>44594</v>
      </c>
      <c r="J109" s="27">
        <v>82.5</v>
      </c>
      <c r="K109" s="23">
        <v>1.7855433400207177E-2</v>
      </c>
      <c r="L109" s="36">
        <v>0.64757332043715876</v>
      </c>
    </row>
    <row r="110" spans="9:12" x14ac:dyDescent="0.2">
      <c r="I110" s="1">
        <v>44595</v>
      </c>
      <c r="J110" s="27">
        <v>81.94</v>
      </c>
      <c r="K110" s="23">
        <v>-6.8110212219102831E-3</v>
      </c>
      <c r="L110" s="36">
        <v>-0.270622883155618</v>
      </c>
    </row>
    <row r="111" spans="9:12" x14ac:dyDescent="0.2">
      <c r="I111" s="1">
        <v>44596</v>
      </c>
      <c r="J111" s="27">
        <v>82.11</v>
      </c>
      <c r="K111" s="23">
        <v>2.0725396019723751E-3</v>
      </c>
      <c r="L111" s="36">
        <v>6.0063141562366466E-2</v>
      </c>
    </row>
    <row r="112" spans="9:12" x14ac:dyDescent="0.2">
      <c r="I112" s="1">
        <v>44599</v>
      </c>
      <c r="J112" s="27">
        <v>80.739999999999995</v>
      </c>
      <c r="K112" s="23">
        <v>-1.6825696295902665E-2</v>
      </c>
      <c r="L112" s="36">
        <v>-0.64341405943231822</v>
      </c>
    </row>
    <row r="113" spans="9:12" x14ac:dyDescent="0.2">
      <c r="I113" s="1">
        <v>44600</v>
      </c>
      <c r="J113" s="27">
        <v>80.790000000000006</v>
      </c>
      <c r="K113" s="23">
        <v>6.1908006682269098E-4</v>
      </c>
      <c r="L113" s="36">
        <v>5.9588510311479022E-3</v>
      </c>
    </row>
    <row r="114" spans="9:12" x14ac:dyDescent="0.2">
      <c r="I114" s="1">
        <v>44601</v>
      </c>
      <c r="J114" s="27">
        <v>83.45</v>
      </c>
      <c r="K114" s="23">
        <v>3.2394454616226705E-2</v>
      </c>
      <c r="L114" s="36">
        <v>1.1887809763008366</v>
      </c>
    </row>
    <row r="115" spans="9:12" x14ac:dyDescent="0.2">
      <c r="I115" s="1">
        <v>44602</v>
      </c>
      <c r="J115" s="27">
        <v>81.849999999999994</v>
      </c>
      <c r="K115" s="23">
        <v>-1.9359346290700297E-2</v>
      </c>
      <c r="L115" s="36">
        <v>-0.73772788937243705</v>
      </c>
    </row>
    <row r="116" spans="9:12" x14ac:dyDescent="0.2">
      <c r="I116" s="1">
        <v>44603</v>
      </c>
      <c r="J116" s="27">
        <v>79.75</v>
      </c>
      <c r="K116" s="23">
        <v>-2.5991562152189934E-2</v>
      </c>
      <c r="L116" s="36">
        <v>-0.98460874512246466</v>
      </c>
    </row>
    <row r="117" spans="9:12" x14ac:dyDescent="0.2">
      <c r="I117" s="1">
        <v>44606</v>
      </c>
      <c r="J117" s="27">
        <v>78.95</v>
      </c>
      <c r="K117" s="23">
        <v>-1.0082000963302773E-2</v>
      </c>
      <c r="L117" s="36">
        <v>-0.39238343717875007</v>
      </c>
    </row>
    <row r="118" spans="9:12" x14ac:dyDescent="0.2">
      <c r="I118" s="1">
        <v>44607</v>
      </c>
      <c r="J118" s="27">
        <v>79.77</v>
      </c>
      <c r="K118" s="23">
        <v>1.0332753221386883E-2</v>
      </c>
      <c r="L118" s="36">
        <v>0.36754538424393224</v>
      </c>
    </row>
    <row r="119" spans="9:12" x14ac:dyDescent="0.2">
      <c r="I119" s="1">
        <v>44608</v>
      </c>
      <c r="J119" s="27">
        <v>79.19</v>
      </c>
      <c r="K119" s="23">
        <v>-7.297465700716944E-3</v>
      </c>
      <c r="L119" s="36">
        <v>-0.28873053099319773</v>
      </c>
    </row>
    <row r="120" spans="9:12" x14ac:dyDescent="0.2">
      <c r="I120" s="1">
        <v>44609</v>
      </c>
      <c r="J120" s="27">
        <v>75.53</v>
      </c>
      <c r="K120" s="23">
        <v>-4.7320099896964528E-2</v>
      </c>
      <c r="L120" s="36">
        <v>-1.7785526939166805</v>
      </c>
    </row>
    <row r="121" spans="9:12" x14ac:dyDescent="0.2">
      <c r="I121" s="1">
        <v>44610</v>
      </c>
      <c r="J121" s="27">
        <v>74.569999999999993</v>
      </c>
      <c r="K121" s="23">
        <v>-1.2791646769653303E-2</v>
      </c>
      <c r="L121" s="36">
        <v>-0.49324862151866988</v>
      </c>
    </row>
    <row r="122" spans="9:12" x14ac:dyDescent="0.2">
      <c r="I122" s="1">
        <v>44614</v>
      </c>
      <c r="J122" s="27">
        <v>74.12</v>
      </c>
      <c r="K122" s="23">
        <v>-6.0528801385442352E-3</v>
      </c>
      <c r="L122" s="36">
        <v>-0.2424014676664932</v>
      </c>
    </row>
    <row r="123" spans="9:12" x14ac:dyDescent="0.2">
      <c r="I123" s="1">
        <v>44615</v>
      </c>
      <c r="J123" s="27">
        <v>72.47</v>
      </c>
      <c r="K123" s="23">
        <v>-2.2512718295969063E-2</v>
      </c>
      <c r="L123" s="36">
        <v>-0.85511055534978897</v>
      </c>
    </row>
    <row r="124" spans="9:12" x14ac:dyDescent="0.2">
      <c r="I124" s="1">
        <v>44616</v>
      </c>
      <c r="J124" s="27">
        <v>74.81</v>
      </c>
      <c r="K124" s="23">
        <v>3.1778882763123448E-2</v>
      </c>
      <c r="L124" s="36">
        <v>1.1658666277567546</v>
      </c>
    </row>
    <row r="125" spans="9:12" x14ac:dyDescent="0.2">
      <c r="I125" s="1">
        <v>44617</v>
      </c>
      <c r="J125" s="27">
        <v>76.349999999999994</v>
      </c>
      <c r="K125" s="23">
        <v>2.0376465780327868E-2</v>
      </c>
      <c r="L125" s="36">
        <v>0.74141746610070647</v>
      </c>
    </row>
    <row r="126" spans="9:12" x14ac:dyDescent="0.2">
      <c r="I126" s="1">
        <v>44620</v>
      </c>
      <c r="J126" s="27">
        <v>75.97</v>
      </c>
      <c r="K126" s="23">
        <v>-4.989506149511198E-3</v>
      </c>
      <c r="L126" s="36">
        <v>-0.20281791280677072</v>
      </c>
    </row>
    <row r="127" spans="9:12" x14ac:dyDescent="0.2">
      <c r="I127" s="1">
        <v>44621</v>
      </c>
      <c r="J127" s="27">
        <v>76.010000000000005</v>
      </c>
      <c r="K127" s="23">
        <v>5.2638506281890544E-4</v>
      </c>
      <c r="L127" s="36">
        <v>2.5083267433170802E-3</v>
      </c>
    </row>
    <row r="128" spans="9:12" x14ac:dyDescent="0.2">
      <c r="I128" s="1">
        <v>44622</v>
      </c>
      <c r="J128" s="27">
        <v>78.28</v>
      </c>
      <c r="K128" s="23">
        <v>2.9427231949926257E-2</v>
      </c>
      <c r="L128" s="36">
        <v>1.0783276246072144</v>
      </c>
    </row>
    <row r="129" spans="9:12" x14ac:dyDescent="0.2">
      <c r="I129" s="1">
        <v>44623</v>
      </c>
      <c r="J129" s="27">
        <v>78.25</v>
      </c>
      <c r="K129" s="23">
        <v>-3.833131076129011E-4</v>
      </c>
      <c r="L129" s="36">
        <v>-3.1354724080242091E-2</v>
      </c>
    </row>
    <row r="130" spans="9:12" x14ac:dyDescent="0.2">
      <c r="I130" s="1">
        <v>44624</v>
      </c>
      <c r="J130" s="27">
        <v>76.489999999999995</v>
      </c>
      <c r="K130" s="23">
        <v>-2.2748816086488037E-2</v>
      </c>
      <c r="L130" s="36">
        <v>-0.86389917528938842</v>
      </c>
    </row>
    <row r="131" spans="9:12" x14ac:dyDescent="0.2">
      <c r="I131" s="1">
        <v>44627</v>
      </c>
      <c r="J131" s="27">
        <v>74.319999999999993</v>
      </c>
      <c r="K131" s="23">
        <v>-2.8779918828191652E-2</v>
      </c>
      <c r="L131" s="36">
        <v>-1.0884039014750793</v>
      </c>
    </row>
    <row r="132" spans="9:12" x14ac:dyDescent="0.2">
      <c r="I132" s="1">
        <v>44628</v>
      </c>
      <c r="J132" s="27">
        <v>73.33</v>
      </c>
      <c r="K132" s="23">
        <v>-1.3410292399874813E-2</v>
      </c>
      <c r="L132" s="36">
        <v>-0.51627738984962057</v>
      </c>
    </row>
    <row r="133" spans="9:12" x14ac:dyDescent="0.2">
      <c r="I133" s="1">
        <v>44629</v>
      </c>
      <c r="J133" s="27">
        <v>76.099999999999994</v>
      </c>
      <c r="K133" s="23">
        <v>3.7078462761932031E-2</v>
      </c>
      <c r="L133" s="36">
        <v>1.3631407926129822</v>
      </c>
    </row>
    <row r="134" spans="9:12" x14ac:dyDescent="0.2">
      <c r="I134" s="1">
        <v>44630</v>
      </c>
      <c r="J134" s="27">
        <v>76.650000000000006</v>
      </c>
      <c r="K134" s="23">
        <v>7.2013404501830667E-3</v>
      </c>
      <c r="L134" s="36">
        <v>0.25098013956449816</v>
      </c>
    </row>
    <row r="135" spans="9:12" x14ac:dyDescent="0.2">
      <c r="I135" s="1">
        <v>44631</v>
      </c>
      <c r="J135" s="27">
        <v>77.819999999999993</v>
      </c>
      <c r="K135" s="23">
        <v>1.5148862238584306E-2</v>
      </c>
      <c r="L135" s="36">
        <v>0.54682258818042573</v>
      </c>
    </row>
    <row r="136" spans="9:12" x14ac:dyDescent="0.2">
      <c r="I136" s="1">
        <v>44634</v>
      </c>
      <c r="J136" s="27">
        <v>77.069999999999993</v>
      </c>
      <c r="K136" s="23">
        <v>-9.6843677665056725E-3</v>
      </c>
      <c r="L136" s="36">
        <v>-0.37758174405686212</v>
      </c>
    </row>
    <row r="137" spans="9:12" x14ac:dyDescent="0.2">
      <c r="I137" s="1">
        <v>44635</v>
      </c>
      <c r="J137" s="27">
        <v>80.599999999999994</v>
      </c>
      <c r="K137" s="23">
        <v>4.4784549722680735E-2</v>
      </c>
      <c r="L137" s="36">
        <v>1.6499959528017005</v>
      </c>
    </row>
    <row r="138" spans="9:12" x14ac:dyDescent="0.2">
      <c r="I138" s="1">
        <v>44636</v>
      </c>
      <c r="J138" s="27">
        <v>79.959999999999994</v>
      </c>
      <c r="K138" s="23">
        <v>-7.9721398803832798E-3</v>
      </c>
      <c r="L138" s="36">
        <v>-0.31384493352578685</v>
      </c>
    </row>
    <row r="139" spans="9:12" x14ac:dyDescent="0.2">
      <c r="I139" s="1">
        <v>44637</v>
      </c>
      <c r="J139" s="27">
        <v>80.599999999999994</v>
      </c>
      <c r="K139" s="23">
        <v>7.9721398803833908E-3</v>
      </c>
      <c r="L139" s="36">
        <v>0.27967275556399429</v>
      </c>
    </row>
    <row r="140" spans="9:12" x14ac:dyDescent="0.2">
      <c r="I140" s="1">
        <v>44638</v>
      </c>
      <c r="J140" s="27">
        <v>81.680000000000007</v>
      </c>
      <c r="K140" s="23">
        <v>1.3310524343827568E-2</v>
      </c>
      <c r="L140" s="36">
        <v>0.47839139684201376</v>
      </c>
    </row>
    <row r="141" spans="9:12" x14ac:dyDescent="0.2">
      <c r="I141" s="1">
        <v>44641</v>
      </c>
      <c r="J141" s="27">
        <v>80.959999999999994</v>
      </c>
      <c r="K141" s="23">
        <v>-8.8539683172549101E-3</v>
      </c>
      <c r="L141" s="36">
        <v>-0.34667054771963474</v>
      </c>
    </row>
    <row r="142" spans="9:12" x14ac:dyDescent="0.2">
      <c r="I142" s="1">
        <v>44642</v>
      </c>
      <c r="J142" s="27">
        <v>81.8</v>
      </c>
      <c r="K142" s="23">
        <v>1.0322038069545953E-2</v>
      </c>
      <c r="L142" s="36">
        <v>0.36714651817696042</v>
      </c>
    </row>
    <row r="143" spans="9:12" x14ac:dyDescent="0.2">
      <c r="I143" s="1">
        <v>44643</v>
      </c>
      <c r="J143" s="27">
        <v>80.39</v>
      </c>
      <c r="K143" s="23">
        <v>-1.7387453268831812E-2</v>
      </c>
      <c r="L143" s="36">
        <v>-0.66432517648530609</v>
      </c>
    </row>
    <row r="144" spans="9:12" x14ac:dyDescent="0.2">
      <c r="I144" s="1">
        <v>44644</v>
      </c>
      <c r="J144" s="27">
        <v>82.24</v>
      </c>
      <c r="K144" s="23">
        <v>2.275201136698541E-2</v>
      </c>
      <c r="L144" s="36">
        <v>0.82984594001583156</v>
      </c>
    </row>
    <row r="145" spans="9:12" x14ac:dyDescent="0.2">
      <c r="I145" s="1">
        <v>44645</v>
      </c>
      <c r="J145" s="27">
        <v>81.73</v>
      </c>
      <c r="K145" s="23">
        <v>-6.2206701788165026E-3</v>
      </c>
      <c r="L145" s="36">
        <v>-0.24864736641193072</v>
      </c>
    </row>
    <row r="146" spans="9:12" x14ac:dyDescent="0.2">
      <c r="I146" s="1">
        <v>44648</v>
      </c>
      <c r="J146" s="27">
        <v>83.6</v>
      </c>
      <c r="K146" s="23">
        <v>2.2622388562617432E-2</v>
      </c>
      <c r="L146" s="36">
        <v>0.82502079717738708</v>
      </c>
    </row>
    <row r="147" spans="9:12" x14ac:dyDescent="0.2">
      <c r="I147" s="1">
        <v>44649</v>
      </c>
      <c r="J147" s="27">
        <v>84.29</v>
      </c>
      <c r="K147" s="23">
        <v>8.2197139187349562E-3</v>
      </c>
      <c r="L147" s="36">
        <v>0.28888857298101012</v>
      </c>
    </row>
    <row r="148" spans="9:12" x14ac:dyDescent="0.2">
      <c r="I148" s="1">
        <v>44650</v>
      </c>
      <c r="J148" s="27">
        <v>83.36</v>
      </c>
      <c r="K148" s="23">
        <v>-1.1094656004334036E-2</v>
      </c>
      <c r="L148" s="36">
        <v>-0.43007900504484553</v>
      </c>
    </row>
    <row r="149" spans="9:12" x14ac:dyDescent="0.2">
      <c r="I149" s="1">
        <v>44651</v>
      </c>
      <c r="J149" s="27">
        <v>82.73</v>
      </c>
      <c r="K149" s="23">
        <v>-7.5862848029652078E-3</v>
      </c>
      <c r="L149" s="36">
        <v>-0.29948167489580146</v>
      </c>
    </row>
    <row r="150" spans="9:12" x14ac:dyDescent="0.2">
      <c r="I150" s="1">
        <v>44652</v>
      </c>
      <c r="J150" s="27">
        <v>82.01</v>
      </c>
      <c r="K150" s="23">
        <v>-8.7411021537716783E-3</v>
      </c>
      <c r="L150" s="36">
        <v>-0.34246916229915109</v>
      </c>
    </row>
    <row r="151" spans="9:12" x14ac:dyDescent="0.2">
      <c r="I151" s="1">
        <v>44655</v>
      </c>
      <c r="J151" s="27">
        <v>84.07</v>
      </c>
      <c r="K151" s="23">
        <v>2.4808594098885466E-2</v>
      </c>
      <c r="L151" s="36">
        <v>0.90640118420207494</v>
      </c>
    </row>
    <row r="152" spans="9:12" x14ac:dyDescent="0.2">
      <c r="I152" s="1">
        <v>44656</v>
      </c>
      <c r="J152" s="27">
        <v>82.94</v>
      </c>
      <c r="K152" s="23">
        <v>-1.3532330328970185E-2</v>
      </c>
      <c r="L152" s="36">
        <v>-0.52082018957119958</v>
      </c>
    </row>
    <row r="153" spans="9:12" x14ac:dyDescent="0.2">
      <c r="I153" s="1">
        <v>44657</v>
      </c>
      <c r="J153" s="27">
        <v>82.12</v>
      </c>
      <c r="K153" s="23">
        <v>-9.9358626675023314E-3</v>
      </c>
      <c r="L153" s="36">
        <v>-0.38694351358781914</v>
      </c>
    </row>
    <row r="154" spans="9:12" x14ac:dyDescent="0.2">
      <c r="I154" s="1">
        <v>44658</v>
      </c>
      <c r="J154" s="27">
        <v>81.540000000000006</v>
      </c>
      <c r="K154" s="23">
        <v>-7.0878947596254658E-3</v>
      </c>
      <c r="L154" s="36">
        <v>-0.28092935950578751</v>
      </c>
    </row>
    <row r="155" spans="9:12" x14ac:dyDescent="0.2">
      <c r="I155" s="1">
        <v>44659</v>
      </c>
      <c r="J155" s="27">
        <v>80.94</v>
      </c>
      <c r="K155" s="23">
        <v>-7.3855579433879052E-3</v>
      </c>
      <c r="L155" s="36">
        <v>-0.29200971983592355</v>
      </c>
    </row>
    <row r="156" spans="9:12" x14ac:dyDescent="0.2">
      <c r="I156" s="1">
        <v>44662</v>
      </c>
      <c r="J156" s="27">
        <v>79.760000000000005</v>
      </c>
      <c r="K156" s="23">
        <v>-1.4686013794136536E-2</v>
      </c>
      <c r="L156" s="36">
        <v>-0.56376546865940957</v>
      </c>
    </row>
    <row r="157" spans="9:12" x14ac:dyDescent="0.2">
      <c r="I157" s="1">
        <v>44663</v>
      </c>
      <c r="J157" s="27">
        <v>79.33</v>
      </c>
      <c r="K157" s="23">
        <v>-5.4057583396713727E-3</v>
      </c>
      <c r="L157" s="36">
        <v>-0.21831268846859386</v>
      </c>
    </row>
    <row r="158" spans="9:12" x14ac:dyDescent="0.2">
      <c r="I158" s="1">
        <v>44664</v>
      </c>
      <c r="J158" s="27">
        <v>79.75</v>
      </c>
      <c r="K158" s="23">
        <v>5.2803743510423428E-3</v>
      </c>
      <c r="L158" s="36">
        <v>0.17947315542418779</v>
      </c>
    </row>
    <row r="159" spans="9:12" x14ac:dyDescent="0.2">
      <c r="I159" s="1">
        <v>44665</v>
      </c>
      <c r="J159" s="27">
        <v>79.45</v>
      </c>
      <c r="K159" s="23">
        <v>-3.768848682228963E-3</v>
      </c>
      <c r="L159" s="36">
        <v>-0.1573795606189074</v>
      </c>
    </row>
    <row r="160" spans="9:12" x14ac:dyDescent="0.2">
      <c r="I160" s="1">
        <v>44669</v>
      </c>
      <c r="J160" s="27">
        <v>78.22</v>
      </c>
      <c r="K160" s="23">
        <v>-1.5602523655356925E-2</v>
      </c>
      <c r="L160" s="36">
        <v>-0.59788208120142161</v>
      </c>
    </row>
    <row r="161" spans="9:12" x14ac:dyDescent="0.2">
      <c r="I161" s="1">
        <v>44670</v>
      </c>
      <c r="J161" s="27">
        <v>79.56</v>
      </c>
      <c r="K161" s="23">
        <v>1.6986084658403421E-2</v>
      </c>
      <c r="L161" s="36">
        <v>0.61521225653271661</v>
      </c>
    </row>
    <row r="162" spans="9:12" x14ac:dyDescent="0.2">
      <c r="I162" s="1">
        <v>44671</v>
      </c>
      <c r="J162" s="27">
        <v>80.290000000000006</v>
      </c>
      <c r="K162" s="23">
        <v>9.1336262108211459E-3</v>
      </c>
      <c r="L162" s="36">
        <v>0.32290849233569019</v>
      </c>
    </row>
    <row r="163" spans="9:12" x14ac:dyDescent="0.2">
      <c r="I163" s="1">
        <v>44672</v>
      </c>
      <c r="J163" s="27">
        <v>79.48</v>
      </c>
      <c r="K163" s="23">
        <v>-1.013966251297653E-2</v>
      </c>
      <c r="L163" s="36">
        <v>-0.39452985898175397</v>
      </c>
    </row>
    <row r="164" spans="9:12" x14ac:dyDescent="0.2">
      <c r="I164" s="1">
        <v>44673</v>
      </c>
      <c r="J164" s="27">
        <v>76.209999999999994</v>
      </c>
      <c r="K164" s="23">
        <v>-4.2012730005590172E-2</v>
      </c>
      <c r="L164" s="36">
        <v>-1.5809885542793236</v>
      </c>
    </row>
    <row r="165" spans="9:12" x14ac:dyDescent="0.2">
      <c r="I165" s="1">
        <v>44676</v>
      </c>
      <c r="J165" s="27">
        <v>76.98</v>
      </c>
      <c r="K165" s="23">
        <v>1.0052960177574023E-2</v>
      </c>
      <c r="L165" s="36">
        <v>0.35713023076702038</v>
      </c>
    </row>
    <row r="166" spans="9:12" x14ac:dyDescent="0.2">
      <c r="I166" s="1">
        <v>44677</v>
      </c>
      <c r="J166" s="27">
        <v>74.510000000000005</v>
      </c>
      <c r="K166" s="23">
        <v>-3.2612303289963854E-2</v>
      </c>
      <c r="L166" s="36">
        <v>-1.2310624601295497</v>
      </c>
    </row>
    <row r="167" spans="9:12" x14ac:dyDescent="0.2">
      <c r="I167" s="1">
        <v>44678</v>
      </c>
      <c r="J167" s="27">
        <v>74.760000000000005</v>
      </c>
      <c r="K167" s="23">
        <v>3.3496380217258562E-3</v>
      </c>
      <c r="L167" s="36">
        <v>0.10760247944437126</v>
      </c>
    </row>
    <row r="168" spans="9:12" x14ac:dyDescent="0.2">
      <c r="I168" s="1">
        <v>44679</v>
      </c>
      <c r="J168" s="27">
        <v>76.14</v>
      </c>
      <c r="K168" s="23">
        <v>1.8290768366989237E-2</v>
      </c>
      <c r="L168" s="36">
        <v>0.66377844273438824</v>
      </c>
    </row>
    <row r="169" spans="9:12" x14ac:dyDescent="0.2">
      <c r="I169" s="1">
        <v>44680</v>
      </c>
      <c r="J169" s="27">
        <v>73.400000000000006</v>
      </c>
      <c r="K169" s="23">
        <v>-3.6649815333881376E-2</v>
      </c>
      <c r="L169" s="36">
        <v>-1.3813567884989397</v>
      </c>
    </row>
    <row r="170" spans="9:12" x14ac:dyDescent="0.2">
      <c r="I170" s="1">
        <v>44683</v>
      </c>
      <c r="J170" s="27">
        <v>74</v>
      </c>
      <c r="K170" s="23">
        <v>8.1411575836998658E-3</v>
      </c>
      <c r="L170" s="36">
        <v>0.2859643534406508</v>
      </c>
    </row>
    <row r="171" spans="9:12" x14ac:dyDescent="0.2">
      <c r="I171" s="1">
        <v>44684</v>
      </c>
      <c r="J171" s="27">
        <v>73.290000000000006</v>
      </c>
      <c r="K171" s="23">
        <v>-9.6409192664109189E-3</v>
      </c>
      <c r="L171" s="36">
        <v>-0.37596439578164498</v>
      </c>
    </row>
    <row r="172" spans="9:12" x14ac:dyDescent="0.2">
      <c r="I172" s="1">
        <v>44685</v>
      </c>
      <c r="J172" s="27">
        <v>75.209999999999994</v>
      </c>
      <c r="K172" s="23">
        <v>2.5860026900552655E-2</v>
      </c>
      <c r="L172" s="36">
        <v>0.94554023444718283</v>
      </c>
    </row>
    <row r="173" spans="9:12" x14ac:dyDescent="0.2">
      <c r="I173" s="1">
        <v>44686</v>
      </c>
      <c r="J173" s="27">
        <v>72.8</v>
      </c>
      <c r="K173" s="23">
        <v>-3.2568245635671352E-2</v>
      </c>
      <c r="L173" s="36">
        <v>-1.2294224363997388</v>
      </c>
    </row>
    <row r="174" spans="9:12" x14ac:dyDescent="0.2">
      <c r="I174" s="1">
        <v>44687</v>
      </c>
      <c r="J174" s="27">
        <v>72.489999999999995</v>
      </c>
      <c r="K174" s="23">
        <v>-4.2673338898538754E-3</v>
      </c>
      <c r="L174" s="36">
        <v>-0.17593541845094227</v>
      </c>
    </row>
    <row r="175" spans="9:12" x14ac:dyDescent="0.2">
      <c r="I175" s="1">
        <v>44690</v>
      </c>
      <c r="J175" s="27">
        <v>71.540000000000006</v>
      </c>
      <c r="K175" s="23">
        <v>-1.3191887481914556E-2</v>
      </c>
      <c r="L175" s="36">
        <v>-0.5081473780749538</v>
      </c>
    </row>
    <row r="176" spans="9:12" x14ac:dyDescent="0.2">
      <c r="I176" s="1">
        <v>44691</v>
      </c>
      <c r="J176" s="27">
        <v>72.53</v>
      </c>
      <c r="K176" s="23">
        <v>1.3743535544449228E-2</v>
      </c>
      <c r="L176" s="36">
        <v>0.49451001812808448</v>
      </c>
    </row>
    <row r="177" spans="9:12" x14ac:dyDescent="0.2">
      <c r="I177" s="1">
        <v>44692</v>
      </c>
      <c r="J177" s="27">
        <v>71.03</v>
      </c>
      <c r="K177" s="23">
        <v>-2.0897946365602476E-2</v>
      </c>
      <c r="L177" s="36">
        <v>-0.79500149310939228</v>
      </c>
    </row>
    <row r="178" spans="9:12" x14ac:dyDescent="0.2">
      <c r="I178" s="1">
        <v>44693</v>
      </c>
      <c r="J178" s="27">
        <v>70.73</v>
      </c>
      <c r="K178" s="23">
        <v>-4.2325119618200052E-3</v>
      </c>
      <c r="L178" s="36">
        <v>-0.17463918992469873</v>
      </c>
    </row>
    <row r="179" spans="9:12" x14ac:dyDescent="0.2">
      <c r="I179" s="1">
        <v>44694</v>
      </c>
      <c r="J179" s="27">
        <v>71.17</v>
      </c>
      <c r="K179" s="23">
        <v>6.201570263281107E-3</v>
      </c>
      <c r="L179" s="36">
        <v>0.2137642038274061</v>
      </c>
    </row>
    <row r="180" spans="9:12" x14ac:dyDescent="0.2">
      <c r="I180" s="1">
        <v>44697</v>
      </c>
      <c r="J180" s="27">
        <v>69.709999999999994</v>
      </c>
      <c r="K180" s="23">
        <v>-2.0727601812872459E-2</v>
      </c>
      <c r="L180" s="36">
        <v>-0.78866050393946252</v>
      </c>
    </row>
    <row r="181" spans="9:12" x14ac:dyDescent="0.2">
      <c r="I181" s="1">
        <v>44698</v>
      </c>
      <c r="J181" s="27">
        <v>71.88</v>
      </c>
      <c r="K181" s="23">
        <v>3.0654282417051024E-2</v>
      </c>
      <c r="L181" s="36">
        <v>1.1240039529564236</v>
      </c>
    </row>
    <row r="182" spans="9:12" x14ac:dyDescent="0.2">
      <c r="I182" s="1">
        <v>44699</v>
      </c>
      <c r="J182" s="27">
        <v>68.3</v>
      </c>
      <c r="K182" s="23">
        <v>-5.10882953386139E-2</v>
      </c>
      <c r="L182" s="36">
        <v>-1.9188218490069975</v>
      </c>
    </row>
    <row r="183" spans="9:12" x14ac:dyDescent="0.2">
      <c r="I183" s="1">
        <v>44700</v>
      </c>
      <c r="J183" s="27">
        <v>67.040000000000006</v>
      </c>
      <c r="K183" s="23">
        <v>-1.8620310402916614E-2</v>
      </c>
      <c r="L183" s="36">
        <v>-0.71021765505309808</v>
      </c>
    </row>
    <row r="184" spans="9:12" x14ac:dyDescent="0.2">
      <c r="I184" s="1">
        <v>44701</v>
      </c>
      <c r="J184" s="27">
        <v>68.63</v>
      </c>
      <c r="K184" s="23">
        <v>2.3440300746715586E-2</v>
      </c>
      <c r="L184" s="36">
        <v>0.8554671614326621</v>
      </c>
    </row>
    <row r="185" spans="9:12" x14ac:dyDescent="0.2">
      <c r="I185" s="1">
        <v>44704</v>
      </c>
      <c r="J185" s="27">
        <v>70.040000000000006</v>
      </c>
      <c r="K185" s="23">
        <v>2.0336750497108008E-2</v>
      </c>
      <c r="L185" s="36">
        <v>0.73993908492125682</v>
      </c>
    </row>
    <row r="186" spans="9:12" x14ac:dyDescent="0.2">
      <c r="I186" s="1">
        <v>44705</v>
      </c>
      <c r="J186" s="27">
        <v>69.03</v>
      </c>
      <c r="K186" s="23">
        <v>-1.452531470226694E-2</v>
      </c>
      <c r="L186" s="36">
        <v>-0.55778352685480326</v>
      </c>
    </row>
    <row r="187" spans="9:12" x14ac:dyDescent="0.2">
      <c r="I187" s="1">
        <v>44706</v>
      </c>
      <c r="J187" s="27">
        <v>69.83</v>
      </c>
      <c r="K187" s="23">
        <v>1.152252414255959E-2</v>
      </c>
      <c r="L187" s="36">
        <v>0.41183400049226448</v>
      </c>
    </row>
    <row r="188" spans="9:12" x14ac:dyDescent="0.2">
      <c r="I188" s="1">
        <v>44707</v>
      </c>
      <c r="J188" s="27">
        <v>71.66</v>
      </c>
      <c r="K188" s="23">
        <v>2.586899501886377E-2</v>
      </c>
      <c r="L188" s="36">
        <v>0.94587406808127361</v>
      </c>
    </row>
    <row r="189" spans="9:12" x14ac:dyDescent="0.2">
      <c r="I189" s="1">
        <v>44708</v>
      </c>
      <c r="J189" s="27">
        <v>72.78</v>
      </c>
      <c r="K189" s="23">
        <v>1.550848030720604E-2</v>
      </c>
      <c r="L189" s="36">
        <v>0.56020918752801763</v>
      </c>
    </row>
    <row r="190" spans="9:12" x14ac:dyDescent="0.2">
      <c r="I190" s="1">
        <v>44712</v>
      </c>
      <c r="J190" s="27">
        <v>71.92</v>
      </c>
      <c r="K190" s="23">
        <v>-1.1886802020648946E-2</v>
      </c>
      <c r="L190" s="36">
        <v>-0.45956623683450493</v>
      </c>
    </row>
    <row r="191" spans="9:12" x14ac:dyDescent="0.2">
      <c r="I191" s="1">
        <v>44713</v>
      </c>
      <c r="J191" s="27">
        <v>71.599999999999994</v>
      </c>
      <c r="K191" s="23">
        <v>-4.4593161967649867E-3</v>
      </c>
      <c r="L191" s="36">
        <v>-0.18308186199393547</v>
      </c>
    </row>
    <row r="192" spans="9:12" x14ac:dyDescent="0.2">
      <c r="I192" s="1">
        <v>44714</v>
      </c>
      <c r="J192" s="27">
        <v>73.14</v>
      </c>
      <c r="K192" s="23">
        <v>2.1280338754635326E-2</v>
      </c>
      <c r="L192" s="36">
        <v>0.77506367696698353</v>
      </c>
    </row>
    <row r="193" spans="9:12" x14ac:dyDescent="0.2">
      <c r="I193" s="1">
        <v>44715</v>
      </c>
      <c r="J193" s="27">
        <v>71.790000000000006</v>
      </c>
      <c r="K193" s="23">
        <v>-1.863022213284338E-2</v>
      </c>
      <c r="L193" s="36">
        <v>-0.71058661414872881</v>
      </c>
    </row>
    <row r="194" spans="9:12" x14ac:dyDescent="0.2">
      <c r="I194" s="1">
        <v>44718</v>
      </c>
      <c r="J194" s="27">
        <v>72.97</v>
      </c>
      <c r="K194" s="23">
        <v>1.630320718913688E-2</v>
      </c>
      <c r="L194" s="36">
        <v>0.58979249072505324</v>
      </c>
    </row>
    <row r="195" spans="9:12" x14ac:dyDescent="0.2">
      <c r="I195" s="1">
        <v>44719</v>
      </c>
      <c r="J195" s="27">
        <v>72.69</v>
      </c>
      <c r="K195" s="23">
        <v>-3.8445742809846734E-3</v>
      </c>
      <c r="L195" s="36">
        <v>-0.16019840744377445</v>
      </c>
    </row>
    <row r="196" spans="9:12" x14ac:dyDescent="0.2">
      <c r="I196" s="1">
        <v>44720</v>
      </c>
      <c r="J196" s="27">
        <v>71.38</v>
      </c>
      <c r="K196" s="23">
        <v>-1.8186105434529785E-2</v>
      </c>
      <c r="L196" s="36">
        <v>-0.69405459637029798</v>
      </c>
    </row>
    <row r="197" spans="9:12" x14ac:dyDescent="0.2">
      <c r="I197" s="1">
        <v>44721</v>
      </c>
      <c r="J197" s="27">
        <v>69.22</v>
      </c>
      <c r="K197" s="23">
        <v>-3.0727879854816068E-2</v>
      </c>
      <c r="L197" s="36">
        <v>-1.1609157580346938</v>
      </c>
    </row>
    <row r="198" spans="9:12" x14ac:dyDescent="0.2">
      <c r="I198" s="1">
        <v>44722</v>
      </c>
      <c r="J198" s="27">
        <v>67.14</v>
      </c>
      <c r="K198" s="23">
        <v>-3.0509846655309317E-2</v>
      </c>
      <c r="L198" s="36">
        <v>-1.1527995832900357</v>
      </c>
    </row>
    <row r="199" spans="9:12" x14ac:dyDescent="0.2">
      <c r="I199" s="1">
        <v>44725</v>
      </c>
      <c r="J199" s="27">
        <v>64.05</v>
      </c>
      <c r="K199" s="23">
        <v>-4.7115963209145725E-2</v>
      </c>
      <c r="L199" s="36">
        <v>-1.7709538097381186</v>
      </c>
    </row>
    <row r="200" spans="9:12" x14ac:dyDescent="0.2">
      <c r="I200" s="1">
        <v>44726</v>
      </c>
      <c r="J200" s="27">
        <v>70.72</v>
      </c>
      <c r="K200" s="23">
        <v>9.9064389986644769E-2</v>
      </c>
      <c r="L200" s="36">
        <v>3.6705353463027399</v>
      </c>
    </row>
    <row r="201" spans="9:12" x14ac:dyDescent="0.2">
      <c r="I201" s="1">
        <v>44727</v>
      </c>
      <c r="J201" s="27">
        <v>69.7</v>
      </c>
      <c r="K201" s="23">
        <v>-1.4528100562909744E-2</v>
      </c>
      <c r="L201" s="36">
        <v>-0.55788722909759203</v>
      </c>
    </row>
    <row r="202" spans="9:12" x14ac:dyDescent="0.2">
      <c r="I202" s="1">
        <v>44728</v>
      </c>
      <c r="J202" s="27">
        <v>68.709999999999994</v>
      </c>
      <c r="K202" s="23">
        <v>-1.430556872349379E-2</v>
      </c>
      <c r="L202" s="36">
        <v>-0.54960359477476428</v>
      </c>
    </row>
    <row r="203" spans="9:12" x14ac:dyDescent="0.2">
      <c r="I203" s="1">
        <v>44729</v>
      </c>
      <c r="J203" s="27">
        <v>67.72</v>
      </c>
      <c r="K203" s="23">
        <v>-1.4513191778049984E-2</v>
      </c>
      <c r="L203" s="36">
        <v>-0.55733225717851698</v>
      </c>
    </row>
    <row r="204" spans="9:12" x14ac:dyDescent="0.2">
      <c r="I204" s="1">
        <v>44733</v>
      </c>
      <c r="J204" s="27">
        <v>67.680000000000007</v>
      </c>
      <c r="K204" s="23">
        <v>-5.9084196696665859E-4</v>
      </c>
      <c r="L204" s="36">
        <v>-3.9079880115584872E-2</v>
      </c>
    </row>
    <row r="205" spans="9:12" x14ac:dyDescent="0.2">
      <c r="I205" s="1">
        <v>44734</v>
      </c>
      <c r="J205" s="27">
        <v>66.53</v>
      </c>
      <c r="K205" s="23">
        <v>-1.7137741544171824E-2</v>
      </c>
      <c r="L205" s="36">
        <v>-0.65502978478479745</v>
      </c>
    </row>
    <row r="206" spans="9:12" x14ac:dyDescent="0.2">
      <c r="I206" s="1">
        <v>44735</v>
      </c>
      <c r="J206" s="27">
        <v>67.63</v>
      </c>
      <c r="K206" s="23">
        <v>1.6398697833052336E-2</v>
      </c>
      <c r="L206" s="36">
        <v>0.59334708128397295</v>
      </c>
    </row>
    <row r="207" spans="9:12" x14ac:dyDescent="0.2">
      <c r="I207" s="1">
        <v>44736</v>
      </c>
      <c r="J207" s="27">
        <v>70.7</v>
      </c>
      <c r="K207" s="23">
        <v>4.4393901315678587E-2</v>
      </c>
      <c r="L207" s="36">
        <v>1.6354542649205686</v>
      </c>
    </row>
    <row r="208" spans="9:12" x14ac:dyDescent="0.2">
      <c r="I208" s="1">
        <v>44739</v>
      </c>
      <c r="J208" s="27">
        <v>70.41</v>
      </c>
      <c r="K208" s="23">
        <v>-4.1102743714853665E-3</v>
      </c>
      <c r="L208" s="36">
        <v>-0.17008895791523293</v>
      </c>
    </row>
    <row r="209" spans="9:12" x14ac:dyDescent="0.2">
      <c r="I209" s="1">
        <v>44740</v>
      </c>
      <c r="J209" s="27">
        <v>68.58</v>
      </c>
      <c r="K209" s="23">
        <v>-2.6334351496267509E-2</v>
      </c>
      <c r="L209" s="36">
        <v>-0.99736890377460696</v>
      </c>
    </row>
    <row r="210" spans="9:12" x14ac:dyDescent="0.2">
      <c r="I210" s="1">
        <v>44741</v>
      </c>
      <c r="J210" s="27">
        <v>69.209999999999994</v>
      </c>
      <c r="K210" s="23">
        <v>9.1444138189976116E-3</v>
      </c>
      <c r="L210" s="36">
        <v>0.32331005555282943</v>
      </c>
    </row>
    <row r="211" spans="9:12" x14ac:dyDescent="0.2">
      <c r="I211" s="1">
        <v>44742</v>
      </c>
      <c r="J211" s="27">
        <v>69.87</v>
      </c>
      <c r="K211" s="23">
        <v>9.4910117105875356E-3</v>
      </c>
      <c r="L211" s="36">
        <v>0.33621198544533093</v>
      </c>
    </row>
    <row r="212" spans="9:12" x14ac:dyDescent="0.2">
      <c r="I212" s="1">
        <v>44743</v>
      </c>
      <c r="J212" s="27">
        <v>70.87</v>
      </c>
      <c r="K212" s="23">
        <v>1.4210840257805387E-2</v>
      </c>
      <c r="L212" s="36">
        <v>0.51190519795015332</v>
      </c>
    </row>
    <row r="213" spans="9:12" x14ac:dyDescent="0.2">
      <c r="I213" s="1">
        <v>44747</v>
      </c>
      <c r="J213" s="27">
        <v>71.989999999999995</v>
      </c>
      <c r="K213" s="23">
        <v>1.5680007659046858E-2</v>
      </c>
      <c r="L213" s="36">
        <v>0.5665942057921074</v>
      </c>
    </row>
    <row r="214" spans="9:12" x14ac:dyDescent="0.2">
      <c r="I214" s="1">
        <v>44748</v>
      </c>
      <c r="J214" s="27">
        <v>71.66</v>
      </c>
      <c r="K214" s="23">
        <v>-4.5945086044038028E-3</v>
      </c>
      <c r="L214" s="36">
        <v>-0.18811433047593704</v>
      </c>
    </row>
    <row r="215" spans="9:12" x14ac:dyDescent="0.2">
      <c r="I215" s="1">
        <v>44749</v>
      </c>
      <c r="J215" s="27">
        <v>71.83</v>
      </c>
      <c r="K215" s="23">
        <v>2.3695042099023981E-3</v>
      </c>
      <c r="L215" s="36">
        <v>7.1117497763126272E-2</v>
      </c>
    </row>
    <row r="216" spans="9:12" x14ac:dyDescent="0.2">
      <c r="I216" s="1">
        <v>44750</v>
      </c>
      <c r="J216" s="27">
        <v>71.87</v>
      </c>
      <c r="K216" s="23">
        <v>5.5671539364103562E-4</v>
      </c>
      <c r="L216" s="36">
        <v>3.6373578522151387E-3</v>
      </c>
    </row>
    <row r="217" spans="9:12" x14ac:dyDescent="0.2">
      <c r="I217" s="1">
        <v>44753</v>
      </c>
      <c r="J217" s="27">
        <v>71.569999999999993</v>
      </c>
      <c r="K217" s="23">
        <v>-4.182939729845226E-3</v>
      </c>
      <c r="L217" s="36">
        <v>-0.17279388885082453</v>
      </c>
    </row>
    <row r="218" spans="9:12" x14ac:dyDescent="0.2">
      <c r="I218" s="1">
        <v>44754</v>
      </c>
      <c r="J218" s="27">
        <v>70.41</v>
      </c>
      <c r="K218" s="23">
        <v>-1.6340693219464207E-2</v>
      </c>
      <c r="L218" s="36">
        <v>-0.62536006706337433</v>
      </c>
    </row>
    <row r="219" spans="9:12" x14ac:dyDescent="0.2">
      <c r="I219" s="1">
        <v>44755</v>
      </c>
      <c r="J219" s="27">
        <v>70.03</v>
      </c>
      <c r="K219" s="23">
        <v>-5.4115768636153715E-3</v>
      </c>
      <c r="L219" s="36">
        <v>-0.2185292800573625</v>
      </c>
    </row>
    <row r="220" spans="9:12" x14ac:dyDescent="0.2">
      <c r="I220" s="1">
        <v>44756</v>
      </c>
      <c r="J220" s="27">
        <v>69.45</v>
      </c>
      <c r="K220" s="23">
        <v>-8.3166524670735213E-3</v>
      </c>
      <c r="L220" s="36">
        <v>-0.32666923900604283</v>
      </c>
    </row>
    <row r="221" spans="9:12" x14ac:dyDescent="0.2">
      <c r="I221" s="1">
        <v>44757</v>
      </c>
      <c r="J221" s="27">
        <v>70.739999999999995</v>
      </c>
      <c r="K221" s="23">
        <v>1.8404114576981569E-2</v>
      </c>
      <c r="L221" s="36">
        <v>0.66799769764154748</v>
      </c>
    </row>
    <row r="222" spans="9:12" x14ac:dyDescent="0.2">
      <c r="I222" s="1">
        <v>44760</v>
      </c>
      <c r="J222" s="27">
        <v>70.209999999999994</v>
      </c>
      <c r="K222" s="23">
        <v>-7.520432748177131E-3</v>
      </c>
      <c r="L222" s="36">
        <v>-0.29703036571369551</v>
      </c>
    </row>
    <row r="223" spans="9:12" x14ac:dyDescent="0.2">
      <c r="I223" s="1">
        <v>44761</v>
      </c>
      <c r="J223" s="27">
        <v>72.239999999999995</v>
      </c>
      <c r="K223" s="23">
        <v>2.8503158079572578E-2</v>
      </c>
      <c r="L223" s="36">
        <v>1.0439294456797397</v>
      </c>
    </row>
    <row r="224" spans="9:12" x14ac:dyDescent="0.2">
      <c r="I224" s="1">
        <v>44762</v>
      </c>
      <c r="J224" s="27">
        <v>72.59</v>
      </c>
      <c r="K224" s="23">
        <v>4.8332621880192942E-3</v>
      </c>
      <c r="L224" s="36">
        <v>0.16282963299839881</v>
      </c>
    </row>
    <row r="225" spans="9:12" x14ac:dyDescent="0.2">
      <c r="I225" s="1">
        <v>44763</v>
      </c>
      <c r="J225" s="27">
        <v>74.540000000000006</v>
      </c>
      <c r="K225" s="23">
        <v>2.6508722754363129E-2</v>
      </c>
      <c r="L225" s="36">
        <v>0.96968760703801615</v>
      </c>
    </row>
    <row r="226" spans="9:12" x14ac:dyDescent="0.2">
      <c r="I226" s="1">
        <v>44764</v>
      </c>
      <c r="J226" s="27">
        <v>74.900000000000006</v>
      </c>
      <c r="K226" s="23">
        <v>4.8179964720614201E-3</v>
      </c>
      <c r="L226" s="36">
        <v>0.1622613745010841</v>
      </c>
    </row>
    <row r="227" spans="9:12" x14ac:dyDescent="0.2">
      <c r="I227" s="1">
        <v>44767</v>
      </c>
      <c r="J227" s="27">
        <v>74.86</v>
      </c>
      <c r="K227" s="23">
        <v>-5.3418804689100367E-4</v>
      </c>
      <c r="L227" s="36">
        <v>-3.6970966810894894E-2</v>
      </c>
    </row>
    <row r="228" spans="9:12" x14ac:dyDescent="0.2">
      <c r="I228" s="1">
        <v>44768</v>
      </c>
      <c r="J228" s="27">
        <v>74.03</v>
      </c>
      <c r="K228" s="23">
        <v>-1.1149286021275852E-2</v>
      </c>
      <c r="L228" s="36">
        <v>-0.43211257958673399</v>
      </c>
    </row>
    <row r="229" spans="9:12" x14ac:dyDescent="0.2">
      <c r="I229" s="1">
        <v>44769</v>
      </c>
      <c r="J229" s="27">
        <v>75.87</v>
      </c>
      <c r="K229" s="23">
        <v>2.4550932894976483E-2</v>
      </c>
      <c r="L229" s="36">
        <v>0.89680987718747718</v>
      </c>
    </row>
    <row r="230" spans="9:12" x14ac:dyDescent="0.2">
      <c r="I230" s="1">
        <v>44770</v>
      </c>
      <c r="J230" s="27">
        <v>77.040000000000006</v>
      </c>
      <c r="K230" s="23">
        <v>1.5303418139886706E-2</v>
      </c>
      <c r="L230" s="36">
        <v>0.55257585284666089</v>
      </c>
    </row>
    <row r="231" spans="9:12" x14ac:dyDescent="0.2">
      <c r="I231" s="1">
        <v>44771</v>
      </c>
      <c r="J231" s="27">
        <v>77.84</v>
      </c>
      <c r="K231" s="23">
        <v>1.0330670387879361E-2</v>
      </c>
      <c r="L231" s="36">
        <v>0.36746785182800051</v>
      </c>
    </row>
    <row r="232" spans="9:12" x14ac:dyDescent="0.2">
      <c r="I232" s="1">
        <v>44774</v>
      </c>
      <c r="J232" s="27">
        <v>77.44</v>
      </c>
      <c r="K232" s="23">
        <v>-5.1519949094281092E-3</v>
      </c>
      <c r="L232" s="36">
        <v>-0.20886647409244599</v>
      </c>
    </row>
    <row r="233" spans="9:12" x14ac:dyDescent="0.2">
      <c r="I233" s="1">
        <v>44775</v>
      </c>
      <c r="J233" s="27">
        <v>76.349999999999994</v>
      </c>
      <c r="K233" s="23">
        <v>-1.4175411303680184E-2</v>
      </c>
      <c r="L233" s="36">
        <v>-0.54475855114878957</v>
      </c>
    </row>
    <row r="234" spans="9:12" x14ac:dyDescent="0.2">
      <c r="I234" s="1">
        <v>44776</v>
      </c>
      <c r="J234" s="27">
        <v>77.37</v>
      </c>
      <c r="K234" s="23">
        <v>1.3271076896721894E-2</v>
      </c>
      <c r="L234" s="36">
        <v>0.47692298572542879</v>
      </c>
    </row>
    <row r="235" spans="9:12" x14ac:dyDescent="0.2">
      <c r="I235" s="1">
        <v>44777</v>
      </c>
      <c r="J235" s="27">
        <v>77.400000000000006</v>
      </c>
      <c r="K235" s="23">
        <v>3.8767203431839273E-4</v>
      </c>
      <c r="L235" s="36">
        <v>-2.6551950561969624E-3</v>
      </c>
    </row>
    <row r="236" spans="9:12" x14ac:dyDescent="0.2">
      <c r="I236" s="1">
        <v>44778</v>
      </c>
      <c r="J236" s="27">
        <v>77.349999999999994</v>
      </c>
      <c r="K236" s="23">
        <v>-6.4620357660649002E-4</v>
      </c>
      <c r="L236" s="36">
        <v>-4.1140687822846481E-2</v>
      </c>
    </row>
    <row r="237" spans="9:12" x14ac:dyDescent="0.2">
      <c r="I237" s="1">
        <v>44781</v>
      </c>
      <c r="J237" s="27">
        <v>76.47</v>
      </c>
      <c r="K237" s="23">
        <v>-1.1442069962941321E-2</v>
      </c>
      <c r="L237" s="36">
        <v>-0.4430113126162108</v>
      </c>
    </row>
    <row r="238" spans="9:12" x14ac:dyDescent="0.2">
      <c r="I238" s="1">
        <v>44782</v>
      </c>
      <c r="J238" s="27">
        <v>76.77</v>
      </c>
      <c r="K238" s="23">
        <v>3.9154317836734001E-3</v>
      </c>
      <c r="L238" s="36">
        <v>0.128663863911472</v>
      </c>
    </row>
    <row r="239" spans="9:12" x14ac:dyDescent="0.2">
      <c r="I239" s="1">
        <v>44783</v>
      </c>
      <c r="J239" s="27">
        <v>77.540000000000006</v>
      </c>
      <c r="K239" s="23">
        <v>9.9799934029759924E-3</v>
      </c>
      <c r="L239" s="36">
        <v>0.35441407976556077</v>
      </c>
    </row>
    <row r="240" spans="9:12" x14ac:dyDescent="0.2">
      <c r="I240" s="1">
        <v>44784</v>
      </c>
      <c r="J240" s="27">
        <v>77.16</v>
      </c>
      <c r="K240" s="23">
        <v>-4.9127442052548332E-3</v>
      </c>
      <c r="L240" s="36">
        <v>-0.19996048854875045</v>
      </c>
    </row>
    <row r="241" spans="9:12" x14ac:dyDescent="0.2">
      <c r="I241" s="1">
        <v>44785</v>
      </c>
      <c r="J241" s="27">
        <v>79.150000000000006</v>
      </c>
      <c r="K241" s="23">
        <v>2.5463598289492854E-2</v>
      </c>
      <c r="L241" s="36">
        <v>0.93078338141552408</v>
      </c>
    </row>
    <row r="242" spans="9:12" x14ac:dyDescent="0.2">
      <c r="I242" s="1">
        <v>44788</v>
      </c>
      <c r="J242" s="27">
        <v>79.11</v>
      </c>
      <c r="K242" s="23">
        <v>-5.0549729371623324E-4</v>
      </c>
      <c r="L242" s="36">
        <v>-3.5902968144411622E-2</v>
      </c>
    </row>
    <row r="243" spans="9:12" x14ac:dyDescent="0.2">
      <c r="I243" s="1">
        <v>44789</v>
      </c>
      <c r="J243" s="27">
        <v>79.52</v>
      </c>
      <c r="K243" s="23">
        <v>5.1692733150135711E-3</v>
      </c>
      <c r="L243" s="36">
        <v>0.17533747597370966</v>
      </c>
    </row>
    <row r="244" spans="9:12" x14ac:dyDescent="0.2">
      <c r="I244" s="1">
        <v>44790</v>
      </c>
      <c r="J244" s="27">
        <v>79.25</v>
      </c>
      <c r="K244" s="23">
        <v>-3.4011495909285604E-3</v>
      </c>
      <c r="L244" s="36">
        <v>-0.14369214932008975</v>
      </c>
    </row>
    <row r="245" spans="9:12" x14ac:dyDescent="0.2">
      <c r="I245" s="1">
        <v>44791</v>
      </c>
      <c r="J245" s="27">
        <v>79.319999999999993</v>
      </c>
      <c r="K245" s="23">
        <v>8.8289089420520055E-4</v>
      </c>
      <c r="L245" s="36">
        <v>1.5779074645776787E-2</v>
      </c>
    </row>
    <row r="246" spans="9:12" x14ac:dyDescent="0.2">
      <c r="I246" s="1">
        <v>44792</v>
      </c>
      <c r="J246" s="27">
        <v>78.66</v>
      </c>
      <c r="K246" s="23">
        <v>-8.3555366479317224E-3</v>
      </c>
      <c r="L246" s="36">
        <v>-0.32811668282359907</v>
      </c>
    </row>
    <row r="247" spans="9:12" x14ac:dyDescent="0.2">
      <c r="I247" s="1">
        <v>44795</v>
      </c>
      <c r="J247" s="27">
        <v>76.459999999999994</v>
      </c>
      <c r="K247" s="23">
        <v>-2.8367038735396723E-2</v>
      </c>
      <c r="L247" s="36">
        <v>-1.0730346504192989</v>
      </c>
    </row>
    <row r="248" spans="9:12" x14ac:dyDescent="0.2">
      <c r="I248" s="1">
        <v>44796</v>
      </c>
      <c r="J248" s="27">
        <v>76.41</v>
      </c>
      <c r="K248" s="23">
        <v>-6.5415060879140795E-4</v>
      </c>
      <c r="L248" s="36">
        <v>-4.1436512046222243E-2</v>
      </c>
    </row>
    <row r="249" spans="9:12" x14ac:dyDescent="0.2">
      <c r="I249" s="1">
        <v>44797</v>
      </c>
      <c r="J249" s="27">
        <v>76.17</v>
      </c>
      <c r="K249" s="23">
        <v>-3.1458932747785574E-3</v>
      </c>
      <c r="L249" s="36">
        <v>-0.13419036302681941</v>
      </c>
    </row>
    <row r="250" spans="9:12" x14ac:dyDescent="0.2">
      <c r="I250" s="1">
        <v>44798</v>
      </c>
      <c r="J250" s="27">
        <v>76.89</v>
      </c>
      <c r="K250" s="23">
        <v>9.4081446593927576E-3</v>
      </c>
      <c r="L250" s="36">
        <v>0.33312730169261406</v>
      </c>
    </row>
    <row r="251" spans="9:12" x14ac:dyDescent="0.2">
      <c r="I251" s="1">
        <v>44799</v>
      </c>
      <c r="J251" s="27">
        <v>74.650000000000006</v>
      </c>
      <c r="K251" s="23">
        <v>-2.956530505888998E-2</v>
      </c>
      <c r="L251" s="36">
        <v>-1.1176395036898632</v>
      </c>
    </row>
    <row r="252" spans="9:12" x14ac:dyDescent="0.2">
      <c r="I252" s="1">
        <v>44802</v>
      </c>
      <c r="J252" s="27">
        <v>74.19</v>
      </c>
      <c r="K252" s="23">
        <v>-6.1811537837649531E-3</v>
      </c>
      <c r="L252" s="36">
        <v>-0.2471763887431955</v>
      </c>
    </row>
    <row r="253" spans="9:12" x14ac:dyDescent="0.2">
      <c r="I253" s="1">
        <v>44803</v>
      </c>
      <c r="J253" s="27">
        <v>74.14</v>
      </c>
      <c r="K253" s="23">
        <v>-6.7417247884827322E-4</v>
      </c>
      <c r="L253" s="36">
        <v>-4.2181815956195474E-2</v>
      </c>
    </row>
    <row r="254" spans="9:12" x14ac:dyDescent="0.2">
      <c r="I254" s="1">
        <v>44804</v>
      </c>
      <c r="J254" s="27">
        <v>74.150000000000006</v>
      </c>
      <c r="K254" s="23">
        <v>1.3487086135506303E-4</v>
      </c>
      <c r="L254" s="36">
        <v>-1.2065589895453524E-2</v>
      </c>
    </row>
    <row r="255" spans="9:12" x14ac:dyDescent="0.2">
      <c r="I255" s="1">
        <v>44805</v>
      </c>
      <c r="J255" s="27">
        <v>75.3</v>
      </c>
      <c r="K255" s="23">
        <v>1.5390066221906636E-2</v>
      </c>
      <c r="L255" s="36">
        <v>0.5558012835450783</v>
      </c>
    </row>
    <row r="256" spans="9:12" x14ac:dyDescent="0.2">
      <c r="I256" s="1">
        <v>44806</v>
      </c>
      <c r="J256" s="27">
        <v>74.680000000000007</v>
      </c>
      <c r="K256" s="23">
        <v>-8.2678161323259548E-3</v>
      </c>
      <c r="L256" s="36">
        <v>-0.32485133133144767</v>
      </c>
    </row>
    <row r="257" spans="9:12" x14ac:dyDescent="0.2">
      <c r="I257" s="1">
        <v>44810</v>
      </c>
      <c r="J257" s="27">
        <v>73.83</v>
      </c>
      <c r="K257" s="23">
        <v>-1.1447165602447826E-2</v>
      </c>
      <c r="L257" s="36">
        <v>-0.44320099520016654</v>
      </c>
    </row>
    <row r="258" spans="9:12" x14ac:dyDescent="0.2">
      <c r="I258" s="1">
        <v>44811</v>
      </c>
      <c r="J258" s="27">
        <v>74.489999999999995</v>
      </c>
      <c r="K258" s="23">
        <v>8.8997351171107558E-3</v>
      </c>
      <c r="L258" s="36">
        <v>0.31420201556028532</v>
      </c>
    </row>
    <row r="259" spans="9:12" x14ac:dyDescent="0.2">
      <c r="I259" s="1">
        <v>44812</v>
      </c>
      <c r="J259" s="27">
        <v>74.650000000000006</v>
      </c>
      <c r="K259" s="23">
        <v>2.1456357970147119E-3</v>
      </c>
      <c r="L259" s="36">
        <v>6.2784110173914304E-2</v>
      </c>
    </row>
    <row r="260" spans="9:12" x14ac:dyDescent="0.2">
      <c r="I260" s="1">
        <v>44813</v>
      </c>
      <c r="J260" s="27">
        <v>75.91</v>
      </c>
      <c r="K260" s="23">
        <v>1.673790404347731E-2</v>
      </c>
      <c r="L260" s="36">
        <v>0.60597385961181716</v>
      </c>
    </row>
    <row r="261" spans="9:12" x14ac:dyDescent="0.2">
      <c r="I261" s="1">
        <v>44816</v>
      </c>
      <c r="J261" s="27">
        <v>77.08</v>
      </c>
      <c r="K261" s="23">
        <v>1.5295415517488895E-2</v>
      </c>
      <c r="L261" s="36">
        <v>0.55227795930593837</v>
      </c>
    </row>
    <row r="262" spans="9:12" x14ac:dyDescent="0.2">
      <c r="I262" s="1">
        <v>44817</v>
      </c>
      <c r="J262" s="27">
        <v>76.040000000000006</v>
      </c>
      <c r="K262" s="23">
        <v>-1.3584325925937115E-2</v>
      </c>
      <c r="L262" s="36">
        <v>-0.52275569917199016</v>
      </c>
    </row>
    <row r="263" spans="9:12" x14ac:dyDescent="0.2">
      <c r="I263" s="1">
        <v>44818</v>
      </c>
      <c r="J263" s="27">
        <v>72.12</v>
      </c>
      <c r="K263" s="23">
        <v>-5.2928119285111867E-2</v>
      </c>
      <c r="L263" s="36">
        <v>-1.9873083578642035</v>
      </c>
    </row>
    <row r="264" spans="9:12" x14ac:dyDescent="0.2">
      <c r="I264" s="1">
        <v>44819</v>
      </c>
      <c r="J264" s="27">
        <v>70.239999999999995</v>
      </c>
      <c r="K264" s="23">
        <v>-2.6413449008255391E-2</v>
      </c>
      <c r="L264" s="36">
        <v>-1.000313268351257</v>
      </c>
    </row>
    <row r="265" spans="9:12" x14ac:dyDescent="0.2">
      <c r="I265" s="1">
        <v>44820</v>
      </c>
      <c r="J265" s="27">
        <v>68.83</v>
      </c>
      <c r="K265" s="23">
        <v>-2.0278252916588396E-2</v>
      </c>
      <c r="L265" s="36">
        <v>-0.77193372025784346</v>
      </c>
    </row>
    <row r="266" spans="9:12" x14ac:dyDescent="0.2">
      <c r="I266" s="1">
        <v>44823</v>
      </c>
      <c r="J266" s="27">
        <v>69.069999999999993</v>
      </c>
      <c r="K266" s="23">
        <v>3.4807866906085968E-3</v>
      </c>
      <c r="L266" s="36">
        <v>0.11248442181181642</v>
      </c>
    </row>
    <row r="267" spans="9:12" x14ac:dyDescent="0.2">
      <c r="I267" s="1">
        <v>44824</v>
      </c>
      <c r="J267" s="27">
        <v>68.11</v>
      </c>
      <c r="K267" s="23">
        <v>-1.3996437847654402E-2</v>
      </c>
      <c r="L267" s="36">
        <v>-0.53809635545085566</v>
      </c>
    </row>
    <row r="268" spans="9:12" x14ac:dyDescent="0.2">
      <c r="I268" s="1">
        <v>44825</v>
      </c>
      <c r="J268" s="27">
        <v>66.75</v>
      </c>
      <c r="K268" s="23">
        <v>-2.0169747972868086E-2</v>
      </c>
      <c r="L268" s="36">
        <v>-0.76789467902061181</v>
      </c>
    </row>
    <row r="269" spans="9:12" x14ac:dyDescent="0.2">
      <c r="I269" s="1">
        <v>44826</v>
      </c>
      <c r="J269" s="27">
        <v>66.03</v>
      </c>
      <c r="K269" s="23">
        <v>-1.0845113073878952E-2</v>
      </c>
      <c r="L269" s="36">
        <v>-0.42078989662259891</v>
      </c>
    </row>
    <row r="270" spans="9:12" x14ac:dyDescent="0.2">
      <c r="I270" s="1">
        <v>44827</v>
      </c>
      <c r="J270" s="27">
        <v>64.55</v>
      </c>
      <c r="K270" s="23">
        <v>-2.2669066913828556E-2</v>
      </c>
      <c r="L270" s="36">
        <v>-0.86093055297631615</v>
      </c>
    </row>
    <row r="271" spans="9:12" x14ac:dyDescent="0.2">
      <c r="I271" s="1">
        <v>44830</v>
      </c>
      <c r="J271" s="27">
        <v>63.45</v>
      </c>
      <c r="K271" s="23">
        <v>-1.718792313225477E-2</v>
      </c>
      <c r="L271" s="36">
        <v>-0.65689776882927797</v>
      </c>
    </row>
    <row r="272" spans="9:12" x14ac:dyDescent="0.2">
      <c r="I272" s="1">
        <v>44831</v>
      </c>
      <c r="J272" s="27">
        <v>62.42</v>
      </c>
      <c r="K272" s="23">
        <v>-1.636645731776332E-2</v>
      </c>
      <c r="L272" s="36">
        <v>-0.62631912249349786</v>
      </c>
    </row>
    <row r="273" spans="9:12" x14ac:dyDescent="0.2">
      <c r="I273" s="1">
        <v>44832</v>
      </c>
      <c r="J273" s="27">
        <v>63.07</v>
      </c>
      <c r="K273" s="23">
        <v>1.0359483832926442E-2</v>
      </c>
      <c r="L273" s="36">
        <v>0.36854041763690837</v>
      </c>
    </row>
    <row r="274" spans="9:12" x14ac:dyDescent="0.2">
      <c r="I274" s="1">
        <v>44833</v>
      </c>
      <c r="J274" s="27">
        <v>61.4</v>
      </c>
      <c r="K274" s="23">
        <v>-2.6835385522463076E-2</v>
      </c>
      <c r="L274" s="36">
        <v>-1.0160196400790886</v>
      </c>
    </row>
    <row r="275" spans="9:12" x14ac:dyDescent="0.2">
      <c r="I275" s="1">
        <v>44834</v>
      </c>
      <c r="J275" s="27">
        <v>61.07</v>
      </c>
      <c r="K275" s="23">
        <v>-5.3890879180533745E-3</v>
      </c>
      <c r="L275" s="36">
        <v>-0.21769214051890143</v>
      </c>
    </row>
    <row r="276" spans="9:12" x14ac:dyDescent="0.2">
      <c r="I276" s="1">
        <v>44837</v>
      </c>
      <c r="J276" s="27">
        <v>63.08</v>
      </c>
      <c r="K276" s="23">
        <v>3.238301485979414E-2</v>
      </c>
      <c r="L276" s="36">
        <v>1.1883551371971905</v>
      </c>
    </row>
    <row r="277" spans="9:12" x14ac:dyDescent="0.2">
      <c r="I277" s="1">
        <v>44838</v>
      </c>
      <c r="J277" s="27">
        <v>65.69</v>
      </c>
      <c r="K277" s="23">
        <v>4.0542944809543985E-2</v>
      </c>
      <c r="L277" s="36">
        <v>1.492104371378788</v>
      </c>
    </row>
    <row r="278" spans="9:12" x14ac:dyDescent="0.2">
      <c r="I278" s="1">
        <v>44839</v>
      </c>
      <c r="J278" s="27">
        <v>66.64</v>
      </c>
      <c r="K278" s="23">
        <v>1.4358290954205644E-2</v>
      </c>
      <c r="L278" s="36">
        <v>0.51739397498462958</v>
      </c>
    </row>
    <row r="279" spans="9:12" x14ac:dyDescent="0.2">
      <c r="I279" s="1">
        <v>44840</v>
      </c>
      <c r="J279" s="27">
        <v>65.3</v>
      </c>
      <c r="K279" s="23">
        <v>-2.0312961576201945E-2</v>
      </c>
      <c r="L279" s="36">
        <v>-0.7732257324248607</v>
      </c>
    </row>
    <row r="280" spans="9:12" x14ac:dyDescent="0.2">
      <c r="I280" s="1">
        <v>44841</v>
      </c>
      <c r="J280" s="27">
        <v>63.29</v>
      </c>
      <c r="K280" s="23">
        <v>-3.1264697495171329E-2</v>
      </c>
      <c r="L280" s="36">
        <v>-1.1808985211413894</v>
      </c>
    </row>
    <row r="281" spans="9:12" x14ac:dyDescent="0.2">
      <c r="I281" s="1">
        <v>44844</v>
      </c>
      <c r="J281" s="27">
        <v>62.57</v>
      </c>
      <c r="K281" s="23">
        <v>-1.144140877694186E-2</v>
      </c>
      <c r="L281" s="36">
        <v>-0.44298670030431292</v>
      </c>
    </row>
    <row r="282" spans="9:12" x14ac:dyDescent="0.2">
      <c r="I282" s="1">
        <v>44845</v>
      </c>
      <c r="J282" s="27">
        <v>62.41</v>
      </c>
      <c r="K282" s="23">
        <v>-2.5604110643205817E-3</v>
      </c>
      <c r="L282" s="36">
        <v>-0.11239608609690398</v>
      </c>
    </row>
    <row r="283" spans="9:12" x14ac:dyDescent="0.2">
      <c r="I283" s="1">
        <v>44846</v>
      </c>
      <c r="J283" s="27">
        <v>63.78</v>
      </c>
      <c r="K283" s="23">
        <v>2.1714142635960065E-2</v>
      </c>
      <c r="L283" s="36">
        <v>0.79121180538828617</v>
      </c>
    </row>
    <row r="284" spans="9:12" x14ac:dyDescent="0.2">
      <c r="I284" s="1">
        <v>44847</v>
      </c>
      <c r="J284" s="27">
        <v>65.2</v>
      </c>
      <c r="K284" s="23">
        <v>2.2019807350695787E-2</v>
      </c>
      <c r="L284" s="36">
        <v>0.80259001863142299</v>
      </c>
    </row>
    <row r="285" spans="9:12" x14ac:dyDescent="0.2">
      <c r="I285" s="1">
        <v>44848</v>
      </c>
      <c r="J285" s="27">
        <v>64.31</v>
      </c>
      <c r="K285" s="23">
        <v>-1.3744328785835463E-2</v>
      </c>
      <c r="L285" s="36">
        <v>-0.52871172409625788</v>
      </c>
    </row>
    <row r="286" spans="9:12" x14ac:dyDescent="0.2">
      <c r="I286" s="1">
        <v>44851</v>
      </c>
      <c r="J286" s="27">
        <v>67.02</v>
      </c>
      <c r="K286" s="23">
        <v>4.1275942162392464E-2</v>
      </c>
      <c r="L286" s="36">
        <v>1.5193898243123258</v>
      </c>
    </row>
    <row r="287" spans="9:12" x14ac:dyDescent="0.2">
      <c r="I287" s="1">
        <v>44852</v>
      </c>
      <c r="J287" s="27">
        <v>67.03</v>
      </c>
      <c r="K287" s="23">
        <v>1.491980607020425E-4</v>
      </c>
      <c r="L287" s="36">
        <v>-1.1532267200723095E-2</v>
      </c>
    </row>
    <row r="288" spans="9:12" x14ac:dyDescent="0.2">
      <c r="I288" s="1">
        <v>44853</v>
      </c>
      <c r="J288" s="27">
        <v>66.3</v>
      </c>
      <c r="K288" s="23">
        <v>-1.0950383178049543E-2</v>
      </c>
      <c r="L288" s="36">
        <v>-0.42470852260602598</v>
      </c>
    </row>
    <row r="289" spans="9:12" x14ac:dyDescent="0.2">
      <c r="I289" s="1">
        <v>44854</v>
      </c>
      <c r="J289" s="27">
        <v>69.25</v>
      </c>
      <c r="K289" s="23">
        <v>4.353324787563112E-2</v>
      </c>
      <c r="L289" s="36">
        <v>1.6034168791929877</v>
      </c>
    </row>
    <row r="290" spans="9:12" x14ac:dyDescent="0.2">
      <c r="I290" s="1">
        <v>44855</v>
      </c>
      <c r="J290" s="27">
        <v>72.7</v>
      </c>
      <c r="K290" s="23">
        <v>4.8618239472025843E-2</v>
      </c>
      <c r="L290" s="36">
        <v>1.7927031001209144</v>
      </c>
    </row>
    <row r="291" spans="9:12" x14ac:dyDescent="0.2">
      <c r="I291" s="1">
        <v>44858</v>
      </c>
      <c r="J291" s="27">
        <v>72.92</v>
      </c>
      <c r="K291" s="23">
        <v>3.0215652709886512E-3</v>
      </c>
      <c r="L291" s="36">
        <v>9.5390138479933065E-2</v>
      </c>
    </row>
    <row r="292" spans="9:12" x14ac:dyDescent="0.2">
      <c r="I292" s="1">
        <v>44859</v>
      </c>
      <c r="J292" s="27">
        <v>73.14</v>
      </c>
      <c r="K292" s="23">
        <v>3.0124629107728443E-3</v>
      </c>
      <c r="L292" s="36">
        <v>9.5051307759348128E-2</v>
      </c>
    </row>
    <row r="293" spans="9:12" x14ac:dyDescent="0.2">
      <c r="I293" s="1">
        <v>44860</v>
      </c>
      <c r="J293" s="27">
        <v>74.819999999999993</v>
      </c>
      <c r="K293" s="23">
        <v>2.2709816198764846E-2</v>
      </c>
      <c r="L293" s="36">
        <v>0.82827524638094896</v>
      </c>
    </row>
    <row r="294" spans="9:12" x14ac:dyDescent="0.2">
      <c r="I294" s="1">
        <v>44861</v>
      </c>
      <c r="J294" s="27">
        <v>75.150000000000006</v>
      </c>
      <c r="K294" s="23">
        <v>4.4008872789835585E-3</v>
      </c>
      <c r="L294" s="36">
        <v>0.14673469734236799</v>
      </c>
    </row>
    <row r="295" spans="9:12" x14ac:dyDescent="0.2">
      <c r="I295" s="1">
        <v>44862</v>
      </c>
      <c r="J295" s="27">
        <v>77.36</v>
      </c>
      <c r="K295" s="23">
        <v>2.898373494605528E-2</v>
      </c>
      <c r="L295" s="36">
        <v>1.0618186746386216</v>
      </c>
    </row>
    <row r="296" spans="9:12" x14ac:dyDescent="0.2">
      <c r="I296" s="1">
        <v>44865</v>
      </c>
      <c r="J296" s="27">
        <v>78.069999999999993</v>
      </c>
      <c r="K296" s="23">
        <v>9.1360089871605332E-3</v>
      </c>
      <c r="L296" s="36">
        <v>0.32299718997069093</v>
      </c>
    </row>
    <row r="297" spans="9:12" x14ac:dyDescent="0.2">
      <c r="I297" s="1">
        <v>44866</v>
      </c>
      <c r="J297" s="27">
        <v>77.11</v>
      </c>
      <c r="K297" s="23">
        <v>-1.237288628733021E-2</v>
      </c>
      <c r="L297" s="36">
        <v>-0.47766047595927624</v>
      </c>
    </row>
    <row r="298" spans="9:12" x14ac:dyDescent="0.2">
      <c r="I298" s="1">
        <v>44867</v>
      </c>
      <c r="J298" s="27">
        <v>75.12</v>
      </c>
      <c r="K298" s="23">
        <v>-2.614613894486173E-2</v>
      </c>
      <c r="L298" s="36">
        <v>-0.99036278745927975</v>
      </c>
    </row>
    <row r="299" spans="9:12" x14ac:dyDescent="0.2">
      <c r="I299" s="1">
        <v>44868</v>
      </c>
      <c r="J299" s="27">
        <v>75.03</v>
      </c>
      <c r="K299" s="23">
        <v>-1.1988013423701218E-3</v>
      </c>
      <c r="L299" s="36">
        <v>-6.1710858056515064E-2</v>
      </c>
    </row>
    <row r="300" spans="9:12" x14ac:dyDescent="0.2">
      <c r="I300" s="1">
        <v>44869</v>
      </c>
      <c r="J300" s="27">
        <v>76</v>
      </c>
      <c r="K300" s="23">
        <v>1.2845306728693771E-2</v>
      </c>
      <c r="L300" s="36">
        <v>0.46107390818771327</v>
      </c>
    </row>
    <row r="301" spans="9:12" x14ac:dyDescent="0.2">
      <c r="I301" s="1">
        <v>44872</v>
      </c>
      <c r="J301" s="27">
        <v>76.739999999999995</v>
      </c>
      <c r="K301" s="23">
        <v>9.6897445324751318E-3</v>
      </c>
      <c r="L301" s="36">
        <v>0.34360971346834612</v>
      </c>
    </row>
    <row r="302" spans="9:12" x14ac:dyDescent="0.2">
      <c r="I302" s="1">
        <v>44873</v>
      </c>
      <c r="J302" s="27">
        <v>75.64</v>
      </c>
      <c r="K302" s="23">
        <v>-1.4437841028549527E-2</v>
      </c>
      <c r="L302" s="36">
        <v>-0.55452736392615831</v>
      </c>
    </row>
    <row r="303" spans="9:12" x14ac:dyDescent="0.2">
      <c r="I303" s="1">
        <v>44874</v>
      </c>
      <c r="J303" s="27">
        <v>75.66</v>
      </c>
      <c r="K303" s="23">
        <v>2.6437541462647797E-4</v>
      </c>
      <c r="L303" s="36">
        <v>-7.2448488938192954E-3</v>
      </c>
    </row>
    <row r="304" spans="9:12" x14ac:dyDescent="0.2">
      <c r="I304" s="1">
        <v>44875</v>
      </c>
      <c r="J304" s="27">
        <v>77.17</v>
      </c>
      <c r="K304" s="23">
        <v>1.9761161264628638E-2</v>
      </c>
      <c r="L304" s="36">
        <v>0.71851306905525758</v>
      </c>
    </row>
    <row r="305" spans="9:12" x14ac:dyDescent="0.2">
      <c r="I305" s="1">
        <v>44876</v>
      </c>
      <c r="J305" s="27">
        <v>77.739999999999995</v>
      </c>
      <c r="K305" s="23">
        <v>7.359144954565416E-3</v>
      </c>
      <c r="L305" s="36">
        <v>0.25685433182493717</v>
      </c>
    </row>
    <row r="306" spans="9:12" x14ac:dyDescent="0.2">
      <c r="I306" s="1">
        <v>44879</v>
      </c>
      <c r="J306" s="27">
        <v>78.53</v>
      </c>
      <c r="K306" s="23">
        <v>1.0110791962706332E-2</v>
      </c>
      <c r="L306" s="36">
        <v>0.35928298949821907</v>
      </c>
    </row>
    <row r="307" spans="9:12" x14ac:dyDescent="0.2">
      <c r="I307" s="1">
        <v>44880</v>
      </c>
      <c r="J307" s="27">
        <v>79.180000000000007</v>
      </c>
      <c r="K307" s="23">
        <v>8.2430242912013493E-3</v>
      </c>
      <c r="L307" s="36">
        <v>0.28975628971739847</v>
      </c>
    </row>
    <row r="308" spans="9:12" x14ac:dyDescent="0.2">
      <c r="I308" s="1">
        <v>44881</v>
      </c>
      <c r="J308" s="27">
        <v>79.89</v>
      </c>
      <c r="K308" s="23">
        <v>8.9269468159659891E-3</v>
      </c>
      <c r="L308" s="36">
        <v>0.31521495718343134</v>
      </c>
    </row>
    <row r="309" spans="9:12" x14ac:dyDescent="0.2">
      <c r="I309" s="1">
        <v>44882</v>
      </c>
      <c r="J309" s="27">
        <v>79.2</v>
      </c>
      <c r="K309" s="23">
        <v>-8.6743896735703603E-3</v>
      </c>
      <c r="L309" s="36">
        <v>-0.33998582421949924</v>
      </c>
    </row>
    <row r="310" spans="9:12" x14ac:dyDescent="0.2">
      <c r="I310" s="1">
        <v>44883</v>
      </c>
      <c r="J310" s="27">
        <v>79.73</v>
      </c>
      <c r="K310" s="23">
        <v>6.6696276940239625E-3</v>
      </c>
      <c r="L310" s="36">
        <v>0.23118740317061945</v>
      </c>
    </row>
    <row r="311" spans="9:12" x14ac:dyDescent="0.2">
      <c r="I311" s="1">
        <v>44886</v>
      </c>
      <c r="J311" s="27">
        <v>79.819999999999993</v>
      </c>
      <c r="K311" s="23">
        <v>1.128173106183515E-3</v>
      </c>
      <c r="L311" s="36">
        <v>2.4909579993934255E-2</v>
      </c>
    </row>
    <row r="312" spans="9:12" x14ac:dyDescent="0.2">
      <c r="I312" s="1">
        <v>44887</v>
      </c>
      <c r="J312" s="27">
        <v>82.12</v>
      </c>
      <c r="K312" s="23">
        <v>2.8407492530145188E-2</v>
      </c>
      <c r="L312" s="36">
        <v>1.0403683443522678</v>
      </c>
    </row>
    <row r="313" spans="9:12" x14ac:dyDescent="0.2">
      <c r="I313" s="1">
        <v>44888</v>
      </c>
      <c r="J313" s="27">
        <v>82.56</v>
      </c>
      <c r="K313" s="23">
        <v>5.3437095825197185E-3</v>
      </c>
      <c r="L313" s="36">
        <v>0.18183077714109441</v>
      </c>
    </row>
    <row r="314" spans="9:12" x14ac:dyDescent="0.2">
      <c r="I314" s="1">
        <v>44890</v>
      </c>
      <c r="J314" s="27">
        <v>82.72</v>
      </c>
      <c r="K314" s="23">
        <v>1.9361090268664007E-3</v>
      </c>
      <c r="L314" s="36">
        <v>5.4984582927354524E-2</v>
      </c>
    </row>
    <row r="315" spans="9:12" x14ac:dyDescent="0.2">
      <c r="I315" s="1">
        <v>44893</v>
      </c>
      <c r="J315" s="27">
        <v>81.39</v>
      </c>
      <c r="K315" s="23">
        <v>-1.6208995421168895E-2</v>
      </c>
      <c r="L315" s="36">
        <v>-0.62045768363337572</v>
      </c>
    </row>
    <row r="316" spans="9:12" x14ac:dyDescent="0.2">
      <c r="I316" s="1">
        <v>44894</v>
      </c>
      <c r="J316" s="27">
        <v>80.849999999999994</v>
      </c>
      <c r="K316" s="23">
        <v>-6.6568293158342949E-3</v>
      </c>
      <c r="L316" s="36">
        <v>-0.26488316802619855</v>
      </c>
    </row>
    <row r="317" spans="9:12" x14ac:dyDescent="0.2">
      <c r="I317" s="1">
        <v>44895</v>
      </c>
      <c r="J317" s="27">
        <v>83.03</v>
      </c>
      <c r="K317" s="23">
        <v>2.6606402250823502E-2</v>
      </c>
      <c r="L317" s="36">
        <v>0.97332367651750862</v>
      </c>
    </row>
    <row r="318" spans="9:12" x14ac:dyDescent="0.2">
      <c r="I318" s="1">
        <v>44896</v>
      </c>
      <c r="J318" s="27">
        <v>84.11</v>
      </c>
      <c r="K318" s="23">
        <v>1.292347770040673E-2</v>
      </c>
      <c r="L318" s="36">
        <v>0.46398378277478253</v>
      </c>
    </row>
    <row r="319" spans="9:12" x14ac:dyDescent="0.2">
      <c r="I319" s="1">
        <v>44897</v>
      </c>
      <c r="J319" s="27">
        <v>83.35</v>
      </c>
      <c r="K319" s="23">
        <v>-9.0768567775429722E-3</v>
      </c>
      <c r="L319" s="36">
        <v>-0.35496745707269722</v>
      </c>
    </row>
    <row r="320" spans="9:12" x14ac:dyDescent="0.2">
      <c r="I320" s="1">
        <v>44900</v>
      </c>
      <c r="J320" s="27">
        <v>79.430000000000007</v>
      </c>
      <c r="K320" s="23">
        <v>-4.8172478551762217E-2</v>
      </c>
      <c r="L320" s="36">
        <v>-1.8102820549800651</v>
      </c>
    </row>
    <row r="321" spans="9:12" x14ac:dyDescent="0.2">
      <c r="I321" s="1">
        <v>44901</v>
      </c>
      <c r="J321" s="27">
        <v>78.91</v>
      </c>
      <c r="K321" s="23">
        <v>-6.5681681120971563E-3</v>
      </c>
      <c r="L321" s="36">
        <v>-0.26158279989771971</v>
      </c>
    </row>
    <row r="322" spans="9:12" x14ac:dyDescent="0.2">
      <c r="I322" s="1">
        <v>44902</v>
      </c>
      <c r="J322" s="27">
        <v>78.78</v>
      </c>
      <c r="K322" s="23">
        <v>-1.6488049901837822E-3</v>
      </c>
      <c r="L322" s="36">
        <v>-7.846201453017021E-2</v>
      </c>
    </row>
    <row r="323" spans="9:12" x14ac:dyDescent="0.2">
      <c r="I323" s="1">
        <v>44903</v>
      </c>
      <c r="J323" s="27">
        <v>80.069999999999993</v>
      </c>
      <c r="K323" s="23">
        <v>1.624209454178259E-2</v>
      </c>
      <c r="L323" s="36">
        <v>0.58751760356952754</v>
      </c>
    </row>
    <row r="324" spans="9:12" x14ac:dyDescent="0.2">
      <c r="I324" s="1">
        <v>44904</v>
      </c>
      <c r="J324" s="27">
        <v>79.86</v>
      </c>
      <c r="K324" s="23">
        <v>-2.62615044946713E-3</v>
      </c>
      <c r="L324" s="36">
        <v>-0.11484320120901904</v>
      </c>
    </row>
    <row r="325" spans="9:12" x14ac:dyDescent="0.2">
      <c r="I325" s="1">
        <v>44907</v>
      </c>
      <c r="J325" s="27">
        <v>81.28</v>
      </c>
      <c r="K325" s="23">
        <v>1.7624882195096486E-2</v>
      </c>
      <c r="L325" s="36">
        <v>0.63899116931291244</v>
      </c>
    </row>
    <row r="326" spans="9:12" x14ac:dyDescent="0.2">
      <c r="I326" s="1">
        <v>44908</v>
      </c>
      <c r="J326" s="27">
        <v>80.56</v>
      </c>
      <c r="K326" s="23">
        <v>-8.8977354198648915E-3</v>
      </c>
      <c r="L326" s="36">
        <v>-0.34829975581112538</v>
      </c>
    </row>
    <row r="327" spans="9:12" x14ac:dyDescent="0.2">
      <c r="I327" s="1">
        <v>44909</v>
      </c>
      <c r="J327" s="27">
        <v>81.819999999999993</v>
      </c>
      <c r="K327" s="23">
        <v>1.5519464090945612E-2</v>
      </c>
      <c r="L327" s="36">
        <v>0.56061805328052494</v>
      </c>
    </row>
    <row r="328" spans="9:12" x14ac:dyDescent="0.2">
      <c r="I328" s="1">
        <v>44910</v>
      </c>
      <c r="J328" s="27">
        <v>80.069999999999993</v>
      </c>
      <c r="K328" s="23">
        <v>-2.162046041671007E-2</v>
      </c>
      <c r="L328" s="36">
        <v>-0.82189671047778445</v>
      </c>
    </row>
    <row r="329" spans="9:12" x14ac:dyDescent="0.2">
      <c r="I329" s="1">
        <v>44911</v>
      </c>
      <c r="J329" s="27">
        <v>79.58</v>
      </c>
      <c r="K329" s="23">
        <v>-6.138447085759802E-3</v>
      </c>
      <c r="L329" s="36">
        <v>-0.24558665367275082</v>
      </c>
    </row>
    <row r="330" spans="9:12" x14ac:dyDescent="0.2">
      <c r="I330" s="1">
        <v>44914</v>
      </c>
      <c r="J330" s="27">
        <v>80.5</v>
      </c>
      <c r="K330" s="23">
        <v>1.1494379425735212E-2</v>
      </c>
      <c r="L330" s="36">
        <v>0.41078632775067125</v>
      </c>
    </row>
    <row r="331" spans="9:12" x14ac:dyDescent="0.2">
      <c r="I331" s="1">
        <v>44915</v>
      </c>
      <c r="J331" s="27">
        <v>80.94</v>
      </c>
      <c r="K331" s="23">
        <v>5.4509550232017586E-3</v>
      </c>
      <c r="L331" s="36">
        <v>0.18582293401955344</v>
      </c>
    </row>
    <row r="332" spans="9:12" x14ac:dyDescent="0.2">
      <c r="I332" s="1">
        <v>44916</v>
      </c>
      <c r="J332" s="27">
        <v>81.5</v>
      </c>
      <c r="K332" s="23">
        <v>6.8948807990974357E-3</v>
      </c>
      <c r="L332" s="36">
        <v>0.23957233522082561</v>
      </c>
    </row>
    <row r="333" spans="9:12" x14ac:dyDescent="0.2">
      <c r="I333" s="1">
        <v>44917</v>
      </c>
      <c r="J333" s="27">
        <v>80.489999999999995</v>
      </c>
      <c r="K333" s="23">
        <v>-1.2470067141174648E-2</v>
      </c>
      <c r="L333" s="36">
        <v>-0.48127798372149261</v>
      </c>
    </row>
    <row r="334" spans="9:12" x14ac:dyDescent="0.2">
      <c r="I334" s="1">
        <v>44918</v>
      </c>
      <c r="J334" s="27">
        <v>80.849999999999994</v>
      </c>
      <c r="K334" s="23">
        <v>4.4626329174734369E-3</v>
      </c>
      <c r="L334" s="36">
        <v>0.14903314727035166</v>
      </c>
    </row>
    <row r="335" spans="9:12" x14ac:dyDescent="0.2">
      <c r="I335" s="1">
        <v>44922</v>
      </c>
      <c r="J335" s="27">
        <v>80.98</v>
      </c>
      <c r="K335" s="23">
        <v>1.6066245808994389E-3</v>
      </c>
      <c r="L335" s="36">
        <v>4.2719692327370787E-2</v>
      </c>
    </row>
    <row r="336" spans="9:12" x14ac:dyDescent="0.2">
      <c r="I336" s="1">
        <v>44923</v>
      </c>
      <c r="J336" s="27">
        <v>80.33</v>
      </c>
      <c r="K336" s="23">
        <v>-8.0590604182939757E-3</v>
      </c>
      <c r="L336" s="36">
        <v>-0.31708050625589779</v>
      </c>
    </row>
    <row r="337" spans="9:12" x14ac:dyDescent="0.2">
      <c r="I337" s="1">
        <v>44924</v>
      </c>
      <c r="J337" s="27">
        <v>81.400000000000006</v>
      </c>
      <c r="K337" s="23">
        <v>1.3232122822773506E-2</v>
      </c>
      <c r="L337" s="36">
        <v>0.47547294017320701</v>
      </c>
    </row>
    <row r="338" spans="9:12" x14ac:dyDescent="0.2">
      <c r="I338" s="1">
        <v>44925</v>
      </c>
      <c r="J338" s="27">
        <v>81.739999999999995</v>
      </c>
      <c r="K338" s="23">
        <v>4.168205127636433E-3</v>
      </c>
      <c r="L338" s="36">
        <v>0.13807322283037382</v>
      </c>
    </row>
    <row r="339" spans="9:12" x14ac:dyDescent="0.2">
      <c r="I339" s="1">
        <v>44929</v>
      </c>
      <c r="J339" s="27">
        <v>83.72</v>
      </c>
      <c r="K339" s="23">
        <v>2.3934419441667767E-2</v>
      </c>
      <c r="L339" s="36">
        <v>0.87386047805557465</v>
      </c>
    </row>
    <row r="340" spans="9:12" x14ac:dyDescent="0.2">
      <c r="I340" s="1">
        <v>44930</v>
      </c>
      <c r="J340" s="27">
        <v>84.48</v>
      </c>
      <c r="K340" s="23">
        <v>9.0369223801523846E-3</v>
      </c>
      <c r="L340" s="36">
        <v>0.31930874151810335</v>
      </c>
    </row>
    <row r="341" spans="9:12" x14ac:dyDescent="0.2">
      <c r="I341" s="1">
        <v>44931</v>
      </c>
      <c r="J341" s="27">
        <v>84.31</v>
      </c>
      <c r="K341" s="23">
        <v>-2.0143380233671186E-3</v>
      </c>
      <c r="L341" s="36">
        <v>-9.2068795419376098E-2</v>
      </c>
    </row>
    <row r="342" spans="9:12" x14ac:dyDescent="0.2">
      <c r="I342" s="1">
        <v>44932</v>
      </c>
      <c r="J342" s="27">
        <v>85.66</v>
      </c>
      <c r="K342" s="23">
        <v>1.5885490252640549E-2</v>
      </c>
      <c r="L342" s="36">
        <v>0.57424319062728302</v>
      </c>
    </row>
    <row r="343" spans="9:12" x14ac:dyDescent="0.2">
      <c r="I343" s="1">
        <v>44935</v>
      </c>
      <c r="J343" s="27">
        <v>86.42</v>
      </c>
      <c r="K343" s="23">
        <v>8.8331583165621973E-3</v>
      </c>
      <c r="L343" s="36">
        <v>0.31172372808656684</v>
      </c>
    </row>
    <row r="344" spans="9:12" x14ac:dyDescent="0.2">
      <c r="I344" s="1">
        <v>44936</v>
      </c>
      <c r="J344" s="27">
        <v>86.5</v>
      </c>
      <c r="K344" s="23">
        <v>9.2528343404653423E-4</v>
      </c>
      <c r="L344" s="36">
        <v>1.735711533866444E-2</v>
      </c>
    </row>
    <row r="345" spans="9:12" x14ac:dyDescent="0.2">
      <c r="I345" s="1">
        <v>44937</v>
      </c>
      <c r="J345" s="27">
        <v>88.6</v>
      </c>
      <c r="K345" s="23">
        <v>2.3987443673201669E-2</v>
      </c>
      <c r="L345" s="36">
        <v>0.87583427805394154</v>
      </c>
    </row>
    <row r="346" spans="9:12" x14ac:dyDescent="0.2">
      <c r="I346" s="1">
        <v>44938</v>
      </c>
      <c r="J346" s="27">
        <v>88.78</v>
      </c>
      <c r="K346" s="23">
        <v>2.0295417948539567E-3</v>
      </c>
      <c r="L346" s="36">
        <v>5.8462570103525936E-2</v>
      </c>
    </row>
    <row r="347" spans="9:12" x14ac:dyDescent="0.2">
      <c r="I347" s="1">
        <v>44939</v>
      </c>
      <c r="J347" s="27">
        <v>89.2</v>
      </c>
      <c r="K347" s="23">
        <v>4.7196401800744681E-3</v>
      </c>
      <c r="L347" s="36">
        <v>0.1586001116530012</v>
      </c>
    </row>
    <row r="348" spans="9:12" x14ac:dyDescent="0.2">
      <c r="I348" s="1">
        <v>44943</v>
      </c>
      <c r="J348" s="27">
        <v>88.6</v>
      </c>
      <c r="K348" s="23">
        <v>-6.7491819749285614E-3</v>
      </c>
      <c r="L348" s="36">
        <v>-0.26832094869922718</v>
      </c>
    </row>
    <row r="349" spans="9:12" x14ac:dyDescent="0.2">
      <c r="I349" s="1">
        <v>44944</v>
      </c>
      <c r="J349" s="27">
        <v>86.71</v>
      </c>
      <c r="K349" s="23">
        <v>-2.1562640221966228E-2</v>
      </c>
      <c r="L349" s="36">
        <v>-0.81974438319289011</v>
      </c>
    </row>
    <row r="350" spans="9:12" x14ac:dyDescent="0.2">
      <c r="I350" s="1">
        <v>44945</v>
      </c>
      <c r="J350" s="27">
        <v>85.94</v>
      </c>
      <c r="K350" s="23">
        <v>-8.9198390422199642E-3</v>
      </c>
      <c r="L350" s="36">
        <v>-0.34912255188956454</v>
      </c>
    </row>
    <row r="351" spans="9:12" x14ac:dyDescent="0.2">
      <c r="I351" s="1">
        <v>44946</v>
      </c>
      <c r="J351" s="27">
        <v>87.25</v>
      </c>
      <c r="K351" s="23">
        <v>1.512818273568752E-2</v>
      </c>
      <c r="L351" s="36">
        <v>0.54605280422310787</v>
      </c>
    </row>
    <row r="352" spans="9:12" x14ac:dyDescent="0.2">
      <c r="I352" s="1">
        <v>44949</v>
      </c>
      <c r="J352" s="27">
        <v>88.97</v>
      </c>
      <c r="K352" s="23">
        <v>1.9521673174139526E-2</v>
      </c>
      <c r="L352" s="36">
        <v>0.70959824692692419</v>
      </c>
    </row>
    <row r="353" spans="9:12" x14ac:dyDescent="0.2">
      <c r="I353" s="1">
        <v>44950</v>
      </c>
      <c r="J353" s="27">
        <v>89.7</v>
      </c>
      <c r="K353" s="23">
        <v>8.171534808074565E-3</v>
      </c>
      <c r="L353" s="36">
        <v>0.28709513013814686</v>
      </c>
    </row>
    <row r="354" spans="9:12" x14ac:dyDescent="0.2">
      <c r="I354" s="1">
        <v>44951</v>
      </c>
      <c r="J354" s="27">
        <v>89.64</v>
      </c>
      <c r="K354" s="23">
        <v>-6.6912013202420758E-4</v>
      </c>
      <c r="L354" s="36">
        <v>-4.1993744920282135E-2</v>
      </c>
    </row>
    <row r="355" spans="9:12" x14ac:dyDescent="0.2">
      <c r="I355" s="1">
        <v>44952</v>
      </c>
      <c r="J355" s="27">
        <v>89.83</v>
      </c>
      <c r="K355" s="23">
        <v>2.1173463083888947E-3</v>
      </c>
      <c r="L355" s="36">
        <v>6.173104837578644E-2</v>
      </c>
    </row>
    <row r="356" spans="9:12" x14ac:dyDescent="0.2">
      <c r="I356" s="1">
        <v>44953</v>
      </c>
      <c r="J356" s="27">
        <v>88.99</v>
      </c>
      <c r="K356" s="23">
        <v>-9.3949913723444557E-3</v>
      </c>
      <c r="L356" s="36">
        <v>-0.36680985524678766</v>
      </c>
    </row>
    <row r="357" spans="9:12" x14ac:dyDescent="0.2">
      <c r="I357" s="1">
        <v>44956</v>
      </c>
      <c r="J357" s="27">
        <v>87.35</v>
      </c>
      <c r="K357" s="23">
        <v>-1.8600967288705354E-2</v>
      </c>
      <c r="L357" s="36">
        <v>-0.70949761748359197</v>
      </c>
    </row>
    <row r="358" spans="9:12" x14ac:dyDescent="0.2">
      <c r="I358" s="1">
        <v>44957</v>
      </c>
      <c r="J358" s="27">
        <v>88.46</v>
      </c>
      <c r="K358" s="23">
        <v>1.2627435860115204E-2</v>
      </c>
      <c r="L358" s="36">
        <v>0.45296377612913502</v>
      </c>
    </row>
    <row r="359" spans="9:12" x14ac:dyDescent="0.2">
      <c r="I359" s="1">
        <v>44958</v>
      </c>
      <c r="J359" s="27">
        <v>90.05</v>
      </c>
      <c r="K359" s="23">
        <v>1.781459918178439E-2</v>
      </c>
      <c r="L359" s="36">
        <v>0.64605328746497548</v>
      </c>
    </row>
    <row r="360" spans="9:12" x14ac:dyDescent="0.2">
      <c r="I360" s="1">
        <v>44959</v>
      </c>
      <c r="J360" s="27">
        <v>89.38</v>
      </c>
      <c r="K360" s="23">
        <v>-7.4681281166596777E-3</v>
      </c>
      <c r="L360" s="36">
        <v>-0.29508335245924178</v>
      </c>
    </row>
    <row r="361" spans="9:12" x14ac:dyDescent="0.2">
      <c r="I361" s="1">
        <v>44960</v>
      </c>
      <c r="J361" s="27">
        <v>89.62</v>
      </c>
      <c r="K361" s="23">
        <v>2.6815658526916789E-3</v>
      </c>
      <c r="L361" s="36">
        <v>8.2733833393262554E-2</v>
      </c>
    </row>
    <row r="362" spans="9:12" x14ac:dyDescent="0.2">
      <c r="I362" s="1">
        <v>44963</v>
      </c>
      <c r="J362" s="27">
        <v>88.53</v>
      </c>
      <c r="K362" s="23">
        <v>-1.2237031735039313E-2</v>
      </c>
      <c r="L362" s="36">
        <v>-0.47260335948002158</v>
      </c>
    </row>
    <row r="363" spans="9:12" x14ac:dyDescent="0.2">
      <c r="I363" s="1">
        <v>44964</v>
      </c>
      <c r="J363" s="27">
        <v>87.74</v>
      </c>
      <c r="K363" s="23">
        <v>-8.9635818848899113E-3</v>
      </c>
      <c r="L363" s="36">
        <v>-0.35075085691714997</v>
      </c>
    </row>
    <row r="364" spans="9:12" x14ac:dyDescent="0.2">
      <c r="I364" s="1">
        <v>44965</v>
      </c>
      <c r="J364" s="27">
        <v>86.69</v>
      </c>
      <c r="K364" s="23">
        <v>-1.2039358857518912E-2</v>
      </c>
      <c r="L364" s="36">
        <v>-0.46524508734594094</v>
      </c>
    </row>
    <row r="365" spans="9:12" x14ac:dyDescent="0.2">
      <c r="I365" s="1">
        <v>44966</v>
      </c>
      <c r="J365" s="27">
        <v>86.65</v>
      </c>
      <c r="K365" s="23">
        <v>-4.6152071893388892E-4</v>
      </c>
      <c r="L365" s="36">
        <v>-3.4265962558049166E-2</v>
      </c>
    </row>
    <row r="366" spans="9:12" x14ac:dyDescent="0.2">
      <c r="I366" s="1">
        <v>44967</v>
      </c>
      <c r="J366" s="27">
        <v>87.14</v>
      </c>
      <c r="K366" s="23">
        <v>5.6390045276808595E-3</v>
      </c>
      <c r="L366" s="36">
        <v>0.19282298099612177</v>
      </c>
    </row>
    <row r="367" spans="9:12" x14ac:dyDescent="0.2">
      <c r="I367" s="1">
        <v>44970</v>
      </c>
      <c r="J367" s="27">
        <v>89.42</v>
      </c>
      <c r="K367" s="23">
        <v>2.5828350116538504E-2</v>
      </c>
      <c r="L367" s="36">
        <v>0.94436108230434745</v>
      </c>
    </row>
    <row r="368" spans="9:12" x14ac:dyDescent="0.2">
      <c r="I368" s="1">
        <v>44971</v>
      </c>
      <c r="J368" s="27">
        <v>89.09</v>
      </c>
      <c r="K368" s="23">
        <v>-3.6972760732820915E-3</v>
      </c>
      <c r="L368" s="36">
        <v>-0.15471530672336289</v>
      </c>
    </row>
    <row r="369" spans="9:12" x14ac:dyDescent="0.2">
      <c r="I369" s="1">
        <v>44972</v>
      </c>
      <c r="J369" s="27">
        <v>88.34</v>
      </c>
      <c r="K369" s="23">
        <v>-8.4540885641720027E-3</v>
      </c>
      <c r="L369" s="36">
        <v>-0.33178522768482449</v>
      </c>
    </row>
    <row r="370" spans="9:12" x14ac:dyDescent="0.2">
      <c r="I370" s="1">
        <v>44973</v>
      </c>
      <c r="J370" s="27">
        <v>87.72</v>
      </c>
      <c r="K370" s="23">
        <v>-7.0430826186929805E-3</v>
      </c>
      <c r="L370" s="36">
        <v>-0.27926125039528005</v>
      </c>
    </row>
    <row r="371" spans="9:12" x14ac:dyDescent="0.2">
      <c r="I371" s="1">
        <v>44974</v>
      </c>
      <c r="J371" s="27">
        <v>87.28</v>
      </c>
      <c r="K371" s="23">
        <v>-5.028582024871997E-3</v>
      </c>
      <c r="L371" s="36">
        <v>-0.20427249235450104</v>
      </c>
    </row>
    <row r="372" spans="9:12" x14ac:dyDescent="0.2">
      <c r="I372" s="1">
        <v>44978</v>
      </c>
      <c r="J372" s="27">
        <v>86.2</v>
      </c>
      <c r="K372" s="23">
        <v>-1.2451163855167964E-2</v>
      </c>
      <c r="L372" s="36">
        <v>-0.48057431853277099</v>
      </c>
    </row>
    <row r="373" spans="9:12" x14ac:dyDescent="0.2">
      <c r="I373" s="1">
        <v>44979</v>
      </c>
      <c r="J373" s="27">
        <v>86.32</v>
      </c>
      <c r="K373" s="23">
        <v>1.3911432802317816E-3</v>
      </c>
      <c r="L373" s="36">
        <v>3.469851071658233E-2</v>
      </c>
    </row>
    <row r="374" spans="9:12" x14ac:dyDescent="0.2">
      <c r="I374" s="1">
        <v>44980</v>
      </c>
      <c r="J374" s="27">
        <v>88.58</v>
      </c>
      <c r="K374" s="23">
        <v>2.5844777545173083E-2</v>
      </c>
      <c r="L374" s="36">
        <v>0.94497258496405834</v>
      </c>
    </row>
    <row r="375" spans="9:12" x14ac:dyDescent="0.2">
      <c r="I375" s="1">
        <v>44981</v>
      </c>
      <c r="J375" s="27">
        <v>88.66</v>
      </c>
      <c r="K375" s="23">
        <v>9.0273082185540884E-4</v>
      </c>
      <c r="L375" s="36">
        <v>1.6517605842377783E-2</v>
      </c>
    </row>
    <row r="376" spans="9:12" x14ac:dyDescent="0.2">
      <c r="I376" s="1">
        <v>44984</v>
      </c>
      <c r="J376" s="27">
        <v>87.96</v>
      </c>
      <c r="K376" s="23">
        <v>-7.9266636303470771E-3</v>
      </c>
      <c r="L376" s="36">
        <v>-0.31215210329231519</v>
      </c>
    </row>
    <row r="377" spans="9:12" x14ac:dyDescent="0.2">
      <c r="I377" s="1">
        <v>44985</v>
      </c>
      <c r="J377" s="27">
        <v>87.4</v>
      </c>
      <c r="K377" s="23">
        <v>-6.3868830250705328E-3</v>
      </c>
      <c r="L377" s="36">
        <v>-0.25483455491375762</v>
      </c>
    </row>
    <row r="378" spans="9:12" x14ac:dyDescent="0.2">
      <c r="I378" s="1">
        <v>44986</v>
      </c>
      <c r="J378" s="27">
        <v>86.34</v>
      </c>
      <c r="K378" s="23">
        <v>-1.220229253415832E-2</v>
      </c>
      <c r="L378" s="36">
        <v>-0.47131021042988719</v>
      </c>
    </row>
    <row r="379" spans="9:12" x14ac:dyDescent="0.2">
      <c r="I379" s="1">
        <v>44987</v>
      </c>
      <c r="J379" s="27">
        <v>86.97</v>
      </c>
      <c r="K379" s="23">
        <v>7.2702414743422575E-3</v>
      </c>
      <c r="L379" s="36">
        <v>0.25354494507772729</v>
      </c>
    </row>
    <row r="380" spans="9:12" x14ac:dyDescent="0.2">
      <c r="I380" s="1">
        <v>44988</v>
      </c>
      <c r="J380" s="27">
        <v>89.25</v>
      </c>
      <c r="K380" s="23">
        <v>2.5878189058074548E-2</v>
      </c>
      <c r="L380" s="36">
        <v>0.94621631150572794</v>
      </c>
    </row>
    <row r="381" spans="9:12" x14ac:dyDescent="0.2">
      <c r="I381" s="1">
        <v>44991</v>
      </c>
      <c r="J381" s="27">
        <v>89.74</v>
      </c>
      <c r="K381" s="23">
        <v>5.4751798880887208E-3</v>
      </c>
      <c r="L381" s="36">
        <v>0.18672469227028365</v>
      </c>
    </row>
    <row r="382" spans="9:12" x14ac:dyDescent="0.2">
      <c r="I382" s="1">
        <v>44992</v>
      </c>
      <c r="J382" s="27">
        <v>88.36</v>
      </c>
      <c r="K382" s="23">
        <v>-1.5497221995920853E-2</v>
      </c>
      <c r="L382" s="36">
        <v>-0.59396228058931722</v>
      </c>
    </row>
    <row r="383" spans="9:12" x14ac:dyDescent="0.2">
      <c r="I383" s="1">
        <v>44993</v>
      </c>
      <c r="J383" s="27">
        <v>88.49</v>
      </c>
      <c r="K383" s="23">
        <v>1.4701727273424305E-3</v>
      </c>
      <c r="L383" s="36">
        <v>3.7640341612862338E-2</v>
      </c>
    </row>
    <row r="384" spans="9:12" x14ac:dyDescent="0.2">
      <c r="I384" s="1">
        <v>44994</v>
      </c>
      <c r="J384" s="27">
        <v>86.87</v>
      </c>
      <c r="K384" s="23">
        <v>-1.8476803007429595E-2</v>
      </c>
      <c r="L384" s="36">
        <v>-0.70487566538566049</v>
      </c>
    </row>
    <row r="385" spans="9:12" x14ac:dyDescent="0.2">
      <c r="I385" s="1">
        <v>44995</v>
      </c>
      <c r="J385" s="27">
        <v>84.07</v>
      </c>
      <c r="K385" s="23">
        <v>-3.2762963124623803E-2</v>
      </c>
      <c r="L385" s="36">
        <v>-1.2366706957004063</v>
      </c>
    </row>
    <row r="386" spans="9:12" x14ac:dyDescent="0.2">
      <c r="I386" s="1">
        <v>44998</v>
      </c>
      <c r="J386" s="27">
        <v>84.93</v>
      </c>
      <c r="K386" s="23">
        <v>1.0177602644712586E-2</v>
      </c>
      <c r="L386" s="36">
        <v>0.36176998309001723</v>
      </c>
    </row>
    <row r="387" spans="9:12" x14ac:dyDescent="0.2">
      <c r="I387" s="1">
        <v>44999</v>
      </c>
      <c r="J387" s="27">
        <v>84.56</v>
      </c>
      <c r="K387" s="23">
        <v>-4.366046229935837E-3</v>
      </c>
      <c r="L387" s="36">
        <v>-0.1796099350079243</v>
      </c>
    </row>
    <row r="388" spans="9:12" x14ac:dyDescent="0.2">
      <c r="I388" s="1">
        <v>45000</v>
      </c>
      <c r="J388" s="27">
        <v>82.98</v>
      </c>
      <c r="K388" s="23">
        <v>-1.8861726657260377E-2</v>
      </c>
      <c r="L388" s="36">
        <v>-0.71920425209835281</v>
      </c>
    </row>
    <row r="389" spans="9:12" x14ac:dyDescent="0.2">
      <c r="I389" s="1">
        <v>45001</v>
      </c>
      <c r="J389" s="27">
        <v>84.82</v>
      </c>
      <c r="K389" s="23">
        <v>2.1931749141722669E-2</v>
      </c>
      <c r="L389" s="36">
        <v>0.7993120966757562</v>
      </c>
    </row>
    <row r="390" spans="9:12" x14ac:dyDescent="0.2">
      <c r="I390" s="1">
        <v>45002</v>
      </c>
      <c r="J390" s="27">
        <v>85.26</v>
      </c>
      <c r="K390" s="23">
        <v>5.1740472906197975E-3</v>
      </c>
      <c r="L390" s="36">
        <v>0.17551518478289341</v>
      </c>
    </row>
    <row r="391" spans="9:12" x14ac:dyDescent="0.2">
      <c r="I391" s="1">
        <v>45005</v>
      </c>
      <c r="J391" s="27">
        <v>86.96</v>
      </c>
      <c r="K391" s="23">
        <v>1.9742831475889507E-2</v>
      </c>
      <c r="L391" s="36">
        <v>0.71783075201007362</v>
      </c>
    </row>
    <row r="392" spans="9:12" x14ac:dyDescent="0.2">
      <c r="I392" s="1">
        <v>45006</v>
      </c>
      <c r="J392" s="27">
        <v>87.58</v>
      </c>
      <c r="K392" s="23">
        <v>7.1044185602983116E-3</v>
      </c>
      <c r="L392" s="36">
        <v>0.24737227160371619</v>
      </c>
    </row>
    <row r="393" spans="9:12" x14ac:dyDescent="0.2">
      <c r="I393" s="1">
        <v>45007</v>
      </c>
      <c r="J393" s="27">
        <v>87.9</v>
      </c>
      <c r="K393" s="23">
        <v>3.6471433178791183E-3</v>
      </c>
      <c r="L393" s="36">
        <v>0.11867696248871321</v>
      </c>
    </row>
    <row r="394" spans="9:12" x14ac:dyDescent="0.2">
      <c r="I394" s="1">
        <v>45008</v>
      </c>
      <c r="J394" s="27">
        <v>87.78</v>
      </c>
      <c r="K394" s="23">
        <v>-1.366120431043414E-3</v>
      </c>
      <c r="L394" s="36">
        <v>-6.7939225868671752E-2</v>
      </c>
    </row>
    <row r="395" spans="9:12" x14ac:dyDescent="0.2">
      <c r="I395" s="1">
        <v>45009</v>
      </c>
      <c r="J395" s="27">
        <v>88.01</v>
      </c>
      <c r="K395" s="23">
        <v>2.616760125632462E-3</v>
      </c>
      <c r="L395" s="36">
        <v>8.0321473227667972E-2</v>
      </c>
    </row>
    <row r="396" spans="9:12" x14ac:dyDescent="0.2">
      <c r="I396" s="1">
        <v>45012</v>
      </c>
      <c r="J396" s="27">
        <v>90.14</v>
      </c>
      <c r="K396" s="23">
        <v>2.3913572876781707E-2</v>
      </c>
      <c r="L396" s="36">
        <v>0.87308447530083877</v>
      </c>
    </row>
    <row r="397" spans="9:12" x14ac:dyDescent="0.2">
      <c r="I397" s="1">
        <v>45013</v>
      </c>
      <c r="J397" s="27">
        <v>89.85</v>
      </c>
      <c r="K397" s="23">
        <v>-3.2224040329342884E-3</v>
      </c>
      <c r="L397" s="36">
        <v>-0.13703843701024487</v>
      </c>
    </row>
    <row r="398" spans="9:12" x14ac:dyDescent="0.2">
      <c r="I398" s="1">
        <v>45014</v>
      </c>
      <c r="J398" s="27">
        <v>90.62</v>
      </c>
      <c r="K398" s="23">
        <v>8.5333260094242191E-3</v>
      </c>
      <c r="L398" s="36">
        <v>0.30056262324413441</v>
      </c>
    </row>
    <row r="399" spans="9:12" x14ac:dyDescent="0.2">
      <c r="I399" s="1">
        <v>45015</v>
      </c>
      <c r="J399" s="27">
        <v>90.51</v>
      </c>
      <c r="K399" s="23">
        <v>-1.2145973999127531E-3</v>
      </c>
      <c r="L399" s="36">
        <v>-6.2298858249066932E-2</v>
      </c>
    </row>
    <row r="400" spans="9:12" x14ac:dyDescent="0.2">
      <c r="I400" s="1">
        <v>45016</v>
      </c>
      <c r="J400" s="27">
        <v>92.92</v>
      </c>
      <c r="K400" s="23">
        <v>2.6278566063128922E-2</v>
      </c>
      <c r="L400" s="36">
        <v>0.9611201414917826</v>
      </c>
    </row>
    <row r="401" spans="9:12" x14ac:dyDescent="0.2">
      <c r="I401" s="1">
        <v>45019</v>
      </c>
      <c r="J401" s="27">
        <v>93.92</v>
      </c>
      <c r="K401" s="23">
        <v>1.0704448177577944E-2</v>
      </c>
      <c r="L401" s="36">
        <v>0.38138153957706206</v>
      </c>
    </row>
    <row r="402" spans="9:12" x14ac:dyDescent="0.2">
      <c r="I402" s="1">
        <v>45020</v>
      </c>
      <c r="J402" s="27">
        <v>94</v>
      </c>
      <c r="K402" s="23">
        <v>8.5142619021752355E-4</v>
      </c>
      <c r="L402" s="36">
        <v>1.4607817073853568E-2</v>
      </c>
    </row>
    <row r="403" spans="9:12" x14ac:dyDescent="0.2">
      <c r="I403" s="1">
        <v>45021</v>
      </c>
      <c r="J403" s="27">
        <v>94.89</v>
      </c>
      <c r="K403" s="23">
        <v>9.4235437156633718E-3</v>
      </c>
      <c r="L403" s="36">
        <v>0.33370052371512199</v>
      </c>
    </row>
    <row r="404" spans="9:12" x14ac:dyDescent="0.2">
      <c r="I404" s="1">
        <v>45022</v>
      </c>
      <c r="J404" s="27">
        <v>95.92</v>
      </c>
      <c r="K404" s="23">
        <v>1.0796184733591747E-2</v>
      </c>
      <c r="L404" s="36">
        <v>0.38479638612687889</v>
      </c>
    </row>
    <row r="405" spans="9:12" x14ac:dyDescent="0.2">
      <c r="I405" s="1">
        <v>45026</v>
      </c>
      <c r="J405" s="27">
        <v>93.76</v>
      </c>
      <c r="K405" s="23">
        <v>-2.2776184890556307E-2</v>
      </c>
      <c r="L405" s="36">
        <v>-0.86491796507403085</v>
      </c>
    </row>
    <row r="406" spans="9:12" x14ac:dyDescent="0.2">
      <c r="I406" s="1">
        <v>45027</v>
      </c>
      <c r="J406" s="27">
        <v>93.97</v>
      </c>
      <c r="K406" s="23">
        <v>2.2372565662710274E-3</v>
      </c>
      <c r="L406" s="36">
        <v>6.6194646620687095E-2</v>
      </c>
    </row>
    <row r="407" spans="9:12" x14ac:dyDescent="0.2">
      <c r="I407" s="1">
        <v>45028</v>
      </c>
      <c r="J407" s="27">
        <v>93.9</v>
      </c>
      <c r="K407" s="23">
        <v>-7.451961807563379E-4</v>
      </c>
      <c r="L407" s="36">
        <v>-4.482563706693652E-2</v>
      </c>
    </row>
    <row r="408" spans="9:12" x14ac:dyDescent="0.2">
      <c r="I408" s="1">
        <v>45029</v>
      </c>
      <c r="J408" s="27">
        <v>95.55</v>
      </c>
      <c r="K408" s="23">
        <v>1.7419284472064662E-2</v>
      </c>
      <c r="L408" s="36">
        <v>0.63133789884307079</v>
      </c>
    </row>
    <row r="409" spans="9:12" x14ac:dyDescent="0.2">
      <c r="I409" s="1">
        <v>45030</v>
      </c>
      <c r="J409" s="27">
        <v>95.71</v>
      </c>
      <c r="K409" s="23">
        <v>1.6731155215330758E-3</v>
      </c>
      <c r="L409" s="36">
        <v>4.5194783709509481E-2</v>
      </c>
    </row>
    <row r="410" spans="9:12" x14ac:dyDescent="0.2">
      <c r="I410" s="1">
        <v>45033</v>
      </c>
      <c r="J410" s="27">
        <v>95.59</v>
      </c>
      <c r="K410" s="23">
        <v>-1.2545741321437699E-3</v>
      </c>
      <c r="L410" s="36">
        <v>-6.3786971734725764E-2</v>
      </c>
    </row>
    <row r="411" spans="9:12" x14ac:dyDescent="0.2">
      <c r="I411" s="1">
        <v>45034</v>
      </c>
      <c r="J411" s="27">
        <v>96.47</v>
      </c>
      <c r="K411" s="23">
        <v>9.1638671067910109E-3</v>
      </c>
      <c r="L411" s="36">
        <v>0.32403419427778751</v>
      </c>
    </row>
    <row r="412" spans="9:12" x14ac:dyDescent="0.2">
      <c r="I412" s="1">
        <v>45035</v>
      </c>
      <c r="J412" s="27">
        <v>95.81</v>
      </c>
      <c r="K412" s="23">
        <v>-6.8650155196801959E-3</v>
      </c>
      <c r="L412" s="36">
        <v>-0.27263279337528684</v>
      </c>
    </row>
    <row r="413" spans="9:12" x14ac:dyDescent="0.2">
      <c r="I413" s="1">
        <v>45036</v>
      </c>
      <c r="J413" s="27">
        <v>94.83</v>
      </c>
      <c r="K413" s="23">
        <v>-1.0281248767145933E-2</v>
      </c>
      <c r="L413" s="36">
        <v>-0.39980033514263275</v>
      </c>
    </row>
    <row r="414" spans="9:12" x14ac:dyDescent="0.2">
      <c r="I414" s="1">
        <v>45037</v>
      </c>
      <c r="J414" s="27">
        <v>95.15</v>
      </c>
      <c r="K414" s="23">
        <v>3.3687788465225662E-3</v>
      </c>
      <c r="L414" s="36">
        <v>0.10831498689350483</v>
      </c>
    </row>
    <row r="415" spans="9:12" x14ac:dyDescent="0.2">
      <c r="I415" s="1">
        <v>45040</v>
      </c>
      <c r="J415" s="27">
        <v>95.44</v>
      </c>
      <c r="K415" s="23">
        <v>3.0431840475021389E-3</v>
      </c>
      <c r="L415" s="36">
        <v>9.6194886418990599E-2</v>
      </c>
    </row>
    <row r="416" spans="9:12" x14ac:dyDescent="0.2">
      <c r="I416" s="1">
        <v>45041</v>
      </c>
      <c r="J416" s="27">
        <v>94.06</v>
      </c>
      <c r="K416" s="23">
        <v>-1.4564901272758717E-2</v>
      </c>
      <c r="L416" s="36">
        <v>-0.5592571167685404</v>
      </c>
    </row>
    <row r="417" spans="9:12" x14ac:dyDescent="0.2">
      <c r="I417" s="1">
        <v>45042</v>
      </c>
      <c r="J417" s="27">
        <v>93.71</v>
      </c>
      <c r="K417" s="23">
        <v>-3.7279693811697791E-3</v>
      </c>
      <c r="L417" s="36">
        <v>-0.15585784946855777</v>
      </c>
    </row>
    <row r="418" spans="9:12" x14ac:dyDescent="0.2">
      <c r="I418" s="1">
        <v>45043</v>
      </c>
      <c r="J418" s="27">
        <v>95.04</v>
      </c>
      <c r="K418" s="23">
        <v>1.4092948478602686E-2</v>
      </c>
      <c r="L418" s="36">
        <v>0.50751673654550322</v>
      </c>
    </row>
    <row r="419" spans="9:12" x14ac:dyDescent="0.2">
      <c r="I419" s="1">
        <v>45044</v>
      </c>
      <c r="J419" s="27">
        <v>94.72</v>
      </c>
      <c r="K419" s="23">
        <v>-3.3726844786393416E-3</v>
      </c>
      <c r="L419" s="36">
        <v>-0.14263255002058736</v>
      </c>
    </row>
    <row r="420" spans="9:12" x14ac:dyDescent="0.2">
      <c r="I420" s="1">
        <v>45047</v>
      </c>
      <c r="J420" s="27">
        <v>94.87</v>
      </c>
      <c r="K420" s="23">
        <v>1.5823622690899586E-3</v>
      </c>
      <c r="L420" s="36">
        <v>4.1816540134032326E-2</v>
      </c>
    </row>
    <row r="421" spans="9:12" x14ac:dyDescent="0.2">
      <c r="I421" s="1">
        <v>45048</v>
      </c>
      <c r="J421" s="27">
        <v>94.8</v>
      </c>
      <c r="K421" s="23">
        <v>-7.3812414380938828E-4</v>
      </c>
      <c r="L421" s="36">
        <v>-4.456238409540754E-2</v>
      </c>
    </row>
    <row r="422" spans="9:12" x14ac:dyDescent="0.2">
      <c r="I422" s="1">
        <v>45049</v>
      </c>
      <c r="J422" s="27">
        <v>94.78</v>
      </c>
      <c r="K422" s="23">
        <v>-2.1099272153384476E-4</v>
      </c>
      <c r="L422" s="36">
        <v>-2.4940185520754186E-2</v>
      </c>
    </row>
    <row r="423" spans="9:12" x14ac:dyDescent="0.2">
      <c r="I423" s="1">
        <v>45050</v>
      </c>
      <c r="J423" s="27">
        <v>94.97</v>
      </c>
      <c r="K423" s="23">
        <v>2.002635715418893E-3</v>
      </c>
      <c r="L423" s="36">
        <v>5.7461005007555917E-2</v>
      </c>
    </row>
    <row r="424" spans="9:12" x14ac:dyDescent="0.2">
      <c r="I424" s="1">
        <v>45051</v>
      </c>
      <c r="J424" s="27">
        <v>96.97</v>
      </c>
      <c r="K424" s="23">
        <v>2.0840600061593842E-2</v>
      </c>
      <c r="L424" s="36">
        <v>0.7586946282038306</v>
      </c>
    </row>
    <row r="425" spans="9:12" x14ac:dyDescent="0.2">
      <c r="I425" s="1">
        <v>45054</v>
      </c>
      <c r="J425" s="27">
        <v>96.79</v>
      </c>
      <c r="K425" s="23">
        <v>-1.8579691554575796E-3</v>
      </c>
      <c r="L425" s="36">
        <v>-8.6248043995055118E-2</v>
      </c>
    </row>
    <row r="426" spans="9:12" x14ac:dyDescent="0.2">
      <c r="I426" s="1">
        <v>45055</v>
      </c>
      <c r="J426" s="27">
        <v>96.14</v>
      </c>
      <c r="K426" s="23">
        <v>-6.7382206951826567E-3</v>
      </c>
      <c r="L426" s="36">
        <v>-0.26791292064641642</v>
      </c>
    </row>
    <row r="427" spans="9:12" x14ac:dyDescent="0.2">
      <c r="I427" s="1">
        <v>45056</v>
      </c>
      <c r="J427" s="27">
        <v>97.52</v>
      </c>
      <c r="K427" s="23">
        <v>1.4252022707201413E-2</v>
      </c>
      <c r="L427" s="36">
        <v>0.51343819364286136</v>
      </c>
    </row>
    <row r="428" spans="9:12" x14ac:dyDescent="0.2">
      <c r="I428" s="1">
        <v>45057</v>
      </c>
      <c r="J428" s="27">
        <v>97.44</v>
      </c>
      <c r="K428" s="23">
        <v>-8.2068121142922067E-4</v>
      </c>
      <c r="L428" s="36">
        <v>-4.7635528867510796E-2</v>
      </c>
    </row>
    <row r="429" spans="9:12" x14ac:dyDescent="0.2">
      <c r="I429" s="1">
        <v>45058</v>
      </c>
      <c r="J429" s="27">
        <v>97.85</v>
      </c>
      <c r="K429" s="23">
        <v>4.1988898804983599E-3</v>
      </c>
      <c r="L429" s="36">
        <v>0.13921544711909431</v>
      </c>
    </row>
    <row r="430" spans="9:12" x14ac:dyDescent="0.2">
      <c r="I430" s="1">
        <v>45061</v>
      </c>
      <c r="J430" s="27">
        <v>97.26</v>
      </c>
      <c r="K430" s="23">
        <v>-6.0478888664454418E-3</v>
      </c>
      <c r="L430" s="36">
        <v>-0.2422156701061052</v>
      </c>
    </row>
    <row r="431" spans="9:12" x14ac:dyDescent="0.2">
      <c r="I431" s="1">
        <v>45062</v>
      </c>
      <c r="J431" s="27">
        <v>98.25</v>
      </c>
      <c r="K431" s="23">
        <v>1.0127445773730802E-2</v>
      </c>
      <c r="L431" s="36">
        <v>0.35990291912703198</v>
      </c>
    </row>
    <row r="432" spans="9:12" x14ac:dyDescent="0.2">
      <c r="I432" s="1">
        <v>45063</v>
      </c>
      <c r="J432" s="27">
        <v>99.77</v>
      </c>
      <c r="K432" s="23">
        <v>1.5352286176045123E-2</v>
      </c>
      <c r="L432" s="36">
        <v>0.5543949405901204</v>
      </c>
    </row>
    <row r="433" spans="9:12" x14ac:dyDescent="0.2">
      <c r="I433" s="1">
        <v>45064</v>
      </c>
      <c r="J433" s="27">
        <v>102.34</v>
      </c>
      <c r="K433" s="23">
        <v>2.5433066451530123E-2</v>
      </c>
      <c r="L433" s="36">
        <v>0.92964684930600272</v>
      </c>
    </row>
    <row r="434" spans="9:12" x14ac:dyDescent="0.2">
      <c r="I434" s="1">
        <v>45065</v>
      </c>
      <c r="J434" s="27">
        <v>102.84</v>
      </c>
      <c r="K434" s="23">
        <v>4.873779020742877E-3</v>
      </c>
      <c r="L434" s="36">
        <v>0.16433785144966498</v>
      </c>
    </row>
    <row r="435" spans="9:12" x14ac:dyDescent="0.2">
      <c r="I435" s="1">
        <v>45068</v>
      </c>
      <c r="J435" s="27">
        <v>101.77</v>
      </c>
      <c r="K435" s="23">
        <v>-1.0459017193848582E-2</v>
      </c>
      <c r="L435" s="36">
        <v>-0.40641767423808078</v>
      </c>
    </row>
    <row r="436" spans="9:12" x14ac:dyDescent="0.2">
      <c r="I436" s="1">
        <v>45069</v>
      </c>
      <c r="J436" s="27">
        <v>98.54</v>
      </c>
      <c r="K436" s="23">
        <v>-3.225280808802302E-2</v>
      </c>
      <c r="L436" s="36">
        <v>-1.2176804344315431</v>
      </c>
    </row>
    <row r="437" spans="9:12" x14ac:dyDescent="0.2">
      <c r="I437" s="1">
        <v>45070</v>
      </c>
      <c r="J437" s="27">
        <v>98.32</v>
      </c>
      <c r="K437" s="23">
        <v>-2.2350918580378125E-3</v>
      </c>
      <c r="L437" s="36">
        <v>-0.10028624442161048</v>
      </c>
    </row>
    <row r="438" spans="9:12" x14ac:dyDescent="0.2">
      <c r="I438" s="1">
        <v>45071</v>
      </c>
      <c r="J438" s="27">
        <v>104.29</v>
      </c>
      <c r="K438" s="23">
        <v>5.8948014875342222E-2</v>
      </c>
      <c r="L438" s="36">
        <v>2.1772237255855291</v>
      </c>
    </row>
    <row r="439" spans="9:12" x14ac:dyDescent="0.2">
      <c r="I439" s="1">
        <v>45072</v>
      </c>
      <c r="J439" s="27">
        <v>104.08</v>
      </c>
      <c r="K439" s="23">
        <v>-2.0156459288717182E-3</v>
      </c>
      <c r="L439" s="36">
        <v>-9.2117481535292589E-2</v>
      </c>
    </row>
    <row r="440" spans="9:12" x14ac:dyDescent="0.2">
      <c r="I440" s="1">
        <v>45076</v>
      </c>
      <c r="J440" s="27">
        <v>105.15</v>
      </c>
      <c r="K440" s="23">
        <v>1.0228067944459122E-2</v>
      </c>
      <c r="L440" s="36">
        <v>0.36364852815659898</v>
      </c>
    </row>
    <row r="441" spans="9:12" x14ac:dyDescent="0.2">
      <c r="I441" s="1">
        <v>45077</v>
      </c>
      <c r="J441" s="27">
        <v>105.94</v>
      </c>
      <c r="K441" s="23">
        <v>7.4849939676717835E-3</v>
      </c>
      <c r="L441" s="36">
        <v>0.26153899720674489</v>
      </c>
    </row>
    <row r="442" spans="9:12" x14ac:dyDescent="0.2">
      <c r="I442" s="1">
        <v>45078</v>
      </c>
      <c r="J442" s="27">
        <v>105.99</v>
      </c>
      <c r="K442" s="23">
        <v>4.7185392278299205E-4</v>
      </c>
      <c r="L442" s="36">
        <v>4.7843284386443443E-4</v>
      </c>
    </row>
    <row r="443" spans="9:12" x14ac:dyDescent="0.2">
      <c r="I443" s="1">
        <v>45079</v>
      </c>
      <c r="J443" s="27">
        <v>105.89</v>
      </c>
      <c r="K443" s="23">
        <v>-9.4393059680036103E-4</v>
      </c>
      <c r="L443" s="36">
        <v>-5.222342443161232E-2</v>
      </c>
    </row>
    <row r="444" spans="9:12" x14ac:dyDescent="0.2">
      <c r="I444" s="1">
        <v>45082</v>
      </c>
      <c r="J444" s="27">
        <v>106.93</v>
      </c>
      <c r="K444" s="23">
        <v>9.7735953262022314E-3</v>
      </c>
      <c r="L444" s="36">
        <v>0.34673101653552579</v>
      </c>
    </row>
    <row r="445" spans="9:12" x14ac:dyDescent="0.2">
      <c r="I445" s="1">
        <v>45083</v>
      </c>
      <c r="J445" s="27">
        <v>107.1</v>
      </c>
      <c r="K445" s="23">
        <v>1.5885626851377399E-3</v>
      </c>
      <c r="L445" s="36">
        <v>4.2047347461756826E-2</v>
      </c>
    </row>
    <row r="446" spans="9:12" x14ac:dyDescent="0.2">
      <c r="I446" s="1">
        <v>45084</v>
      </c>
      <c r="J446" s="27">
        <v>105.25</v>
      </c>
      <c r="K446" s="23">
        <v>-1.7424504891212222E-2</v>
      </c>
      <c r="L446" s="36">
        <v>-0.66570440424737543</v>
      </c>
    </row>
    <row r="447" spans="9:12" x14ac:dyDescent="0.2">
      <c r="I447" s="1">
        <v>45085</v>
      </c>
      <c r="J447" s="27">
        <v>107.48</v>
      </c>
      <c r="K447" s="23">
        <v>2.0966311184799809E-2</v>
      </c>
      <c r="L447" s="36">
        <v>0.76337416070436293</v>
      </c>
    </row>
    <row r="448" spans="9:12" x14ac:dyDescent="0.2">
      <c r="I448" s="1">
        <v>45086</v>
      </c>
      <c r="J448" s="27">
        <v>109.85</v>
      </c>
      <c r="K448" s="23">
        <v>2.1811015083328663E-2</v>
      </c>
      <c r="L448" s="36">
        <v>0.79481783287659946</v>
      </c>
    </row>
    <row r="449" spans="9:12" x14ac:dyDescent="0.2">
      <c r="I449" s="1">
        <v>45089</v>
      </c>
      <c r="J449" s="27">
        <v>116.43</v>
      </c>
      <c r="K449" s="23">
        <v>5.8174435218305613E-2</v>
      </c>
      <c r="L449" s="36">
        <v>2.1484276170588212</v>
      </c>
    </row>
    <row r="450" spans="9:12" x14ac:dyDescent="0.2">
      <c r="I450" s="1">
        <v>45090</v>
      </c>
      <c r="J450" s="27">
        <v>116.68</v>
      </c>
      <c r="K450" s="23">
        <v>2.1449109505961073E-3</v>
      </c>
      <c r="L450" s="36">
        <v>6.275712813535439E-2</v>
      </c>
    </row>
    <row r="451" spans="9:12" x14ac:dyDescent="0.2">
      <c r="I451" s="1">
        <v>45091</v>
      </c>
      <c r="J451" s="27">
        <v>122.27</v>
      </c>
      <c r="K451" s="23">
        <v>4.6796569156577997E-2</v>
      </c>
      <c r="L451" s="36">
        <v>1.7248923509286869</v>
      </c>
    </row>
    <row r="452" spans="9:12" x14ac:dyDescent="0.2">
      <c r="I452" s="1">
        <v>45092</v>
      </c>
      <c r="J452" s="27">
        <v>126.55</v>
      </c>
      <c r="K452" s="23">
        <v>3.4405772835034348E-2</v>
      </c>
      <c r="L452" s="36">
        <v>1.2636512720534423</v>
      </c>
    </row>
    <row r="453" spans="9:12" x14ac:dyDescent="0.2">
      <c r="I453" s="1">
        <v>45093</v>
      </c>
      <c r="J453" s="27">
        <v>125.46</v>
      </c>
      <c r="K453" s="23">
        <v>-8.6505043225358295E-3</v>
      </c>
      <c r="L453" s="36">
        <v>-0.3390967041989138</v>
      </c>
    </row>
    <row r="454" spans="9:12" x14ac:dyDescent="0.2">
      <c r="I454" s="1">
        <v>45097</v>
      </c>
      <c r="J454" s="27">
        <v>122.04</v>
      </c>
      <c r="K454" s="23">
        <v>-2.7638122820128164E-2</v>
      </c>
      <c r="L454" s="36">
        <v>-1.0459011269198244</v>
      </c>
    </row>
    <row r="455" spans="9:12" x14ac:dyDescent="0.2">
      <c r="I455" s="1">
        <v>45098</v>
      </c>
      <c r="J455" s="27">
        <v>122.1</v>
      </c>
      <c r="K455" s="23">
        <v>4.9152126819009066E-4</v>
      </c>
      <c r="L455" s="36">
        <v>1.2105397544114179E-3</v>
      </c>
    </row>
    <row r="456" spans="9:12" x14ac:dyDescent="0.2">
      <c r="I456" s="1">
        <v>45099</v>
      </c>
      <c r="J456" s="27">
        <v>120.58</v>
      </c>
      <c r="K456" s="23">
        <v>-1.2526948055399504E-2</v>
      </c>
      <c r="L456" s="36">
        <v>-0.48339534676771323</v>
      </c>
    </row>
    <row r="457" spans="9:12" x14ac:dyDescent="0.2">
      <c r="I457" s="1">
        <v>45100</v>
      </c>
      <c r="J457" s="27">
        <v>118.64</v>
      </c>
      <c r="K457" s="23">
        <v>-1.6219735231582856E-2</v>
      </c>
      <c r="L457" s="36">
        <v>-0.62085746760316285</v>
      </c>
    </row>
    <row r="458" spans="9:12" x14ac:dyDescent="0.2">
      <c r="I458" s="1">
        <v>45103</v>
      </c>
      <c r="J458" s="27">
        <v>116.78</v>
      </c>
      <c r="K458" s="23">
        <v>-1.5801874974285129E-2</v>
      </c>
      <c r="L458" s="36">
        <v>-0.60530283246159511</v>
      </c>
    </row>
    <row r="459" spans="9:12" x14ac:dyDescent="0.2">
      <c r="I459" s="1">
        <v>45104</v>
      </c>
      <c r="J459" s="27">
        <v>117.84</v>
      </c>
      <c r="K459" s="23">
        <v>9.0359492989832407E-3</v>
      </c>
      <c r="L459" s="36">
        <v>0.31927251906745191</v>
      </c>
    </row>
    <row r="460" spans="9:12" x14ac:dyDescent="0.2">
      <c r="I460" s="1">
        <v>45105</v>
      </c>
      <c r="J460" s="27">
        <v>116.53</v>
      </c>
      <c r="K460" s="23">
        <v>-1.1179021569202908E-2</v>
      </c>
      <c r="L460" s="36">
        <v>-0.43321947020545676</v>
      </c>
    </row>
    <row r="461" spans="9:12" x14ac:dyDescent="0.2">
      <c r="I461" s="1">
        <v>45106</v>
      </c>
      <c r="J461" s="27">
        <v>117.78</v>
      </c>
      <c r="K461" s="23">
        <v>1.0669726931252777E-2</v>
      </c>
      <c r="L461" s="36">
        <v>0.38008905887611888</v>
      </c>
    </row>
    <row r="462" spans="9:12" x14ac:dyDescent="0.2">
      <c r="I462" s="1">
        <v>45107</v>
      </c>
      <c r="J462" s="27">
        <v>119.09</v>
      </c>
      <c r="K462" s="23">
        <v>1.1061032263479693E-2</v>
      </c>
      <c r="L462" s="36">
        <v>0.39465520046398206</v>
      </c>
    </row>
    <row r="463" spans="9:12" x14ac:dyDescent="0.2">
      <c r="I463" s="1">
        <v>45110</v>
      </c>
      <c r="J463" s="27">
        <v>117.15</v>
      </c>
      <c r="K463" s="23">
        <v>-1.6424344826099706E-2</v>
      </c>
      <c r="L463" s="36">
        <v>-0.62847395549257246</v>
      </c>
    </row>
    <row r="464" spans="9:12" x14ac:dyDescent="0.2">
      <c r="I464" s="1">
        <v>45112</v>
      </c>
      <c r="J464" s="27">
        <v>115.96</v>
      </c>
      <c r="K464" s="23">
        <v>-1.0209860900349983E-2</v>
      </c>
      <c r="L464" s="36">
        <v>-0.39714295817951401</v>
      </c>
    </row>
    <row r="465" spans="9:12" x14ac:dyDescent="0.2">
      <c r="I465" s="1">
        <v>45113</v>
      </c>
      <c r="J465" s="27">
        <v>115.45</v>
      </c>
      <c r="K465" s="23">
        <v>-4.4077682529502617E-3</v>
      </c>
      <c r="L465" s="36">
        <v>-0.18116301605361723</v>
      </c>
    </row>
    <row r="466" spans="9:12" x14ac:dyDescent="0.2">
      <c r="I466" s="1">
        <v>45114</v>
      </c>
      <c r="J466" s="27">
        <v>114.61</v>
      </c>
      <c r="K466" s="23">
        <v>-7.3024752918966025E-3</v>
      </c>
      <c r="L466" s="36">
        <v>-0.28891701047203572</v>
      </c>
    </row>
    <row r="467" spans="9:12" x14ac:dyDescent="0.2">
      <c r="I467" s="1">
        <v>45117</v>
      </c>
      <c r="J467" s="27">
        <v>114.38</v>
      </c>
      <c r="K467" s="23">
        <v>-2.0088220214377383E-3</v>
      </c>
      <c r="L467" s="36">
        <v>-9.186346505844023E-2</v>
      </c>
    </row>
    <row r="468" spans="9:12" x14ac:dyDescent="0.2">
      <c r="I468" s="1">
        <v>45118</v>
      </c>
      <c r="J468" s="27">
        <v>114.88</v>
      </c>
      <c r="K468" s="23">
        <v>4.3618668127439796E-3</v>
      </c>
      <c r="L468" s="36">
        <v>0.14528218037093926</v>
      </c>
    </row>
    <row r="469" spans="9:12" x14ac:dyDescent="0.2">
      <c r="I469" s="1">
        <v>45119</v>
      </c>
      <c r="J469" s="27">
        <v>116.02</v>
      </c>
      <c r="K469" s="23">
        <v>9.8744847380042317E-3</v>
      </c>
      <c r="L469" s="36">
        <v>0.35048657347787782</v>
      </c>
    </row>
    <row r="470" spans="9:12" x14ac:dyDescent="0.2">
      <c r="I470" s="1">
        <v>45120</v>
      </c>
      <c r="J470" s="27">
        <v>117.45</v>
      </c>
      <c r="K470" s="23">
        <v>1.2250121067003669E-2</v>
      </c>
      <c r="L470" s="36">
        <v>0.43891842523043884</v>
      </c>
    </row>
    <row r="471" spans="9:12" x14ac:dyDescent="0.2">
      <c r="I471" s="1">
        <v>45121</v>
      </c>
      <c r="J471" s="27">
        <v>119.27</v>
      </c>
      <c r="K471" s="23">
        <v>1.5377119485655798E-2</v>
      </c>
      <c r="L471" s="36">
        <v>0.55531934788563508</v>
      </c>
    </row>
    <row r="472" spans="9:12" x14ac:dyDescent="0.2">
      <c r="I472" s="1">
        <v>45124</v>
      </c>
      <c r="J472" s="27">
        <v>118.89</v>
      </c>
      <c r="K472" s="23">
        <v>-3.19113472012432E-3</v>
      </c>
      <c r="L472" s="36">
        <v>-0.13587445277534296</v>
      </c>
    </row>
    <row r="473" spans="9:12" x14ac:dyDescent="0.2">
      <c r="I473" s="1">
        <v>45125</v>
      </c>
      <c r="J473" s="27">
        <v>120.77</v>
      </c>
      <c r="K473" s="23">
        <v>1.5689214416830438E-2</v>
      </c>
      <c r="L473" s="36">
        <v>0.56693692265895301</v>
      </c>
    </row>
    <row r="474" spans="9:12" x14ac:dyDescent="0.2">
      <c r="I474" s="1">
        <v>45126</v>
      </c>
      <c r="J474" s="27">
        <v>118.69</v>
      </c>
      <c r="K474" s="23">
        <v>-1.7372858218870035E-2</v>
      </c>
      <c r="L474" s="36">
        <v>-0.66378188318793319</v>
      </c>
    </row>
    <row r="475" spans="9:12" x14ac:dyDescent="0.2">
      <c r="I475" s="1">
        <v>45127</v>
      </c>
      <c r="J475" s="27">
        <v>115.88</v>
      </c>
      <c r="K475" s="23">
        <v>-2.3959879167264261E-2</v>
      </c>
      <c r="L475" s="36">
        <v>-0.90898038132874437</v>
      </c>
    </row>
    <row r="476" spans="9:12" x14ac:dyDescent="0.2">
      <c r="I476" s="1">
        <v>45128</v>
      </c>
      <c r="J476" s="27">
        <v>117.65</v>
      </c>
      <c r="K476" s="23">
        <v>1.5158942272221967E-2</v>
      </c>
      <c r="L476" s="36">
        <v>0.54719781229592901</v>
      </c>
    </row>
    <row r="477" spans="9:12" x14ac:dyDescent="0.2">
      <c r="I477" s="1">
        <v>45131</v>
      </c>
      <c r="J477" s="27">
        <v>118.07</v>
      </c>
      <c r="K477" s="23">
        <v>3.563553745646807E-3</v>
      </c>
      <c r="L477" s="36">
        <v>0.11556538325856182</v>
      </c>
    </row>
    <row r="478" spans="9:12" x14ac:dyDescent="0.2">
      <c r="I478" s="1">
        <v>45132</v>
      </c>
      <c r="J478" s="27">
        <v>117.95</v>
      </c>
      <c r="K478" s="23">
        <v>-1.0168630653343074E-3</v>
      </c>
      <c r="L478" s="36">
        <v>-5.4938298407318301E-2</v>
      </c>
    </row>
    <row r="479" spans="9:12" x14ac:dyDescent="0.2">
      <c r="I479" s="1">
        <v>45133</v>
      </c>
      <c r="J479" s="27">
        <v>115.5</v>
      </c>
      <c r="K479" s="23">
        <v>-2.0990275891835858E-2</v>
      </c>
      <c r="L479" s="36">
        <v>-0.79843841267346272</v>
      </c>
    </row>
    <row r="480" spans="9:12" x14ac:dyDescent="0.2">
      <c r="I480" s="1">
        <v>45134</v>
      </c>
      <c r="J480" s="27">
        <v>116.4</v>
      </c>
      <c r="K480" s="23">
        <v>7.7620053354893297E-3</v>
      </c>
      <c r="L480" s="36">
        <v>0.27185060421223833</v>
      </c>
    </row>
    <row r="481" spans="9:12" x14ac:dyDescent="0.2">
      <c r="I481" s="1">
        <v>45135</v>
      </c>
      <c r="J481" s="27">
        <v>115.99</v>
      </c>
      <c r="K481" s="23">
        <v>-3.5285548035526981E-3</v>
      </c>
      <c r="L481" s="36">
        <v>-0.14843474343592669</v>
      </c>
    </row>
    <row r="482" spans="9:12" x14ac:dyDescent="0.2">
      <c r="I482" s="1">
        <v>45138</v>
      </c>
      <c r="J482" s="27">
        <v>117.23</v>
      </c>
      <c r="K482" s="23">
        <v>1.0633836589952114E-2</v>
      </c>
      <c r="L482" s="36">
        <v>0.37875305921046898</v>
      </c>
    </row>
    <row r="483" spans="9:12" x14ac:dyDescent="0.2">
      <c r="I483" s="1">
        <v>45139</v>
      </c>
      <c r="J483" s="27">
        <v>117.91</v>
      </c>
      <c r="K483" s="23">
        <v>5.7838045048450954E-3</v>
      </c>
      <c r="L483" s="36">
        <v>0.19821308635781032</v>
      </c>
    </row>
    <row r="484" spans="9:12" x14ac:dyDescent="0.2">
      <c r="I484" s="1">
        <v>45140</v>
      </c>
      <c r="J484" s="27">
        <v>115.71</v>
      </c>
      <c r="K484" s="23">
        <v>-1.8834560700335932E-2</v>
      </c>
      <c r="L484" s="36">
        <v>-0.71819301319527085</v>
      </c>
    </row>
    <row r="485" spans="9:12" x14ac:dyDescent="0.2">
      <c r="I485" s="1">
        <v>45141</v>
      </c>
      <c r="J485" s="27">
        <v>114.55</v>
      </c>
      <c r="K485" s="23">
        <v>-1.0075651988741587E-2</v>
      </c>
      <c r="L485" s="36">
        <v>-0.3921470998360676</v>
      </c>
    </row>
    <row r="486" spans="9:12" x14ac:dyDescent="0.2">
      <c r="I486" s="1">
        <v>45142</v>
      </c>
      <c r="J486" s="27">
        <v>114.44</v>
      </c>
      <c r="K486" s="23">
        <v>-9.6074071759502644E-4</v>
      </c>
      <c r="L486" s="36">
        <v>-5.2849172611967261E-2</v>
      </c>
    </row>
    <row r="487" spans="9:12" x14ac:dyDescent="0.2">
      <c r="I487" s="1">
        <v>45145</v>
      </c>
      <c r="J487" s="27">
        <v>116.1</v>
      </c>
      <c r="K487" s="23">
        <v>1.4401220521936249E-2</v>
      </c>
      <c r="L487" s="36">
        <v>0.51899200626703268</v>
      </c>
    </row>
    <row r="488" spans="9:12" x14ac:dyDescent="0.2">
      <c r="I488" s="1">
        <v>45146</v>
      </c>
      <c r="J488" s="27">
        <v>115.23</v>
      </c>
      <c r="K488" s="23">
        <v>-7.521757677922564E-3</v>
      </c>
      <c r="L488" s="36">
        <v>-0.29707968554830172</v>
      </c>
    </row>
    <row r="489" spans="9:12" x14ac:dyDescent="0.2">
      <c r="I489" s="1">
        <v>45147</v>
      </c>
      <c r="J489" s="27">
        <v>113.1</v>
      </c>
      <c r="K489" s="23">
        <v>-1.8657747903848412E-2</v>
      </c>
      <c r="L489" s="36">
        <v>-0.7116112469476038</v>
      </c>
    </row>
    <row r="490" spans="9:12" x14ac:dyDescent="0.2">
      <c r="I490" s="1">
        <v>45148</v>
      </c>
      <c r="J490" s="27">
        <v>112.99</v>
      </c>
      <c r="K490" s="23">
        <v>-9.7306390091985199E-4</v>
      </c>
      <c r="L490" s="36">
        <v>-5.3307896831494402E-2</v>
      </c>
    </row>
    <row r="491" spans="9:12" x14ac:dyDescent="0.2">
      <c r="I491" s="1">
        <v>45149</v>
      </c>
      <c r="J491" s="27">
        <v>113.06</v>
      </c>
      <c r="K491" s="23">
        <v>6.1933202598998664E-4</v>
      </c>
      <c r="L491" s="36">
        <v>5.9682300827552546E-3</v>
      </c>
    </row>
    <row r="492" spans="9:12" x14ac:dyDescent="0.2">
      <c r="I492" s="1">
        <v>45152</v>
      </c>
      <c r="J492" s="27">
        <v>115.57</v>
      </c>
      <c r="K492" s="23">
        <v>2.1957755740205111E-2</v>
      </c>
      <c r="L492" s="36">
        <v>0.80028017905162907</v>
      </c>
    </row>
    <row r="493" spans="9:12" x14ac:dyDescent="0.2">
      <c r="I493" s="1">
        <v>45153</v>
      </c>
      <c r="J493" s="27">
        <v>117.29</v>
      </c>
      <c r="K493" s="23">
        <v>1.4773093546063893E-2</v>
      </c>
      <c r="L493" s="36">
        <v>0.53283479008836065</v>
      </c>
    </row>
    <row r="494" spans="9:12" x14ac:dyDescent="0.2">
      <c r="I494" s="1">
        <v>45154</v>
      </c>
      <c r="J494" s="27">
        <v>115.34</v>
      </c>
      <c r="K494" s="23">
        <v>-1.6765212346147147E-2</v>
      </c>
      <c r="L494" s="36">
        <v>-0.64116257522453035</v>
      </c>
    </row>
    <row r="495" spans="9:12" x14ac:dyDescent="0.2">
      <c r="I495" s="1">
        <v>45155</v>
      </c>
      <c r="J495" s="27">
        <v>114.88</v>
      </c>
      <c r="K495" s="23">
        <v>-3.9961828873525751E-3</v>
      </c>
      <c r="L495" s="36">
        <v>-0.16584196055797748</v>
      </c>
    </row>
    <row r="496" spans="9:12" x14ac:dyDescent="0.2">
      <c r="I496" s="1">
        <v>45156</v>
      </c>
      <c r="J496" s="27">
        <v>116.46</v>
      </c>
      <c r="K496" s="23">
        <v>1.3659761109059906E-2</v>
      </c>
      <c r="L496" s="36">
        <v>0.49139155746111729</v>
      </c>
    </row>
    <row r="497" spans="9:12" x14ac:dyDescent="0.2">
      <c r="I497" s="1">
        <v>45159</v>
      </c>
      <c r="J497" s="27">
        <v>116.59</v>
      </c>
      <c r="K497" s="23">
        <v>1.1156405362262314E-3</v>
      </c>
      <c r="L497" s="36">
        <v>2.4443061463714656E-2</v>
      </c>
    </row>
    <row r="498" spans="9:12" x14ac:dyDescent="0.2">
      <c r="I498" s="1">
        <v>45160</v>
      </c>
      <c r="J498" s="27">
        <v>116.54</v>
      </c>
      <c r="K498" s="23">
        <v>-4.2894523027186339E-4</v>
      </c>
      <c r="L498" s="36">
        <v>-3.3053356592665249E-2</v>
      </c>
    </row>
    <row r="499" spans="9:12" x14ac:dyDescent="0.2">
      <c r="I499" s="1">
        <v>45161</v>
      </c>
      <c r="J499" s="27">
        <v>117.84</v>
      </c>
      <c r="K499" s="23">
        <v>1.1093210439446667E-2</v>
      </c>
      <c r="L499" s="36">
        <v>0.39585301666675826</v>
      </c>
    </row>
    <row r="500" spans="9:12" x14ac:dyDescent="0.2">
      <c r="I500" s="1">
        <v>45162</v>
      </c>
      <c r="J500" s="27">
        <v>112.91</v>
      </c>
      <c r="K500" s="23">
        <v>-4.2736730961944067E-2</v>
      </c>
      <c r="L500" s="36">
        <v>-1.6079391209378011</v>
      </c>
    </row>
    <row r="501" spans="9:12" x14ac:dyDescent="0.2">
      <c r="I501" s="1">
        <v>45163</v>
      </c>
      <c r="J501" s="27">
        <v>116.06</v>
      </c>
      <c r="K501" s="23">
        <v>2.7516257570031417E-2</v>
      </c>
      <c r="L501" s="36">
        <v>1.0071925771241774</v>
      </c>
    </row>
    <row r="502" spans="9:12" x14ac:dyDescent="0.2">
      <c r="I502" s="1">
        <v>45166</v>
      </c>
      <c r="J502" s="27">
        <v>116.84</v>
      </c>
      <c r="K502" s="23">
        <v>6.6981787570779602E-3</v>
      </c>
      <c r="L502" s="36">
        <v>0.23225020194354129</v>
      </c>
    </row>
    <row r="503" spans="9:12" x14ac:dyDescent="0.2">
      <c r="I503" s="1">
        <v>45167</v>
      </c>
      <c r="J503" s="27">
        <v>120.65</v>
      </c>
      <c r="K503" s="23">
        <v>3.2088314551500449E-2</v>
      </c>
      <c r="L503" s="36">
        <v>1.1773850683965346</v>
      </c>
    </row>
    <row r="504" spans="9:12" x14ac:dyDescent="0.2">
      <c r="I504" s="1">
        <v>45168</v>
      </c>
      <c r="J504" s="27">
        <v>121.12</v>
      </c>
      <c r="K504" s="23">
        <v>3.8879976180978227E-3</v>
      </c>
      <c r="L504" s="36">
        <v>0.12764264107802745</v>
      </c>
    </row>
    <row r="505" spans="9:12" x14ac:dyDescent="0.2">
      <c r="I505" s="1">
        <v>45169</v>
      </c>
      <c r="J505" s="27">
        <v>120.39</v>
      </c>
      <c r="K505" s="23">
        <v>-6.0453167422036495E-3</v>
      </c>
      <c r="L505" s="36">
        <v>-0.2421199240919267</v>
      </c>
    </row>
    <row r="506" spans="9:12" x14ac:dyDescent="0.2">
      <c r="I506" s="1">
        <v>45170</v>
      </c>
      <c r="J506" s="27">
        <v>120.93</v>
      </c>
      <c r="K506" s="23">
        <v>4.475392850249095E-3</v>
      </c>
      <c r="L506" s="36">
        <v>0.14950812926562401</v>
      </c>
    </row>
    <row r="507" spans="9:12" x14ac:dyDescent="0.2">
      <c r="I507" s="1">
        <v>45174</v>
      </c>
      <c r="J507" s="27">
        <v>123.98</v>
      </c>
      <c r="K507" s="23">
        <v>2.4908396476589101E-2</v>
      </c>
      <c r="L507" s="36">
        <v>0.91011627685405427</v>
      </c>
    </row>
    <row r="508" spans="9:12" x14ac:dyDescent="0.2">
      <c r="I508" s="1">
        <v>45175</v>
      </c>
      <c r="J508" s="27">
        <v>124.33</v>
      </c>
      <c r="K508" s="23">
        <v>2.8190586910728944E-3</v>
      </c>
      <c r="L508" s="36">
        <v>8.7851934237379317E-2</v>
      </c>
    </row>
    <row r="509" spans="9:12" x14ac:dyDescent="0.2">
      <c r="I509" s="1">
        <v>45176</v>
      </c>
      <c r="J509" s="27">
        <v>125.09</v>
      </c>
      <c r="K509" s="23">
        <v>6.0941572618038913E-3</v>
      </c>
      <c r="L509" s="36">
        <v>0.20976580958373356</v>
      </c>
    </row>
    <row r="510" spans="9:12" x14ac:dyDescent="0.2">
      <c r="I510" s="1">
        <v>45177</v>
      </c>
      <c r="J510" s="27">
        <v>126.32</v>
      </c>
      <c r="K510" s="23">
        <v>9.7848917207364865E-3</v>
      </c>
      <c r="L510" s="36">
        <v>0.34715151906556263</v>
      </c>
    </row>
    <row r="511" spans="9:12" x14ac:dyDescent="0.2">
      <c r="I511" s="1">
        <v>45180</v>
      </c>
      <c r="J511" s="27">
        <v>126.71</v>
      </c>
      <c r="K511" s="23">
        <v>3.0826408634302342E-3</v>
      </c>
      <c r="L511" s="36">
        <v>9.7663646285215996E-2</v>
      </c>
    </row>
    <row r="512" spans="9:12" x14ac:dyDescent="0.2">
      <c r="I512" s="1">
        <v>45181</v>
      </c>
      <c r="J512" s="27">
        <v>109.61</v>
      </c>
      <c r="K512" s="23">
        <v>-0.14497239958318489</v>
      </c>
      <c r="L512" s="36">
        <v>-5.4136097873505058</v>
      </c>
    </row>
    <row r="513" spans="9:12" x14ac:dyDescent="0.2">
      <c r="I513" s="1">
        <v>45182</v>
      </c>
      <c r="J513" s="27">
        <v>111.84</v>
      </c>
      <c r="K513" s="23">
        <v>2.014066725786819E-2</v>
      </c>
      <c r="L513" s="36">
        <v>0.73263998626211113</v>
      </c>
    </row>
    <row r="514" spans="9:12" x14ac:dyDescent="0.2">
      <c r="I514" s="1">
        <v>45183</v>
      </c>
      <c r="J514" s="27">
        <v>113.66</v>
      </c>
      <c r="K514" s="23">
        <v>1.6142257383475186E-2</v>
      </c>
      <c r="L514" s="36">
        <v>0.58380121622729664</v>
      </c>
    </row>
    <row r="515" spans="9:12" x14ac:dyDescent="0.2">
      <c r="I515" s="1">
        <v>45184</v>
      </c>
      <c r="J515" s="27">
        <v>113.91</v>
      </c>
      <c r="K515" s="23">
        <v>2.197127042845286E-3</v>
      </c>
      <c r="L515" s="36">
        <v>6.4700845560665118E-2</v>
      </c>
    </row>
    <row r="516" spans="9:12" x14ac:dyDescent="0.2">
      <c r="I516" s="1">
        <v>45187</v>
      </c>
      <c r="J516" s="27">
        <v>112.21</v>
      </c>
      <c r="K516" s="23">
        <v>-1.5036547235045824E-2</v>
      </c>
      <c r="L516" s="36">
        <v>-0.57681389736981792</v>
      </c>
    </row>
    <row r="517" spans="9:12" x14ac:dyDescent="0.2">
      <c r="I517" s="1">
        <v>45188</v>
      </c>
      <c r="J517" s="27">
        <v>112.77</v>
      </c>
      <c r="K517" s="23">
        <v>4.9782305674214685E-3</v>
      </c>
      <c r="L517" s="36">
        <v>0.16822600704757895</v>
      </c>
    </row>
    <row r="518" spans="9:12" x14ac:dyDescent="0.2">
      <c r="I518" s="1">
        <v>45189</v>
      </c>
      <c r="J518" s="27">
        <v>112.87</v>
      </c>
      <c r="K518" s="23">
        <v>8.8636772333861491E-4</v>
      </c>
      <c r="L518" s="36">
        <v>1.5908497838519668E-2</v>
      </c>
    </row>
    <row r="519" spans="9:12" x14ac:dyDescent="0.2">
      <c r="I519" s="1">
        <v>45190</v>
      </c>
      <c r="J519" s="27">
        <v>109.43</v>
      </c>
      <c r="K519" s="23">
        <v>-3.0951638537183281E-2</v>
      </c>
      <c r="L519" s="36">
        <v>-1.1692450609611984</v>
      </c>
    </row>
    <row r="520" spans="9:12" x14ac:dyDescent="0.2">
      <c r="I520" s="1">
        <v>45191</v>
      </c>
      <c r="J520" s="27">
        <v>109.03</v>
      </c>
      <c r="K520" s="23">
        <v>-3.6620017120612921E-3</v>
      </c>
      <c r="L520" s="36">
        <v>-0.15340223660229019</v>
      </c>
    </row>
    <row r="521" spans="9:12" x14ac:dyDescent="0.2">
      <c r="I521" s="1">
        <v>45194</v>
      </c>
      <c r="J521" s="27">
        <v>108.3</v>
      </c>
      <c r="K521" s="23">
        <v>-6.7179197113455182E-3</v>
      </c>
      <c r="L521" s="36">
        <v>-0.26715722686820537</v>
      </c>
    </row>
    <row r="522" spans="9:12" x14ac:dyDescent="0.2">
      <c r="I522" s="1">
        <v>45195</v>
      </c>
      <c r="J522" s="27">
        <v>104.88</v>
      </c>
      <c r="K522" s="23">
        <v>-3.2088314551500512E-2</v>
      </c>
      <c r="L522" s="36">
        <v>-1.2115572463583333</v>
      </c>
    </row>
    <row r="523" spans="9:12" x14ac:dyDescent="0.2">
      <c r="I523" s="1">
        <v>45196</v>
      </c>
      <c r="J523" s="27">
        <v>104.62</v>
      </c>
      <c r="K523" s="23">
        <v>-2.4821015129793556E-3</v>
      </c>
      <c r="L523" s="36">
        <v>-0.10948105295379089</v>
      </c>
    </row>
    <row r="524" spans="9:12" x14ac:dyDescent="0.2">
      <c r="I524" s="1">
        <v>45197</v>
      </c>
      <c r="J524" s="27">
        <v>106.15</v>
      </c>
      <c r="K524" s="23">
        <v>1.4518450206800128E-2</v>
      </c>
      <c r="L524" s="36">
        <v>0.52335582154731519</v>
      </c>
    </row>
    <row r="525" spans="9:12" x14ac:dyDescent="0.2">
      <c r="I525" s="1">
        <v>45198</v>
      </c>
      <c r="J525" s="27">
        <v>105.92</v>
      </c>
      <c r="K525" s="23">
        <v>-2.1690959605671135E-3</v>
      </c>
      <c r="L525" s="36">
        <v>-9.7829580768944366E-2</v>
      </c>
    </row>
    <row r="526" spans="9:12" x14ac:dyDescent="0.2">
      <c r="I526" s="1">
        <v>45201</v>
      </c>
      <c r="J526" s="27">
        <v>106.71</v>
      </c>
      <c r="K526" s="23">
        <v>7.4307824397754326E-3</v>
      </c>
      <c r="L526" s="36">
        <v>0.25952100070631712</v>
      </c>
    </row>
    <row r="527" spans="9:12" x14ac:dyDescent="0.2">
      <c r="I527" s="1">
        <v>45202</v>
      </c>
      <c r="J527" s="27">
        <v>104.52</v>
      </c>
      <c r="K527" s="23">
        <v>-2.0736433976061782E-2</v>
      </c>
      <c r="L527" s="36">
        <v>-0.78898927671342556</v>
      </c>
    </row>
    <row r="528" spans="9:12" x14ac:dyDescent="0.2">
      <c r="I528" s="1">
        <v>45203</v>
      </c>
      <c r="J528" s="27">
        <v>107.08</v>
      </c>
      <c r="K528" s="23">
        <v>2.4197777999740062E-2</v>
      </c>
      <c r="L528" s="36">
        <v>0.88366386617560155</v>
      </c>
    </row>
    <row r="529" spans="9:12" x14ac:dyDescent="0.2">
      <c r="I529" s="1">
        <v>45204</v>
      </c>
      <c r="J529" s="27">
        <v>108.35</v>
      </c>
      <c r="K529" s="23">
        <v>1.1790509330216263E-2</v>
      </c>
      <c r="L529" s="36">
        <v>0.42180961254089749</v>
      </c>
    </row>
    <row r="530" spans="9:12" x14ac:dyDescent="0.2">
      <c r="I530" s="1">
        <v>45205</v>
      </c>
      <c r="J530" s="27">
        <v>109.96</v>
      </c>
      <c r="K530" s="23">
        <v>1.4749935314676955E-2</v>
      </c>
      <c r="L530" s="36">
        <v>0.53197273672612577</v>
      </c>
    </row>
    <row r="531" spans="9:12" x14ac:dyDescent="0.2">
      <c r="I531" s="1">
        <v>45208</v>
      </c>
      <c r="J531" s="27">
        <v>110.32</v>
      </c>
      <c r="K531" s="23">
        <v>3.2685701880013213E-3</v>
      </c>
      <c r="L531" s="36">
        <v>0.10458477064512557</v>
      </c>
    </row>
    <row r="532" spans="9:12" x14ac:dyDescent="0.2">
      <c r="I532" s="1">
        <v>45209</v>
      </c>
      <c r="J532" s="27">
        <v>109.71</v>
      </c>
      <c r="K532" s="23">
        <v>-5.5447126556468747E-3</v>
      </c>
      <c r="L532" s="36">
        <v>-0.22348519207140732</v>
      </c>
    </row>
    <row r="533" spans="9:12" x14ac:dyDescent="0.2">
      <c r="I533" s="1">
        <v>45210</v>
      </c>
      <c r="J533" s="27">
        <v>109.64</v>
      </c>
      <c r="K533" s="23">
        <v>-6.3824939481444581E-4</v>
      </c>
      <c r="L533" s="36">
        <v>-4.0844597458988795E-2</v>
      </c>
    </row>
    <row r="534" spans="9:12" x14ac:dyDescent="0.2">
      <c r="I534" s="1">
        <v>45211</v>
      </c>
      <c r="J534" s="27">
        <v>109.11</v>
      </c>
      <c r="K534" s="23">
        <v>-4.8457237675776721E-3</v>
      </c>
      <c r="L534" s="36">
        <v>-0.19746568690899161</v>
      </c>
    </row>
    <row r="535" spans="9:12" x14ac:dyDescent="0.2">
      <c r="I535" s="1">
        <v>45212</v>
      </c>
      <c r="J535" s="27">
        <v>108.25</v>
      </c>
      <c r="K535" s="23">
        <v>-7.9131807844080929E-3</v>
      </c>
      <c r="L535" s="36">
        <v>-0.31165021122292547</v>
      </c>
    </row>
    <row r="536" spans="9:12" x14ac:dyDescent="0.2">
      <c r="I536" s="1">
        <v>45215</v>
      </c>
      <c r="J536" s="27">
        <v>108.71</v>
      </c>
      <c r="K536" s="23">
        <v>4.2404193333098073E-3</v>
      </c>
      <c r="L536" s="36">
        <v>0.14076135983711274</v>
      </c>
    </row>
    <row r="537" spans="9:12" x14ac:dyDescent="0.2">
      <c r="I537" s="1">
        <v>45216</v>
      </c>
      <c r="J537" s="27">
        <v>109.04</v>
      </c>
      <c r="K537" s="23">
        <v>3.0310011723682518E-3</v>
      </c>
      <c r="L537" s="36">
        <v>9.5741385100371834E-2</v>
      </c>
    </row>
    <row r="538" spans="9:12" x14ac:dyDescent="0.2">
      <c r="I538" s="1">
        <v>45217</v>
      </c>
      <c r="J538" s="27">
        <v>108.25</v>
      </c>
      <c r="K538" s="23">
        <v>-7.2714205056779854E-3</v>
      </c>
      <c r="L538" s="36">
        <v>-0.28776101188017683</v>
      </c>
    </row>
    <row r="539" spans="9:12" x14ac:dyDescent="0.2">
      <c r="I539" s="1">
        <v>45218</v>
      </c>
      <c r="J539" s="27">
        <v>108.34</v>
      </c>
      <c r="K539" s="23">
        <v>8.3106334715359184E-4</v>
      </c>
      <c r="L539" s="36">
        <v>1.3849820617447845E-2</v>
      </c>
    </row>
    <row r="540" spans="9:12" x14ac:dyDescent="0.2">
      <c r="I540" s="1">
        <v>45219</v>
      </c>
      <c r="J540" s="27">
        <v>101.85</v>
      </c>
      <c r="K540" s="23">
        <v>-6.1773287556938131E-2</v>
      </c>
      <c r="L540" s="36">
        <v>-2.316565239396251</v>
      </c>
    </row>
    <row r="541" spans="9:12" x14ac:dyDescent="0.2">
      <c r="I541" s="1">
        <v>45222</v>
      </c>
      <c r="J541" s="27">
        <v>103.66</v>
      </c>
      <c r="K541" s="23">
        <v>1.7615170088745604E-2</v>
      </c>
      <c r="L541" s="36">
        <v>0.63862964110316833</v>
      </c>
    </row>
    <row r="542" spans="9:12" x14ac:dyDescent="0.2">
      <c r="I542" s="1">
        <v>45223</v>
      </c>
      <c r="J542" s="27">
        <v>103.2</v>
      </c>
      <c r="K542" s="23">
        <v>-4.4474597140980645E-3</v>
      </c>
      <c r="L542" s="36">
        <v>-0.18264051046857396</v>
      </c>
    </row>
    <row r="543" spans="9:12" x14ac:dyDescent="0.2">
      <c r="I543" s="1">
        <v>45224</v>
      </c>
      <c r="J543" s="27">
        <v>101.43</v>
      </c>
      <c r="K543" s="23">
        <v>-1.7299947659557984E-2</v>
      </c>
      <c r="L543" s="36">
        <v>-0.66106782477184767</v>
      </c>
    </row>
    <row r="544" spans="9:12" x14ac:dyDescent="0.2">
      <c r="I544" s="1">
        <v>45225</v>
      </c>
      <c r="J544" s="27">
        <v>100.4</v>
      </c>
      <c r="K544" s="23">
        <v>-1.0206698130275478E-2</v>
      </c>
      <c r="L544" s="36">
        <v>-0.39702522567519849</v>
      </c>
    </row>
    <row r="545" spans="9:12" x14ac:dyDescent="0.2">
      <c r="I545" s="1">
        <v>45226</v>
      </c>
      <c r="J545" s="27">
        <v>100.99</v>
      </c>
      <c r="K545" s="23">
        <v>5.85929478083657E-3</v>
      </c>
      <c r="L545" s="36">
        <v>0.20102317341269621</v>
      </c>
    </row>
    <row r="546" spans="9:12" x14ac:dyDescent="0.2">
      <c r="I546" s="1">
        <v>45229</v>
      </c>
      <c r="J546" s="27">
        <v>101.65</v>
      </c>
      <c r="K546" s="23">
        <v>6.5140380358902072E-3</v>
      </c>
      <c r="L546" s="36">
        <v>0.22539565743312651</v>
      </c>
    </row>
    <row r="547" spans="9:12" x14ac:dyDescent="0.2">
      <c r="I547" s="1">
        <v>45230</v>
      </c>
      <c r="J547" s="27">
        <v>103.4</v>
      </c>
      <c r="K547" s="23">
        <v>1.7069421999973217E-2</v>
      </c>
      <c r="L547" s="36">
        <v>0.61831444660498946</v>
      </c>
    </row>
    <row r="548" spans="9:12" x14ac:dyDescent="0.2">
      <c r="I548" s="1">
        <v>45231</v>
      </c>
      <c r="J548" s="27">
        <v>105.75</v>
      </c>
      <c r="K548" s="23">
        <v>2.2472855852058576E-2</v>
      </c>
      <c r="L548" s="36">
        <v>0.81945451822682536</v>
      </c>
    </row>
    <row r="549" spans="9:12" x14ac:dyDescent="0.2">
      <c r="I549" s="1">
        <v>45232</v>
      </c>
      <c r="J549" s="27">
        <v>106.87</v>
      </c>
      <c r="K549" s="23">
        <v>1.053532461041814E-2</v>
      </c>
      <c r="L549" s="36">
        <v>0.37508600097278455</v>
      </c>
    </row>
    <row r="550" spans="9:12" x14ac:dyDescent="0.2">
      <c r="I550" s="1">
        <v>45233</v>
      </c>
      <c r="J550" s="27">
        <v>108.05</v>
      </c>
      <c r="K550" s="23">
        <v>1.0980940416089576E-2</v>
      </c>
      <c r="L550" s="36">
        <v>0.39167382225868469</v>
      </c>
    </row>
    <row r="551" spans="9:12" x14ac:dyDescent="0.2">
      <c r="I551" s="1">
        <v>45236</v>
      </c>
      <c r="J551" s="27">
        <v>109.11</v>
      </c>
      <c r="K551" s="23">
        <v>9.7624647141124916E-3</v>
      </c>
      <c r="L551" s="36">
        <v>0.34631668517250536</v>
      </c>
    </row>
    <row r="552" spans="9:12" x14ac:dyDescent="0.2">
      <c r="I552" s="1">
        <v>45237</v>
      </c>
      <c r="J552" s="27">
        <v>108.99</v>
      </c>
      <c r="K552" s="23">
        <v>-1.1004127657871484E-3</v>
      </c>
      <c r="L552" s="36">
        <v>-5.8048393430797061E-2</v>
      </c>
    </row>
    <row r="553" spans="9:12" x14ac:dyDescent="0.2">
      <c r="I553" s="1">
        <v>45238</v>
      </c>
      <c r="J553" s="27">
        <v>112.33</v>
      </c>
      <c r="K553" s="23">
        <v>3.0184832752257622E-2</v>
      </c>
      <c r="L553" s="36">
        <v>1.1065289284101436</v>
      </c>
    </row>
    <row r="554" spans="9:12" x14ac:dyDescent="0.2">
      <c r="I554" s="1">
        <v>45239</v>
      </c>
      <c r="J554" s="27">
        <v>112.18</v>
      </c>
      <c r="K554" s="23">
        <v>-1.336243573286953E-3</v>
      </c>
      <c r="L554" s="36">
        <v>-6.6827075063559047E-2</v>
      </c>
    </row>
    <row r="555" spans="9:12" x14ac:dyDescent="0.2">
      <c r="I555" s="1">
        <v>45240</v>
      </c>
      <c r="J555" s="27">
        <v>113.07</v>
      </c>
      <c r="K555" s="23">
        <v>7.9023718669626684E-3</v>
      </c>
      <c r="L555" s="36">
        <v>0.27707567681731149</v>
      </c>
    </row>
    <row r="556" spans="9:12" x14ac:dyDescent="0.2">
      <c r="I556" s="1">
        <v>45243</v>
      </c>
      <c r="J556" s="27">
        <v>114.15</v>
      </c>
      <c r="K556" s="23">
        <v>9.5062770286507853E-3</v>
      </c>
      <c r="L556" s="36">
        <v>0.33678022913122102</v>
      </c>
    </row>
    <row r="557" spans="9:12" x14ac:dyDescent="0.2">
      <c r="I557" s="1">
        <v>45244</v>
      </c>
      <c r="J557" s="27">
        <v>116.1</v>
      </c>
      <c r="K557" s="23">
        <v>1.6938515728041146E-2</v>
      </c>
      <c r="L557" s="36">
        <v>0.6134415273405105</v>
      </c>
    </row>
    <row r="558" spans="9:12" x14ac:dyDescent="0.2">
      <c r="I558" s="1">
        <v>45245</v>
      </c>
      <c r="J558" s="27">
        <v>114.06</v>
      </c>
      <c r="K558" s="23">
        <v>-1.7727262975452952E-2</v>
      </c>
      <c r="L558" s="36">
        <v>-0.6769744196515185</v>
      </c>
    </row>
    <row r="559" spans="9:12" x14ac:dyDescent="0.2">
      <c r="I559" s="1">
        <v>45246</v>
      </c>
      <c r="J559" s="27">
        <v>114.67</v>
      </c>
      <c r="K559" s="23">
        <v>5.3338123218202391E-3</v>
      </c>
      <c r="L559" s="36">
        <v>0.18146235665507607</v>
      </c>
    </row>
    <row r="560" spans="9:12" x14ac:dyDescent="0.2">
      <c r="I560" s="1">
        <v>45247</v>
      </c>
      <c r="J560" s="27">
        <v>115.36</v>
      </c>
      <c r="K560" s="23">
        <v>5.999235486425945E-3</v>
      </c>
      <c r="L560" s="36">
        <v>0.20623239486623432</v>
      </c>
    </row>
    <row r="561" spans="9:12" x14ac:dyDescent="0.2">
      <c r="I561" s="1">
        <v>45250</v>
      </c>
      <c r="J561" s="27">
        <v>116.92</v>
      </c>
      <c r="K561" s="23">
        <v>1.3432266706406347E-2</v>
      </c>
      <c r="L561" s="36">
        <v>0.48292319425062952</v>
      </c>
    </row>
    <row r="562" spans="9:12" x14ac:dyDescent="0.2">
      <c r="I562" s="1">
        <v>45251</v>
      </c>
      <c r="J562" s="27">
        <v>116.08</v>
      </c>
      <c r="K562" s="23">
        <v>-7.2103316671128332E-3</v>
      </c>
      <c r="L562" s="36">
        <v>-0.28548701099469409</v>
      </c>
    </row>
    <row r="563" spans="9:12" x14ac:dyDescent="0.2">
      <c r="I563" s="1">
        <v>45252</v>
      </c>
      <c r="J563" s="27">
        <v>116.24</v>
      </c>
      <c r="K563" s="23">
        <v>1.3774106860950765E-3</v>
      </c>
      <c r="L563" s="36">
        <v>3.4187321897801014E-2</v>
      </c>
    </row>
    <row r="564" spans="9:12" x14ac:dyDescent="0.2">
      <c r="I564" s="1">
        <v>45254</v>
      </c>
      <c r="J564" s="27">
        <v>116.25</v>
      </c>
      <c r="K564" s="23">
        <v>8.6025205438208509E-5</v>
      </c>
      <c r="L564" s="36">
        <v>-1.3883844545825518E-2</v>
      </c>
    </row>
    <row r="565" spans="9:12" x14ac:dyDescent="0.2">
      <c r="I565" s="1">
        <v>45257</v>
      </c>
      <c r="J565" s="27">
        <v>116.47</v>
      </c>
      <c r="K565" s="23">
        <v>1.8906846470948977E-3</v>
      </c>
      <c r="L565" s="36">
        <v>5.3293683538053874E-2</v>
      </c>
    </row>
    <row r="566" spans="9:12" x14ac:dyDescent="0.2">
      <c r="I566" s="1">
        <v>45258</v>
      </c>
      <c r="J566" s="27">
        <v>116.24</v>
      </c>
      <c r="K566" s="23">
        <v>-1.9767098525331128E-3</v>
      </c>
      <c r="L566" s="36">
        <v>-9.0668105934923596E-2</v>
      </c>
    </row>
    <row r="567" spans="9:12" x14ac:dyDescent="0.2">
      <c r="I567" s="1">
        <v>45259</v>
      </c>
      <c r="J567" s="27">
        <v>116.21</v>
      </c>
      <c r="K567" s="23">
        <v>-2.5812002724517603E-4</v>
      </c>
      <c r="L567" s="36">
        <v>-2.6694475460375268E-2</v>
      </c>
    </row>
    <row r="568" spans="9:12" x14ac:dyDescent="0.2">
      <c r="I568" s="1">
        <v>45260</v>
      </c>
      <c r="J568" s="27">
        <v>116.21</v>
      </c>
      <c r="K568" s="23">
        <v>0</v>
      </c>
      <c r="L568" s="36">
        <v>-1.7086088980898334E-2</v>
      </c>
    </row>
    <row r="569" spans="9:12" x14ac:dyDescent="0.2">
      <c r="I569" s="1">
        <v>45261</v>
      </c>
      <c r="J569" s="27">
        <v>117.16</v>
      </c>
      <c r="K569" s="23">
        <v>8.1416227247504379E-3</v>
      </c>
      <c r="L569" s="36">
        <v>0.28598166807922826</v>
      </c>
    </row>
    <row r="570" spans="9:12" x14ac:dyDescent="0.2">
      <c r="I570" s="1">
        <v>45264</v>
      </c>
      <c r="J570" s="27">
        <v>115.78</v>
      </c>
      <c r="K570" s="23">
        <v>-1.184868330867409E-2</v>
      </c>
      <c r="L570" s="36">
        <v>-0.45814728720605785</v>
      </c>
    </row>
    <row r="571" spans="9:12" x14ac:dyDescent="0.2">
      <c r="I571" s="1">
        <v>45265</v>
      </c>
      <c r="J571" s="27">
        <v>114.53</v>
      </c>
      <c r="K571" s="23">
        <v>-1.0855041241233689E-2</v>
      </c>
      <c r="L571" s="36">
        <v>-0.42115946759310957</v>
      </c>
    </row>
    <row r="572" spans="9:12" x14ac:dyDescent="0.2">
      <c r="I572" s="1">
        <v>45266</v>
      </c>
      <c r="J572" s="27">
        <v>112.03</v>
      </c>
      <c r="K572" s="23">
        <v>-2.2070104838992965E-2</v>
      </c>
      <c r="L572" s="36">
        <v>-0.83863449496411369</v>
      </c>
    </row>
    <row r="573" spans="9:12" x14ac:dyDescent="0.2">
      <c r="I573" s="1">
        <v>45267</v>
      </c>
      <c r="J573" s="27">
        <v>112.87</v>
      </c>
      <c r="K573" s="23">
        <v>7.4700213969031374E-3</v>
      </c>
      <c r="L573" s="36">
        <v>0.26098165088971609</v>
      </c>
    </row>
    <row r="574" spans="9:12" x14ac:dyDescent="0.2">
      <c r="I574" s="1">
        <v>45268</v>
      </c>
      <c r="J574" s="27">
        <v>113.61</v>
      </c>
      <c r="K574" s="23">
        <v>6.5348166142782478E-3</v>
      </c>
      <c r="L574" s="36">
        <v>0.22616912942511869</v>
      </c>
    </row>
    <row r="575" spans="9:12" x14ac:dyDescent="0.2">
      <c r="I575" s="1">
        <v>45271</v>
      </c>
      <c r="J575" s="27">
        <v>115.13</v>
      </c>
      <c r="K575" s="23">
        <v>1.3290394103759975E-2</v>
      </c>
      <c r="L575" s="36">
        <v>0.47764205891361522</v>
      </c>
    </row>
    <row r="576" spans="9:12" x14ac:dyDescent="0.2">
      <c r="I576" s="1">
        <v>45272</v>
      </c>
      <c r="J576" s="27">
        <v>100.81</v>
      </c>
      <c r="K576" s="23">
        <v>-0.13282436761972288</v>
      </c>
      <c r="L576" s="36">
        <v>-4.9614054879951821</v>
      </c>
    </row>
    <row r="577" spans="9:12" x14ac:dyDescent="0.2">
      <c r="I577" s="1">
        <v>45273</v>
      </c>
      <c r="J577" s="27">
        <v>102.99</v>
      </c>
      <c r="K577" s="23">
        <v>2.1394339071860072E-2</v>
      </c>
      <c r="L577" s="36">
        <v>0.77930728068254451</v>
      </c>
    </row>
    <row r="578" spans="9:12" x14ac:dyDescent="0.2">
      <c r="I578" s="1">
        <v>45274</v>
      </c>
      <c r="J578" s="27">
        <v>100.31</v>
      </c>
      <c r="K578" s="23">
        <v>-2.6366505242316526E-2</v>
      </c>
      <c r="L578" s="36">
        <v>-0.99856581058613636</v>
      </c>
    </row>
    <row r="579" spans="9:12" x14ac:dyDescent="0.2">
      <c r="I579" s="1">
        <v>45275</v>
      </c>
      <c r="J579" s="27">
        <v>103.32</v>
      </c>
      <c r="K579" s="23">
        <v>2.9565577332245862E-2</v>
      </c>
      <c r="L579" s="36">
        <v>1.083477460964992</v>
      </c>
    </row>
    <row r="580" spans="9:12" x14ac:dyDescent="0.2">
      <c r="I580" s="1">
        <v>45278</v>
      </c>
      <c r="J580" s="27">
        <v>105</v>
      </c>
      <c r="K580" s="23">
        <v>1.6129381929883717E-2</v>
      </c>
      <c r="L580" s="36">
        <v>0.58332193402852373</v>
      </c>
    </row>
    <row r="581" spans="9:12" x14ac:dyDescent="0.2">
      <c r="I581" s="1">
        <v>45279</v>
      </c>
      <c r="J581" s="27">
        <v>106.25</v>
      </c>
      <c r="K581" s="23">
        <v>1.1834457647002798E-2</v>
      </c>
      <c r="L581" s="36">
        <v>0.42344556623776586</v>
      </c>
    </row>
    <row r="582" spans="9:12" x14ac:dyDescent="0.2">
      <c r="I582" s="1">
        <v>45280</v>
      </c>
      <c r="J582" s="27">
        <v>104.15</v>
      </c>
      <c r="K582" s="23">
        <v>-1.9962640097545174E-2</v>
      </c>
      <c r="L582" s="36">
        <v>-0.76018519390128902</v>
      </c>
    </row>
    <row r="583" spans="9:12" x14ac:dyDescent="0.2">
      <c r="I583" s="1">
        <v>45281</v>
      </c>
      <c r="J583" s="27">
        <v>105.86</v>
      </c>
      <c r="K583" s="23">
        <v>1.6285298722860463E-2</v>
      </c>
      <c r="L583" s="36">
        <v>0.58912585719384314</v>
      </c>
    </row>
    <row r="584" spans="9:12" x14ac:dyDescent="0.2">
      <c r="I584" s="1">
        <v>45282</v>
      </c>
      <c r="J584" s="27">
        <v>106.2</v>
      </c>
      <c r="K584" s="23">
        <v>3.2066423779969475E-3</v>
      </c>
      <c r="L584" s="36">
        <v>0.10227953947534713</v>
      </c>
    </row>
    <row r="585" spans="9:12" x14ac:dyDescent="0.2">
      <c r="I585" s="1">
        <v>45286</v>
      </c>
      <c r="J585" s="27">
        <v>106.19</v>
      </c>
      <c r="K585" s="23">
        <v>-9.4166392084352201E-5</v>
      </c>
      <c r="L585" s="36">
        <v>-2.0591384940227355E-2</v>
      </c>
    </row>
    <row r="586" spans="9:12" x14ac:dyDescent="0.2">
      <c r="I586" s="1">
        <v>45287</v>
      </c>
      <c r="J586" s="27">
        <v>105.94</v>
      </c>
      <c r="K586" s="23">
        <v>-2.3570462993735843E-3</v>
      </c>
      <c r="L586" s="36">
        <v>-0.10482593635388263</v>
      </c>
    </row>
    <row r="587" spans="9:12" x14ac:dyDescent="0.2">
      <c r="I587" s="1">
        <v>45288</v>
      </c>
      <c r="J587" s="27">
        <v>106.25</v>
      </c>
      <c r="K587" s="23">
        <v>2.9219116881455892E-3</v>
      </c>
      <c r="L587" s="36">
        <v>9.1680584640814577E-2</v>
      </c>
    </row>
    <row r="588" spans="9:12" x14ac:dyDescent="0.2">
      <c r="I588" s="1">
        <v>45289</v>
      </c>
      <c r="J588" s="27">
        <v>105.43</v>
      </c>
      <c r="K588" s="23">
        <v>-7.7475822156678874E-3</v>
      </c>
      <c r="L588" s="36">
        <v>-0.30548588888852257</v>
      </c>
    </row>
    <row r="589" spans="9:12" x14ac:dyDescent="0.2">
      <c r="I589" s="1">
        <v>45293</v>
      </c>
      <c r="J589" s="27">
        <v>104.06</v>
      </c>
      <c r="K589" s="23">
        <v>-1.3079569726700851E-2</v>
      </c>
      <c r="L589" s="36">
        <v>-0.50396640687284133</v>
      </c>
    </row>
    <row r="590" spans="9:12" x14ac:dyDescent="0.2">
      <c r="I590" s="1">
        <v>45294</v>
      </c>
      <c r="J590" s="27">
        <v>102.46</v>
      </c>
      <c r="K590" s="23">
        <v>-1.5495177351101319E-2</v>
      </c>
      <c r="L590" s="36">
        <v>-0.59388616972783537</v>
      </c>
    </row>
    <row r="591" spans="9:12" x14ac:dyDescent="0.2">
      <c r="I591" s="1">
        <v>45295</v>
      </c>
      <c r="J591" s="27">
        <v>102.59</v>
      </c>
      <c r="K591" s="23">
        <v>1.2679835885653476E-3</v>
      </c>
      <c r="L591" s="36">
        <v>3.0113953954931712E-2</v>
      </c>
    </row>
    <row r="592" spans="9:12" x14ac:dyDescent="0.2">
      <c r="I592" s="1">
        <v>45296</v>
      </c>
      <c r="J592" s="27">
        <v>102.73</v>
      </c>
      <c r="K592" s="23">
        <v>1.363725128550876E-3</v>
      </c>
      <c r="L592" s="36">
        <v>3.3677883992206427E-2</v>
      </c>
    </row>
    <row r="593" spans="9:12" x14ac:dyDescent="0.2">
      <c r="I593" s="1">
        <v>45299</v>
      </c>
      <c r="J593" s="27">
        <v>104.66</v>
      </c>
      <c r="K593" s="23">
        <v>1.8612813715889402E-2</v>
      </c>
      <c r="L593" s="36">
        <v>0.67576641673693094</v>
      </c>
    </row>
    <row r="594" spans="9:12" x14ac:dyDescent="0.2">
      <c r="I594" s="1">
        <v>45300</v>
      </c>
      <c r="J594" s="27">
        <v>103.63</v>
      </c>
      <c r="K594" s="23">
        <v>-9.8901377479357639E-3</v>
      </c>
      <c r="L594" s="36">
        <v>-0.38524142675779849</v>
      </c>
    </row>
    <row r="595" spans="9:12" x14ac:dyDescent="0.2">
      <c r="I595" s="1">
        <v>45301</v>
      </c>
      <c r="J595" s="27">
        <v>103.92</v>
      </c>
      <c r="K595" s="23">
        <v>2.7945091662180221E-3</v>
      </c>
      <c r="L595" s="36">
        <v>8.6938090684786307E-2</v>
      </c>
    </row>
    <row r="596" spans="9:12" x14ac:dyDescent="0.2">
      <c r="I596" s="1">
        <v>45302</v>
      </c>
      <c r="J596" s="27">
        <v>104.77</v>
      </c>
      <c r="K596" s="23">
        <v>8.146099002529392E-3</v>
      </c>
      <c r="L596" s="36">
        <v>0.28614829523849489</v>
      </c>
    </row>
    <row r="597" spans="9:12" x14ac:dyDescent="0.2">
      <c r="I597" s="1">
        <v>45303</v>
      </c>
      <c r="J597" s="27">
        <v>106.6</v>
      </c>
      <c r="K597" s="23">
        <v>1.7316040366870549E-2</v>
      </c>
      <c r="L597" s="36">
        <v>0.62749468963911958</v>
      </c>
    </row>
    <row r="598" spans="9:12" x14ac:dyDescent="0.2">
      <c r="I598" s="1">
        <v>45307</v>
      </c>
      <c r="J598" s="27">
        <v>106.57</v>
      </c>
      <c r="K598" s="23">
        <v>-2.8146549887933916E-4</v>
      </c>
      <c r="L598" s="36">
        <v>-2.7563498745397791E-2</v>
      </c>
    </row>
    <row r="599" spans="9:12" x14ac:dyDescent="0.2">
      <c r="I599" s="1">
        <v>45308</v>
      </c>
      <c r="J599" s="27">
        <v>106.43</v>
      </c>
      <c r="K599" s="23">
        <v>-1.3145541799117579E-3</v>
      </c>
      <c r="L599" s="36">
        <v>-6.601969844780993E-2</v>
      </c>
    </row>
    <row r="600" spans="9:12" x14ac:dyDescent="0.2">
      <c r="I600" s="1">
        <v>45309</v>
      </c>
      <c r="J600" s="27">
        <v>108.7</v>
      </c>
      <c r="K600" s="23">
        <v>2.1104302074210757E-2</v>
      </c>
      <c r="L600" s="36">
        <v>0.76851080124426085</v>
      </c>
    </row>
    <row r="601" spans="9:12" x14ac:dyDescent="0.2">
      <c r="I601" s="1">
        <v>45310</v>
      </c>
      <c r="J601" s="27">
        <v>109.67</v>
      </c>
      <c r="K601" s="23">
        <v>8.8840626449537587E-3</v>
      </c>
      <c r="L601" s="36">
        <v>0.31361861577073613</v>
      </c>
    </row>
    <row r="602" spans="9:12" x14ac:dyDescent="0.2">
      <c r="I602" s="1">
        <v>45313</v>
      </c>
      <c r="J602" s="27">
        <v>110.1</v>
      </c>
      <c r="K602" s="23">
        <v>3.9131869565168067E-3</v>
      </c>
      <c r="L602" s="36">
        <v>0.12858030136450355</v>
      </c>
    </row>
    <row r="603" spans="9:12" x14ac:dyDescent="0.2">
      <c r="I603" s="1">
        <v>45314</v>
      </c>
      <c r="J603" s="27">
        <v>111.83</v>
      </c>
      <c r="K603" s="23">
        <v>1.5590817311462639E-2</v>
      </c>
      <c r="L603" s="36">
        <v>0.56327414055356595</v>
      </c>
    </row>
    <row r="604" spans="9:12" x14ac:dyDescent="0.2">
      <c r="I604" s="1">
        <v>45315</v>
      </c>
      <c r="J604" s="27">
        <v>114.31</v>
      </c>
      <c r="K604" s="23">
        <v>2.193419499759015E-2</v>
      </c>
      <c r="L604" s="36">
        <v>0.79940314241404575</v>
      </c>
    </row>
    <row r="605" spans="9:12" x14ac:dyDescent="0.2">
      <c r="I605" s="1">
        <v>45316</v>
      </c>
      <c r="J605" s="27">
        <v>115</v>
      </c>
      <c r="K605" s="23">
        <v>6.0180723255629448E-3</v>
      </c>
      <c r="L605" s="36">
        <v>0.20693358660409245</v>
      </c>
    </row>
    <row r="606" spans="9:12" x14ac:dyDescent="0.2">
      <c r="I606" s="1">
        <v>45317</v>
      </c>
      <c r="J606" s="27">
        <v>114.64</v>
      </c>
      <c r="K606" s="23">
        <v>-3.1353448433336191E-3</v>
      </c>
      <c r="L606" s="36">
        <v>-0.1337977030416298</v>
      </c>
    </row>
    <row r="607" spans="9:12" x14ac:dyDescent="0.2">
      <c r="I607" s="1">
        <v>45320</v>
      </c>
      <c r="J607" s="27">
        <v>113.75</v>
      </c>
      <c r="K607" s="23">
        <v>-7.7937256888566302E-3</v>
      </c>
      <c r="L607" s="36">
        <v>-0.30720355616383899</v>
      </c>
    </row>
    <row r="608" spans="9:12" x14ac:dyDescent="0.2">
      <c r="I608" s="1">
        <v>45321</v>
      </c>
      <c r="J608" s="27">
        <v>114.16</v>
      </c>
      <c r="K608" s="23">
        <v>3.597915337521203E-3</v>
      </c>
      <c r="L608" s="36">
        <v>0.11684447600585046</v>
      </c>
    </row>
    <row r="609" spans="9:12" x14ac:dyDescent="0.2">
      <c r="I609" s="1">
        <v>45322</v>
      </c>
      <c r="J609" s="27">
        <v>111.7</v>
      </c>
      <c r="K609" s="23">
        <v>-2.1784267093425864E-2</v>
      </c>
      <c r="L609" s="36">
        <v>-0.82799433054470428</v>
      </c>
    </row>
    <row r="610" spans="9:12" x14ac:dyDescent="0.2">
      <c r="I610" s="1">
        <v>45323</v>
      </c>
      <c r="J610" s="27">
        <v>115.53</v>
      </c>
      <c r="K610" s="23">
        <v>3.3713530419772091E-2</v>
      </c>
      <c r="L610" s="36">
        <v>1.2378829009033474</v>
      </c>
    </row>
    <row r="611" spans="9:12" x14ac:dyDescent="0.2">
      <c r="I611" s="1">
        <v>45324</v>
      </c>
      <c r="J611" s="27">
        <v>115.79</v>
      </c>
      <c r="K611" s="23">
        <v>2.2479691292543943E-3</v>
      </c>
      <c r="L611" s="36">
        <v>6.6593416318755344E-2</v>
      </c>
    </row>
    <row r="612" spans="9:12" x14ac:dyDescent="0.2">
      <c r="I612" s="1">
        <v>45327</v>
      </c>
      <c r="J612" s="27">
        <v>116.39</v>
      </c>
      <c r="K612" s="23">
        <v>5.1684153297032933E-3</v>
      </c>
      <c r="L612" s="36">
        <v>0.17530553790775311</v>
      </c>
    </row>
    <row r="613" spans="9:12" x14ac:dyDescent="0.2">
      <c r="I613" s="1">
        <v>45328</v>
      </c>
      <c r="J613" s="27">
        <v>115.3</v>
      </c>
      <c r="K613" s="23">
        <v>-9.4091936788716999E-3</v>
      </c>
      <c r="L613" s="36">
        <v>-0.36733852886994722</v>
      </c>
    </row>
    <row r="614" spans="9:12" x14ac:dyDescent="0.2">
      <c r="I614" s="1">
        <v>45329</v>
      </c>
      <c r="J614" s="27">
        <v>117.27</v>
      </c>
      <c r="K614" s="23">
        <v>1.6941541197959799E-2</v>
      </c>
      <c r="L614" s="36">
        <v>0.61355414891649085</v>
      </c>
    </row>
    <row r="615" spans="9:12" x14ac:dyDescent="0.2">
      <c r="I615" s="1">
        <v>45330</v>
      </c>
      <c r="J615" s="27">
        <v>116.68</v>
      </c>
      <c r="K615" s="23">
        <v>-5.0438234734523357E-3</v>
      </c>
      <c r="L615" s="36">
        <v>-0.20483984751105333</v>
      </c>
    </row>
    <row r="616" spans="9:12" x14ac:dyDescent="0.2">
      <c r="I616" s="1">
        <v>45331</v>
      </c>
      <c r="J616" s="27">
        <v>116.64</v>
      </c>
      <c r="K616" s="23">
        <v>-3.4287673917266837E-4</v>
      </c>
      <c r="L616" s="36">
        <v>-2.9849500870920039E-2</v>
      </c>
    </row>
    <row r="617" spans="9:12" x14ac:dyDescent="0.2">
      <c r="I617" s="1">
        <v>45334</v>
      </c>
      <c r="J617" s="27">
        <v>115.84</v>
      </c>
      <c r="K617" s="23">
        <v>-6.8823396229417888E-3</v>
      </c>
      <c r="L617" s="36">
        <v>-0.27327767429105415</v>
      </c>
    </row>
    <row r="618" spans="9:12" x14ac:dyDescent="0.2">
      <c r="I618" s="1">
        <v>45335</v>
      </c>
      <c r="J618" s="27">
        <v>113.68</v>
      </c>
      <c r="K618" s="23">
        <v>-1.8822444848561003E-2</v>
      </c>
      <c r="L618" s="36">
        <v>-0.71774200678703504</v>
      </c>
    </row>
    <row r="619" spans="9:12" x14ac:dyDescent="0.2">
      <c r="I619" s="1">
        <v>45336</v>
      </c>
      <c r="J619" s="27">
        <v>114.26</v>
      </c>
      <c r="K619" s="23">
        <v>5.0890695074712281E-3</v>
      </c>
      <c r="L619" s="36">
        <v>0.17235193010879918</v>
      </c>
    </row>
    <row r="620" spans="9:12" x14ac:dyDescent="0.2">
      <c r="I620" s="1">
        <v>45337</v>
      </c>
      <c r="J620" s="27">
        <v>112.78</v>
      </c>
      <c r="K620" s="23">
        <v>-1.3037534917280434E-2</v>
      </c>
      <c r="L620" s="36">
        <v>-0.50240168251257733</v>
      </c>
    </row>
    <row r="621" spans="9:12" x14ac:dyDescent="0.2">
      <c r="I621" s="1">
        <v>45338</v>
      </c>
      <c r="J621" s="27">
        <v>111.31</v>
      </c>
      <c r="K621" s="23">
        <v>-1.3119916873901658E-2</v>
      </c>
      <c r="L621" s="36">
        <v>-0.50546830886699179</v>
      </c>
    </row>
    <row r="622" spans="9:12" x14ac:dyDescent="0.2">
      <c r="I622" s="1">
        <v>45342</v>
      </c>
      <c r="J622" s="27">
        <v>108.45</v>
      </c>
      <c r="K622" s="23">
        <v>-2.6029864232251045E-2</v>
      </c>
      <c r="L622" s="36">
        <v>-0.98603452053448049</v>
      </c>
    </row>
    <row r="623" spans="9:12" x14ac:dyDescent="0.2">
      <c r="I623" s="1">
        <v>45343</v>
      </c>
      <c r="J623" s="27">
        <v>108.16</v>
      </c>
      <c r="K623" s="23">
        <v>-2.677624978229526E-3</v>
      </c>
      <c r="L623" s="36">
        <v>-0.11675931431142572</v>
      </c>
    </row>
    <row r="624" spans="9:12" x14ac:dyDescent="0.2">
      <c r="I624" s="1">
        <v>45344</v>
      </c>
      <c r="J624" s="27">
        <v>111.01</v>
      </c>
      <c r="K624" s="23">
        <v>2.6008675049901824E-2</v>
      </c>
      <c r="L624" s="36">
        <v>0.95107358605747527</v>
      </c>
    </row>
    <row r="625" spans="9:12" x14ac:dyDescent="0.2">
      <c r="I625" s="1">
        <v>45345</v>
      </c>
      <c r="J625" s="27">
        <v>111.95</v>
      </c>
      <c r="K625" s="23">
        <v>8.4320557002080104E-3</v>
      </c>
      <c r="L625" s="36">
        <v>0.29679288758963895</v>
      </c>
    </row>
    <row r="626" spans="9:12" x14ac:dyDescent="0.2">
      <c r="I626" s="1">
        <v>45348</v>
      </c>
      <c r="J626" s="27">
        <v>110.97</v>
      </c>
      <c r="K626" s="23">
        <v>-8.792448532291542E-3</v>
      </c>
      <c r="L626" s="36">
        <v>-0.34438050507408324</v>
      </c>
    </row>
    <row r="627" spans="9:12" x14ac:dyDescent="0.2">
      <c r="I627" s="1">
        <v>45349</v>
      </c>
      <c r="J627" s="27">
        <v>111.38</v>
      </c>
      <c r="K627" s="23">
        <v>3.6878836490502748E-3</v>
      </c>
      <c r="L627" s="36">
        <v>0.12019350055579832</v>
      </c>
    </row>
    <row r="628" spans="9:12" x14ac:dyDescent="0.2">
      <c r="I628" s="1">
        <v>45350</v>
      </c>
      <c r="J628" s="27">
        <v>111.68</v>
      </c>
      <c r="K628" s="23">
        <v>2.6898608525397984E-3</v>
      </c>
      <c r="L628" s="36">
        <v>8.3042610535581041E-2</v>
      </c>
    </row>
    <row r="629" spans="9:12" x14ac:dyDescent="0.2">
      <c r="I629" s="1">
        <v>45351</v>
      </c>
      <c r="J629" s="27">
        <v>111.68</v>
      </c>
      <c r="K629" s="23">
        <v>0</v>
      </c>
      <c r="L629" s="36">
        <v>-1.7086088980898334E-2</v>
      </c>
    </row>
    <row r="630" spans="9:12" x14ac:dyDescent="0.2">
      <c r="I630" s="1">
        <v>45352</v>
      </c>
      <c r="J630" s="27">
        <v>113.78</v>
      </c>
      <c r="K630" s="23">
        <v>1.862912030843902E-2</v>
      </c>
      <c r="L630" s="36">
        <v>0.67637342133495559</v>
      </c>
    </row>
    <row r="631" spans="9:12" x14ac:dyDescent="0.2">
      <c r="I631" s="1">
        <v>45355</v>
      </c>
      <c r="J631" s="27">
        <v>114.06</v>
      </c>
      <c r="K631" s="23">
        <v>2.457866405891432E-3</v>
      </c>
      <c r="L631" s="36">
        <v>7.4406735480552516E-2</v>
      </c>
    </row>
    <row r="632" spans="9:12" x14ac:dyDescent="0.2">
      <c r="I632" s="1">
        <v>45356</v>
      </c>
      <c r="J632" s="27">
        <v>110.94</v>
      </c>
      <c r="K632" s="23">
        <v>-2.7735111101304329E-2</v>
      </c>
      <c r="L632" s="36">
        <v>-1.0495114662625968</v>
      </c>
    </row>
    <row r="633" spans="9:12" x14ac:dyDescent="0.2">
      <c r="I633" s="1">
        <v>45357</v>
      </c>
      <c r="J633" s="27">
        <v>112.27</v>
      </c>
      <c r="K633" s="23">
        <v>1.1917169843599511E-2</v>
      </c>
      <c r="L633" s="36">
        <v>0.42652448560698175</v>
      </c>
    </row>
    <row r="634" spans="9:12" x14ac:dyDescent="0.2">
      <c r="I634" s="1">
        <v>45358</v>
      </c>
      <c r="J634" s="27">
        <v>114.54</v>
      </c>
      <c r="K634" s="23">
        <v>2.0017422495023317E-2</v>
      </c>
      <c r="L634" s="36">
        <v>0.72805226276919432</v>
      </c>
    </row>
    <row r="635" spans="9:12" x14ac:dyDescent="0.2">
      <c r="I635" s="1">
        <v>45359</v>
      </c>
      <c r="J635" s="27">
        <v>112.42</v>
      </c>
      <c r="K635" s="23">
        <v>-1.868224939178233E-2</v>
      </c>
      <c r="L635" s="36">
        <v>-0.71252330235029337</v>
      </c>
    </row>
    <row r="636" spans="9:12" x14ac:dyDescent="0.2">
      <c r="I636" s="1">
        <v>45362</v>
      </c>
      <c r="J636" s="27">
        <v>114.13</v>
      </c>
      <c r="K636" s="23">
        <v>1.5096291991579604E-2</v>
      </c>
      <c r="L636" s="36">
        <v>0.54486568752481346</v>
      </c>
    </row>
    <row r="637" spans="9:12" x14ac:dyDescent="0.2">
      <c r="I637" s="1">
        <v>45363</v>
      </c>
      <c r="J637" s="27">
        <v>127.54</v>
      </c>
      <c r="K637" s="23">
        <v>0.11109189132161706</v>
      </c>
      <c r="L637" s="36">
        <v>4.1182529544334292</v>
      </c>
    </row>
    <row r="638" spans="9:12" x14ac:dyDescent="0.2">
      <c r="I638" s="1">
        <v>45364</v>
      </c>
      <c r="J638" s="27">
        <v>125.52</v>
      </c>
      <c r="K638" s="23">
        <v>-1.5964932462348442E-2</v>
      </c>
      <c r="L638" s="36">
        <v>-0.61137256436270349</v>
      </c>
    </row>
    <row r="639" spans="9:12" x14ac:dyDescent="0.2">
      <c r="I639" s="1">
        <v>45365</v>
      </c>
      <c r="J639" s="27">
        <v>125.53</v>
      </c>
      <c r="K639" s="23">
        <v>7.9665405339882295E-5</v>
      </c>
      <c r="L639" s="36">
        <v>-1.412058486361144E-2</v>
      </c>
    </row>
    <row r="640" spans="9:12" x14ac:dyDescent="0.2">
      <c r="I640" s="1">
        <v>45366</v>
      </c>
      <c r="J640" s="27">
        <v>125.54</v>
      </c>
      <c r="K640" s="23">
        <v>7.9659059268624992E-5</v>
      </c>
      <c r="L640" s="36">
        <v>-1.4120821092880114E-2</v>
      </c>
    </row>
    <row r="641" spans="9:12" x14ac:dyDescent="0.2">
      <c r="I641" s="1">
        <v>45369</v>
      </c>
      <c r="J641" s="27">
        <v>127.8</v>
      </c>
      <c r="K641" s="23">
        <v>1.7842109054048757E-2</v>
      </c>
      <c r="L641" s="36">
        <v>0.64707732844133103</v>
      </c>
    </row>
    <row r="642" spans="9:12" x14ac:dyDescent="0.2">
      <c r="I642" s="1">
        <v>45370</v>
      </c>
      <c r="J642" s="27">
        <v>129.19</v>
      </c>
      <c r="K642" s="23">
        <v>1.0817647028775376E-2</v>
      </c>
      <c r="L642" s="36">
        <v>0.3855953091281733</v>
      </c>
    </row>
    <row r="643" spans="9:12" x14ac:dyDescent="0.2">
      <c r="I643" s="1">
        <v>45371</v>
      </c>
      <c r="J643" s="27">
        <v>129.24</v>
      </c>
      <c r="K643" s="23">
        <v>3.8695198408775146E-4</v>
      </c>
      <c r="L643" s="36">
        <v>-2.6819985591040275E-3</v>
      </c>
    </row>
    <row r="644" spans="9:12" x14ac:dyDescent="0.2">
      <c r="I644" s="1">
        <v>45372</v>
      </c>
      <c r="J644" s="27">
        <v>129.01</v>
      </c>
      <c r="K644" s="23">
        <v>-1.7812202192524335E-3</v>
      </c>
      <c r="L644" s="36">
        <v>-8.3391103955112719E-2</v>
      </c>
    </row>
    <row r="645" spans="9:12" x14ac:dyDescent="0.2">
      <c r="I645" s="1">
        <v>45373</v>
      </c>
      <c r="J645" s="27">
        <v>127.79</v>
      </c>
      <c r="K645" s="23">
        <v>-9.5016291164331471E-3</v>
      </c>
      <c r="L645" s="36">
        <v>-0.37077939092923384</v>
      </c>
    </row>
    <row r="646" spans="9:12" x14ac:dyDescent="0.2">
      <c r="I646" s="1">
        <v>45376</v>
      </c>
      <c r="J646" s="27">
        <v>126.08</v>
      </c>
      <c r="K646" s="23">
        <v>-1.3471665511043038E-2</v>
      </c>
      <c r="L646" s="36">
        <v>-0.51856197263789094</v>
      </c>
    </row>
    <row r="647" spans="9:12" x14ac:dyDescent="0.2">
      <c r="I647" s="1">
        <v>45377</v>
      </c>
      <c r="J647" s="27">
        <v>126.47</v>
      </c>
      <c r="K647" s="23">
        <v>3.088499782316039E-3</v>
      </c>
      <c r="L647" s="36">
        <v>9.7881741555108578E-2</v>
      </c>
    </row>
    <row r="648" spans="9:12" x14ac:dyDescent="0.2">
      <c r="I648" s="1">
        <v>45378</v>
      </c>
      <c r="J648" s="27">
        <v>125.27</v>
      </c>
      <c r="K648" s="23">
        <v>-9.533718035784523E-3</v>
      </c>
      <c r="L648" s="36">
        <v>-0.37197388459997843</v>
      </c>
    </row>
    <row r="649" spans="9:12" x14ac:dyDescent="0.2">
      <c r="I649" s="1">
        <v>45379</v>
      </c>
      <c r="J649" s="27">
        <v>125.61</v>
      </c>
      <c r="K649" s="23">
        <v>2.7104608430610403E-3</v>
      </c>
      <c r="L649" s="36">
        <v>8.3809434685237771E-2</v>
      </c>
    </row>
    <row r="650" spans="9:12" x14ac:dyDescent="0.2">
      <c r="I650" s="1">
        <v>45383</v>
      </c>
      <c r="J650" s="27">
        <v>125.48</v>
      </c>
      <c r="K650" s="23">
        <v>-1.0354853766841659E-3</v>
      </c>
      <c r="L650" s="36">
        <v>-5.5631504457620752E-2</v>
      </c>
    </row>
    <row r="651" spans="9:12" x14ac:dyDescent="0.2">
      <c r="I651" s="1">
        <v>45384</v>
      </c>
      <c r="J651" s="27">
        <v>124.34</v>
      </c>
      <c r="K651" s="23">
        <v>-9.1266344812859276E-3</v>
      </c>
      <c r="L651" s="36">
        <v>-0.35682040672843596</v>
      </c>
    </row>
    <row r="652" spans="9:12" x14ac:dyDescent="0.2">
      <c r="I652" s="1">
        <v>45385</v>
      </c>
      <c r="J652" s="27">
        <v>126.24</v>
      </c>
      <c r="K652" s="23">
        <v>1.5165108256372543E-2</v>
      </c>
      <c r="L652" s="36">
        <v>0.54742733791382614</v>
      </c>
    </row>
    <row r="653" spans="9:12" x14ac:dyDescent="0.2">
      <c r="I653" s="1">
        <v>45386</v>
      </c>
      <c r="J653" s="27">
        <v>124.19</v>
      </c>
      <c r="K653" s="23">
        <v>-1.6372206137622948E-2</v>
      </c>
      <c r="L653" s="36">
        <v>-0.62653311938324607</v>
      </c>
    </row>
    <row r="654" spans="9:12" x14ac:dyDescent="0.2">
      <c r="I654" s="1">
        <v>45387</v>
      </c>
      <c r="J654" s="27">
        <v>124.9</v>
      </c>
      <c r="K654" s="23">
        <v>5.7007661715909328E-3</v>
      </c>
      <c r="L654" s="36">
        <v>0.19512202671771603</v>
      </c>
    </row>
    <row r="655" spans="9:12" x14ac:dyDescent="0.2">
      <c r="I655" s="1">
        <v>45390</v>
      </c>
      <c r="J655" s="27">
        <v>124.35</v>
      </c>
      <c r="K655" s="23">
        <v>-4.4132468821184503E-3</v>
      </c>
      <c r="L655" s="36">
        <v>-0.18136695523256241</v>
      </c>
    </row>
    <row r="656" spans="9:12" x14ac:dyDescent="0.2">
      <c r="I656" s="1">
        <v>45391</v>
      </c>
      <c r="J656" s="27">
        <v>123.23</v>
      </c>
      <c r="K656" s="23">
        <v>-9.0476422993818317E-3</v>
      </c>
      <c r="L656" s="36">
        <v>-0.35387996301047997</v>
      </c>
    </row>
    <row r="657" spans="9:12" x14ac:dyDescent="0.2">
      <c r="I657" s="1">
        <v>45392</v>
      </c>
      <c r="J657" s="27">
        <v>121.75</v>
      </c>
      <c r="K657" s="23">
        <v>-1.2082765987332579E-2</v>
      </c>
      <c r="L657" s="36">
        <v>-0.4668608956335264</v>
      </c>
    </row>
    <row r="658" spans="9:12" x14ac:dyDescent="0.2">
      <c r="I658" s="1">
        <v>45393</v>
      </c>
      <c r="J658" s="27">
        <v>123.24</v>
      </c>
      <c r="K658" s="23">
        <v>1.2163911765768011E-2</v>
      </c>
      <c r="L658" s="36">
        <v>0.43570932792311884</v>
      </c>
    </row>
    <row r="659" spans="9:12" x14ac:dyDescent="0.2">
      <c r="I659" s="1">
        <v>45394</v>
      </c>
      <c r="J659" s="27">
        <v>121.11</v>
      </c>
      <c r="K659" s="23">
        <v>-1.7434450195507989E-2</v>
      </c>
      <c r="L659" s="36">
        <v>-0.66607461313178318</v>
      </c>
    </row>
    <row r="660" spans="9:12" x14ac:dyDescent="0.2">
      <c r="I660" s="1">
        <v>45397</v>
      </c>
      <c r="J660" s="27">
        <v>119.88</v>
      </c>
      <c r="K660" s="23">
        <v>-1.0207981084496758E-2</v>
      </c>
      <c r="L660" s="36">
        <v>-0.39707298299230831</v>
      </c>
    </row>
    <row r="661" spans="9:12" x14ac:dyDescent="0.2">
      <c r="I661" s="1">
        <v>45398</v>
      </c>
      <c r="J661" s="27">
        <v>120.62</v>
      </c>
      <c r="K661" s="23">
        <v>6.1538655743782859E-3</v>
      </c>
      <c r="L661" s="36">
        <v>0.21198842109270905</v>
      </c>
    </row>
    <row r="662" spans="9:12" x14ac:dyDescent="0.2">
      <c r="I662" s="1">
        <v>45399</v>
      </c>
      <c r="J662" s="27">
        <v>118.67</v>
      </c>
      <c r="K662" s="23">
        <v>-1.6298576345793025E-2</v>
      </c>
      <c r="L662" s="36">
        <v>-0.62379228790319452</v>
      </c>
    </row>
    <row r="663" spans="9:12" x14ac:dyDescent="0.2">
      <c r="I663" s="1">
        <v>45400</v>
      </c>
      <c r="J663" s="27">
        <v>116</v>
      </c>
      <c r="K663" s="23">
        <v>-2.2756340570683105E-2</v>
      </c>
      <c r="L663" s="36">
        <v>-0.86417927037916709</v>
      </c>
    </row>
    <row r="664" spans="9:12" x14ac:dyDescent="0.2">
      <c r="I664" s="1">
        <v>45401</v>
      </c>
      <c r="J664" s="27">
        <v>114.88</v>
      </c>
      <c r="K664" s="23">
        <v>-9.7020858064505913E-3</v>
      </c>
      <c r="L664" s="36">
        <v>-0.37824128906492105</v>
      </c>
    </row>
    <row r="665" spans="9:12" x14ac:dyDescent="0.2">
      <c r="I665" s="1">
        <v>45404</v>
      </c>
      <c r="J665" s="27">
        <v>114.53</v>
      </c>
      <c r="K665" s="23">
        <v>-3.0513078902891576E-3</v>
      </c>
      <c r="L665" s="36">
        <v>-0.13066947028872575</v>
      </c>
    </row>
    <row r="666" spans="9:12" x14ac:dyDescent="0.2">
      <c r="I666" s="1">
        <v>45405</v>
      </c>
      <c r="J666" s="27">
        <v>115.09</v>
      </c>
      <c r="K666" s="23">
        <v>4.8776335707749309E-3</v>
      </c>
      <c r="L666" s="36">
        <v>0.16448133511037791</v>
      </c>
    </row>
    <row r="667" spans="9:12" x14ac:dyDescent="0.2">
      <c r="I667" s="1">
        <v>45406</v>
      </c>
      <c r="J667" s="27">
        <v>115.34</v>
      </c>
      <c r="K667" s="23">
        <v>2.1698572068669197E-3</v>
      </c>
      <c r="L667" s="36">
        <v>6.3685739812736425E-2</v>
      </c>
    </row>
    <row r="668" spans="9:12" x14ac:dyDescent="0.2">
      <c r="I668" s="1">
        <v>45407</v>
      </c>
      <c r="J668" s="27">
        <v>114.89</v>
      </c>
      <c r="K668" s="23">
        <v>-3.9091393219931837E-3</v>
      </c>
      <c r="L668" s="36">
        <v>-0.16260180819378206</v>
      </c>
    </row>
    <row r="669" spans="9:12" x14ac:dyDescent="0.2">
      <c r="I669" s="1">
        <v>45408</v>
      </c>
      <c r="J669" s="27">
        <v>117.21</v>
      </c>
      <c r="K669" s="23">
        <v>1.9992048869815357E-2</v>
      </c>
      <c r="L669" s="36">
        <v>0.72710774250090882</v>
      </c>
    </row>
    <row r="670" spans="9:12" x14ac:dyDescent="0.2">
      <c r="I670" s="1">
        <v>45411</v>
      </c>
      <c r="J670" s="27">
        <v>116.49</v>
      </c>
      <c r="K670" s="23">
        <v>-6.1617653234032847E-3</v>
      </c>
      <c r="L670" s="36">
        <v>-0.24645466318634834</v>
      </c>
    </row>
    <row r="671" spans="9:12" x14ac:dyDescent="0.2">
      <c r="I671" s="1">
        <v>45412</v>
      </c>
      <c r="J671" s="27">
        <v>113.75</v>
      </c>
      <c r="K671" s="23">
        <v>-2.3802374580625816E-2</v>
      </c>
      <c r="L671" s="36">
        <v>-0.90311735335348786</v>
      </c>
    </row>
    <row r="672" spans="9:12" x14ac:dyDescent="0.2">
      <c r="I672" s="1">
        <v>45413</v>
      </c>
      <c r="J672" s="27">
        <v>114.63</v>
      </c>
      <c r="K672" s="23">
        <v>7.7064922958584234E-3</v>
      </c>
      <c r="L672" s="36">
        <v>0.26978415960072577</v>
      </c>
    </row>
    <row r="673" spans="9:12" x14ac:dyDescent="0.2">
      <c r="I673" s="1">
        <v>45414</v>
      </c>
      <c r="J673" s="27">
        <v>114.96</v>
      </c>
      <c r="K673" s="23">
        <v>2.8746916438512449E-3</v>
      </c>
      <c r="L673" s="36">
        <v>8.9922842554699248E-2</v>
      </c>
    </row>
    <row r="674" spans="9:12" x14ac:dyDescent="0.2">
      <c r="I674" s="1">
        <v>45415</v>
      </c>
      <c r="J674" s="27">
        <v>115.8</v>
      </c>
      <c r="K674" s="23">
        <v>7.2803233681253236E-3</v>
      </c>
      <c r="L674" s="36">
        <v>0.25392023843619543</v>
      </c>
    </row>
    <row r="675" spans="9:12" x14ac:dyDescent="0.2">
      <c r="I675" s="1">
        <v>45418</v>
      </c>
      <c r="J675" s="27">
        <v>118.34</v>
      </c>
      <c r="K675" s="23">
        <v>2.1697272109653162E-2</v>
      </c>
      <c r="L675" s="36">
        <v>0.79058380864352007</v>
      </c>
    </row>
    <row r="676" spans="9:12" x14ac:dyDescent="0.2">
      <c r="I676" s="1">
        <v>45419</v>
      </c>
      <c r="J676" s="27">
        <v>117.93</v>
      </c>
      <c r="K676" s="23">
        <v>-3.4706091466692951E-3</v>
      </c>
      <c r="L676" s="36">
        <v>-0.14627774588682116</v>
      </c>
    </row>
    <row r="677" spans="9:12" x14ac:dyDescent="0.2">
      <c r="I677" s="1">
        <v>45420</v>
      </c>
      <c r="J677" s="27">
        <v>117.39</v>
      </c>
      <c r="K677" s="23">
        <v>-4.5895032114479104E-3</v>
      </c>
      <c r="L677" s="36">
        <v>-0.18792800727383935</v>
      </c>
    </row>
    <row r="678" spans="9:12" x14ac:dyDescent="0.2">
      <c r="I678" s="1">
        <v>45421</v>
      </c>
      <c r="J678" s="27">
        <v>116.64</v>
      </c>
      <c r="K678" s="23">
        <v>-6.4094566300828123E-3</v>
      </c>
      <c r="L678" s="36">
        <v>-0.25567484585711409</v>
      </c>
    </row>
    <row r="679" spans="9:12" x14ac:dyDescent="0.2">
      <c r="I679" s="1">
        <v>45422</v>
      </c>
      <c r="J679" s="27">
        <v>116.67</v>
      </c>
      <c r="K679" s="23">
        <v>2.571685754175006E-4</v>
      </c>
      <c r="L679" s="36">
        <v>-7.5131198108587113E-3</v>
      </c>
    </row>
    <row r="680" spans="9:12" x14ac:dyDescent="0.2">
      <c r="I680" s="1">
        <v>45425</v>
      </c>
      <c r="J680" s="27">
        <v>116.37</v>
      </c>
      <c r="K680" s="23">
        <v>-2.5746667157800951E-3</v>
      </c>
      <c r="L680" s="36">
        <v>-0.11292674545798338</v>
      </c>
    </row>
    <row r="681" spans="9:12" x14ac:dyDescent="0.2">
      <c r="I681" s="1">
        <v>45426</v>
      </c>
      <c r="J681" s="27">
        <v>120.87</v>
      </c>
      <c r="K681" s="23">
        <v>3.7940817751379995E-2</v>
      </c>
      <c r="L681" s="36">
        <v>1.3952415176499082</v>
      </c>
    </row>
    <row r="682" spans="9:12" x14ac:dyDescent="0.2">
      <c r="I682" s="1">
        <v>45427</v>
      </c>
      <c r="J682" s="27">
        <v>121.63</v>
      </c>
      <c r="K682" s="23">
        <v>6.2680617589792676E-3</v>
      </c>
      <c r="L682" s="36">
        <v>0.21623931587153886</v>
      </c>
    </row>
    <row r="683" spans="9:12" x14ac:dyDescent="0.2">
      <c r="I683" s="1">
        <v>45428</v>
      </c>
      <c r="J683" s="27">
        <v>122.16</v>
      </c>
      <c r="K683" s="23">
        <v>4.3480112800319427E-3</v>
      </c>
      <c r="L683" s="36">
        <v>0.14476641522633918</v>
      </c>
    </row>
    <row r="684" spans="9:12" x14ac:dyDescent="0.2">
      <c r="I684" s="1">
        <v>45429</v>
      </c>
      <c r="J684" s="27">
        <v>123.5</v>
      </c>
      <c r="K684" s="23">
        <v>1.0909495157654924E-2</v>
      </c>
      <c r="L684" s="36">
        <v>0.38901430892106131</v>
      </c>
    </row>
    <row r="685" spans="9:12" x14ac:dyDescent="0.2">
      <c r="I685" s="1">
        <v>45432</v>
      </c>
      <c r="J685" s="27">
        <v>124.52</v>
      </c>
      <c r="K685" s="23">
        <v>8.2251895053754298E-3</v>
      </c>
      <c r="L685" s="36">
        <v>0.28909239890341154</v>
      </c>
    </row>
    <row r="686" spans="9:12" x14ac:dyDescent="0.2">
      <c r="I686" s="1">
        <v>45433</v>
      </c>
      <c r="J686" s="27">
        <v>124.63</v>
      </c>
      <c r="K686" s="23">
        <v>8.8300226487807762E-4</v>
      </c>
      <c r="L686" s="36">
        <v>1.5783220362321538E-2</v>
      </c>
    </row>
    <row r="687" spans="9:12" x14ac:dyDescent="0.2">
      <c r="I687" s="1">
        <v>45434</v>
      </c>
      <c r="J687" s="27">
        <v>124.6</v>
      </c>
      <c r="K687" s="23">
        <v>-2.4074148493268888E-4</v>
      </c>
      <c r="L687" s="36">
        <v>-2.6047568078679879E-2</v>
      </c>
    </row>
    <row r="688" spans="9:12" x14ac:dyDescent="0.2">
      <c r="I688" s="1">
        <v>45435</v>
      </c>
      <c r="J688" s="27">
        <v>124.09</v>
      </c>
      <c r="K688" s="23">
        <v>-4.1014975668244771E-3</v>
      </c>
      <c r="L688" s="36">
        <v>-0.16976224583428079</v>
      </c>
    </row>
    <row r="689" spans="9:12" x14ac:dyDescent="0.2">
      <c r="I689" s="1">
        <v>45436</v>
      </c>
      <c r="J689" s="27">
        <v>122.91</v>
      </c>
      <c r="K689" s="23">
        <v>-9.5547285596389031E-3</v>
      </c>
      <c r="L689" s="36">
        <v>-0.37275599064375858</v>
      </c>
    </row>
    <row r="690" spans="9:12" x14ac:dyDescent="0.2">
      <c r="I690" s="1">
        <v>45440</v>
      </c>
      <c r="J690" s="27">
        <v>124.49</v>
      </c>
      <c r="K690" s="23">
        <v>1.2773011166805135E-2</v>
      </c>
      <c r="L690" s="36">
        <v>0.45838274273731933</v>
      </c>
    </row>
    <row r="691" spans="9:12" x14ac:dyDescent="0.2">
      <c r="I691" s="1">
        <v>45441</v>
      </c>
      <c r="J691" s="27">
        <v>123.74</v>
      </c>
      <c r="K691" s="23">
        <v>-6.0428012908517849E-3</v>
      </c>
      <c r="L691" s="36">
        <v>-0.24202628769719597</v>
      </c>
    </row>
    <row r="692" spans="9:12" x14ac:dyDescent="0.2">
      <c r="I692" s="1">
        <v>45442</v>
      </c>
      <c r="J692" s="27">
        <v>117.09</v>
      </c>
      <c r="K692" s="23">
        <v>-5.5239720242209432E-2</v>
      </c>
      <c r="L692" s="36">
        <v>-2.0733565255293387</v>
      </c>
    </row>
    <row r="693" spans="9:12" x14ac:dyDescent="0.2">
      <c r="I693" s="1">
        <v>45443</v>
      </c>
      <c r="J693" s="27">
        <v>117.19</v>
      </c>
      <c r="K693" s="23">
        <v>8.5367940987769828E-4</v>
      </c>
      <c r="L693" s="36">
        <v>1.4691692027491127E-2</v>
      </c>
    </row>
    <row r="694" spans="9:12" x14ac:dyDescent="0.2">
      <c r="I694" s="1">
        <v>45446</v>
      </c>
      <c r="J694" s="27">
        <v>119.28</v>
      </c>
      <c r="K694" s="23">
        <v>1.7677121185971964E-2</v>
      </c>
      <c r="L694" s="36">
        <v>0.64093573912791835</v>
      </c>
    </row>
    <row r="695" spans="9:12" x14ac:dyDescent="0.2">
      <c r="I695" s="1">
        <v>45447</v>
      </c>
      <c r="J695" s="27">
        <v>120.07</v>
      </c>
      <c r="K695" s="23">
        <v>6.6012355861436705E-3</v>
      </c>
      <c r="L695" s="36">
        <v>0.22864154180653498</v>
      </c>
    </row>
    <row r="696" spans="9:12" x14ac:dyDescent="0.2">
      <c r="I696" s="1">
        <v>45448</v>
      </c>
      <c r="J696" s="27">
        <v>122.63</v>
      </c>
      <c r="K696" s="23">
        <v>2.1096785731307965E-2</v>
      </c>
      <c r="L696" s="36">
        <v>0.76823100920993848</v>
      </c>
    </row>
    <row r="697" spans="9:12" x14ac:dyDescent="0.2">
      <c r="I697" s="1">
        <v>45449</v>
      </c>
      <c r="J697" s="27">
        <v>123.5</v>
      </c>
      <c r="K697" s="23">
        <v>7.0694642940972545E-3</v>
      </c>
      <c r="L697" s="36">
        <v>0.24607111685663699</v>
      </c>
    </row>
    <row r="698" spans="9:12" x14ac:dyDescent="0.2">
      <c r="I698" s="1">
        <v>45450</v>
      </c>
      <c r="J698" s="27">
        <v>125.92</v>
      </c>
      <c r="K698" s="23">
        <v>1.9405628601061126E-2</v>
      </c>
      <c r="L698" s="36">
        <v>0.70527854682893798</v>
      </c>
    </row>
    <row r="699" spans="9:12" x14ac:dyDescent="0.2">
      <c r="I699" s="1">
        <v>45453</v>
      </c>
      <c r="J699" s="27">
        <v>124.5</v>
      </c>
      <c r="K699" s="23">
        <v>-1.1341068764330773E-2</v>
      </c>
      <c r="L699" s="36">
        <v>-0.43925159446687573</v>
      </c>
    </row>
    <row r="700" spans="9:12" x14ac:dyDescent="0.2">
      <c r="I700" s="1">
        <v>45454</v>
      </c>
      <c r="J700" s="27">
        <v>123.88</v>
      </c>
      <c r="K700" s="23">
        <v>-4.9923607997603182E-3</v>
      </c>
      <c r="L700" s="36">
        <v>-0.2029241757076003</v>
      </c>
    </row>
    <row r="701" spans="9:12" x14ac:dyDescent="0.2">
      <c r="I701" s="1">
        <v>45455</v>
      </c>
      <c r="J701" s="27">
        <v>140.38</v>
      </c>
      <c r="K701" s="23">
        <v>0.12503967619727346</v>
      </c>
      <c r="L701" s="36">
        <v>4.6374521388137042</v>
      </c>
    </row>
    <row r="702" spans="9:12" x14ac:dyDescent="0.2">
      <c r="I702" s="1">
        <v>45456</v>
      </c>
      <c r="J702" s="27">
        <v>139.85</v>
      </c>
      <c r="K702" s="23">
        <v>-3.782611654306654E-3</v>
      </c>
      <c r="L702" s="36">
        <v>-0.15789188024106168</v>
      </c>
    </row>
    <row r="703" spans="9:12" x14ac:dyDescent="0.2">
      <c r="I703" s="1">
        <v>45457</v>
      </c>
      <c r="J703" s="27">
        <v>138.13</v>
      </c>
      <c r="K703" s="23">
        <v>-1.2375148936100264E-2</v>
      </c>
      <c r="L703" s="36">
        <v>-0.47774470190672413</v>
      </c>
    </row>
    <row r="704" spans="9:12" x14ac:dyDescent="0.2">
      <c r="I704" s="1">
        <v>45460</v>
      </c>
      <c r="J704" s="27">
        <v>141.31</v>
      </c>
      <c r="K704" s="23">
        <v>2.2760787882786414E-2</v>
      </c>
      <c r="L704" s="36">
        <v>0.83017264134412172</v>
      </c>
    </row>
    <row r="705" spans="9:12" x14ac:dyDescent="0.2">
      <c r="I705" s="1">
        <v>45461</v>
      </c>
      <c r="J705" s="27">
        <v>144.63999999999999</v>
      </c>
      <c r="K705" s="23">
        <v>2.3291838049211495E-2</v>
      </c>
      <c r="L705" s="36">
        <v>0.84994071317279873</v>
      </c>
    </row>
    <row r="706" spans="9:12" x14ac:dyDescent="0.2">
      <c r="I706" s="1">
        <v>45463</v>
      </c>
      <c r="J706" s="27">
        <v>142.91</v>
      </c>
      <c r="K706" s="23">
        <v>-1.2032835150162914E-2</v>
      </c>
      <c r="L706" s="36">
        <v>-0.46500224566401327</v>
      </c>
    </row>
    <row r="707" spans="9:12" x14ac:dyDescent="0.2">
      <c r="I707" s="1">
        <v>45464</v>
      </c>
      <c r="J707" s="27">
        <v>141.5</v>
      </c>
      <c r="K707" s="23">
        <v>-9.9153444104110346E-3</v>
      </c>
      <c r="L707" s="36">
        <v>-0.38617973192344179</v>
      </c>
    </row>
    <row r="708" spans="9:12" x14ac:dyDescent="0.2">
      <c r="I708" s="1">
        <v>45467</v>
      </c>
      <c r="J708" s="27">
        <v>139.88999999999999</v>
      </c>
      <c r="K708" s="23">
        <v>-1.144331759495321E-2</v>
      </c>
      <c r="L708" s="36">
        <v>-0.44305775508207573</v>
      </c>
    </row>
    <row r="709" spans="9:12" x14ac:dyDescent="0.2">
      <c r="I709" s="1">
        <v>45468</v>
      </c>
      <c r="J709" s="27">
        <v>139.16999999999999</v>
      </c>
      <c r="K709" s="23">
        <v>-5.1601920565771684E-3</v>
      </c>
      <c r="L709" s="36">
        <v>-0.20917160871790647</v>
      </c>
    </row>
    <row r="710" spans="9:12" x14ac:dyDescent="0.2">
      <c r="I710" s="1">
        <v>45469</v>
      </c>
      <c r="J710" s="27">
        <v>138.22999999999999</v>
      </c>
      <c r="K710" s="23">
        <v>-6.7772429554960245E-3</v>
      </c>
      <c r="L710" s="36">
        <v>-0.26936550440132767</v>
      </c>
    </row>
    <row r="711" spans="9:12" x14ac:dyDescent="0.2">
      <c r="I711" s="1">
        <v>45470</v>
      </c>
      <c r="J711" s="27">
        <v>140.18</v>
      </c>
      <c r="K711" s="23">
        <v>1.4008346595912966E-2</v>
      </c>
      <c r="L711" s="36">
        <v>0.50436747457443543</v>
      </c>
    </row>
    <row r="712" spans="9:12" x14ac:dyDescent="0.2">
      <c r="I712" s="1">
        <v>45471</v>
      </c>
      <c r="J712" s="27">
        <v>141.19999999999999</v>
      </c>
      <c r="K712" s="23">
        <v>7.2500139869627819E-3</v>
      </c>
      <c r="L712" s="36">
        <v>0.25279198716769991</v>
      </c>
    </row>
    <row r="713" spans="9:12" x14ac:dyDescent="0.2">
      <c r="I713" s="1">
        <v>45474</v>
      </c>
      <c r="J713" s="27">
        <v>143.09</v>
      </c>
      <c r="K713" s="23">
        <v>1.3296477859501903E-2</v>
      </c>
      <c r="L713" s="36">
        <v>0.47786852362090293</v>
      </c>
    </row>
    <row r="714" spans="9:12" x14ac:dyDescent="0.2">
      <c r="I714" s="1">
        <v>45475</v>
      </c>
      <c r="J714" s="27">
        <v>143.28</v>
      </c>
      <c r="K714" s="23">
        <v>1.3269548338127476E-3</v>
      </c>
      <c r="L714" s="36">
        <v>3.2309128508260086E-2</v>
      </c>
    </row>
    <row r="715" spans="9:12" x14ac:dyDescent="0.2">
      <c r="I715" s="1">
        <v>45476</v>
      </c>
      <c r="J715" s="27">
        <v>144.38</v>
      </c>
      <c r="K715" s="23">
        <v>7.6479549585586528E-3</v>
      </c>
      <c r="L715" s="36">
        <v>0.2676051370496339</v>
      </c>
    </row>
    <row r="716" spans="9:12" x14ac:dyDescent="0.2">
      <c r="I716" s="1">
        <v>45478</v>
      </c>
      <c r="J716" s="27">
        <v>144.83000000000001</v>
      </c>
      <c r="K716" s="23">
        <v>3.1119281017502106E-3</v>
      </c>
      <c r="L716" s="36">
        <v>9.8753848807268216E-2</v>
      </c>
    </row>
    <row r="717" spans="9:12" x14ac:dyDescent="0.2">
      <c r="I717" s="1">
        <v>45481</v>
      </c>
      <c r="J717" s="27">
        <v>145.03</v>
      </c>
      <c r="K717" s="23">
        <v>1.3799767593937187E-3</v>
      </c>
      <c r="L717" s="36">
        <v>3.4282842668704239E-2</v>
      </c>
    </row>
    <row r="718" spans="9:12" x14ac:dyDescent="0.2">
      <c r="I718" s="1">
        <v>45482</v>
      </c>
      <c r="J718" s="27">
        <v>140.68</v>
      </c>
      <c r="K718" s="23">
        <v>-3.0452809966376879E-2</v>
      </c>
      <c r="L718" s="36">
        <v>-1.1506764216097063</v>
      </c>
    </row>
    <row r="719" spans="9:12" x14ac:dyDescent="0.2">
      <c r="I719" s="1">
        <v>45483</v>
      </c>
      <c r="J719" s="27">
        <v>142.07</v>
      </c>
      <c r="K719" s="23">
        <v>9.8320862782038838E-3</v>
      </c>
      <c r="L719" s="36">
        <v>0.34890831241753262</v>
      </c>
    </row>
    <row r="720" spans="9:12" x14ac:dyDescent="0.2">
      <c r="I720" s="1">
        <v>45484</v>
      </c>
      <c r="J720" s="27">
        <v>142.76</v>
      </c>
      <c r="K720" s="23">
        <v>4.8450047379737932E-3</v>
      </c>
      <c r="L720" s="36">
        <v>0.16326674343659903</v>
      </c>
    </row>
    <row r="721" spans="9:12" x14ac:dyDescent="0.2">
      <c r="I721" s="1">
        <v>45485</v>
      </c>
      <c r="J721" s="27">
        <v>144.77000000000001</v>
      </c>
      <c r="K721" s="23">
        <v>1.3981377543992698E-2</v>
      </c>
      <c r="L721" s="36">
        <v>0.50336356535979365</v>
      </c>
    </row>
    <row r="722" spans="9:12" x14ac:dyDescent="0.2">
      <c r="I722" s="1">
        <v>45488</v>
      </c>
      <c r="J722" s="27">
        <v>143.07</v>
      </c>
      <c r="K722" s="23">
        <v>-1.1812255187709678E-2</v>
      </c>
      <c r="L722" s="36">
        <v>-0.45679126896647065</v>
      </c>
    </row>
    <row r="723" spans="9:12" x14ac:dyDescent="0.2">
      <c r="I723" s="1">
        <v>45489</v>
      </c>
      <c r="J723" s="27">
        <v>142.61000000000001</v>
      </c>
      <c r="K723" s="23">
        <v>-3.2203892295668592E-3</v>
      </c>
      <c r="L723" s="36">
        <v>-0.13696343698161081</v>
      </c>
    </row>
    <row r="724" spans="9:12" x14ac:dyDescent="0.2">
      <c r="I724" s="1">
        <v>45490</v>
      </c>
      <c r="J724" s="27">
        <v>139.26</v>
      </c>
      <c r="K724" s="23">
        <v>-2.3770942234275089E-2</v>
      </c>
      <c r="L724" s="36">
        <v>-0.90194730027811099</v>
      </c>
    </row>
    <row r="725" spans="9:12" x14ac:dyDescent="0.2">
      <c r="I725" s="1">
        <v>45491</v>
      </c>
      <c r="J725" s="27">
        <v>138.03</v>
      </c>
      <c r="K725" s="23">
        <v>-8.8716366789136358E-3</v>
      </c>
      <c r="L725" s="36">
        <v>-0.34732824347880553</v>
      </c>
    </row>
    <row r="726" spans="9:12" x14ac:dyDescent="0.2">
      <c r="I726" s="1">
        <v>45492</v>
      </c>
      <c r="J726" s="27">
        <v>138.56</v>
      </c>
      <c r="K726" s="23">
        <v>3.8323919786381806E-3</v>
      </c>
      <c r="L726" s="36">
        <v>0.12557274948507791</v>
      </c>
    </row>
    <row r="727" spans="9:12" x14ac:dyDescent="0.2">
      <c r="I727" s="1">
        <v>45495</v>
      </c>
      <c r="J727" s="27">
        <v>140.16999999999999</v>
      </c>
      <c r="K727" s="23">
        <v>1.1552526860841213E-2</v>
      </c>
      <c r="L727" s="36">
        <v>0.41295083639128938</v>
      </c>
    </row>
    <row r="728" spans="9:12" x14ac:dyDescent="0.2">
      <c r="I728" s="1">
        <v>45496</v>
      </c>
      <c r="J728" s="27">
        <v>143.11000000000001</v>
      </c>
      <c r="K728" s="23">
        <v>2.0757593647818234E-2</v>
      </c>
      <c r="L728" s="36">
        <v>0.75560475675005978</v>
      </c>
    </row>
    <row r="729" spans="9:12" x14ac:dyDescent="0.2">
      <c r="I729" s="1">
        <v>45497</v>
      </c>
      <c r="J729" s="27">
        <v>138.77000000000001</v>
      </c>
      <c r="K729" s="23">
        <v>-3.0795678939865401E-2</v>
      </c>
      <c r="L729" s="36">
        <v>-1.1634395444260928</v>
      </c>
    </row>
    <row r="730" spans="9:12" x14ac:dyDescent="0.2">
      <c r="I730" s="1">
        <v>45498</v>
      </c>
      <c r="J730" s="27">
        <v>137.82</v>
      </c>
      <c r="K730" s="23">
        <v>-6.869400453857347E-3</v>
      </c>
      <c r="L730" s="36">
        <v>-0.27279602031552391</v>
      </c>
    </row>
    <row r="731" spans="9:12" x14ac:dyDescent="0.2">
      <c r="I731" s="1">
        <v>45499</v>
      </c>
      <c r="J731" s="27">
        <v>139.01</v>
      </c>
      <c r="K731" s="23">
        <v>8.5973870599394143E-3</v>
      </c>
      <c r="L731" s="36">
        <v>0.3029472632048556</v>
      </c>
    </row>
    <row r="732" spans="9:12" x14ac:dyDescent="0.2">
      <c r="I732" s="1">
        <v>45502</v>
      </c>
      <c r="J732" s="27">
        <v>138.31</v>
      </c>
      <c r="K732" s="23">
        <v>-5.0483303523845844E-3</v>
      </c>
      <c r="L732" s="36">
        <v>-0.20500761378265736</v>
      </c>
    </row>
    <row r="733" spans="9:12" x14ac:dyDescent="0.2">
      <c r="I733" s="1">
        <v>45503</v>
      </c>
      <c r="J733" s="27">
        <v>135.66999999999999</v>
      </c>
      <c r="K733" s="23">
        <v>-1.9272076139399401E-2</v>
      </c>
      <c r="L733" s="36">
        <v>-0.73447930246203452</v>
      </c>
    </row>
    <row r="734" spans="9:12" x14ac:dyDescent="0.2">
      <c r="I734" s="1">
        <v>45504</v>
      </c>
      <c r="J734" s="27">
        <v>139.44999999999999</v>
      </c>
      <c r="K734" s="23">
        <v>2.7480647576280708E-2</v>
      </c>
      <c r="L734" s="36">
        <v>1.005867013253213</v>
      </c>
    </row>
    <row r="735" spans="9:12" x14ac:dyDescent="0.2">
      <c r="I735" s="1">
        <v>45505</v>
      </c>
      <c r="J735" s="27">
        <v>137.51</v>
      </c>
      <c r="K735" s="23">
        <v>-1.4009472338644569E-2</v>
      </c>
      <c r="L735" s="36">
        <v>-0.53858155773575167</v>
      </c>
    </row>
    <row r="736" spans="9:12" x14ac:dyDescent="0.2">
      <c r="I736" s="1">
        <v>45506</v>
      </c>
      <c r="J736" s="27">
        <v>133.28</v>
      </c>
      <c r="K736" s="23">
        <v>-3.1244463316320744E-2</v>
      </c>
      <c r="L736" s="36">
        <v>-1.18014531414476</v>
      </c>
    </row>
    <row r="737" spans="9:12" x14ac:dyDescent="0.2">
      <c r="I737" s="1">
        <v>45509</v>
      </c>
      <c r="J737" s="27">
        <v>127.86</v>
      </c>
      <c r="K737" s="23">
        <v>-4.15162630799518E-2</v>
      </c>
      <c r="L737" s="36">
        <v>-1.5625078259657466</v>
      </c>
    </row>
    <row r="738" spans="9:12" x14ac:dyDescent="0.2">
      <c r="I738" s="1">
        <v>45510</v>
      </c>
      <c r="J738" s="27">
        <v>128.21</v>
      </c>
      <c r="K738" s="23">
        <v>2.7336292260285704E-3</v>
      </c>
      <c r="L738" s="36">
        <v>8.4671865934887028E-2</v>
      </c>
    </row>
    <row r="739" spans="9:12" x14ac:dyDescent="0.2">
      <c r="I739" s="1">
        <v>45511</v>
      </c>
      <c r="J739" s="27">
        <v>125.9</v>
      </c>
      <c r="K739" s="23">
        <v>-1.8181603514307809E-2</v>
      </c>
      <c r="L739" s="36">
        <v>-0.69388701468415692</v>
      </c>
    </row>
    <row r="740" spans="9:12" x14ac:dyDescent="0.2">
      <c r="I740" s="1">
        <v>45512</v>
      </c>
      <c r="J740" s="27">
        <v>128.96</v>
      </c>
      <c r="K740" s="23">
        <v>2.4014337708016694E-2</v>
      </c>
      <c r="L740" s="36">
        <v>0.87683539479506845</v>
      </c>
    </row>
    <row r="741" spans="9:12" x14ac:dyDescent="0.2">
      <c r="I741" s="1">
        <v>45513</v>
      </c>
      <c r="J741" s="27">
        <v>132.06</v>
      </c>
      <c r="K741" s="23">
        <v>2.3754086008107057E-2</v>
      </c>
      <c r="L741" s="36">
        <v>0.8671476578869306</v>
      </c>
    </row>
    <row r="742" spans="9:12" x14ac:dyDescent="0.2">
      <c r="I742" s="1">
        <v>45516</v>
      </c>
      <c r="J742" s="27">
        <v>132.58000000000001</v>
      </c>
      <c r="K742" s="23">
        <v>3.9298720468202396E-3</v>
      </c>
      <c r="L742" s="36">
        <v>0.12920139534853634</v>
      </c>
    </row>
    <row r="743" spans="9:12" x14ac:dyDescent="0.2">
      <c r="I743" s="1">
        <v>45517</v>
      </c>
      <c r="J743" s="27">
        <v>134.26</v>
      </c>
      <c r="K743" s="23">
        <v>1.2591981697359748E-2</v>
      </c>
      <c r="L743" s="36">
        <v>0.4516440129875593</v>
      </c>
    </row>
    <row r="744" spans="9:12" x14ac:dyDescent="0.2">
      <c r="I744" s="1">
        <v>45518</v>
      </c>
      <c r="J744" s="27">
        <v>135.6</v>
      </c>
      <c r="K744" s="23">
        <v>9.9311569956897633E-3</v>
      </c>
      <c r="L744" s="36">
        <v>0.35259616939075084</v>
      </c>
    </row>
    <row r="745" spans="9:12" x14ac:dyDescent="0.2">
      <c r="I745" s="1">
        <v>45519</v>
      </c>
      <c r="J745" s="27">
        <v>136.93</v>
      </c>
      <c r="K745" s="23">
        <v>9.7604708378472554E-3</v>
      </c>
      <c r="L745" s="36">
        <v>0.34624246414458626</v>
      </c>
    </row>
    <row r="746" spans="9:12" x14ac:dyDescent="0.2">
      <c r="I746" s="1">
        <v>45520</v>
      </c>
      <c r="J746" s="27">
        <v>137.47</v>
      </c>
      <c r="K746" s="23">
        <v>3.9358651391862244E-3</v>
      </c>
      <c r="L746" s="36">
        <v>0.12942448515785548</v>
      </c>
    </row>
    <row r="747" spans="9:12" x14ac:dyDescent="0.2">
      <c r="I747" s="1">
        <v>45523</v>
      </c>
      <c r="J747" s="27">
        <v>137.91999999999999</v>
      </c>
      <c r="K747" s="23">
        <v>3.2680954320542049E-3</v>
      </c>
      <c r="L747" s="36">
        <v>0.10456709809692383</v>
      </c>
    </row>
    <row r="748" spans="9:12" x14ac:dyDescent="0.2">
      <c r="I748" s="1">
        <v>45524</v>
      </c>
      <c r="J748" s="27">
        <v>139.16999999999999</v>
      </c>
      <c r="K748" s="23">
        <v>9.0224005163791095E-3</v>
      </c>
      <c r="L748" s="36">
        <v>0.31876817253930262</v>
      </c>
    </row>
    <row r="749" spans="9:12" x14ac:dyDescent="0.2">
      <c r="I749" s="1">
        <v>45525</v>
      </c>
      <c r="J749" s="27">
        <v>140.19999999999999</v>
      </c>
      <c r="K749" s="23">
        <v>7.3737671687276844E-3</v>
      </c>
      <c r="L749" s="36">
        <v>0.25739863629583087</v>
      </c>
    </row>
    <row r="750" spans="9:12" x14ac:dyDescent="0.2">
      <c r="I750" s="1">
        <v>45526</v>
      </c>
      <c r="J750" s="27">
        <v>138.08000000000001</v>
      </c>
      <c r="K750" s="23">
        <v>-1.523674726537178E-2</v>
      </c>
      <c r="L750" s="36">
        <v>-0.58426624147927997</v>
      </c>
    </row>
    <row r="751" spans="9:12" x14ac:dyDescent="0.2">
      <c r="I751" s="1">
        <v>45527</v>
      </c>
      <c r="J751" s="27">
        <v>139.19</v>
      </c>
      <c r="K751" s="23">
        <v>8.0066789041911696E-3</v>
      </c>
      <c r="L751" s="36">
        <v>0.28095845312458601</v>
      </c>
    </row>
    <row r="752" spans="9:12" x14ac:dyDescent="0.2">
      <c r="I752" s="1">
        <v>45530</v>
      </c>
      <c r="J752" s="27">
        <v>138.9</v>
      </c>
      <c r="K752" s="23">
        <v>-2.0856564790110096E-3</v>
      </c>
      <c r="L752" s="36">
        <v>-9.4723588587730473E-2</v>
      </c>
    </row>
    <row r="753" spans="9:12" x14ac:dyDescent="0.2">
      <c r="I753" s="1">
        <v>45531</v>
      </c>
      <c r="J753" s="27">
        <v>138.47999999999999</v>
      </c>
      <c r="K753" s="23">
        <v>-3.0283388923443974E-3</v>
      </c>
      <c r="L753" s="36">
        <v>-0.12981446104494498</v>
      </c>
    </row>
    <row r="754" spans="9:12" x14ac:dyDescent="0.2">
      <c r="I754" s="1">
        <v>45532</v>
      </c>
      <c r="J754" s="27">
        <v>137.88</v>
      </c>
      <c r="K754" s="23">
        <v>-4.3421692192891527E-3</v>
      </c>
      <c r="L754" s="36">
        <v>-0.1787211254540263</v>
      </c>
    </row>
    <row r="755" spans="9:12" x14ac:dyDescent="0.2">
      <c r="I755" s="1">
        <v>45533</v>
      </c>
      <c r="J755" s="27">
        <v>139.41999999999999</v>
      </c>
      <c r="K755" s="23">
        <v>1.1107218409587952E-2</v>
      </c>
      <c r="L755" s="36">
        <v>0.39637445621698192</v>
      </c>
    </row>
    <row r="756" spans="9:12" x14ac:dyDescent="0.2">
      <c r="I756" s="1">
        <v>45534</v>
      </c>
      <c r="J756" s="27">
        <v>141.29</v>
      </c>
      <c r="K756" s="23">
        <v>1.3323555719463778E-2</v>
      </c>
      <c r="L756" s="36">
        <v>0.47887648315944631</v>
      </c>
    </row>
    <row r="757" spans="9:12" x14ac:dyDescent="0.2">
      <c r="I757" s="1">
        <v>45538</v>
      </c>
      <c r="J757" s="27">
        <v>139.5</v>
      </c>
      <c r="K757" s="23">
        <v>-1.2749914516296085E-2</v>
      </c>
      <c r="L757" s="36">
        <v>-0.49169515965367971</v>
      </c>
    </row>
    <row r="758" spans="9:12" x14ac:dyDescent="0.2">
      <c r="I758" s="1">
        <v>45539</v>
      </c>
      <c r="J758" s="27">
        <v>140.75</v>
      </c>
      <c r="K758" s="23">
        <v>8.9206657583793623E-3</v>
      </c>
      <c r="L758" s="36">
        <v>0.31498114801551724</v>
      </c>
    </row>
    <row r="759" spans="9:12" x14ac:dyDescent="0.2">
      <c r="I759" s="1">
        <v>45540</v>
      </c>
      <c r="J759" s="27">
        <v>142.61000000000001</v>
      </c>
      <c r="K759" s="23">
        <v>1.3128364728875967E-2</v>
      </c>
      <c r="L759" s="36">
        <v>0.47161059800169286</v>
      </c>
    </row>
    <row r="760" spans="9:12" x14ac:dyDescent="0.2">
      <c r="I760" s="1">
        <v>45541</v>
      </c>
      <c r="J760" s="27">
        <v>141.81</v>
      </c>
      <c r="K760" s="23">
        <v>-5.6254982754210406E-3</v>
      </c>
      <c r="L760" s="36">
        <v>-0.22649239560016321</v>
      </c>
    </row>
    <row r="761" spans="9:12" x14ac:dyDescent="0.2">
      <c r="I761" s="1">
        <v>45544</v>
      </c>
      <c r="J761" s="27">
        <v>139.88999999999999</v>
      </c>
      <c r="K761" s="23">
        <v>-1.3631733984915663E-2</v>
      </c>
      <c r="L761" s="36">
        <v>-0.52452044000891507</v>
      </c>
    </row>
    <row r="762" spans="9:12" x14ac:dyDescent="0.2">
      <c r="I762" s="1">
        <v>45545</v>
      </c>
      <c r="J762" s="27">
        <v>155.88999999999999</v>
      </c>
      <c r="K762" s="23">
        <v>0.10829423083625037</v>
      </c>
      <c r="L762" s="36">
        <v>4.0141114685183075</v>
      </c>
    </row>
    <row r="763" spans="9:12" x14ac:dyDescent="0.2">
      <c r="I763" s="1">
        <v>45546</v>
      </c>
      <c r="J763" s="27">
        <v>157.18</v>
      </c>
      <c r="K763" s="23">
        <v>8.2410151134394861E-3</v>
      </c>
      <c r="L763" s="36">
        <v>0.28968149909906488</v>
      </c>
    </row>
    <row r="764" spans="9:12" x14ac:dyDescent="0.2">
      <c r="I764" s="1">
        <v>45547</v>
      </c>
      <c r="J764" s="27">
        <v>161.38</v>
      </c>
      <c r="K764" s="23">
        <v>2.637018698233165E-2</v>
      </c>
      <c r="L764" s="36">
        <v>0.96453068352023419</v>
      </c>
    </row>
    <row r="765" spans="9:12" x14ac:dyDescent="0.2">
      <c r="I765" s="1">
        <v>45548</v>
      </c>
      <c r="J765" s="27">
        <v>162.03</v>
      </c>
      <c r="K765" s="23">
        <v>4.0196708525489216E-3</v>
      </c>
      <c r="L765" s="36">
        <v>0.13254411013144271</v>
      </c>
    </row>
    <row r="766" spans="9:12" x14ac:dyDescent="0.2">
      <c r="I766" s="1">
        <v>45551</v>
      </c>
      <c r="J766" s="27">
        <v>170.33</v>
      </c>
      <c r="K766" s="23">
        <v>4.9956228599576456E-2</v>
      </c>
      <c r="L766" s="36">
        <v>1.8425090635715273</v>
      </c>
    </row>
    <row r="767" spans="9:12" x14ac:dyDescent="0.2">
      <c r="I767" s="1">
        <v>45552</v>
      </c>
      <c r="J767" s="27">
        <v>167.47</v>
      </c>
      <c r="K767" s="23">
        <v>-1.6933501126099058E-2</v>
      </c>
      <c r="L767" s="36">
        <v>-0.64742703930039114</v>
      </c>
    </row>
    <row r="768" spans="9:12" x14ac:dyDescent="0.2">
      <c r="I768" s="1">
        <v>45553</v>
      </c>
      <c r="J768" s="27">
        <v>164.53</v>
      </c>
      <c r="K768" s="23">
        <v>-1.7711306347828082E-2</v>
      </c>
      <c r="L768" s="36">
        <v>-0.6763804423194798</v>
      </c>
    </row>
    <row r="769" spans="9:12" x14ac:dyDescent="0.2">
      <c r="I769" s="1">
        <v>45554</v>
      </c>
      <c r="J769" s="27">
        <v>167.59</v>
      </c>
      <c r="K769" s="23">
        <v>1.8427595998223408E-2</v>
      </c>
      <c r="L769" s="36">
        <v>0.66887178158143745</v>
      </c>
    </row>
    <row r="770" spans="9:12" x14ac:dyDescent="0.2">
      <c r="I770" s="1">
        <v>45555</v>
      </c>
      <c r="J770" s="27">
        <v>168</v>
      </c>
      <c r="K770" s="23">
        <v>2.4434590064768748E-3</v>
      </c>
      <c r="L770" s="36">
        <v>7.3870427379175457E-2</v>
      </c>
    </row>
    <row r="771" spans="9:12" x14ac:dyDescent="0.2">
      <c r="I771" s="1">
        <v>45558</v>
      </c>
      <c r="J771" s="27">
        <v>165.95</v>
      </c>
      <c r="K771" s="23">
        <v>-1.2277441237275375E-2</v>
      </c>
      <c r="L771" s="36">
        <v>-0.47410758260858404</v>
      </c>
    </row>
    <row r="772" spans="9:12" x14ac:dyDescent="0.2">
      <c r="I772" s="1">
        <v>45559</v>
      </c>
      <c r="J772" s="27">
        <v>165.8</v>
      </c>
      <c r="K772" s="23">
        <v>-9.042954647889293E-4</v>
      </c>
      <c r="L772" s="36">
        <v>-5.0748026840052356E-2</v>
      </c>
    </row>
    <row r="773" spans="9:12" x14ac:dyDescent="0.2">
      <c r="I773" s="1">
        <v>45560</v>
      </c>
      <c r="J773" s="27">
        <v>166.28</v>
      </c>
      <c r="K773" s="23">
        <v>2.8908716832419619E-3</v>
      </c>
      <c r="L773" s="36">
        <v>9.0525136275873788E-2</v>
      </c>
    </row>
    <row r="774" spans="9:12" x14ac:dyDescent="0.2">
      <c r="I774" s="1">
        <v>45561</v>
      </c>
      <c r="J774" s="27">
        <v>168.1</v>
      </c>
      <c r="K774" s="23">
        <v>1.0885926030133273E-2</v>
      </c>
      <c r="L774" s="36">
        <v>0.38813696015959931</v>
      </c>
    </row>
    <row r="775" spans="9:12" x14ac:dyDescent="0.2">
      <c r="I775" s="1">
        <v>45562</v>
      </c>
      <c r="J775" s="27">
        <v>168.74</v>
      </c>
      <c r="K775" s="23">
        <v>3.8000283229107411E-3</v>
      </c>
      <c r="L775" s="36">
        <v>0.12436802889273654</v>
      </c>
    </row>
    <row r="776" spans="9:12" x14ac:dyDescent="0.2">
      <c r="I776" s="1">
        <v>45565</v>
      </c>
      <c r="J776" s="27">
        <v>170.4</v>
      </c>
      <c r="K776" s="23">
        <v>9.7895456577346777E-3</v>
      </c>
      <c r="L776" s="36">
        <v>0.34732475949873243</v>
      </c>
    </row>
    <row r="777" spans="9:12" x14ac:dyDescent="0.2">
      <c r="I777" s="1">
        <v>45566</v>
      </c>
      <c r="J777" s="27">
        <v>167.16</v>
      </c>
      <c r="K777" s="23">
        <v>-1.9197176815500802E-2</v>
      </c>
      <c r="L777" s="36">
        <v>-0.73169121329766407</v>
      </c>
    </row>
    <row r="778" spans="9:12" x14ac:dyDescent="0.2">
      <c r="I778" s="1">
        <v>45567</v>
      </c>
      <c r="J778" s="27">
        <v>167.71</v>
      </c>
      <c r="K778" s="23">
        <v>3.2848597638217404E-3</v>
      </c>
      <c r="L778" s="36">
        <v>0.10519114180407738</v>
      </c>
    </row>
    <row r="779" spans="9:12" x14ac:dyDescent="0.2">
      <c r="I779" s="1">
        <v>45568</v>
      </c>
      <c r="J779" s="27">
        <v>166.86</v>
      </c>
      <c r="K779" s="23">
        <v>-5.0811598696078389E-3</v>
      </c>
      <c r="L779" s="36">
        <v>-0.20622967583178328</v>
      </c>
    </row>
    <row r="780" spans="9:12" x14ac:dyDescent="0.2">
      <c r="I780" s="1">
        <v>45569</v>
      </c>
      <c r="J780" s="27">
        <v>170.86</v>
      </c>
      <c r="K780" s="23">
        <v>2.3689370249544203E-2</v>
      </c>
      <c r="L780" s="36">
        <v>0.86473864675276624</v>
      </c>
    </row>
    <row r="781" spans="9:12" x14ac:dyDescent="0.2">
      <c r="I781" s="1">
        <v>45572</v>
      </c>
      <c r="J781" s="27">
        <v>169.97</v>
      </c>
      <c r="K781" s="23">
        <v>-5.2225568342126267E-3</v>
      </c>
      <c r="L781" s="36">
        <v>-0.21149310578507882</v>
      </c>
    </row>
    <row r="782" spans="9:12" x14ac:dyDescent="0.2">
      <c r="I782" s="1">
        <v>45573</v>
      </c>
      <c r="J782" s="27">
        <v>174.37</v>
      </c>
      <c r="K782" s="23">
        <v>2.5557527440142381E-2</v>
      </c>
      <c r="L782" s="36">
        <v>0.93427984618333704</v>
      </c>
    </row>
    <row r="783" spans="9:12" x14ac:dyDescent="0.2">
      <c r="I783" s="1">
        <v>45574</v>
      </c>
      <c r="J783" s="27">
        <v>178.29</v>
      </c>
      <c r="K783" s="23">
        <v>2.223195971727647E-2</v>
      </c>
      <c r="L783" s="36">
        <v>0.8104872823672068</v>
      </c>
    </row>
    <row r="784" spans="9:12" x14ac:dyDescent="0.2">
      <c r="I784" s="1">
        <v>45575</v>
      </c>
      <c r="J784" s="27">
        <v>175.41</v>
      </c>
      <c r="K784" s="23">
        <v>-1.628534719099009E-2</v>
      </c>
      <c r="L784" s="36">
        <v>-0.62329983935706645</v>
      </c>
    </row>
    <row r="785" spans="9:12" x14ac:dyDescent="0.2">
      <c r="I785" s="1">
        <v>45576</v>
      </c>
      <c r="J785" s="27">
        <v>175.77</v>
      </c>
      <c r="K785" s="23">
        <v>2.0502313691182009E-3</v>
      </c>
      <c r="L785" s="36">
        <v>5.9232728962365172E-2</v>
      </c>
    </row>
    <row r="786" spans="9:12" x14ac:dyDescent="0.2">
      <c r="I786" s="1">
        <v>45579</v>
      </c>
      <c r="J786" s="27">
        <v>176.12</v>
      </c>
      <c r="K786" s="23">
        <v>1.9892586627459907E-3</v>
      </c>
      <c r="L786" s="36">
        <v>5.6963051038585198E-2</v>
      </c>
    </row>
    <row r="787" spans="9:12" x14ac:dyDescent="0.2">
      <c r="I787" s="1">
        <v>45580</v>
      </c>
      <c r="J787" s="27">
        <v>174.09</v>
      </c>
      <c r="K787" s="23">
        <v>-1.1593174016926531E-2</v>
      </c>
      <c r="L787" s="36">
        <v>-0.44863608402508171</v>
      </c>
    </row>
    <row r="788" spans="9:12" x14ac:dyDescent="0.2">
      <c r="I788" s="1">
        <v>45581</v>
      </c>
      <c r="J788" s="27">
        <v>174.77</v>
      </c>
      <c r="K788" s="23">
        <v>3.898416907643146E-3</v>
      </c>
      <c r="L788" s="36">
        <v>0.12803049382181297</v>
      </c>
    </row>
    <row r="789" spans="9:12" x14ac:dyDescent="0.2">
      <c r="I789" s="1">
        <v>45582</v>
      </c>
      <c r="J789" s="27">
        <v>175.68</v>
      </c>
      <c r="K789" s="23">
        <v>5.1933345428959296E-3</v>
      </c>
      <c r="L789" s="36">
        <v>0.17623314292033085</v>
      </c>
    </row>
    <row r="790" spans="9:12" x14ac:dyDescent="0.2">
      <c r="I790" s="1">
        <v>45583</v>
      </c>
      <c r="J790" s="27">
        <v>174.69</v>
      </c>
      <c r="K790" s="23">
        <v>-5.6511838040276367E-3</v>
      </c>
      <c r="L790" s="36">
        <v>-0.22744852631352089</v>
      </c>
    </row>
    <row r="791" spans="9:12" x14ac:dyDescent="0.2">
      <c r="I791" s="1">
        <v>45586</v>
      </c>
      <c r="J791" s="27">
        <v>173.76</v>
      </c>
      <c r="K791" s="23">
        <v>-5.3379377715676891E-3</v>
      </c>
      <c r="L791" s="36">
        <v>-0.21578810238144416</v>
      </c>
    </row>
    <row r="792" spans="9:12" x14ac:dyDescent="0.2">
      <c r="I792" s="1">
        <v>45587</v>
      </c>
      <c r="J792" s="27">
        <v>175.31</v>
      </c>
      <c r="K792" s="23">
        <v>8.8807986202122952E-3</v>
      </c>
      <c r="L792" s="36">
        <v>0.31349711411304121</v>
      </c>
    </row>
    <row r="793" spans="9:12" x14ac:dyDescent="0.2">
      <c r="I793" s="1">
        <v>45588</v>
      </c>
      <c r="J793" s="27">
        <v>173.1</v>
      </c>
      <c r="K793" s="23">
        <v>-1.268637318361924E-2</v>
      </c>
      <c r="L793" s="36">
        <v>-0.48932986592464944</v>
      </c>
    </row>
    <row r="794" spans="9:12" x14ac:dyDescent="0.2">
      <c r="I794" s="1">
        <v>45589</v>
      </c>
      <c r="J794" s="27">
        <v>174.38</v>
      </c>
      <c r="K794" s="23">
        <v>7.3673638175053993E-3</v>
      </c>
      <c r="L794" s="36">
        <v>0.2571602748096487</v>
      </c>
    </row>
    <row r="795" spans="9:12" x14ac:dyDescent="0.2">
      <c r="I795" s="1">
        <v>45590</v>
      </c>
      <c r="J795" s="27">
        <v>173.52</v>
      </c>
      <c r="K795" s="23">
        <v>-4.9439594810499051E-3</v>
      </c>
      <c r="L795" s="36">
        <v>-0.20112246128330941</v>
      </c>
    </row>
    <row r="796" spans="9:12" x14ac:dyDescent="0.2">
      <c r="I796" s="1">
        <v>45593</v>
      </c>
      <c r="J796" s="27">
        <v>172.42</v>
      </c>
      <c r="K796" s="23">
        <v>-6.3595057368400765E-3</v>
      </c>
      <c r="L796" s="36">
        <v>-0.25381544931050121</v>
      </c>
    </row>
    <row r="797" spans="9:12" x14ac:dyDescent="0.2">
      <c r="I797" s="1">
        <v>45594</v>
      </c>
      <c r="J797" s="27">
        <v>173.43</v>
      </c>
      <c r="K797" s="23">
        <v>5.8406989807156529E-3</v>
      </c>
      <c r="L797" s="36">
        <v>0.20033095422938133</v>
      </c>
    </row>
    <row r="798" spans="9:12" x14ac:dyDescent="0.2">
      <c r="I798" s="1">
        <v>45595</v>
      </c>
      <c r="J798" s="27">
        <v>174.56</v>
      </c>
      <c r="K798" s="23">
        <v>6.4944623222663112E-3</v>
      </c>
      <c r="L798" s="36">
        <v>0.22466696146901483</v>
      </c>
    </row>
    <row r="799" spans="9:12" x14ac:dyDescent="0.2">
      <c r="I799" s="1">
        <v>45596</v>
      </c>
      <c r="J799" s="27">
        <v>167.84</v>
      </c>
      <c r="K799" s="23">
        <v>-3.9257377436773599E-2</v>
      </c>
      <c r="L799" s="36">
        <v>-1.4784219589981975</v>
      </c>
    </row>
    <row r="800" spans="9:12" x14ac:dyDescent="0.2">
      <c r="I800" s="1">
        <v>45597</v>
      </c>
      <c r="J800" s="27">
        <v>170.02</v>
      </c>
      <c r="K800" s="23">
        <v>1.2904932541225786E-2</v>
      </c>
      <c r="L800" s="36">
        <v>0.46329344867465216</v>
      </c>
    </row>
    <row r="801" spans="9:12" x14ac:dyDescent="0.2">
      <c r="I801" s="1">
        <v>45600</v>
      </c>
      <c r="J801" s="27">
        <v>169.59</v>
      </c>
      <c r="K801" s="23">
        <v>-2.5323178339037309E-3</v>
      </c>
      <c r="L801" s="36">
        <v>-0.11135032991059417</v>
      </c>
    </row>
    <row r="802" spans="9:12" x14ac:dyDescent="0.2">
      <c r="I802" s="1">
        <v>45601</v>
      </c>
      <c r="J802" s="27">
        <v>171.78</v>
      </c>
      <c r="K802" s="23">
        <v>1.2830828982769608E-2</v>
      </c>
      <c r="L802" s="36">
        <v>0.4605349814733638</v>
      </c>
    </row>
    <row r="803" spans="9:12" x14ac:dyDescent="0.2">
      <c r="I803" s="1">
        <v>45602</v>
      </c>
      <c r="J803" s="27">
        <v>181.24</v>
      </c>
      <c r="K803" s="23">
        <v>5.3607531460858844E-2</v>
      </c>
      <c r="L803" s="36">
        <v>1.9784269519246747</v>
      </c>
    </row>
    <row r="804" spans="9:12" x14ac:dyDescent="0.2">
      <c r="I804" s="1">
        <v>45603</v>
      </c>
      <c r="J804" s="27">
        <v>186.37</v>
      </c>
      <c r="K804" s="23">
        <v>2.7911825293636276E-2</v>
      </c>
      <c r="L804" s="36">
        <v>1.0219173840590234</v>
      </c>
    </row>
    <row r="805" spans="9:12" x14ac:dyDescent="0.2">
      <c r="I805" s="1">
        <v>45604</v>
      </c>
      <c r="J805" s="27">
        <v>189.25</v>
      </c>
      <c r="K805" s="23">
        <v>1.5334947224984463E-2</v>
      </c>
      <c r="L805" s="36">
        <v>0.55374950697259906</v>
      </c>
    </row>
    <row r="806" spans="9:12" x14ac:dyDescent="0.2">
      <c r="I806" s="1">
        <v>45607</v>
      </c>
      <c r="J806" s="27">
        <v>189.13</v>
      </c>
      <c r="K806" s="23">
        <v>-6.3428301719511363E-4</v>
      </c>
      <c r="L806" s="36">
        <v>-4.0696951073325389E-2</v>
      </c>
    </row>
    <row r="807" spans="9:12" x14ac:dyDescent="0.2">
      <c r="I807" s="1">
        <v>45608</v>
      </c>
      <c r="J807" s="27">
        <v>189.58</v>
      </c>
      <c r="K807" s="23">
        <v>2.3764897245325319E-3</v>
      </c>
      <c r="L807" s="36">
        <v>7.1377529985502466E-2</v>
      </c>
    </row>
    <row r="808" spans="9:12" x14ac:dyDescent="0.2">
      <c r="I808" s="1">
        <v>45609</v>
      </c>
      <c r="J808" s="27">
        <v>189.63</v>
      </c>
      <c r="K808" s="23">
        <v>2.6370612742130902E-4</v>
      </c>
      <c r="L808" s="36">
        <v>-7.2697627689713535E-3</v>
      </c>
    </row>
    <row r="809" spans="9:12" x14ac:dyDescent="0.2">
      <c r="I809" s="1">
        <v>45610</v>
      </c>
      <c r="J809" s="27">
        <v>187.05</v>
      </c>
      <c r="K809" s="23">
        <v>-1.3698844358161802E-2</v>
      </c>
      <c r="L809" s="36">
        <v>-0.52701858945439906</v>
      </c>
    </row>
    <row r="810" spans="9:12" x14ac:dyDescent="0.2">
      <c r="I810" s="1">
        <v>45611</v>
      </c>
      <c r="J810" s="27">
        <v>183.74</v>
      </c>
      <c r="K810" s="23">
        <v>-1.7854245950834801E-2</v>
      </c>
      <c r="L810" s="36">
        <v>-0.68170129620117803</v>
      </c>
    </row>
    <row r="811" spans="9:12" x14ac:dyDescent="0.2">
      <c r="I811" s="1">
        <v>45614</v>
      </c>
      <c r="J811" s="27">
        <v>185.73</v>
      </c>
      <c r="K811" s="23">
        <v>1.0772291355929987E-2</v>
      </c>
      <c r="L811" s="36">
        <v>0.38390696731918506</v>
      </c>
    </row>
    <row r="812" spans="9:12" x14ac:dyDescent="0.2">
      <c r="I812" s="1">
        <v>45615</v>
      </c>
      <c r="J812" s="27">
        <v>188.9</v>
      </c>
      <c r="K812" s="23">
        <v>1.6923768308213509E-2</v>
      </c>
      <c r="L812" s="36">
        <v>0.61289256215252674</v>
      </c>
    </row>
    <row r="813" spans="9:12" x14ac:dyDescent="0.2">
      <c r="I813" s="1">
        <v>45616</v>
      </c>
      <c r="J813" s="27">
        <v>190.75</v>
      </c>
      <c r="K813" s="23">
        <v>9.7458956571024966E-3</v>
      </c>
      <c r="L813" s="36">
        <v>0.3456999104686917</v>
      </c>
    </row>
    <row r="814" spans="9:12" x14ac:dyDescent="0.2">
      <c r="I814" s="1">
        <v>45617</v>
      </c>
      <c r="J814" s="27">
        <v>192.43</v>
      </c>
      <c r="K814" s="23">
        <v>8.768781067901351E-3</v>
      </c>
      <c r="L814" s="36">
        <v>0.30932731781100437</v>
      </c>
    </row>
    <row r="815" spans="9:12" x14ac:dyDescent="0.2">
      <c r="I815" s="1">
        <v>45618</v>
      </c>
      <c r="J815" s="27">
        <v>192.29</v>
      </c>
      <c r="K815" s="23">
        <v>-7.2780206997197781E-4</v>
      </c>
      <c r="L815" s="36">
        <v>-4.4178150156809155E-2</v>
      </c>
    </row>
    <row r="816" spans="9:12" x14ac:dyDescent="0.2">
      <c r="I816" s="1">
        <v>45621</v>
      </c>
      <c r="J816" s="27">
        <v>187.99</v>
      </c>
      <c r="K816" s="23">
        <v>-2.26158792366256E-2</v>
      </c>
      <c r="L816" s="36">
        <v>-0.85895066879620863</v>
      </c>
    </row>
    <row r="817" spans="9:12" x14ac:dyDescent="0.2">
      <c r="I817" s="1">
        <v>45622</v>
      </c>
      <c r="J817" s="27">
        <v>190.37</v>
      </c>
      <c r="K817" s="23">
        <v>1.2580776991827239E-2</v>
      </c>
      <c r="L817" s="36">
        <v>0.45122692353388888</v>
      </c>
    </row>
    <row r="818" spans="9:12" x14ac:dyDescent="0.2">
      <c r="I818" s="1">
        <v>45623</v>
      </c>
      <c r="J818" s="27">
        <v>182.7</v>
      </c>
      <c r="K818" s="23">
        <v>-4.1124083533736408E-2</v>
      </c>
      <c r="L818" s="36">
        <v>-1.5479091422076507</v>
      </c>
    </row>
    <row r="819" spans="9:12" x14ac:dyDescent="0.2">
      <c r="I819" s="1">
        <v>45625</v>
      </c>
      <c r="J819" s="27">
        <v>184.84</v>
      </c>
      <c r="K819" s="23">
        <v>1.1645122618104712E-2</v>
      </c>
      <c r="L819" s="36">
        <v>0.41639766626978791</v>
      </c>
    </row>
    <row r="820" spans="9:12" x14ac:dyDescent="0.2">
      <c r="I820" s="1">
        <v>45628</v>
      </c>
      <c r="J820" s="27">
        <v>181.41</v>
      </c>
      <c r="K820" s="23">
        <v>-1.8730923048834409E-2</v>
      </c>
      <c r="L820" s="36">
        <v>-0.71433515443057249</v>
      </c>
    </row>
    <row r="821" spans="9:12" x14ac:dyDescent="0.2">
      <c r="I821" s="1">
        <v>45629</v>
      </c>
      <c r="J821" s="27">
        <v>182.89</v>
      </c>
      <c r="K821" s="23">
        <v>8.1252162632529813E-3</v>
      </c>
      <c r="L821" s="36">
        <v>0.28537094591051221</v>
      </c>
    </row>
    <row r="822" spans="9:12" x14ac:dyDescent="0.2">
      <c r="I822" s="1">
        <v>45630</v>
      </c>
      <c r="J822" s="27">
        <v>188.19</v>
      </c>
      <c r="K822" s="23">
        <v>2.8567211560277254E-2</v>
      </c>
      <c r="L822" s="36">
        <v>1.0463138038581219</v>
      </c>
    </row>
    <row r="823" spans="9:12" x14ac:dyDescent="0.2">
      <c r="I823" s="1">
        <v>45631</v>
      </c>
      <c r="J823" s="27">
        <v>186.24</v>
      </c>
      <c r="K823" s="23">
        <v>-1.0415926233688526E-2</v>
      </c>
      <c r="L823" s="36">
        <v>-0.4048136352047349</v>
      </c>
    </row>
    <row r="824" spans="9:12" x14ac:dyDescent="0.2">
      <c r="I824" s="1">
        <v>45632</v>
      </c>
      <c r="J824" s="27">
        <v>191.69</v>
      </c>
      <c r="K824" s="23">
        <v>2.8843319306995789E-2</v>
      </c>
      <c r="L824" s="36">
        <v>1.0565917740286785</v>
      </c>
    </row>
    <row r="825" spans="9:12" x14ac:dyDescent="0.2">
      <c r="I825" s="1">
        <v>45635</v>
      </c>
      <c r="J825" s="27">
        <v>190.45</v>
      </c>
      <c r="K825" s="23">
        <v>-6.4897909254559103E-3</v>
      </c>
      <c r="L825" s="36">
        <v>-0.25866524906502947</v>
      </c>
    </row>
    <row r="826" spans="9:12" x14ac:dyDescent="0.2">
      <c r="I826" s="1">
        <v>45636</v>
      </c>
      <c r="J826" s="27">
        <v>177.74</v>
      </c>
      <c r="K826" s="23">
        <v>-6.9067884614283787E-2</v>
      </c>
      <c r="L826" s="36">
        <v>-2.5881028976208791</v>
      </c>
    </row>
    <row r="827" spans="9:12" x14ac:dyDescent="0.2">
      <c r="I827" s="1">
        <v>45637</v>
      </c>
      <c r="J827" s="27">
        <v>178.58</v>
      </c>
      <c r="K827" s="23">
        <v>4.7148717787413351E-3</v>
      </c>
      <c r="L827" s="36">
        <v>0.15842261034329277</v>
      </c>
    </row>
    <row r="828" spans="9:12" x14ac:dyDescent="0.2">
      <c r="I828" s="1">
        <v>45638</v>
      </c>
      <c r="J828" s="27">
        <v>175.32</v>
      </c>
      <c r="K828" s="23">
        <v>-1.8423804538462048E-2</v>
      </c>
      <c r="L828" s="36">
        <v>-0.70290282438569784</v>
      </c>
    </row>
    <row r="829" spans="9:12" x14ac:dyDescent="0.2">
      <c r="I829" s="1">
        <v>45639</v>
      </c>
      <c r="J829" s="27">
        <v>173.39</v>
      </c>
      <c r="K829" s="23">
        <v>-1.1069482994026925E-2</v>
      </c>
      <c r="L829" s="36">
        <v>-0.42914195256401327</v>
      </c>
    </row>
    <row r="830" spans="9:12" x14ac:dyDescent="0.2">
      <c r="I830" s="1">
        <v>45642</v>
      </c>
      <c r="J830" s="27">
        <v>171.23</v>
      </c>
      <c r="K830" s="23">
        <v>-1.2535710555701737E-2</v>
      </c>
      <c r="L830" s="36">
        <v>-0.48372152637620375</v>
      </c>
    </row>
    <row r="831" spans="9:12" x14ac:dyDescent="0.2">
      <c r="I831" s="1">
        <v>45643</v>
      </c>
      <c r="J831" s="27">
        <v>169.71</v>
      </c>
      <c r="K831" s="23">
        <v>-8.9165839777056097E-3</v>
      </c>
      <c r="L831" s="36">
        <v>-0.34900138377175771</v>
      </c>
    </row>
    <row r="832" spans="9:12" x14ac:dyDescent="0.2">
      <c r="I832" s="1">
        <v>45644</v>
      </c>
      <c r="J832" s="27">
        <v>165.41</v>
      </c>
      <c r="K832" s="23">
        <v>-2.5663857769044323E-2</v>
      </c>
      <c r="L832" s="36">
        <v>-0.97241011645390807</v>
      </c>
    </row>
    <row r="833" spans="9:12" x14ac:dyDescent="0.2">
      <c r="I833" s="1">
        <v>45645</v>
      </c>
      <c r="J833" s="27">
        <v>168.79</v>
      </c>
      <c r="K833" s="23">
        <v>2.022809844670663E-2</v>
      </c>
      <c r="L833" s="36">
        <v>0.73589456771278605</v>
      </c>
    </row>
    <row r="834" spans="9:12" x14ac:dyDescent="0.2">
      <c r="I834" s="1">
        <v>45646</v>
      </c>
      <c r="J834" s="27">
        <v>169.66</v>
      </c>
      <c r="K834" s="23">
        <v>5.1410956787522055E-3</v>
      </c>
      <c r="L834" s="36">
        <v>0.17428857782284995</v>
      </c>
    </row>
    <row r="835" spans="9:12" x14ac:dyDescent="0.2">
      <c r="I835" s="1">
        <v>45649</v>
      </c>
      <c r="J835" s="27">
        <v>169.14</v>
      </c>
      <c r="K835" s="23">
        <v>-3.0696600255126064E-3</v>
      </c>
      <c r="L835" s="36">
        <v>-0.13135261917040097</v>
      </c>
    </row>
    <row r="836" spans="9:12" x14ac:dyDescent="0.2">
      <c r="I836" s="1">
        <v>45650</v>
      </c>
      <c r="J836" s="27">
        <v>171.41</v>
      </c>
      <c r="K836" s="23">
        <v>1.3331573164889508E-2</v>
      </c>
      <c r="L836" s="36">
        <v>0.47917492847982956</v>
      </c>
    </row>
    <row r="837" spans="9:12" x14ac:dyDescent="0.2">
      <c r="I837" s="1">
        <v>45652</v>
      </c>
      <c r="J837" s="27">
        <v>171.68</v>
      </c>
      <c r="K837" s="23">
        <v>1.5739313634226522E-3</v>
      </c>
      <c r="L837" s="36">
        <v>4.1502703966850511E-2</v>
      </c>
    </row>
    <row r="838" spans="9:12" x14ac:dyDescent="0.2">
      <c r="I838" s="1">
        <v>45653</v>
      </c>
      <c r="J838" s="27">
        <v>168.96</v>
      </c>
      <c r="K838" s="23">
        <v>-1.5970278364491674E-2</v>
      </c>
      <c r="L838" s="36">
        <v>-0.61157156284578074</v>
      </c>
    </row>
    <row r="839" spans="9:12" x14ac:dyDescent="0.2">
      <c r="I839" s="1">
        <v>45656</v>
      </c>
      <c r="J839" s="27">
        <v>166.91</v>
      </c>
      <c r="K839" s="23">
        <v>-1.2207255527570607E-2</v>
      </c>
      <c r="L839" s="36">
        <v>-0.47149495533058045</v>
      </c>
    </row>
    <row r="840" spans="9:12" x14ac:dyDescent="0.2">
      <c r="I840" s="1">
        <v>45657</v>
      </c>
      <c r="J840" s="27">
        <v>166.64</v>
      </c>
      <c r="K840" s="23">
        <v>-1.6189480376096186E-3</v>
      </c>
      <c r="L840" s="36">
        <v>-7.7350604685325092E-2</v>
      </c>
    </row>
    <row r="841" spans="9:12" x14ac:dyDescent="0.2">
      <c r="I841" s="1">
        <v>45659</v>
      </c>
      <c r="J841" s="27">
        <v>166.03</v>
      </c>
      <c r="K841" s="23">
        <v>-3.6673020330214414E-3</v>
      </c>
      <c r="L841" s="36">
        <v>-0.15359953834905474</v>
      </c>
    </row>
    <row r="842" spans="9:12" x14ac:dyDescent="0.2">
      <c r="I842" s="1">
        <v>45660</v>
      </c>
      <c r="J842" s="27">
        <v>166.32</v>
      </c>
      <c r="K842" s="23">
        <v>1.7451486300625451E-3</v>
      </c>
      <c r="L842" s="36">
        <v>4.7876179467351371E-2</v>
      </c>
    </row>
    <row r="843" spans="9:12" x14ac:dyDescent="0.2">
      <c r="I843" s="1">
        <v>45663</v>
      </c>
      <c r="J843" s="27">
        <v>165.69</v>
      </c>
      <c r="K843" s="23">
        <v>-3.7950709685516094E-3</v>
      </c>
      <c r="L843" s="36">
        <v>-0.15835567186472008</v>
      </c>
    </row>
    <row r="844" spans="9:12" x14ac:dyDescent="0.2">
      <c r="I844" s="1">
        <v>45664</v>
      </c>
      <c r="J844" s="27">
        <v>162.03</v>
      </c>
      <c r="K844" s="23">
        <v>-2.2337069308296452E-2</v>
      </c>
      <c r="L844" s="36">
        <v>-0.84857211129219456</v>
      </c>
    </row>
    <row r="845" spans="9:12" x14ac:dyDescent="0.2">
      <c r="I845" s="1">
        <v>45665</v>
      </c>
      <c r="J845" s="27">
        <v>163.13999999999999</v>
      </c>
      <c r="K845" s="23">
        <v>6.8272245995247569E-3</v>
      </c>
      <c r="L845" s="36">
        <v>0.23705386766848238</v>
      </c>
    </row>
    <row r="846" spans="9:12" x14ac:dyDescent="0.2">
      <c r="I846" s="1">
        <v>45667</v>
      </c>
      <c r="J846" s="27">
        <v>154.5</v>
      </c>
      <c r="K846" s="23">
        <v>-5.4414631534634057E-2</v>
      </c>
      <c r="L846" s="36">
        <v>-2.0426430188446902</v>
      </c>
    </row>
    <row r="847" spans="9:12" x14ac:dyDescent="0.2">
      <c r="I847" s="1">
        <v>45670</v>
      </c>
      <c r="J847" s="27">
        <v>153.91999999999999</v>
      </c>
      <c r="K847" s="23">
        <v>-3.7611094204039268E-3</v>
      </c>
      <c r="L847" s="36">
        <v>-0.15709147054130107</v>
      </c>
    </row>
    <row r="848" spans="9:12" x14ac:dyDescent="0.2">
      <c r="I848" s="1">
        <v>45671</v>
      </c>
      <c r="J848" s="27">
        <v>156.31</v>
      </c>
      <c r="K848" s="23">
        <v>1.5408227989983538E-2</v>
      </c>
      <c r="L848" s="36">
        <v>0.55647734610673194</v>
      </c>
    </row>
    <row r="849" spans="9:12" x14ac:dyDescent="0.2">
      <c r="I849" s="1">
        <v>45672</v>
      </c>
      <c r="J849" s="27">
        <v>158.31</v>
      </c>
      <c r="K849" s="23">
        <v>1.2713921178306432E-2</v>
      </c>
      <c r="L849" s="36">
        <v>0.45618314802697124</v>
      </c>
    </row>
    <row r="850" spans="9:12" x14ac:dyDescent="0.2">
      <c r="I850" s="1">
        <v>45673</v>
      </c>
      <c r="J850" s="27">
        <v>159.54</v>
      </c>
      <c r="K850" s="23">
        <v>7.7395383972972036E-3</v>
      </c>
      <c r="L850" s="36">
        <v>0.27101428388690607</v>
      </c>
    </row>
    <row r="851" spans="9:12" x14ac:dyDescent="0.2">
      <c r="I851" s="1">
        <v>45674</v>
      </c>
      <c r="J851" s="27">
        <v>161.03</v>
      </c>
      <c r="K851" s="23">
        <v>9.2960085469212354E-3</v>
      </c>
      <c r="L851" s="36">
        <v>0.32895309204901652</v>
      </c>
    </row>
    <row r="852" spans="9:12" x14ac:dyDescent="0.2">
      <c r="I852" s="1">
        <v>45678</v>
      </c>
      <c r="J852" s="27">
        <v>172.57</v>
      </c>
      <c r="K852" s="23">
        <v>6.9212268229582943E-2</v>
      </c>
      <c r="L852" s="36">
        <v>2.5593053261625158</v>
      </c>
    </row>
    <row r="853" spans="9:12" x14ac:dyDescent="0.2">
      <c r="I853" s="1">
        <v>45679</v>
      </c>
      <c r="J853" s="27">
        <v>184.22</v>
      </c>
      <c r="K853" s="23">
        <v>6.5327744300602064E-2</v>
      </c>
      <c r="L853" s="36">
        <v>2.4147059024108199</v>
      </c>
    </row>
    <row r="854" spans="9:12" x14ac:dyDescent="0.2">
      <c r="I854" s="1">
        <v>45680</v>
      </c>
      <c r="J854" s="27">
        <v>186.47</v>
      </c>
      <c r="K854" s="23">
        <v>1.2139672675912509E-2</v>
      </c>
      <c r="L854" s="36">
        <v>0.43480704015518362</v>
      </c>
    </row>
    <row r="855" spans="9:12" x14ac:dyDescent="0.2">
      <c r="I855" s="1">
        <v>45681</v>
      </c>
      <c r="J855" s="27">
        <v>183.6</v>
      </c>
      <c r="K855" s="23">
        <v>-1.5510890049611993E-2</v>
      </c>
      <c r="L855" s="36">
        <v>-0.5944710669229013</v>
      </c>
    </row>
    <row r="856" spans="9:12" x14ac:dyDescent="0.2">
      <c r="I856" s="1">
        <v>45684</v>
      </c>
      <c r="J856" s="27">
        <v>158.28</v>
      </c>
      <c r="K856" s="23">
        <v>-0.14839386166916649</v>
      </c>
      <c r="L856" s="36">
        <v>-5.5409719699670541</v>
      </c>
    </row>
    <row r="857" spans="9:12" x14ac:dyDescent="0.2">
      <c r="I857" s="1">
        <v>45685</v>
      </c>
      <c r="J857" s="27">
        <v>164</v>
      </c>
      <c r="K857" s="23">
        <v>3.550081130697498E-2</v>
      </c>
      <c r="L857" s="36">
        <v>1.3044135211535772</v>
      </c>
    </row>
    <row r="858" spans="9:12" x14ac:dyDescent="0.2">
      <c r="I858" s="1">
        <v>45686</v>
      </c>
      <c r="J858" s="27">
        <v>162.02000000000001</v>
      </c>
      <c r="K858" s="23">
        <v>-1.2146643421853136E-2</v>
      </c>
      <c r="L858" s="36">
        <v>-0.46923870058241557</v>
      </c>
    </row>
    <row r="859" spans="9:12" x14ac:dyDescent="0.2">
      <c r="I859" s="1">
        <v>45687</v>
      </c>
      <c r="J859" s="27">
        <v>170.38</v>
      </c>
      <c r="K859" s="23">
        <v>5.0311452212349068E-2</v>
      </c>
      <c r="L859" s="36">
        <v>1.8557320815394953</v>
      </c>
    </row>
    <row r="860" spans="9:12" x14ac:dyDescent="0.2">
      <c r="I860" s="1">
        <v>45688</v>
      </c>
      <c r="J860" s="27">
        <v>170.06</v>
      </c>
      <c r="K860" s="23">
        <v>-1.8799206570479512E-3</v>
      </c>
      <c r="L860" s="36">
        <v>-8.7065177455547121E-2</v>
      </c>
    </row>
    <row r="861" spans="9:12" x14ac:dyDescent="0.2">
      <c r="I861" s="1">
        <v>45691</v>
      </c>
      <c r="J861" s="27">
        <v>168.6</v>
      </c>
      <c r="K861" s="23">
        <v>-8.6222703898913896E-3</v>
      </c>
      <c r="L861" s="36">
        <v>-0.3380457104438821</v>
      </c>
    </row>
    <row r="862" spans="9:12" x14ac:dyDescent="0.2">
      <c r="I862" s="1">
        <v>45692</v>
      </c>
      <c r="J862" s="27">
        <v>167.89</v>
      </c>
      <c r="K862" s="23">
        <v>-4.2200425194483812E-3</v>
      </c>
      <c r="L862" s="36">
        <v>-0.1741750212866863</v>
      </c>
    </row>
    <row r="863" spans="9:12" x14ac:dyDescent="0.2">
      <c r="I863" s="1">
        <v>45693</v>
      </c>
      <c r="J863" s="27">
        <v>171.66</v>
      </c>
      <c r="K863" s="23">
        <v>2.2206773241767216E-2</v>
      </c>
      <c r="L863" s="36">
        <v>0.80954972865108654</v>
      </c>
    </row>
    <row r="864" spans="9:12" x14ac:dyDescent="0.2">
      <c r="I864" s="1">
        <v>45694</v>
      </c>
      <c r="J864" s="27">
        <v>172.35</v>
      </c>
      <c r="K864" s="23">
        <v>4.0115166728003759E-3</v>
      </c>
      <c r="L864" s="36">
        <v>0.1322405749455707</v>
      </c>
    </row>
    <row r="865" spans="9:12" x14ac:dyDescent="0.2">
      <c r="I865" s="1">
        <v>45695</v>
      </c>
      <c r="J865" s="27">
        <v>174.46</v>
      </c>
      <c r="K865" s="23">
        <v>1.2168196042198251E-2</v>
      </c>
      <c r="L865" s="36">
        <v>0.43586880793002108</v>
      </c>
    </row>
    <row r="866" spans="9:12" x14ac:dyDescent="0.2">
      <c r="I866" s="1">
        <v>45698</v>
      </c>
      <c r="J866" s="27">
        <v>178.92</v>
      </c>
      <c r="K866" s="23">
        <v>2.5243289559574784E-2</v>
      </c>
      <c r="L866" s="36">
        <v>0.92258250121088636</v>
      </c>
    </row>
    <row r="867" spans="9:12" x14ac:dyDescent="0.2">
      <c r="I867" s="1">
        <v>45699</v>
      </c>
      <c r="J867" s="27">
        <v>177.19</v>
      </c>
      <c r="K867" s="23">
        <v>-9.71617539466927E-3</v>
      </c>
      <c r="L867" s="36">
        <v>-0.37876576680648411</v>
      </c>
    </row>
    <row r="868" spans="9:12" x14ac:dyDescent="0.2">
      <c r="I868" s="1">
        <v>45700</v>
      </c>
      <c r="J868" s="27">
        <v>172.22</v>
      </c>
      <c r="K868" s="23">
        <v>-2.8449873901958894E-2</v>
      </c>
      <c r="L868" s="36">
        <v>-1.0761181472828147</v>
      </c>
    </row>
    <row r="869" spans="9:12" x14ac:dyDescent="0.2">
      <c r="I869" s="1">
        <v>45701</v>
      </c>
      <c r="J869" s="27">
        <v>173.86</v>
      </c>
      <c r="K869" s="23">
        <v>9.4776483828991186E-3</v>
      </c>
      <c r="L869" s="36">
        <v>0.33571454238191362</v>
      </c>
    </row>
    <row r="870" spans="9:12" x14ac:dyDescent="0.2">
      <c r="I870" s="1">
        <v>45702</v>
      </c>
      <c r="J870" s="27">
        <v>174.16</v>
      </c>
      <c r="K870" s="23">
        <v>1.7240392753735633E-3</v>
      </c>
      <c r="L870" s="36">
        <v>4.7090394496116107E-2</v>
      </c>
    </row>
    <row r="871" spans="9:12" x14ac:dyDescent="0.2">
      <c r="I871" s="1">
        <v>45706</v>
      </c>
      <c r="J871" s="27">
        <v>179.8</v>
      </c>
      <c r="K871" s="23">
        <v>3.187070511122788E-2</v>
      </c>
      <c r="L871" s="36">
        <v>1.1692846678734266</v>
      </c>
    </row>
    <row r="872" spans="9:12" x14ac:dyDescent="0.2">
      <c r="I872" s="1">
        <v>45707</v>
      </c>
      <c r="J872" s="27">
        <v>181.52</v>
      </c>
      <c r="K872" s="23">
        <v>9.5207184340663862E-3</v>
      </c>
      <c r="L872" s="36">
        <v>0.33731780308865789</v>
      </c>
    </row>
    <row r="873" spans="9:12" x14ac:dyDescent="0.2">
      <c r="I873" s="1">
        <v>45708</v>
      </c>
      <c r="J873" s="27">
        <v>176</v>
      </c>
      <c r="K873" s="23">
        <v>-3.0881845433434526E-2</v>
      </c>
      <c r="L873" s="36">
        <v>-1.1666470482398403</v>
      </c>
    </row>
    <row r="874" spans="9:12" x14ac:dyDescent="0.2">
      <c r="I874" s="1">
        <v>45709</v>
      </c>
      <c r="J874" s="27">
        <v>167.81</v>
      </c>
      <c r="K874" s="23">
        <v>-4.7651608025081359E-2</v>
      </c>
      <c r="L874" s="36">
        <v>-1.7908929150534501</v>
      </c>
    </row>
    <row r="875" spans="9:12" x14ac:dyDescent="0.2">
      <c r="I875" s="1">
        <v>45712</v>
      </c>
      <c r="J875" s="27">
        <v>169.96</v>
      </c>
      <c r="K875" s="23">
        <v>1.2730728233540442E-2</v>
      </c>
      <c r="L875" s="36">
        <v>0.45680878209339298</v>
      </c>
    </row>
    <row r="876" spans="9:12" x14ac:dyDescent="0.2">
      <c r="I876" s="1">
        <v>45713</v>
      </c>
      <c r="J876" s="27">
        <v>168.54</v>
      </c>
      <c r="K876" s="23">
        <v>-8.3900049024036132E-3</v>
      </c>
      <c r="L876" s="36">
        <v>-0.32939974603172556</v>
      </c>
    </row>
    <row r="877" spans="9:12" x14ac:dyDescent="0.2">
      <c r="I877" s="1">
        <v>45714</v>
      </c>
      <c r="J877" s="27">
        <v>172.47</v>
      </c>
      <c r="K877" s="23">
        <v>2.3050197959101931E-2</v>
      </c>
      <c r="L877" s="36">
        <v>0.84094578395522601</v>
      </c>
    </row>
    <row r="878" spans="9:12" x14ac:dyDescent="0.2">
      <c r="I878" s="1">
        <v>45715</v>
      </c>
      <c r="J878" s="27">
        <v>164.76</v>
      </c>
      <c r="K878" s="23">
        <v>-4.573343873542926E-2</v>
      </c>
      <c r="L878" s="36">
        <v>-1.7194900407211349</v>
      </c>
    </row>
    <row r="879" spans="9:12" x14ac:dyDescent="0.2">
      <c r="I879" s="1">
        <v>45716</v>
      </c>
      <c r="J879" s="27">
        <v>166.06</v>
      </c>
      <c r="K879" s="23">
        <v>7.8592992660047115E-3</v>
      </c>
      <c r="L879" s="36">
        <v>0.27547232119590814</v>
      </c>
    </row>
    <row r="880" spans="9:12" x14ac:dyDescent="0.2">
      <c r="I880" s="1">
        <v>45719</v>
      </c>
      <c r="J880" s="27">
        <v>162.02000000000001</v>
      </c>
      <c r="K880" s="23">
        <v>-2.4629384431539347E-2</v>
      </c>
      <c r="L880" s="36">
        <v>-0.93390237361990847</v>
      </c>
    </row>
    <row r="881" spans="9:12" x14ac:dyDescent="0.2">
      <c r="I881" s="1">
        <v>45720</v>
      </c>
      <c r="J881" s="27">
        <v>157.47</v>
      </c>
      <c r="K881" s="23">
        <v>-2.8484820470027112E-2</v>
      </c>
      <c r="L881" s="36">
        <v>-1.0774190154708221</v>
      </c>
    </row>
    <row r="882" spans="9:12" x14ac:dyDescent="0.2">
      <c r="I882" s="1">
        <v>45721</v>
      </c>
      <c r="J882" s="27">
        <v>161.56</v>
      </c>
      <c r="K882" s="23">
        <v>2.5641626762894099E-2</v>
      </c>
      <c r="L882" s="36">
        <v>0.93741040061681091</v>
      </c>
    </row>
    <row r="883" spans="9:12" x14ac:dyDescent="0.2">
      <c r="I883" s="1">
        <v>45722</v>
      </c>
      <c r="J883" s="27">
        <v>150.94</v>
      </c>
      <c r="K883" s="23">
        <v>-6.7994183838489805E-2</v>
      </c>
      <c r="L883" s="36">
        <v>-2.5481349333863812</v>
      </c>
    </row>
    <row r="884" spans="9:12" x14ac:dyDescent="0.2">
      <c r="I884" s="1">
        <v>45723</v>
      </c>
      <c r="J884" s="27">
        <v>155.16</v>
      </c>
      <c r="K884" s="23">
        <v>2.7574435715044116E-2</v>
      </c>
      <c r="L884" s="36">
        <v>1.009358228925423</v>
      </c>
    </row>
    <row r="885" spans="9:12" x14ac:dyDescent="0.2">
      <c r="I885" s="1">
        <v>45726</v>
      </c>
      <c r="J885" s="27">
        <v>148.79</v>
      </c>
      <c r="K885" s="23">
        <v>-4.1920926732160427E-2</v>
      </c>
      <c r="L885" s="36">
        <v>-1.5775712242076967</v>
      </c>
    </row>
    <row r="886" spans="9:12" x14ac:dyDescent="0.2">
      <c r="I886" s="1">
        <v>45727</v>
      </c>
      <c r="J886" s="27">
        <v>144.18</v>
      </c>
      <c r="K886" s="23">
        <v>-3.1473396863173311E-2</v>
      </c>
      <c r="L886" s="36">
        <v>-1.1886672487646859</v>
      </c>
    </row>
    <row r="887" spans="9:12" x14ac:dyDescent="0.2">
      <c r="I887" s="1">
        <v>45728</v>
      </c>
      <c r="J887" s="27">
        <v>150.88999999999999</v>
      </c>
      <c r="K887" s="23">
        <v>4.5488575549127289E-2</v>
      </c>
      <c r="L887" s="36">
        <v>1.6762029554284525</v>
      </c>
    </row>
    <row r="888" spans="9:12" x14ac:dyDescent="0.2">
      <c r="I888" s="1">
        <v>45729</v>
      </c>
      <c r="J888" s="27">
        <v>147.66</v>
      </c>
      <c r="K888" s="23">
        <v>-2.1638760894540462E-2</v>
      </c>
      <c r="L888" s="36">
        <v>-0.82257793643932708</v>
      </c>
    </row>
    <row r="889" spans="9:12" x14ac:dyDescent="0.2">
      <c r="I889" s="1">
        <v>45730</v>
      </c>
      <c r="J889" s="27">
        <v>149.27000000000001</v>
      </c>
      <c r="K889" s="23">
        <v>1.0844413014128876E-2</v>
      </c>
      <c r="L889" s="36">
        <v>0.38659165929334732</v>
      </c>
    </row>
    <row r="890" spans="9:12" x14ac:dyDescent="0.2">
      <c r="I890" s="1">
        <v>45733</v>
      </c>
      <c r="J890" s="27">
        <v>154.01</v>
      </c>
      <c r="K890" s="23">
        <v>3.1260788725225731E-2</v>
      </c>
      <c r="L890" s="36">
        <v>1.1465808412102281</v>
      </c>
    </row>
    <row r="891" spans="9:12" x14ac:dyDescent="0.2">
      <c r="I891" s="1">
        <v>45734</v>
      </c>
      <c r="J891" s="27">
        <v>149.44999999999999</v>
      </c>
      <c r="K891" s="23">
        <v>-3.0055646640427335E-2</v>
      </c>
      <c r="L891" s="36">
        <v>-1.1358922191906782</v>
      </c>
    </row>
    <row r="892" spans="9:12" x14ac:dyDescent="0.2">
      <c r="I892" s="1">
        <v>45735</v>
      </c>
      <c r="J892" s="27">
        <v>152.44999999999999</v>
      </c>
      <c r="K892" s="23">
        <v>1.9874784704316945E-2</v>
      </c>
      <c r="L892" s="36">
        <v>0.7227426436965767</v>
      </c>
    </row>
    <row r="893" spans="9:12" x14ac:dyDescent="0.2">
      <c r="I893" s="1">
        <v>45736</v>
      </c>
      <c r="J893" s="27">
        <v>152.72</v>
      </c>
      <c r="K893" s="23">
        <v>1.7695059832284464E-3</v>
      </c>
      <c r="L893" s="36">
        <v>4.8782869526750719E-2</v>
      </c>
    </row>
    <row r="894" spans="9:12" x14ac:dyDescent="0.2">
      <c r="I894" s="1">
        <v>45737</v>
      </c>
      <c r="J894" s="27">
        <v>152.22999999999999</v>
      </c>
      <c r="K894" s="23">
        <v>-3.2136443463295192E-3</v>
      </c>
      <c r="L894" s="36">
        <v>-0.13671236214020863</v>
      </c>
    </row>
    <row r="895" spans="9:12" x14ac:dyDescent="0.2">
      <c r="I895" s="1">
        <v>45740</v>
      </c>
      <c r="J895" s="27">
        <v>154.87</v>
      </c>
      <c r="K895" s="23">
        <v>1.7193520256920444E-2</v>
      </c>
      <c r="L895" s="36">
        <v>0.62293394098093646</v>
      </c>
    </row>
    <row r="896" spans="9:12" x14ac:dyDescent="0.2">
      <c r="I896" s="1">
        <v>45741</v>
      </c>
      <c r="J896" s="27">
        <v>153.93</v>
      </c>
      <c r="K896" s="23">
        <v>-6.0881017060998438E-3</v>
      </c>
      <c r="L896" s="36">
        <v>-0.24371257257028217</v>
      </c>
    </row>
    <row r="897" spans="9:12" x14ac:dyDescent="0.2">
      <c r="I897" s="1">
        <v>45742</v>
      </c>
      <c r="J897" s="27">
        <v>147.80000000000001</v>
      </c>
      <c r="K897" s="23">
        <v>-4.0637945107881691E-2</v>
      </c>
      <c r="L897" s="36">
        <v>-1.5298128870352465</v>
      </c>
    </row>
    <row r="898" spans="9:12" x14ac:dyDescent="0.2">
      <c r="I898" s="1">
        <v>45743</v>
      </c>
      <c r="J898" s="27">
        <v>145.78</v>
      </c>
      <c r="K898" s="23">
        <v>-1.3761372560034603E-2</v>
      </c>
      <c r="L898" s="36">
        <v>-0.52934616990552752</v>
      </c>
    </row>
    <row r="899" spans="9:12" x14ac:dyDescent="0.2">
      <c r="I899" s="1">
        <v>45744</v>
      </c>
      <c r="J899" s="27">
        <v>140.87</v>
      </c>
      <c r="K899" s="23">
        <v>-3.4261156681851375E-2</v>
      </c>
      <c r="L899" s="36">
        <v>-1.2924401874075784</v>
      </c>
    </row>
    <row r="900" spans="9:12" x14ac:dyDescent="0.2">
      <c r="I900" s="1">
        <v>45747</v>
      </c>
      <c r="J900" s="27">
        <v>139.81</v>
      </c>
      <c r="K900" s="23">
        <v>-7.553121272482235E-3</v>
      </c>
      <c r="L900" s="36">
        <v>-0.29824717937329148</v>
      </c>
    </row>
    <row r="901" spans="9:12" x14ac:dyDescent="0.2">
      <c r="I901" s="1">
        <v>45748</v>
      </c>
      <c r="J901" s="27">
        <v>141.94</v>
      </c>
      <c r="K901" s="23">
        <v>1.5120075097103542E-2</v>
      </c>
      <c r="L901" s="36">
        <v>0.54575100150837008</v>
      </c>
    </row>
    <row r="902" spans="9:12" x14ac:dyDescent="0.2">
      <c r="I902" s="1">
        <v>45749</v>
      </c>
      <c r="J902" s="27">
        <v>145.86000000000001</v>
      </c>
      <c r="K902" s="23">
        <v>2.7242824459250341E-2</v>
      </c>
      <c r="L902" s="36">
        <v>0.99701416891343175</v>
      </c>
    </row>
    <row r="903" spans="9:12" x14ac:dyDescent="0.2">
      <c r="I903" s="1">
        <v>45750</v>
      </c>
      <c r="J903" s="27">
        <v>137.22999999999999</v>
      </c>
      <c r="K903" s="23">
        <v>-6.0988907274545277E-2</v>
      </c>
      <c r="L903" s="36">
        <v>-2.2873670830945199</v>
      </c>
    </row>
    <row r="904" spans="9:12" x14ac:dyDescent="0.2">
      <c r="I904" s="1">
        <v>45751</v>
      </c>
      <c r="J904" s="27">
        <v>128.27000000000001</v>
      </c>
      <c r="K904" s="23">
        <v>-6.7520932969782302E-2</v>
      </c>
      <c r="L904" s="36">
        <v>-2.5305184109614447</v>
      </c>
    </row>
    <row r="905" spans="9:12" x14ac:dyDescent="0.2">
      <c r="I905" s="1">
        <v>45754</v>
      </c>
      <c r="J905" s="27">
        <v>127.16</v>
      </c>
      <c r="K905" s="23">
        <v>-8.6912812691575161E-3</v>
      </c>
      <c r="L905" s="36">
        <v>-0.3406146052574861</v>
      </c>
    </row>
    <row r="906" spans="9:12" x14ac:dyDescent="0.2">
      <c r="I906" s="1">
        <v>45755</v>
      </c>
      <c r="J906" s="27">
        <v>124.5</v>
      </c>
      <c r="K906" s="23">
        <v>-2.1140420137839577E-2</v>
      </c>
      <c r="L906" s="36">
        <v>-0.80402745571932865</v>
      </c>
    </row>
    <row r="907" spans="9:12" x14ac:dyDescent="0.2">
      <c r="I907" s="1">
        <v>45756</v>
      </c>
      <c r="J907" s="27">
        <v>139.69</v>
      </c>
      <c r="K907" s="23">
        <v>0.11511996583469715</v>
      </c>
      <c r="L907" s="36">
        <v>4.268195975526643</v>
      </c>
    </row>
    <row r="908" spans="9:12" x14ac:dyDescent="0.2">
      <c r="I908" s="1">
        <v>45757</v>
      </c>
      <c r="J908" s="27">
        <v>133.35</v>
      </c>
      <c r="K908" s="23">
        <v>-4.6448431111436331E-2</v>
      </c>
      <c r="L908" s="36">
        <v>-1.7461052675668611</v>
      </c>
    </row>
    <row r="909" spans="9:12" x14ac:dyDescent="0.2">
      <c r="I909" s="1">
        <v>45758</v>
      </c>
      <c r="J909" s="27">
        <v>132.35</v>
      </c>
      <c r="K909" s="23">
        <v>-7.5273219549129612E-3</v>
      </c>
      <c r="L909" s="36">
        <v>-0.29728681292378356</v>
      </c>
    </row>
    <row r="910" spans="9:12" x14ac:dyDescent="0.2">
      <c r="I910" s="1">
        <v>45761</v>
      </c>
      <c r="J910" s="27">
        <v>134.63999999999999</v>
      </c>
      <c r="K910" s="23">
        <v>1.7154621209440241E-2</v>
      </c>
      <c r="L910" s="36">
        <v>0.62148594376095212</v>
      </c>
    </row>
    <row r="911" spans="9:12" x14ac:dyDescent="0.2">
      <c r="I911" s="1">
        <v>45762</v>
      </c>
      <c r="J911" s="27">
        <v>133.94</v>
      </c>
      <c r="K911" s="23">
        <v>-5.2126114006464056E-3</v>
      </c>
      <c r="L911" s="36">
        <v>-0.21112289208864429</v>
      </c>
    </row>
    <row r="912" spans="9:12" x14ac:dyDescent="0.2">
      <c r="I912" s="1">
        <v>45763</v>
      </c>
      <c r="J912" s="27">
        <v>129.76</v>
      </c>
      <c r="K912" s="23">
        <v>-3.1705348114801399E-2</v>
      </c>
      <c r="L912" s="36">
        <v>-1.1973015159070961</v>
      </c>
    </row>
    <row r="913" spans="9:12" x14ac:dyDescent="0.2">
      <c r="I913" s="1">
        <v>45764</v>
      </c>
      <c r="J913" s="27">
        <v>128.62</v>
      </c>
      <c r="K913" s="23">
        <v>-8.8242696603856273E-3</v>
      </c>
      <c r="L913" s="36">
        <v>-0.3455650303517383</v>
      </c>
    </row>
    <row r="914" spans="9:12" x14ac:dyDescent="0.2">
      <c r="I914" s="1">
        <v>45768</v>
      </c>
      <c r="J914" s="27">
        <v>122.82</v>
      </c>
      <c r="K914" s="23">
        <v>-4.6142451805463988E-2</v>
      </c>
      <c r="L914" s="36">
        <v>-1.7347153438252529</v>
      </c>
    </row>
    <row r="915" spans="9:12" x14ac:dyDescent="0.2">
      <c r="I915" s="1">
        <v>45769</v>
      </c>
      <c r="J915" s="27">
        <v>127.24</v>
      </c>
      <c r="K915" s="23">
        <v>3.5355197979690153E-2</v>
      </c>
      <c r="L915" s="36">
        <v>1.2989931392481227</v>
      </c>
    </row>
    <row r="916" spans="9:12" x14ac:dyDescent="0.2">
      <c r="I916" s="1">
        <v>45770</v>
      </c>
      <c r="J916" s="27">
        <v>131.4</v>
      </c>
      <c r="K916" s="23">
        <v>3.2171039169566922E-2</v>
      </c>
      <c r="L916" s="36">
        <v>1.1804644501486323</v>
      </c>
    </row>
    <row r="917" spans="9:12" x14ac:dyDescent="0.2">
      <c r="I917" s="1">
        <v>45771</v>
      </c>
      <c r="J917" s="27">
        <v>137.51</v>
      </c>
      <c r="K917" s="23">
        <v>4.5450535684343159E-2</v>
      </c>
      <c r="L917" s="36">
        <v>1.6747869408465008</v>
      </c>
    </row>
    <row r="918" spans="9:12" x14ac:dyDescent="0.2">
      <c r="I918" s="1">
        <v>45772</v>
      </c>
      <c r="J918" s="27">
        <v>138.49</v>
      </c>
      <c r="K918" s="23">
        <v>7.1014791197730404E-3</v>
      </c>
      <c r="L918" s="36">
        <v>0.24726285242806498</v>
      </c>
    </row>
    <row r="919" spans="9:12" x14ac:dyDescent="0.2">
      <c r="I919" s="1">
        <v>45775</v>
      </c>
      <c r="J919" s="27">
        <v>140.13999999999999</v>
      </c>
      <c r="K919" s="23">
        <v>1.1843802087761406E-2</v>
      </c>
      <c r="L919" s="36">
        <v>0.42379340828319539</v>
      </c>
    </row>
    <row r="920" spans="9:12" x14ac:dyDescent="0.2">
      <c r="I920" s="1">
        <v>45776</v>
      </c>
      <c r="J920" s="27">
        <v>140.79</v>
      </c>
      <c r="K920" s="23">
        <v>4.6274955320482836E-3</v>
      </c>
      <c r="L920" s="36">
        <v>0.15517007408598207</v>
      </c>
    </row>
    <row r="921" spans="9:12" x14ac:dyDescent="0.2">
      <c r="I921" s="1">
        <v>45777</v>
      </c>
      <c r="J921" s="27">
        <v>140.72</v>
      </c>
      <c r="K921" s="23">
        <v>-4.9731804513321928E-4</v>
      </c>
      <c r="L921" s="36">
        <v>-3.5598499783951305E-2</v>
      </c>
    </row>
    <row r="922" spans="9:12" x14ac:dyDescent="0.2">
      <c r="I922" s="1">
        <v>45778</v>
      </c>
      <c r="J922" s="27">
        <v>145.49</v>
      </c>
      <c r="K922" s="23">
        <v>3.333525529799472E-2</v>
      </c>
      <c r="L922" s="36">
        <v>1.2238018022594368</v>
      </c>
    </row>
    <row r="923" spans="9:12" x14ac:dyDescent="0.2">
      <c r="I923" s="1">
        <v>45779</v>
      </c>
      <c r="J923" s="27">
        <v>150.72999999999999</v>
      </c>
      <c r="K923" s="23">
        <v>3.5382801095140429E-2</v>
      </c>
      <c r="L923" s="36">
        <v>1.300020651154558</v>
      </c>
    </row>
    <row r="924" spans="9:12" x14ac:dyDescent="0.2">
      <c r="I924" s="1">
        <v>45782</v>
      </c>
      <c r="J924" s="27">
        <v>149.29</v>
      </c>
      <c r="K924" s="23">
        <v>-9.5994337569390679E-3</v>
      </c>
      <c r="L924" s="36">
        <v>-0.37442011883205001</v>
      </c>
    </row>
    <row r="925" spans="9:12" x14ac:dyDescent="0.2">
      <c r="I925" s="1">
        <v>45783</v>
      </c>
      <c r="J925" s="27">
        <v>147.69999999999999</v>
      </c>
      <c r="K925" s="23">
        <v>-1.0707533528164725E-2</v>
      </c>
      <c r="L925" s="36">
        <v>-0.41566856814219583</v>
      </c>
    </row>
    <row r="926" spans="9:12" x14ac:dyDescent="0.2">
      <c r="I926" s="1">
        <v>45784</v>
      </c>
      <c r="J926" s="27">
        <v>149.37</v>
      </c>
      <c r="K926" s="23">
        <v>1.1243259784867135E-2</v>
      </c>
      <c r="L926" s="36">
        <v>0.40143852708677286</v>
      </c>
    </row>
    <row r="927" spans="9:12" x14ac:dyDescent="0.2">
      <c r="I927" s="1">
        <v>45785</v>
      </c>
      <c r="J927" s="27">
        <v>150.30000000000001</v>
      </c>
      <c r="K927" s="23">
        <v>6.2068474367278133E-3</v>
      </c>
      <c r="L927" s="36">
        <v>0.21396064391977843</v>
      </c>
    </row>
    <row r="928" spans="9:12" x14ac:dyDescent="0.2">
      <c r="I928" s="1">
        <v>45786</v>
      </c>
      <c r="J928" s="27">
        <v>150.34</v>
      </c>
      <c r="K928" s="23">
        <v>2.6609899039402584E-4</v>
      </c>
      <c r="L928" s="36">
        <v>-7.1806896641848951E-3</v>
      </c>
    </row>
    <row r="929" spans="9:12" x14ac:dyDescent="0.2">
      <c r="I929" s="1">
        <v>45789</v>
      </c>
      <c r="J929" s="27">
        <v>157.22</v>
      </c>
      <c r="K929" s="23">
        <v>4.4746702616287604E-2</v>
      </c>
      <c r="L929" s="36">
        <v>1.6485871135526264</v>
      </c>
    </row>
    <row r="930" spans="9:12" x14ac:dyDescent="0.2">
      <c r="I930" s="1">
        <v>45790</v>
      </c>
      <c r="J930" s="27">
        <v>162.27000000000001</v>
      </c>
      <c r="K930" s="23">
        <v>3.161551618583499E-2</v>
      </c>
      <c r="L930" s="36">
        <v>1.1597853901667481</v>
      </c>
    </row>
    <row r="931" spans="9:12" x14ac:dyDescent="0.2">
      <c r="I931" s="1">
        <v>45791</v>
      </c>
      <c r="J931" s="27">
        <v>162.94999999999999</v>
      </c>
      <c r="K931" s="23">
        <v>4.1817907321252106E-3</v>
      </c>
      <c r="L931" s="36">
        <v>0.13857894003441512</v>
      </c>
    </row>
    <row r="932" spans="9:12" x14ac:dyDescent="0.2">
      <c r="I932" s="1">
        <v>45792</v>
      </c>
      <c r="J932" s="27">
        <v>159.4</v>
      </c>
      <c r="K932" s="23">
        <v>-2.2026638927455794E-2</v>
      </c>
      <c r="L932" s="36">
        <v>-0.83701649855682525</v>
      </c>
    </row>
    <row r="933" spans="9:12" x14ac:dyDescent="0.2">
      <c r="I933" s="1">
        <v>45793</v>
      </c>
      <c r="J933" s="27">
        <v>160.49</v>
      </c>
      <c r="K933" s="23">
        <v>6.8148689769501206E-3</v>
      </c>
      <c r="L933" s="36">
        <v>0.23659393591441166</v>
      </c>
    </row>
    <row r="934" spans="9:12" x14ac:dyDescent="0.2">
      <c r="I934" s="1">
        <v>45796</v>
      </c>
      <c r="J934" s="27">
        <v>159.63999999999999</v>
      </c>
      <c r="K934" s="23">
        <v>-5.310355152531825E-3</v>
      </c>
      <c r="L934" s="36">
        <v>-0.21476135344359043</v>
      </c>
    </row>
    <row r="935" spans="9:12" x14ac:dyDescent="0.2">
      <c r="I935" s="1">
        <v>45797</v>
      </c>
      <c r="J935" s="27">
        <v>160.31</v>
      </c>
      <c r="K935" s="23">
        <v>4.1881605210490769E-3</v>
      </c>
      <c r="L935" s="36">
        <v>0.1388160521811416</v>
      </c>
    </row>
    <row r="936" spans="9:12" x14ac:dyDescent="0.2">
      <c r="I936" s="1">
        <v>45798</v>
      </c>
      <c r="J936" s="27">
        <v>157.18</v>
      </c>
      <c r="K936" s="23">
        <v>-1.9717795263553325E-2</v>
      </c>
      <c r="L936" s="36">
        <v>-0.75107096972579546</v>
      </c>
    </row>
    <row r="937" spans="9:12" x14ac:dyDescent="0.2">
      <c r="I937" s="1">
        <v>45799</v>
      </c>
      <c r="J937" s="27">
        <v>157.31</v>
      </c>
      <c r="K937" s="23">
        <v>8.267353963844539E-4</v>
      </c>
      <c r="L937" s="36">
        <v>1.3688714855536051E-2</v>
      </c>
    </row>
    <row r="938" spans="9:12" x14ac:dyDescent="0.2">
      <c r="I938" s="1">
        <v>45800</v>
      </c>
      <c r="J938" s="27">
        <v>155.97</v>
      </c>
      <c r="K938" s="23">
        <v>-8.5546997706793717E-3</v>
      </c>
      <c r="L938" s="36">
        <v>-0.33553042857685378</v>
      </c>
    </row>
    <row r="939" spans="9:12" x14ac:dyDescent="0.2">
      <c r="I939" s="1">
        <v>45804</v>
      </c>
      <c r="J939" s="27">
        <v>161.91</v>
      </c>
      <c r="K939" s="23">
        <v>3.7376944234927094E-2</v>
      </c>
      <c r="L939" s="36">
        <v>1.3742516133428127</v>
      </c>
    </row>
    <row r="940" spans="9:12" x14ac:dyDescent="0.2">
      <c r="I940" s="1">
        <v>45805</v>
      </c>
      <c r="J940" s="27">
        <v>163.85</v>
      </c>
      <c r="K940" s="23">
        <v>1.1910749846162442E-2</v>
      </c>
      <c r="L940" s="36">
        <v>0.42628550447393693</v>
      </c>
    </row>
    <row r="941" spans="9:12" x14ac:dyDescent="0.2">
      <c r="I941" s="1">
        <v>45806</v>
      </c>
      <c r="J941" s="27">
        <v>162.9</v>
      </c>
      <c r="K941" s="23">
        <v>-5.8148595368241428E-3</v>
      </c>
      <c r="L941" s="36">
        <v>-0.23354127205977263</v>
      </c>
    </row>
    <row r="942" spans="9:12" x14ac:dyDescent="0.2">
      <c r="I942" s="1">
        <v>45807</v>
      </c>
      <c r="J942" s="27">
        <v>165.53</v>
      </c>
      <c r="K942" s="23">
        <v>1.6015931664074608E-2</v>
      </c>
      <c r="L942" s="36">
        <v>0.57909880569661054</v>
      </c>
    </row>
    <row r="943" spans="9:12" x14ac:dyDescent="0.2">
      <c r="I943" s="1">
        <v>45810</v>
      </c>
      <c r="J943" s="27">
        <v>166.57</v>
      </c>
      <c r="K943" s="23">
        <v>6.263194216942272E-3</v>
      </c>
      <c r="L943" s="36">
        <v>0.21605812409964997</v>
      </c>
    </row>
    <row r="944" spans="9:12" x14ac:dyDescent="0.2">
      <c r="I944" s="1">
        <v>45811</v>
      </c>
      <c r="J944" s="27">
        <v>169.14</v>
      </c>
      <c r="K944" s="23">
        <v>1.5311132865059722E-2</v>
      </c>
      <c r="L944" s="36">
        <v>0.55286302955989941</v>
      </c>
    </row>
    <row r="945" spans="9:12" x14ac:dyDescent="0.2">
      <c r="I945" s="1">
        <v>45812</v>
      </c>
      <c r="J945" s="27">
        <v>168.1</v>
      </c>
      <c r="K945" s="23">
        <v>-6.1677339395061915E-3</v>
      </c>
      <c r="L945" s="36">
        <v>-0.24667684187924724</v>
      </c>
    </row>
    <row r="946" spans="9:12" x14ac:dyDescent="0.2">
      <c r="I946" s="1">
        <v>45813</v>
      </c>
      <c r="J946" s="27">
        <v>171.14</v>
      </c>
      <c r="K946" s="23">
        <v>1.7922894575338692E-2</v>
      </c>
      <c r="L946" s="36">
        <v>0.6500845283040616</v>
      </c>
    </row>
    <row r="947" spans="9:12" x14ac:dyDescent="0.2">
      <c r="I947" s="1">
        <v>45814</v>
      </c>
      <c r="J947" s="27">
        <v>174.02</v>
      </c>
      <c r="K947" s="23">
        <v>1.668830014796965E-2</v>
      </c>
      <c r="L947" s="36">
        <v>0.60412737987906684</v>
      </c>
    </row>
    <row r="948" spans="9:12" x14ac:dyDescent="0.2">
      <c r="I948" s="1">
        <v>45817</v>
      </c>
      <c r="J948" s="27">
        <v>177.15</v>
      </c>
      <c r="K948" s="23">
        <v>1.7826596173602688E-2</v>
      </c>
      <c r="L948" s="36">
        <v>0.64649986937189519</v>
      </c>
    </row>
    <row r="949" spans="9:12" x14ac:dyDescent="0.2">
      <c r="I949" s="1">
        <v>45818</v>
      </c>
      <c r="J949" s="27">
        <v>177.48</v>
      </c>
      <c r="K949" s="23">
        <v>1.8610951992276835E-3</v>
      </c>
      <c r="L949" s="36">
        <v>5.219223141960791E-2</v>
      </c>
    </row>
    <row r="950" spans="9:12" x14ac:dyDescent="0.2">
      <c r="I950" s="1">
        <v>45819</v>
      </c>
      <c r="J950" s="27">
        <v>176.38</v>
      </c>
      <c r="K950" s="23">
        <v>-6.2171680506739402E-3</v>
      </c>
      <c r="L950" s="36">
        <v>-0.24851700147646436</v>
      </c>
    </row>
    <row r="951" spans="9:12" x14ac:dyDescent="0.2">
      <c r="I951" s="1">
        <v>45820</v>
      </c>
      <c r="J951" s="27">
        <v>199.86</v>
      </c>
      <c r="K951" s="23">
        <v>0.1249763629736087</v>
      </c>
      <c r="L951" s="36">
        <v>4.6350953363264074</v>
      </c>
    </row>
    <row r="952" spans="9:12" x14ac:dyDescent="0.2">
      <c r="I952" s="1">
        <v>45821</v>
      </c>
      <c r="J952" s="27">
        <v>215.22</v>
      </c>
      <c r="K952" s="23">
        <v>7.4043639338602835E-2</v>
      </c>
      <c r="L952" s="36">
        <v>2.7391506536897303</v>
      </c>
    </row>
    <row r="953" spans="9:12" x14ac:dyDescent="0.2">
      <c r="I953" s="1">
        <v>45824</v>
      </c>
      <c r="J953" s="27">
        <v>211.1</v>
      </c>
      <c r="K953" s="23">
        <v>-1.9328805917971276E-2</v>
      </c>
      <c r="L953" s="36">
        <v>-0.73659103956058969</v>
      </c>
    </row>
    <row r="954" spans="9:12" x14ac:dyDescent="0.2">
      <c r="I954" s="1">
        <v>45825</v>
      </c>
      <c r="J954" s="27">
        <v>208.18</v>
      </c>
      <c r="K954" s="23">
        <v>-1.3928864766952541E-2</v>
      </c>
      <c r="L954" s="36">
        <v>-0.53558098195612225</v>
      </c>
    </row>
    <row r="955" spans="9:12" x14ac:dyDescent="0.2">
      <c r="I955" s="1">
        <v>45826</v>
      </c>
      <c r="J955" s="27">
        <v>210.87</v>
      </c>
      <c r="K955" s="23">
        <v>1.2838739768601266E-2</v>
      </c>
      <c r="L955" s="36">
        <v>0.46082945644471018</v>
      </c>
    </row>
    <row r="956" spans="9:12" x14ac:dyDescent="0.2">
      <c r="I956" s="1">
        <v>45828</v>
      </c>
      <c r="J956" s="27">
        <v>205.17</v>
      </c>
      <c r="K956" s="23">
        <v>-2.7402926077809402E-2</v>
      </c>
      <c r="L956" s="36">
        <v>-1.037146048040315</v>
      </c>
    </row>
    <row r="957" spans="9:12" x14ac:dyDescent="0.2">
      <c r="I957" s="1">
        <v>45831</v>
      </c>
      <c r="J957" s="27">
        <v>207.04</v>
      </c>
      <c r="K957" s="23">
        <v>9.0731075344213843E-3</v>
      </c>
      <c r="L957" s="36">
        <v>0.32065571544626664</v>
      </c>
    </row>
    <row r="958" spans="9:12" x14ac:dyDescent="0.2">
      <c r="I958" s="1">
        <v>45832</v>
      </c>
      <c r="J958" s="27">
        <v>215.27</v>
      </c>
      <c r="K958" s="23">
        <v>3.8981042893819651E-2</v>
      </c>
      <c r="L958" s="36">
        <v>1.4339633684915536</v>
      </c>
    </row>
    <row r="959" spans="9:12" x14ac:dyDescent="0.2">
      <c r="I959" s="1">
        <v>45833</v>
      </c>
      <c r="J959" s="27">
        <v>210.72</v>
      </c>
      <c r="K959" s="23">
        <v>-2.1362816211384597E-2</v>
      </c>
      <c r="L959" s="36">
        <v>-0.81230603622679554</v>
      </c>
    </row>
    <row r="960" spans="9:12" x14ac:dyDescent="0.2">
      <c r="I960" s="1">
        <v>45834</v>
      </c>
      <c r="J960" s="27">
        <v>212.82</v>
      </c>
      <c r="K960" s="23">
        <v>9.9165000186145023E-3</v>
      </c>
      <c r="L960" s="36">
        <v>0.35205057088813574</v>
      </c>
    </row>
    <row r="961" spans="9:12" x14ac:dyDescent="0.2">
      <c r="I961" s="1">
        <v>45835</v>
      </c>
      <c r="J961" s="27">
        <v>210.24</v>
      </c>
      <c r="K961" s="23">
        <v>-1.2197002717339684E-2</v>
      </c>
      <c r="L961" s="36">
        <v>-0.47111329969443771</v>
      </c>
    </row>
    <row r="962" spans="9:12" x14ac:dyDescent="0.2">
      <c r="I962" s="1">
        <v>45838</v>
      </c>
      <c r="J962" s="27">
        <v>218.63</v>
      </c>
      <c r="K962" s="23">
        <v>3.9131067992550533E-2</v>
      </c>
      <c r="L962" s="36">
        <v>1.4395479763409043</v>
      </c>
    </row>
    <row r="963" spans="9:12" x14ac:dyDescent="0.2">
      <c r="I963" s="1">
        <v>45839</v>
      </c>
      <c r="J963" s="27">
        <v>218.96</v>
      </c>
      <c r="K963" s="23">
        <v>1.5082614436274361E-3</v>
      </c>
      <c r="L963" s="36">
        <v>3.9058174667040119E-2</v>
      </c>
    </row>
    <row r="964" spans="9:12" x14ac:dyDescent="0.2">
      <c r="I964" s="1">
        <v>45840</v>
      </c>
      <c r="J964" s="27">
        <v>229.98</v>
      </c>
      <c r="K964" s="23">
        <v>4.9103283888095053E-2</v>
      </c>
      <c r="L964" s="36">
        <v>1.8107586313365469</v>
      </c>
    </row>
    <row r="965" spans="9:12" x14ac:dyDescent="0.2">
      <c r="I965" s="1">
        <v>45841</v>
      </c>
      <c r="J965" s="27">
        <v>237.32</v>
      </c>
      <c r="K965" s="23">
        <v>3.1417092769923827E-2</v>
      </c>
      <c r="L965" s="36">
        <v>1.1523991796235362</v>
      </c>
    </row>
    <row r="966" spans="9:12" x14ac:dyDescent="0.2">
      <c r="I966" s="1">
        <v>45845</v>
      </c>
      <c r="J966" s="27">
        <v>232.26</v>
      </c>
      <c r="K966" s="23">
        <v>-2.1552007572830788E-2</v>
      </c>
      <c r="L966" s="36">
        <v>-0.81934858824708789</v>
      </c>
    </row>
    <row r="967" spans="9:12" x14ac:dyDescent="0.2">
      <c r="I967" s="1">
        <v>45846</v>
      </c>
      <c r="J967" s="27">
        <v>234.5</v>
      </c>
      <c r="K967" s="23">
        <v>9.59815406872239E-3</v>
      </c>
      <c r="L967" s="36">
        <v>0.34020030512850052</v>
      </c>
    </row>
    <row r="968" spans="9:12" x14ac:dyDescent="0.2">
      <c r="I968" s="1">
        <v>45847</v>
      </c>
      <c r="J968" s="27">
        <v>235.81</v>
      </c>
      <c r="K968" s="23">
        <v>5.570808138742606E-3</v>
      </c>
      <c r="L968" s="36">
        <v>0.19028440516991876</v>
      </c>
    </row>
    <row r="969" spans="9:12" x14ac:dyDescent="0.2">
      <c r="I969" s="1">
        <v>45848</v>
      </c>
      <c r="J969" s="27">
        <v>235</v>
      </c>
      <c r="K969" s="23">
        <v>-3.4408818809177327E-3</v>
      </c>
      <c r="L969" s="36">
        <v>-0.14517116356786061</v>
      </c>
    </row>
    <row r="970" spans="9:12" x14ac:dyDescent="0.2">
      <c r="I970" s="1">
        <v>45849</v>
      </c>
      <c r="J970" s="27">
        <v>230.56</v>
      </c>
      <c r="K970" s="23">
        <v>-1.9074381892946971E-2</v>
      </c>
      <c r="L970" s="36">
        <v>-0.72712023488034838</v>
      </c>
    </row>
    <row r="971" spans="9:12" x14ac:dyDescent="0.2">
      <c r="I971" s="1">
        <v>45852</v>
      </c>
      <c r="J971" s="27">
        <v>229.28</v>
      </c>
      <c r="K971" s="23">
        <v>-5.5671681713502169E-3</v>
      </c>
      <c r="L971" s="36">
        <v>-0.22432108720041541</v>
      </c>
    </row>
    <row r="972" spans="9:12" x14ac:dyDescent="0.2">
      <c r="I972" s="1">
        <v>45853</v>
      </c>
      <c r="J972" s="27">
        <v>234.96</v>
      </c>
      <c r="K972" s="23">
        <v>2.4471322810502884E-2</v>
      </c>
      <c r="L972" s="36">
        <v>0.89384643236124683</v>
      </c>
    </row>
    <row r="973" spans="9:12" x14ac:dyDescent="0.2">
      <c r="I973" s="1">
        <v>45854</v>
      </c>
      <c r="J973" s="27">
        <v>241.3</v>
      </c>
      <c r="K973" s="23">
        <v>2.6625685740621474E-2</v>
      </c>
      <c r="L973" s="36">
        <v>0.97404149459861389</v>
      </c>
    </row>
    <row r="974" spans="9:12" x14ac:dyDescent="0.2">
      <c r="I974" s="1">
        <v>45855</v>
      </c>
      <c r="J974" s="27">
        <v>248.75</v>
      </c>
      <c r="K974" s="23">
        <v>3.0407403407716003E-2</v>
      </c>
      <c r="L974" s="36">
        <v>1.1148140076403705</v>
      </c>
    </row>
    <row r="975" spans="9:12" x14ac:dyDescent="0.2">
      <c r="I975" s="1">
        <v>45856</v>
      </c>
      <c r="J975" s="27">
        <v>245.45</v>
      </c>
      <c r="K975" s="23">
        <v>-1.3355115534640694E-2</v>
      </c>
      <c r="L975" s="36">
        <v>-0.51422345915871814</v>
      </c>
    </row>
    <row r="976" spans="9:12" x14ac:dyDescent="0.2">
      <c r="I976" s="1">
        <v>45859</v>
      </c>
      <c r="J976" s="27">
        <v>243.54</v>
      </c>
      <c r="K976" s="23">
        <v>-7.8120604252001217E-3</v>
      </c>
      <c r="L976" s="36">
        <v>-0.30788605738107405</v>
      </c>
    </row>
    <row r="977" spans="9:12" x14ac:dyDescent="0.2">
      <c r="I977" s="1">
        <v>45860</v>
      </c>
      <c r="J977" s="27">
        <v>238.11</v>
      </c>
      <c r="K977" s="23">
        <v>-2.2548448307967459E-2</v>
      </c>
      <c r="L977" s="36">
        <v>-0.85644058683886382</v>
      </c>
    </row>
    <row r="978" spans="9:12" x14ac:dyDescent="0.2">
      <c r="I978" s="1">
        <v>45861</v>
      </c>
      <c r="J978" s="27">
        <v>241.9</v>
      </c>
      <c r="K978" s="23">
        <v>1.5791665845087604E-2</v>
      </c>
      <c r="L978" s="36">
        <v>0.57075062486786454</v>
      </c>
    </row>
    <row r="979" spans="9:12" x14ac:dyDescent="0.2">
      <c r="I979" s="1">
        <v>45862</v>
      </c>
      <c r="J979" s="27">
        <v>242.83</v>
      </c>
      <c r="K979" s="23">
        <v>3.8371924209901695E-3</v>
      </c>
      <c r="L979" s="36">
        <v>0.12575144350538553</v>
      </c>
    </row>
    <row r="980" spans="9:12" x14ac:dyDescent="0.2">
      <c r="I980" s="1">
        <v>45863</v>
      </c>
      <c r="J980" s="27">
        <v>245.12</v>
      </c>
      <c r="K980" s="23">
        <v>9.3862765152547805E-3</v>
      </c>
      <c r="L980" s="36">
        <v>0.33231327117080955</v>
      </c>
    </row>
    <row r="981" spans="9:12" x14ac:dyDescent="0.2">
      <c r="I981" s="1">
        <v>45866</v>
      </c>
      <c r="J981" s="27">
        <v>247.71</v>
      </c>
      <c r="K981" s="23">
        <v>1.0510820545220474E-2</v>
      </c>
      <c r="L981" s="36">
        <v>0.37417384963276534</v>
      </c>
    </row>
    <row r="982" spans="9:12" x14ac:dyDescent="0.2">
      <c r="I982" s="1">
        <v>45867</v>
      </c>
      <c r="J982" s="27">
        <v>249.98</v>
      </c>
      <c r="K982" s="23">
        <v>9.1222075646288491E-3</v>
      </c>
      <c r="L982" s="36">
        <v>0.32248343904998061</v>
      </c>
    </row>
    <row r="983" spans="9:12" x14ac:dyDescent="0.2">
      <c r="I983" s="1">
        <v>45868</v>
      </c>
      <c r="J983" s="27">
        <v>250.6</v>
      </c>
      <c r="K983" s="23">
        <v>2.4771277998922253E-3</v>
      </c>
      <c r="L983" s="36">
        <v>7.5123731056867538E-2</v>
      </c>
    </row>
    <row r="984" spans="9:12" x14ac:dyDescent="0.2">
      <c r="I984" s="1">
        <v>45869</v>
      </c>
      <c r="J984" s="27">
        <v>253.77</v>
      </c>
      <c r="K984" s="23">
        <v>1.2570302522064982E-2</v>
      </c>
      <c r="L984" s="36">
        <v>0.45083701673464716</v>
      </c>
    </row>
    <row r="985" spans="9:12" x14ac:dyDescent="0.2">
      <c r="I985" s="1">
        <v>45870</v>
      </c>
      <c r="J985" s="27">
        <v>244.42</v>
      </c>
      <c r="K985" s="23">
        <v>-3.7540287974178445E-2</v>
      </c>
      <c r="L985" s="36">
        <v>-1.4145041787603221</v>
      </c>
    </row>
    <row r="986" spans="9:12" x14ac:dyDescent="0.2">
      <c r="I986" s="1">
        <v>45873</v>
      </c>
      <c r="J986" s="27">
        <v>252.53</v>
      </c>
      <c r="K986" s="23">
        <v>3.2641996529175626E-2</v>
      </c>
      <c r="L986" s="36">
        <v>1.1979955978661097</v>
      </c>
    </row>
    <row r="987" spans="9:12" x14ac:dyDescent="0.2">
      <c r="I987" s="1">
        <v>45874</v>
      </c>
      <c r="J987" s="27">
        <v>255.67</v>
      </c>
      <c r="K987" s="23">
        <v>1.2357496884772725E-2</v>
      </c>
      <c r="L987" s="36">
        <v>0.44291543532952349</v>
      </c>
    </row>
    <row r="988" spans="9:12" x14ac:dyDescent="0.2">
      <c r="I988" s="1">
        <v>45875</v>
      </c>
      <c r="J988" s="27">
        <v>256.43</v>
      </c>
      <c r="K988" s="23">
        <v>2.9681724583856314E-3</v>
      </c>
      <c r="L988" s="36">
        <v>9.3402618239092516E-2</v>
      </c>
    </row>
    <row r="989" spans="9:12" x14ac:dyDescent="0.2">
      <c r="I989" s="1">
        <v>45876</v>
      </c>
      <c r="J989" s="27">
        <v>249.39</v>
      </c>
      <c r="K989" s="23">
        <v>-2.7837786671082106E-2</v>
      </c>
      <c r="L989" s="36">
        <v>-1.0533335120253935</v>
      </c>
    </row>
    <row r="990" spans="9:12" x14ac:dyDescent="0.2">
      <c r="I990" s="1">
        <v>45877</v>
      </c>
      <c r="J990" s="27">
        <v>250.05</v>
      </c>
      <c r="K990" s="23">
        <v>2.6429616538063512E-3</v>
      </c>
      <c r="L990" s="36">
        <v>8.1296811761971233E-2</v>
      </c>
    </row>
    <row r="991" spans="9:12" x14ac:dyDescent="0.2">
      <c r="I991" s="1">
        <v>45880</v>
      </c>
      <c r="J991" s="27">
        <v>252.68</v>
      </c>
      <c r="K991" s="23">
        <v>1.0462968165586851E-2</v>
      </c>
      <c r="L991" s="36">
        <v>0.37239256918587554</v>
      </c>
    </row>
    <row r="992" spans="9:12" x14ac:dyDescent="0.2">
      <c r="I992" s="1">
        <v>45881</v>
      </c>
      <c r="J992" s="27">
        <v>253.86</v>
      </c>
      <c r="K992" s="23">
        <v>4.6590679295314703E-3</v>
      </c>
      <c r="L992" s="36">
        <v>0.15634534049339638</v>
      </c>
    </row>
    <row r="993" spans="9:12" x14ac:dyDescent="0.2">
      <c r="I993" s="1">
        <v>45882</v>
      </c>
      <c r="J993" s="27">
        <v>244.18</v>
      </c>
      <c r="K993" s="23">
        <v>-3.887727571932173E-2</v>
      </c>
      <c r="L993" s="36">
        <v>-1.4642728662611142</v>
      </c>
    </row>
    <row r="994" spans="9:12" x14ac:dyDescent="0.2">
      <c r="I994" s="1">
        <v>45883</v>
      </c>
      <c r="J994" s="27">
        <v>244.96</v>
      </c>
      <c r="K994" s="23">
        <v>3.1892736686642176E-3</v>
      </c>
      <c r="L994" s="36">
        <v>0.10163299812131243</v>
      </c>
    </row>
    <row r="995" spans="9:12" x14ac:dyDescent="0.2">
      <c r="I995" s="1">
        <v>45884</v>
      </c>
      <c r="J995" s="27">
        <v>248.28</v>
      </c>
      <c r="K995" s="23">
        <v>1.3462209636078235E-2</v>
      </c>
      <c r="L995" s="36">
        <v>0.4840378045491246</v>
      </c>
    </row>
    <row r="996" spans="9:12" x14ac:dyDescent="0.2">
      <c r="I996" s="1">
        <v>45887</v>
      </c>
      <c r="J996" s="27">
        <v>249.07</v>
      </c>
      <c r="K996" s="23">
        <v>3.1768399091602279E-3</v>
      </c>
      <c r="L996" s="36">
        <v>0.10117015775986413</v>
      </c>
    </row>
    <row r="997" spans="9:12" x14ac:dyDescent="0.2">
      <c r="I997" s="1">
        <v>45888</v>
      </c>
      <c r="J997" s="27">
        <v>234.62</v>
      </c>
      <c r="K997" s="23">
        <v>-5.9766797377037897E-2</v>
      </c>
      <c r="L997" s="36">
        <v>-2.2418746649316654</v>
      </c>
    </row>
    <row r="998" spans="9:12" x14ac:dyDescent="0.2">
      <c r="I998" s="1">
        <v>45889</v>
      </c>
      <c r="J998" s="27">
        <v>235.06</v>
      </c>
      <c r="K998" s="23">
        <v>1.8736166271337651E-3</v>
      </c>
      <c r="L998" s="36">
        <v>5.2658335192649362E-2</v>
      </c>
    </row>
    <row r="999" spans="9:12" x14ac:dyDescent="0.2">
      <c r="I999" s="1">
        <v>45890</v>
      </c>
      <c r="J999" s="27">
        <v>233.16</v>
      </c>
      <c r="K999" s="23">
        <v>-8.1158875273590874E-3</v>
      </c>
      <c r="L999" s="36">
        <v>-0.31919586643246539</v>
      </c>
    </row>
    <row r="1000" spans="9:12" x14ac:dyDescent="0.2">
      <c r="I1000" s="1">
        <v>45891</v>
      </c>
      <c r="J1000" s="27">
        <v>236.37</v>
      </c>
      <c r="K1000" s="23">
        <v>1.3673460748357378E-2</v>
      </c>
      <c r="L1000" s="36">
        <v>0.49190151955280154</v>
      </c>
    </row>
    <row r="1001" spans="9:12" x14ac:dyDescent="0.2">
      <c r="I1001" s="1">
        <v>45894</v>
      </c>
      <c r="J1001" s="27">
        <v>235.41</v>
      </c>
      <c r="K1001" s="23">
        <v>-4.0696991182149027E-3</v>
      </c>
      <c r="L1001" s="36">
        <v>-0.1685785647888795</v>
      </c>
    </row>
    <row r="1002" spans="9:12" x14ac:dyDescent="0.2">
      <c r="I1002" s="1">
        <v>45895</v>
      </c>
      <c r="J1002" s="27">
        <v>234.21</v>
      </c>
      <c r="K1002" s="23">
        <v>-5.1105260071821939E-3</v>
      </c>
      <c r="L1002" s="36">
        <v>-0.20732281533837368</v>
      </c>
    </row>
    <row r="1003" spans="9:12" x14ac:dyDescent="0.2">
      <c r="I1003" s="1">
        <v>45896</v>
      </c>
      <c r="J1003" s="27">
        <v>235.81</v>
      </c>
      <c r="K1003" s="23">
        <v>6.8082472247674329E-3</v>
      </c>
      <c r="L1003" s="36">
        <v>0.23634744456377288</v>
      </c>
    </row>
    <row r="1004" spans="9:12" x14ac:dyDescent="0.2">
      <c r="I1004" s="1">
        <v>45897</v>
      </c>
      <c r="J1004" s="27">
        <v>240.32</v>
      </c>
      <c r="K1004" s="23">
        <v>1.8944972550693127E-2</v>
      </c>
      <c r="L1004" s="36">
        <v>0.6881308600985282</v>
      </c>
    </row>
    <row r="1005" spans="9:12" x14ac:dyDescent="0.2">
      <c r="I1005" s="1">
        <v>45898</v>
      </c>
      <c r="J1005" s="27">
        <v>226.13</v>
      </c>
      <c r="K1005" s="23">
        <v>-6.0861313440867287E-2</v>
      </c>
      <c r="L1005" s="36">
        <v>-2.2826174676560722</v>
      </c>
    </row>
    <row r="1006" spans="9:12" x14ac:dyDescent="0.2">
      <c r="I1006" s="1">
        <v>45902</v>
      </c>
      <c r="J1006" s="27">
        <v>225.3</v>
      </c>
      <c r="K1006" s="23">
        <v>-3.6772076967038119E-3</v>
      </c>
      <c r="L1006" s="36">
        <v>-0.15396827163182913</v>
      </c>
    </row>
    <row r="1007" spans="9:12" x14ac:dyDescent="0.2">
      <c r="I1007" s="1">
        <v>45903</v>
      </c>
      <c r="J1007" s="27">
        <v>223.45</v>
      </c>
      <c r="K1007" s="23">
        <v>-8.2451720587383287E-3</v>
      </c>
      <c r="L1007" s="36">
        <v>-0.32400841723128382</v>
      </c>
    </row>
    <row r="1008" spans="9:12" x14ac:dyDescent="0.2">
      <c r="I1008" s="1">
        <v>45904</v>
      </c>
      <c r="J1008" s="27">
        <v>223</v>
      </c>
      <c r="K1008" s="23">
        <v>-2.0159039193416478E-3</v>
      </c>
      <c r="L1008" s="36">
        <v>-9.2127085099067016E-2</v>
      </c>
    </row>
    <row r="1009" spans="9:12" x14ac:dyDescent="0.2">
      <c r="I1009" s="1">
        <v>45905</v>
      </c>
      <c r="J1009" s="27">
        <v>232.8</v>
      </c>
      <c r="K1009" s="23">
        <v>4.3007944397164037E-2</v>
      </c>
      <c r="L1009" s="36">
        <v>1.5838627248951069</v>
      </c>
    </row>
    <row r="1010" spans="9:12" x14ac:dyDescent="0.2">
      <c r="I1010" s="1">
        <v>45908</v>
      </c>
      <c r="J1010" s="27">
        <v>238.48</v>
      </c>
      <c r="K1010" s="23">
        <v>2.4105733512533162E-2</v>
      </c>
      <c r="L1010" s="36">
        <v>0.88023755704403961</v>
      </c>
    </row>
    <row r="1011" spans="9:12" x14ac:dyDescent="0.2">
      <c r="I1011" s="1">
        <v>45909</v>
      </c>
      <c r="J1011" s="27">
        <v>241.51</v>
      </c>
      <c r="K1011" s="23">
        <v>1.2625430733024159E-2</v>
      </c>
      <c r="L1011" s="36">
        <v>0.45288913629495842</v>
      </c>
    </row>
    <row r="1012" spans="9:12" x14ac:dyDescent="0.2">
      <c r="I1012" s="1">
        <v>45910</v>
      </c>
      <c r="J1012" s="27">
        <v>328.33</v>
      </c>
      <c r="K1012" s="23">
        <v>0.30710832006534028</v>
      </c>
      <c r="L1012" s="36">
        <v>11.414864626907761</v>
      </c>
    </row>
    <row r="1013" spans="9:12" x14ac:dyDescent="0.2">
      <c r="I1013" s="1">
        <v>45911</v>
      </c>
      <c r="J1013" s="27">
        <v>307.86</v>
      </c>
      <c r="K1013" s="23">
        <v>-6.437406598625188E-2</v>
      </c>
      <c r="L1013" s="36">
        <v>-2.4133778911034254</v>
      </c>
    </row>
    <row r="1014" spans="9:12" x14ac:dyDescent="0.2">
      <c r="I1014" s="1">
        <v>45912</v>
      </c>
      <c r="J1014" s="27">
        <v>292.18</v>
      </c>
      <c r="K1014" s="23">
        <v>-5.2275083477560436E-2</v>
      </c>
      <c r="L1014" s="36">
        <v>-1.9629994327069489</v>
      </c>
    </row>
    <row r="1015" spans="9:12" x14ac:dyDescent="0.2">
      <c r="I1015" s="1">
        <v>45915</v>
      </c>
      <c r="J1015" s="27">
        <v>302.14</v>
      </c>
      <c r="K1015" s="23">
        <v>3.3520435411210768E-2</v>
      </c>
      <c r="L1015" s="36">
        <v>1.2306950376084438</v>
      </c>
    </row>
    <row r="1016" spans="9:12" x14ac:dyDescent="0.2">
      <c r="I1016" s="1">
        <v>45916</v>
      </c>
      <c r="J1016" s="27">
        <v>306.64999999999998</v>
      </c>
      <c r="K1016" s="23">
        <v>1.4816545956413803E-2</v>
      </c>
      <c r="L1016" s="36">
        <v>0.53445228392083333</v>
      </c>
    </row>
    <row r="1017" spans="9:12" x14ac:dyDescent="0.2">
      <c r="I1017" s="1">
        <v>45917</v>
      </c>
      <c r="J1017" s="27">
        <v>301.41000000000003</v>
      </c>
      <c r="K1017" s="23">
        <v>-1.7235567929660026E-2</v>
      </c>
      <c r="L1017" s="36">
        <v>-0.6586713221334981</v>
      </c>
    </row>
    <row r="1018" spans="9:12" x14ac:dyDescent="0.2">
      <c r="I1018" s="1">
        <v>45918</v>
      </c>
      <c r="J1018" s="27">
        <v>296.62</v>
      </c>
      <c r="K1018" s="23">
        <v>-1.6019605828516179E-2</v>
      </c>
      <c r="L1018" s="36">
        <v>-0.61340775255743663</v>
      </c>
    </row>
    <row r="1019" spans="9:12" x14ac:dyDescent="0.2">
      <c r="I1019" s="1">
        <v>45919</v>
      </c>
      <c r="J1019" s="27">
        <v>308.66000000000003</v>
      </c>
      <c r="K1019" s="23">
        <v>3.9788489158868998E-2</v>
      </c>
      <c r="L1019" s="36">
        <v>1.4640201442435379</v>
      </c>
    </row>
    <row r="1020" spans="9:12" x14ac:dyDescent="0.2">
      <c r="I1020" s="1">
        <v>45922</v>
      </c>
      <c r="J1020" s="27">
        <v>328.15</v>
      </c>
      <c r="K1020" s="23">
        <v>6.1230473447046213E-2</v>
      </c>
      <c r="L1020" s="36">
        <v>2.2621870828049824</v>
      </c>
    </row>
    <row r="1021" spans="9:12" x14ac:dyDescent="0.2">
      <c r="I1021" s="1">
        <v>45923</v>
      </c>
      <c r="J1021" s="27">
        <v>313.83</v>
      </c>
      <c r="K1021" s="23">
        <v>-4.461938289595261E-2</v>
      </c>
      <c r="L1021" s="36">
        <v>-1.6780198798054835</v>
      </c>
    </row>
    <row r="1022" spans="9:12" x14ac:dyDescent="0.2">
      <c r="I1022" s="1">
        <v>45924</v>
      </c>
      <c r="J1022" s="27">
        <v>308.45999999999998</v>
      </c>
      <c r="K1022" s="23">
        <v>-1.7259262728310867E-2</v>
      </c>
      <c r="L1022" s="36">
        <v>-0.65955334893870377</v>
      </c>
    </row>
    <row r="1023" spans="9:12" x14ac:dyDescent="0.2">
      <c r="I1023" s="1">
        <v>45925</v>
      </c>
      <c r="J1023" s="27">
        <v>291.33</v>
      </c>
      <c r="K1023" s="23">
        <v>-5.7135530021095879E-2</v>
      </c>
      <c r="L1023" s="36">
        <v>-2.1439270784675286</v>
      </c>
    </row>
    <row r="1024" spans="9:12" x14ac:dyDescent="0.2">
      <c r="I1024" s="1">
        <v>45926</v>
      </c>
      <c r="J1024" s="27">
        <v>283.45999999999998</v>
      </c>
      <c r="K1024" s="23">
        <v>-2.7385625535613085E-2</v>
      </c>
      <c r="L1024" s="36">
        <v>-1.0365020441731962</v>
      </c>
    </row>
    <row r="1025" spans="9:12" x14ac:dyDescent="0.2">
      <c r="I1025" s="1">
        <v>45929</v>
      </c>
      <c r="J1025" s="27">
        <v>282.76</v>
      </c>
      <c r="K1025" s="23">
        <v>-2.4725384360059981E-3</v>
      </c>
      <c r="L1025" s="36">
        <v>-0.1091250722866816</v>
      </c>
    </row>
    <row r="1026" spans="9:12" x14ac:dyDescent="0.2">
      <c r="I1026" s="1">
        <v>45930</v>
      </c>
      <c r="J1026" s="27">
        <v>281.24</v>
      </c>
      <c r="K1026" s="23">
        <v>-5.3900839717926493E-3</v>
      </c>
      <c r="L1026" s="36">
        <v>-0.21772921811176946</v>
      </c>
    </row>
    <row r="1027" spans="9:12" x14ac:dyDescent="0.2">
      <c r="I1027" s="1">
        <v>45931</v>
      </c>
      <c r="J1027" s="27">
        <v>289.01</v>
      </c>
      <c r="K1027" s="23">
        <v>2.7252892258958071E-2</v>
      </c>
      <c r="L1027" s="36">
        <v>0.99738893762712766</v>
      </c>
    </row>
    <row r="1028" spans="9:12" x14ac:dyDescent="0.2">
      <c r="I1028" s="1">
        <v>45932</v>
      </c>
      <c r="J1028" s="27">
        <v>288.77999999999997</v>
      </c>
      <c r="K1028" s="23">
        <v>-7.9613704684577827E-4</v>
      </c>
      <c r="L1028" s="36">
        <v>-4.6721884848290228E-2</v>
      </c>
    </row>
    <row r="1029" spans="9:12" x14ac:dyDescent="0.2">
      <c r="I1029" s="1">
        <v>45933</v>
      </c>
      <c r="J1029" s="27">
        <v>286.14</v>
      </c>
      <c r="K1029" s="23">
        <v>-9.1839510048849597E-3</v>
      </c>
      <c r="L1029" s="36">
        <v>-0.35895398511162918</v>
      </c>
    </row>
    <row r="1030" spans="9:12" x14ac:dyDescent="0.2">
      <c r="I1030" s="1">
        <v>45936</v>
      </c>
      <c r="J1030" s="27">
        <v>291.58999999999997</v>
      </c>
      <c r="K1030" s="23">
        <v>1.8867504455465749E-2</v>
      </c>
      <c r="L1030" s="36">
        <v>0.68524714973045764</v>
      </c>
    </row>
    <row r="1031" spans="9:12" x14ac:dyDescent="0.2">
      <c r="I1031" s="1">
        <v>45937</v>
      </c>
      <c r="J1031" s="27">
        <v>284.24</v>
      </c>
      <c r="K1031" s="23">
        <v>-2.5529754280881882E-2</v>
      </c>
      <c r="L1031" s="36">
        <v>-0.96741818244451483</v>
      </c>
    </row>
    <row r="1032" spans="9:12" x14ac:dyDescent="0.2">
      <c r="I1032" s="1">
        <v>45938</v>
      </c>
      <c r="J1032" s="27">
        <v>288.63</v>
      </c>
      <c r="K1032" s="23">
        <v>1.5326639328511334E-2</v>
      </c>
      <c r="L1032" s="36">
        <v>0.55344024975998662</v>
      </c>
    </row>
    <row r="1033" spans="9:12" x14ac:dyDescent="0.2">
      <c r="I1033" s="1">
        <v>45939</v>
      </c>
      <c r="J1033" s="27">
        <v>296.95999999999998</v>
      </c>
      <c r="K1033" s="23">
        <v>2.8451858556552818E-2</v>
      </c>
      <c r="L1033" s="36">
        <v>1.042019847076922</v>
      </c>
    </row>
    <row r="1034" spans="9:12" x14ac:dyDescent="0.2">
      <c r="I1034" s="1">
        <v>45940</v>
      </c>
      <c r="J1034" s="27">
        <v>292.95999999999998</v>
      </c>
      <c r="K1034" s="23">
        <v>-1.3561368671635125E-2</v>
      </c>
      <c r="L1034" s="36">
        <v>-0.52190112707932712</v>
      </c>
    </row>
    <row r="1035" spans="9:12" x14ac:dyDescent="0.2">
      <c r="I1035" s="1">
        <v>45943</v>
      </c>
      <c r="J1035" s="27">
        <v>308.01</v>
      </c>
      <c r="K1035" s="23">
        <v>5.0096169052782621E-2</v>
      </c>
      <c r="L1035" s="36">
        <v>1.8477182756302293</v>
      </c>
    </row>
    <row r="1036" spans="9:12" x14ac:dyDescent="0.2">
      <c r="I1036" s="1">
        <v>45944</v>
      </c>
      <c r="J1036" s="27">
        <v>299</v>
      </c>
      <c r="K1036" s="23">
        <v>-2.9688676588296575E-2</v>
      </c>
      <c r="L1036" s="36">
        <v>-1.1222319460034413</v>
      </c>
    </row>
    <row r="1037" spans="9:12" x14ac:dyDescent="0.2">
      <c r="I1037" s="1">
        <v>45945</v>
      </c>
      <c r="J1037" s="27">
        <v>303.62</v>
      </c>
      <c r="K1037" s="23">
        <v>1.5333346113882557E-2</v>
      </c>
      <c r="L1037" s="36">
        <v>0.55368990642773674</v>
      </c>
    </row>
    <row r="1038" spans="9:12" x14ac:dyDescent="0.2">
      <c r="I1038" s="1">
        <v>45946</v>
      </c>
      <c r="J1038" s="27">
        <v>313</v>
      </c>
      <c r="K1038" s="23">
        <v>3.0426271035584117E-2</v>
      </c>
      <c r="L1038" s="36">
        <v>1.1155163454730548</v>
      </c>
    </row>
    <row r="1039" spans="9:12" x14ac:dyDescent="0.2">
      <c r="I1039" s="1">
        <v>45947</v>
      </c>
      <c r="J1039" s="27">
        <v>291.31</v>
      </c>
      <c r="K1039" s="23">
        <v>-7.1815198293406324E-2</v>
      </c>
      <c r="L1039" s="36">
        <v>-2.690370249329662</v>
      </c>
    </row>
    <row r="1040" spans="9:12" x14ac:dyDescent="0.2">
      <c r="I1040" s="1">
        <v>45950</v>
      </c>
      <c r="J1040" s="27">
        <v>277.18</v>
      </c>
      <c r="K1040" s="23">
        <v>-4.9720877606090487E-2</v>
      </c>
      <c r="L1040" s="36">
        <v>-1.8679204207327198</v>
      </c>
    </row>
    <row r="1041" spans="9:12" x14ac:dyDescent="0.2">
      <c r="I1041" s="1">
        <v>45951</v>
      </c>
      <c r="J1041" s="27">
        <v>275.14999999999998</v>
      </c>
      <c r="K1041" s="23">
        <v>-7.3507111348887115E-3</v>
      </c>
      <c r="L1041" s="36">
        <v>-0.29071256514703708</v>
      </c>
    </row>
    <row r="1042" spans="9:12" x14ac:dyDescent="0.2">
      <c r="I1042" s="1">
        <v>45952</v>
      </c>
      <c r="J1042" s="27">
        <v>272.66000000000003</v>
      </c>
      <c r="K1042" s="23">
        <v>-9.0908057477839636E-3</v>
      </c>
      <c r="L1042" s="36">
        <v>-0.35548670038169805</v>
      </c>
    </row>
    <row r="1043" spans="9:12" x14ac:dyDescent="0.2">
      <c r="I1043" s="1">
        <v>45953</v>
      </c>
      <c r="J1043" s="27">
        <v>280.07</v>
      </c>
      <c r="K1043" s="23">
        <v>2.6813974166473204E-2</v>
      </c>
      <c r="L1043" s="36">
        <v>0.98105043530152702</v>
      </c>
    </row>
    <row r="1044" spans="9:12" x14ac:dyDescent="0.2">
      <c r="I1044" s="1">
        <v>45954</v>
      </c>
      <c r="J1044" s="27">
        <v>283.33</v>
      </c>
      <c r="K1044" s="23">
        <v>1.1572724116708505E-2</v>
      </c>
      <c r="L1044" s="36">
        <v>0.41370266894868135</v>
      </c>
    </row>
    <row r="1045" spans="9:12" x14ac:dyDescent="0.2">
      <c r="I1045" s="1">
        <v>45957</v>
      </c>
      <c r="J1045" s="27">
        <v>281.39999999999998</v>
      </c>
      <c r="K1045" s="23">
        <v>-6.8351513608766942E-3</v>
      </c>
      <c r="L1045" s="36">
        <v>-0.27152111528222683</v>
      </c>
    </row>
    <row r="1046" spans="9:12" x14ac:dyDescent="0.2">
      <c r="I1046" s="1">
        <v>45958</v>
      </c>
      <c r="J1046" s="27">
        <v>280.83</v>
      </c>
      <c r="K1046" s="23">
        <v>-2.0276406285256801E-3</v>
      </c>
      <c r="L1046" s="36">
        <v>-9.2563978117562992E-2</v>
      </c>
    </row>
    <row r="1047" spans="9:12" x14ac:dyDescent="0.2">
      <c r="I1047" s="1">
        <v>45959</v>
      </c>
      <c r="J1047" s="27">
        <v>275.3</v>
      </c>
      <c r="K1047" s="23">
        <v>-1.9888091903201257E-2</v>
      </c>
      <c r="L1047" s="36">
        <v>-0.75741017535566046</v>
      </c>
    </row>
    <row r="1048" spans="9:12" x14ac:dyDescent="0.2">
      <c r="I1048" s="1">
        <v>45960</v>
      </c>
      <c r="J1048" s="27">
        <v>256.89</v>
      </c>
      <c r="K1048" s="23">
        <v>-6.921343444235141E-2</v>
      </c>
      <c r="L1048" s="36">
        <v>-2.5935209158003318</v>
      </c>
    </row>
    <row r="1049" spans="9:12" x14ac:dyDescent="0.2">
      <c r="I1049" s="1">
        <v>45961</v>
      </c>
      <c r="J1049" s="27">
        <v>262.61</v>
      </c>
      <c r="K1049" s="23">
        <v>2.2022064168582944E-2</v>
      </c>
      <c r="L1049" s="36">
        <v>0.80267402752722627</v>
      </c>
    </row>
    <row r="1050" spans="9:12" x14ac:dyDescent="0.2">
      <c r="I1050" s="1">
        <v>45964</v>
      </c>
      <c r="J1050" s="27">
        <v>257.85000000000002</v>
      </c>
      <c r="K1050" s="23">
        <v>-1.8292021377825179E-2</v>
      </c>
      <c r="L1050" s="36">
        <v>-0.69799726338603429</v>
      </c>
    </row>
    <row r="1051" spans="9:12" x14ac:dyDescent="0.2">
      <c r="I1051" s="1">
        <v>45965</v>
      </c>
      <c r="J1051" s="27">
        <v>248.17</v>
      </c>
      <c r="K1051" s="23">
        <v>-3.8264025297775124E-2</v>
      </c>
      <c r="L1051" s="36">
        <v>-1.4414449318237561</v>
      </c>
    </row>
    <row r="1052" spans="9:12" x14ac:dyDescent="0.2">
      <c r="I1052" s="1">
        <v>45966</v>
      </c>
      <c r="J1052" s="27">
        <v>250.31</v>
      </c>
      <c r="K1052" s="23">
        <v>8.5861544980044436E-3</v>
      </c>
      <c r="L1052" s="36">
        <v>0.30252913681079885</v>
      </c>
    </row>
    <row r="1053" spans="9:12" x14ac:dyDescent="0.2">
      <c r="I1053" s="1">
        <v>45967</v>
      </c>
      <c r="J1053" s="27">
        <v>243.8</v>
      </c>
      <c r="K1053" s="23">
        <v>-2.6351932650026118E-2</v>
      </c>
      <c r="L1053" s="36">
        <v>-0.99802335326413594</v>
      </c>
    </row>
    <row r="1054" spans="9:12" x14ac:dyDescent="0.2">
      <c r="I1054" s="1">
        <v>45968</v>
      </c>
      <c r="J1054" s="27">
        <v>239.26</v>
      </c>
      <c r="K1054" s="23">
        <v>-1.8797390304413068E-2</v>
      </c>
      <c r="L1054" s="36">
        <v>-0.7168093641486093</v>
      </c>
    </row>
    <row r="1055" spans="9:12" x14ac:dyDescent="0.2">
      <c r="I1055" s="1">
        <v>45971</v>
      </c>
      <c r="J1055" s="27">
        <v>240.83</v>
      </c>
      <c r="K1055" s="23">
        <v>6.5404636494845155E-3</v>
      </c>
      <c r="L1055" s="36">
        <v>0.22637933743301378</v>
      </c>
    </row>
    <row r="1056" spans="9:12" x14ac:dyDescent="0.2">
      <c r="I1056" s="1">
        <v>45972</v>
      </c>
      <c r="J1056" s="27">
        <v>236.15</v>
      </c>
      <c r="K1056" s="23">
        <v>-1.9624094050116465E-2</v>
      </c>
      <c r="L1056" s="36">
        <v>-0.74758298980457005</v>
      </c>
    </row>
    <row r="1057" spans="9:12" x14ac:dyDescent="0.2">
      <c r="I1057" s="1">
        <v>45973</v>
      </c>
      <c r="J1057" s="27">
        <v>226.99</v>
      </c>
      <c r="K1057" s="23">
        <v>-3.9561232694515398E-2</v>
      </c>
      <c r="L1057" s="36">
        <v>-1.4897328161268122</v>
      </c>
    </row>
    <row r="1058" spans="9:12" x14ac:dyDescent="0.2">
      <c r="I1058" s="1">
        <v>45974</v>
      </c>
      <c r="J1058" s="27">
        <v>217.57</v>
      </c>
      <c r="K1058" s="23">
        <v>-4.2385325817499604E-2</v>
      </c>
      <c r="L1058" s="36">
        <v>-1.5948582435075052</v>
      </c>
    </row>
    <row r="1059" spans="9:12" x14ac:dyDescent="0.2">
      <c r="I1059" s="1">
        <v>45975</v>
      </c>
      <c r="J1059" s="27">
        <v>222.85</v>
      </c>
      <c r="K1059" s="23">
        <v>2.397826156245364E-2</v>
      </c>
      <c r="L1059" s="36">
        <v>0.87549247866043456</v>
      </c>
    </row>
    <row r="1060" spans="9:12" x14ac:dyDescent="0.2">
      <c r="I1060" s="1">
        <v>45978</v>
      </c>
      <c r="J1060" s="27">
        <v>219.86</v>
      </c>
      <c r="K1060" s="23">
        <v>-1.3507919241846978E-2</v>
      </c>
      <c r="L1060" s="36">
        <v>-0.51991149929262159</v>
      </c>
    </row>
    <row r="1061" spans="9:12" x14ac:dyDescent="0.2">
      <c r="I1061" s="1">
        <v>45979</v>
      </c>
      <c r="J1061" s="27">
        <v>220.49</v>
      </c>
      <c r="K1061" s="23">
        <v>2.8613622338509461E-3</v>
      </c>
      <c r="L1061" s="36">
        <v>8.9426662059938086E-2</v>
      </c>
    </row>
    <row r="1062" spans="9:12" x14ac:dyDescent="0.2">
      <c r="I1062" s="1">
        <v>45980</v>
      </c>
      <c r="J1062" s="27">
        <v>225.53</v>
      </c>
      <c r="K1062" s="23">
        <v>2.2600845403448561E-2</v>
      </c>
      <c r="L1062" s="36">
        <v>0.8242188640554492</v>
      </c>
    </row>
    <row r="1063" spans="9:12" x14ac:dyDescent="0.2">
      <c r="I1063" s="1">
        <v>45981</v>
      </c>
      <c r="J1063" s="27">
        <v>210.69</v>
      </c>
      <c r="K1063" s="23">
        <v>-6.8065328948978335E-2</v>
      </c>
      <c r="L1063" s="36">
        <v>-2.5507832738696621</v>
      </c>
    </row>
    <row r="1064" spans="9:12" x14ac:dyDescent="0.2">
      <c r="I1064" s="1">
        <v>45982</v>
      </c>
      <c r="J1064" s="27">
        <v>198.76</v>
      </c>
      <c r="K1064" s="23">
        <v>-5.8289792104918983E-2</v>
      </c>
      <c r="L1064" s="36">
        <v>-2.1868938963403792</v>
      </c>
    </row>
    <row r="1065" spans="9:12" x14ac:dyDescent="0.2">
      <c r="I1065" s="1">
        <v>45985</v>
      </c>
      <c r="J1065" s="27">
        <v>200.28</v>
      </c>
      <c r="K1065" s="23">
        <v>7.6183207276242781E-3</v>
      </c>
      <c r="L1065" s="36">
        <v>0.26650201790433375</v>
      </c>
    </row>
    <row r="1066" spans="9:12" x14ac:dyDescent="0.2">
      <c r="I1066" s="1">
        <v>45986</v>
      </c>
      <c r="J1066" s="27">
        <v>197.03</v>
      </c>
      <c r="K1066" s="23">
        <v>-1.6360386053867654E-2</v>
      </c>
      <c r="L1066" s="36">
        <v>-0.62609312278882157</v>
      </c>
    </row>
    <row r="1067" spans="9:12" x14ac:dyDescent="0.2">
      <c r="I1067" s="1">
        <v>45987</v>
      </c>
      <c r="J1067" s="27">
        <v>204.96</v>
      </c>
      <c r="K1067" s="23">
        <v>3.9458836740547711E-2</v>
      </c>
      <c r="L1067" s="36">
        <v>1.451749000958261</v>
      </c>
    </row>
    <row r="1068" spans="9:12" x14ac:dyDescent="0.2">
      <c r="I1068" s="1">
        <v>45989</v>
      </c>
      <c r="J1068" s="27">
        <v>201.95</v>
      </c>
      <c r="K1068" s="23">
        <v>-1.4794696139002356E-2</v>
      </c>
      <c r="L1068" s="36">
        <v>-0.56781111356388148</v>
      </c>
    </row>
    <row r="1069" spans="9:12" x14ac:dyDescent="0.2">
      <c r="I1069" s="1">
        <v>45992</v>
      </c>
      <c r="J1069" s="27">
        <v>200.94</v>
      </c>
      <c r="K1069" s="23">
        <v>-5.0137859752536172E-3</v>
      </c>
      <c r="L1069" s="36">
        <v>-0.20372171694733793</v>
      </c>
    </row>
    <row r="1070" spans="9:12" x14ac:dyDescent="0.2">
      <c r="I1070" s="1">
        <v>45993</v>
      </c>
      <c r="J1070" s="27">
        <v>201.1</v>
      </c>
      <c r="K1070" s="23">
        <v>7.9594074443810185E-4</v>
      </c>
      <c r="L1070" s="36">
        <v>1.254239962940105E-2</v>
      </c>
    </row>
    <row r="1071" spans="9:12" x14ac:dyDescent="0.2">
      <c r="I1071" s="1">
        <v>45994</v>
      </c>
      <c r="J1071" s="27">
        <v>207.73</v>
      </c>
      <c r="K1071" s="23">
        <v>3.2436862767986768E-2</v>
      </c>
      <c r="L1071" s="36">
        <v>1.1903595981394433</v>
      </c>
    </row>
    <row r="1072" spans="9:12" x14ac:dyDescent="0.2">
      <c r="I1072" s="1">
        <v>45995</v>
      </c>
      <c r="J1072" s="27">
        <v>214.33</v>
      </c>
      <c r="K1072" s="23">
        <v>3.12777238024479E-2</v>
      </c>
      <c r="L1072" s="36">
        <v>1.1472112408299207</v>
      </c>
    </row>
    <row r="1073" spans="9:12" x14ac:dyDescent="0.2">
      <c r="I1073" s="1">
        <v>45996</v>
      </c>
      <c r="J1073" s="27">
        <v>217.58</v>
      </c>
      <c r="K1073" s="23">
        <v>1.5049715643895532E-2</v>
      </c>
      <c r="L1073" s="36">
        <v>0.54313190671699574</v>
      </c>
    </row>
    <row r="1074" spans="9:12" x14ac:dyDescent="0.2">
      <c r="I1074" s="1">
        <v>45999</v>
      </c>
      <c r="J1074" s="27">
        <v>220.54</v>
      </c>
      <c r="K1074" s="23">
        <v>1.3512485337595845E-2</v>
      </c>
      <c r="L1074" s="36">
        <v>0.48590929191825144</v>
      </c>
    </row>
    <row r="1075" spans="9:12" x14ac:dyDescent="0.2">
      <c r="I1075" s="1">
        <v>46000</v>
      </c>
      <c r="J1075" s="27">
        <v>221.53</v>
      </c>
      <c r="K1075" s="23">
        <v>4.4789361640517394E-3</v>
      </c>
      <c r="L1075" s="36">
        <v>0.14964002731629922</v>
      </c>
    </row>
    <row r="1076" spans="9:12" x14ac:dyDescent="0.2">
      <c r="I1076" s="1">
        <v>46001</v>
      </c>
      <c r="J1076" s="27">
        <v>223.01</v>
      </c>
      <c r="K1076" s="23">
        <v>6.6585930094426289E-3</v>
      </c>
      <c r="L1076" s="36">
        <v>0.23077664266021602</v>
      </c>
    </row>
    <row r="1077" spans="9:12" x14ac:dyDescent="0.2">
      <c r="I1077" s="1">
        <v>46002</v>
      </c>
      <c r="J1077" s="27">
        <v>198.85</v>
      </c>
      <c r="K1077" s="23">
        <v>-0.11466584185032695</v>
      </c>
      <c r="L1077" s="36">
        <v>-4.2854636195861397</v>
      </c>
    </row>
    <row r="1078" spans="9:12" x14ac:dyDescent="0.2">
      <c r="I1078" s="1">
        <v>46003</v>
      </c>
      <c r="J1078" s="27">
        <v>189.97</v>
      </c>
      <c r="K1078" s="23">
        <v>-4.5684606696741799E-2</v>
      </c>
      <c r="L1078" s="36">
        <v>-1.717672292965188</v>
      </c>
    </row>
    <row r="1079" spans="9:12" x14ac:dyDescent="0.2">
      <c r="I1079" s="1">
        <v>46006</v>
      </c>
      <c r="J1079" s="27">
        <v>184.92</v>
      </c>
      <c r="K1079" s="23">
        <v>-2.6942865836933103E-2</v>
      </c>
      <c r="L1079" s="36">
        <v>-1.0200205400146167</v>
      </c>
    </row>
    <row r="1080" spans="9:12" x14ac:dyDescent="0.2">
      <c r="I1080" s="1">
        <v>46007</v>
      </c>
      <c r="J1080" s="27">
        <v>188.65</v>
      </c>
      <c r="K1080" s="23">
        <v>1.9970147290294917E-2</v>
      </c>
      <c r="L1080" s="36">
        <v>0.72629246736403041</v>
      </c>
    </row>
    <row r="1081" spans="9:12" x14ac:dyDescent="0.2">
      <c r="I1081" s="1">
        <v>46008</v>
      </c>
      <c r="J1081" s="27">
        <v>178.46</v>
      </c>
      <c r="K1081" s="23">
        <v>-5.5528959938314137E-2</v>
      </c>
      <c r="L1081" s="36">
        <v>-2.0841233258239189</v>
      </c>
    </row>
    <row r="1082" spans="9:12" x14ac:dyDescent="0.2">
      <c r="I1082" s="1">
        <v>46009</v>
      </c>
      <c r="J1082" s="27">
        <v>180.03</v>
      </c>
      <c r="K1082" s="23">
        <v>8.7590171975256946E-3</v>
      </c>
      <c r="L1082" s="36">
        <v>0.30896386271181631</v>
      </c>
    </row>
    <row r="1083" spans="9:12" x14ac:dyDescent="0.2">
      <c r="I1083" s="1">
        <v>46010</v>
      </c>
      <c r="J1083" s="27">
        <v>191.97</v>
      </c>
      <c r="K1083" s="23">
        <v>6.421560614994741E-2</v>
      </c>
      <c r="L1083" s="36">
        <v>2.3733071264843373</v>
      </c>
    </row>
    <row r="1084" spans="9:12" x14ac:dyDescent="0.2">
      <c r="I1084" s="1">
        <v>46013</v>
      </c>
      <c r="J1084" s="27">
        <v>198.38</v>
      </c>
      <c r="K1084" s="23">
        <v>3.2845273498369187E-2</v>
      </c>
      <c r="L1084" s="36">
        <v>1.2055624794569488</v>
      </c>
    </row>
    <row r="1085" spans="9:12" x14ac:dyDescent="0.2">
      <c r="I1085" s="1">
        <v>46014</v>
      </c>
      <c r="J1085" s="27">
        <v>195.34</v>
      </c>
      <c r="K1085" s="23">
        <v>-1.5442753298516645E-2</v>
      </c>
      <c r="L1085" s="36">
        <v>-0.59193471108500995</v>
      </c>
    </row>
    <row r="1086" spans="9:12" x14ac:dyDescent="0.2">
      <c r="I1086" s="1">
        <v>46015</v>
      </c>
      <c r="J1086" s="27">
        <v>197.49</v>
      </c>
      <c r="K1086" s="23">
        <v>1.0946320128564167E-2</v>
      </c>
      <c r="L1086" s="36">
        <v>0.39038509969761515</v>
      </c>
    </row>
    <row r="1087" spans="9:12" x14ac:dyDescent="0.2">
      <c r="I1087" s="1">
        <v>46017</v>
      </c>
      <c r="J1087" s="27">
        <v>197.99</v>
      </c>
      <c r="K1087" s="23">
        <v>2.5285742207120966E-3</v>
      </c>
      <c r="L1087" s="36">
        <v>7.7038797855437186E-2</v>
      </c>
    </row>
    <row r="1088" spans="9:12" x14ac:dyDescent="0.2">
      <c r="I1088" s="1">
        <v>46020</v>
      </c>
      <c r="J1088" s="27">
        <v>195.38</v>
      </c>
      <c r="K1088" s="23">
        <v>-1.3270144143810727E-2</v>
      </c>
      <c r="L1088" s="36">
        <v>-0.51106044243542648</v>
      </c>
    </row>
    <row r="1089" spans="9:12" x14ac:dyDescent="0.2">
      <c r="I1089" s="1">
        <v>46021</v>
      </c>
      <c r="J1089" s="27">
        <v>197.21</v>
      </c>
      <c r="K1089" s="23">
        <v>9.3227705971812552E-3</v>
      </c>
      <c r="L1089" s="36">
        <v>0.329949295732341</v>
      </c>
    </row>
    <row r="1090" spans="9:12" x14ac:dyDescent="0.2">
      <c r="I1090" s="1">
        <v>46022</v>
      </c>
      <c r="J1090" s="27">
        <v>194.91</v>
      </c>
      <c r="K1090" s="23">
        <v>-1.1731237261428428E-2</v>
      </c>
      <c r="L1090" s="36">
        <v>-0.453775417946369</v>
      </c>
    </row>
    <row r="1091" spans="9:12" x14ac:dyDescent="0.2">
      <c r="I1091" s="1">
        <v>46024</v>
      </c>
      <c r="J1091" s="27">
        <v>195.71</v>
      </c>
      <c r="K1091" s="23">
        <v>4.0960581563285981E-3</v>
      </c>
      <c r="L1091" s="36">
        <v>0.13538758858863031</v>
      </c>
    </row>
    <row r="1092" spans="9:12" x14ac:dyDescent="0.2">
      <c r="I1092" s="1">
        <v>46027</v>
      </c>
      <c r="J1092" s="27">
        <v>192.59</v>
      </c>
      <c r="K1092" s="23">
        <v>-1.6070394780757009E-2</v>
      </c>
      <c r="L1092" s="36">
        <v>-0.61529834542318917</v>
      </c>
    </row>
    <row r="1093" spans="9:12" x14ac:dyDescent="0.2">
      <c r="I1093" s="1">
        <v>46028</v>
      </c>
      <c r="J1093" s="27">
        <v>193.75</v>
      </c>
      <c r="K1093" s="23">
        <v>6.0050912973354893E-3</v>
      </c>
      <c r="L1093" s="36">
        <v>0.20645037444329439</v>
      </c>
    </row>
    <row r="1094" spans="9:12" x14ac:dyDescent="0.2">
      <c r="I1094" s="1">
        <v>46029</v>
      </c>
      <c r="J1094" s="27">
        <v>192.84</v>
      </c>
      <c r="K1094" s="23">
        <v>-4.7078386960348753E-3</v>
      </c>
      <c r="L1094" s="36">
        <v>-0.19233298538531207</v>
      </c>
    </row>
    <row r="1095" spans="9:12" x14ac:dyDescent="0.2">
      <c r="I1095" s="1">
        <v>46030</v>
      </c>
      <c r="J1095" s="27">
        <v>189.65</v>
      </c>
      <c r="K1095" s="23">
        <v>-1.6680561402513599E-2</v>
      </c>
      <c r="L1095" s="36">
        <v>-0.63801148698482946</v>
      </c>
    </row>
    <row r="1096" spans="9:12" x14ac:dyDescent="0.2">
      <c r="I1096" s="1">
        <v>46031</v>
      </c>
      <c r="J1096" s="27">
        <v>198.52</v>
      </c>
      <c r="K1096" s="23">
        <v>4.5709582584332192E-2</v>
      </c>
      <c r="L1096" s="36">
        <v>1.6844298296915452</v>
      </c>
    </row>
    <row r="1097" spans="9:12" x14ac:dyDescent="0.2">
      <c r="I1097" s="1">
        <v>46034</v>
      </c>
      <c r="J1097" s="27">
        <v>204.68</v>
      </c>
      <c r="K1097" s="23">
        <v>3.0557933217650959E-2</v>
      </c>
      <c r="L1097" s="36">
        <v>1.1204174031070984</v>
      </c>
    </row>
    <row r="1098" spans="9:12" x14ac:dyDescent="0.2">
      <c r="I1098" s="1">
        <v>46035</v>
      </c>
      <c r="J1098" s="27">
        <v>202.29</v>
      </c>
      <c r="K1098" s="23">
        <v>-1.1745472522290855E-2</v>
      </c>
      <c r="L1098" s="36">
        <v>-0.45430531827786269</v>
      </c>
    </row>
    <row r="1099" spans="9:12" x14ac:dyDescent="0.2">
      <c r="I1099" s="1">
        <v>46036</v>
      </c>
      <c r="J1099" s="27">
        <v>193.61</v>
      </c>
      <c r="K1099" s="23">
        <v>-4.3856485013526195E-2</v>
      </c>
      <c r="L1099" s="36">
        <v>-1.6496213948953415</v>
      </c>
    </row>
    <row r="1100" spans="9:12" x14ac:dyDescent="0.2">
      <c r="I1100" s="1">
        <v>46037</v>
      </c>
      <c r="J1100" s="27">
        <v>189.85</v>
      </c>
      <c r="K1100" s="23">
        <v>-1.9611539723262694E-2</v>
      </c>
      <c r="L1100" s="36">
        <v>-0.74711566138496577</v>
      </c>
    </row>
    <row r="1101" spans="9:12" x14ac:dyDescent="0.2">
      <c r="I1101" s="1">
        <v>46038</v>
      </c>
      <c r="J1101" s="27">
        <v>191.09</v>
      </c>
      <c r="K1101" s="23">
        <v>6.5102345754686989E-3</v>
      </c>
      <c r="L1101" s="36">
        <v>0.22525407555713153</v>
      </c>
    </row>
    <row r="1102" spans="9:12" x14ac:dyDescent="0.2">
      <c r="I1102" s="1">
        <v>46042</v>
      </c>
      <c r="J1102" s="27">
        <v>179.92</v>
      </c>
      <c r="K1102" s="23">
        <v>-6.0232213602219808E-2</v>
      </c>
      <c r="L1102" s="36">
        <v>-2.259199546743798</v>
      </c>
    </row>
    <row r="1103" spans="9:12" x14ac:dyDescent="0.2">
      <c r="I1103" s="1">
        <v>46043</v>
      </c>
      <c r="J1103" s="27">
        <v>173.88</v>
      </c>
      <c r="K1103" s="23">
        <v>-3.4146901530468919E-2</v>
      </c>
      <c r="L1103" s="36">
        <v>-1.2881870976203569</v>
      </c>
    </row>
    <row r="1104" spans="9:12" x14ac:dyDescent="0.2">
      <c r="I1104" s="1">
        <v>46044</v>
      </c>
      <c r="J1104" s="27">
        <v>178.18</v>
      </c>
      <c r="K1104" s="23">
        <v>2.4428869171906384E-2</v>
      </c>
      <c r="L1104" s="36">
        <v>0.89226611729833327</v>
      </c>
    </row>
    <row r="1105" spans="9:12" x14ac:dyDescent="0.2">
      <c r="I1105" s="1">
        <v>46045</v>
      </c>
      <c r="J1105" s="27">
        <v>177.16</v>
      </c>
      <c r="K1105" s="23">
        <v>-5.7409962375003848E-3</v>
      </c>
      <c r="L1105" s="36">
        <v>-0.23079174838225561</v>
      </c>
    </row>
    <row r="1106" spans="9:12" x14ac:dyDescent="0.2">
      <c r="I1106" s="1">
        <v>46048</v>
      </c>
      <c r="J1106" s="27">
        <v>182.44</v>
      </c>
      <c r="K1106" s="23">
        <v>2.9368072788502335E-2</v>
      </c>
      <c r="L1106" s="36">
        <v>1.0761254549699748</v>
      </c>
    </row>
    <row r="1107" spans="9:12" x14ac:dyDescent="0.2">
      <c r="I1107" s="1">
        <v>46049</v>
      </c>
      <c r="J1107" s="27">
        <v>174.9</v>
      </c>
      <c r="K1107" s="23">
        <v>-4.2206969818943237E-2</v>
      </c>
      <c r="L1107" s="36">
        <v>-1.5882190323492216</v>
      </c>
    </row>
    <row r="1108" spans="9:12" x14ac:dyDescent="0.2">
      <c r="I1108" s="1">
        <v>46050</v>
      </c>
      <c r="J1108" s="27">
        <v>172.8</v>
      </c>
      <c r="K1108" s="23">
        <v>-1.2079525654601126E-2</v>
      </c>
      <c r="L1108" s="36">
        <v>-0.46674027589883088</v>
      </c>
    </row>
    <row r="1109" spans="9:12" x14ac:dyDescent="0.2">
      <c r="I1109" s="1">
        <v>46051</v>
      </c>
      <c r="J1109" s="27">
        <v>169.01</v>
      </c>
      <c r="K1109" s="23">
        <v>-2.2176971599818705E-2</v>
      </c>
      <c r="L1109" s="36">
        <v>-0.84261255567789239</v>
      </c>
    </row>
    <row r="1110" spans="9:12" x14ac:dyDescent="0.2">
      <c r="I1110" s="1">
        <v>46052</v>
      </c>
      <c r="J1110" s="27">
        <v>164.58</v>
      </c>
      <c r="K1110" s="23">
        <v>-2.6561110592569645E-2</v>
      </c>
      <c r="L1110" s="36">
        <v>-1.0058098955808659</v>
      </c>
    </row>
    <row r="1111" spans="9:12" x14ac:dyDescent="0.2">
      <c r="I1111" s="1">
        <v>46055</v>
      </c>
      <c r="J1111" s="27">
        <v>160.06</v>
      </c>
      <c r="K1111" s="23">
        <v>-2.7848029238666836E-2</v>
      </c>
      <c r="L1111" s="36">
        <v>-1.0537147863842513</v>
      </c>
    </row>
    <row r="1112" spans="9:12" x14ac:dyDescent="0.2">
      <c r="I1112" s="1">
        <v>46056</v>
      </c>
      <c r="J1112" s="27">
        <v>154.66999999999999</v>
      </c>
      <c r="K1112" s="23">
        <v>-3.4254929888851794E-2</v>
      </c>
      <c r="L1112" s="36">
        <v>-1.2922083982112644</v>
      </c>
    </row>
    <row r="1113" spans="9:12" x14ac:dyDescent="0.2">
      <c r="I1113" s="1">
        <v>46057</v>
      </c>
      <c r="J1113" s="27">
        <v>146.66999999999999</v>
      </c>
      <c r="K1113" s="23">
        <v>-5.3108649791384542E-2</v>
      </c>
      <c r="L1113" s="36">
        <v>-1.9940285139641245</v>
      </c>
    </row>
    <row r="1114" spans="9:12" x14ac:dyDescent="0.2">
      <c r="I1114" s="1">
        <v>46058</v>
      </c>
      <c r="J1114" s="27">
        <v>136.47999999999999</v>
      </c>
      <c r="K1114" s="23">
        <v>-7.2007081515294932E-2</v>
      </c>
      <c r="L1114" s="36">
        <v>-2.6975130044831848</v>
      </c>
    </row>
    <row r="1115" spans="9:12" x14ac:dyDescent="0.2">
      <c r="I1115" s="1">
        <v>46059</v>
      </c>
      <c r="J1115" s="27">
        <v>142.82</v>
      </c>
      <c r="K1115" s="23">
        <v>4.5407012377595E-2</v>
      </c>
      <c r="L1115" s="36">
        <v>1.6731668079317312</v>
      </c>
    </row>
    <row r="1116" spans="9:12" x14ac:dyDescent="0.2">
      <c r="I1116" s="1">
        <v>46062</v>
      </c>
      <c r="J1116" s="27">
        <v>156.59</v>
      </c>
      <c r="K1116" s="23">
        <v>9.2045828436387755E-2</v>
      </c>
      <c r="L1116" s="36">
        <v>3.4092729691652583</v>
      </c>
    </row>
    <row r="1117" spans="9:12" x14ac:dyDescent="0.2">
      <c r="I1117" s="1">
        <v>46063</v>
      </c>
      <c r="J1117" s="27">
        <v>159.88999999999999</v>
      </c>
      <c r="K1117" s="23">
        <v>2.0855154239977323E-2</v>
      </c>
      <c r="L1117" s="36">
        <v>0.75923640007752913</v>
      </c>
    </row>
    <row r="1118" spans="9:12" x14ac:dyDescent="0.2">
      <c r="I1118" s="1">
        <v>46064</v>
      </c>
      <c r="J1118" s="27">
        <v>157.16</v>
      </c>
      <c r="K1118" s="23">
        <v>-1.7221684107069885E-2</v>
      </c>
      <c r="L1118" s="36">
        <v>-0.65815450391260177</v>
      </c>
    </row>
    <row r="1119" spans="9:12" x14ac:dyDescent="0.2">
      <c r="I1119" s="1">
        <v>46065</v>
      </c>
      <c r="J1119" s="27">
        <v>156.47999999999999</v>
      </c>
      <c r="K1119" s="23">
        <v>-4.3361884037518518E-3</v>
      </c>
      <c r="L1119" s="36">
        <v>-0.17849849264339876</v>
      </c>
    </row>
    <row r="1120" spans="9:12" x14ac:dyDescent="0.2">
      <c r="I1120" s="1">
        <v>46066</v>
      </c>
      <c r="J1120" s="27">
        <v>160.13999999999999</v>
      </c>
      <c r="K1120" s="23">
        <v>2.3120226357980514E-2</v>
      </c>
      <c r="L1120" s="36">
        <v>0.84355255541788843</v>
      </c>
    </row>
    <row r="1121" spans="9:12" x14ac:dyDescent="0.2">
      <c r="I1121" s="1">
        <v>46070</v>
      </c>
      <c r="J1121" s="27">
        <v>153.97</v>
      </c>
      <c r="K1121" s="23">
        <v>-3.929065440266033E-2</v>
      </c>
      <c r="L1121" s="36">
        <v>-1.4796606770958072</v>
      </c>
    </row>
    <row r="1122" spans="9:12" x14ac:dyDescent="0.2">
      <c r="I1122" s="1">
        <v>46071</v>
      </c>
      <c r="J1122" s="27">
        <v>156.16999999999999</v>
      </c>
      <c r="K1122" s="23">
        <v>1.4187379257926905E-2</v>
      </c>
      <c r="L1122" s="36">
        <v>0.51103187418510787</v>
      </c>
    </row>
    <row r="1123" spans="9:12" x14ac:dyDescent="0.2">
      <c r="I1123" s="1">
        <v>46072</v>
      </c>
      <c r="J1123" s="27">
        <v>156.54</v>
      </c>
      <c r="K1123" s="23">
        <v>2.3664108769375679E-3</v>
      </c>
      <c r="L1123" s="36">
        <v>7.1002350019834098E-2</v>
      </c>
    </row>
    <row r="1124" spans="9:12" x14ac:dyDescent="0.2">
      <c r="I1124" s="1">
        <v>46073</v>
      </c>
      <c r="J1124" s="27">
        <v>148.08000000000001</v>
      </c>
      <c r="K1124" s="23">
        <v>-5.555890011144983E-2</v>
      </c>
      <c r="L1124" s="36">
        <v>-2.085237833511759</v>
      </c>
    </row>
    <row r="1125" spans="9:12" x14ac:dyDescent="0.2">
      <c r="I1125" s="1">
        <v>46076</v>
      </c>
      <c r="J1125" s="27">
        <v>141.31</v>
      </c>
      <c r="K1125" s="23">
        <v>-4.679660967058738E-2</v>
      </c>
      <c r="L1125" s="36">
        <v>-1.7590660370038373</v>
      </c>
    </row>
    <row r="1126" spans="9:12" x14ac:dyDescent="0.2">
      <c r="I1126" s="1">
        <v>46077</v>
      </c>
      <c r="J1126" s="27">
        <v>146.13999999999999</v>
      </c>
      <c r="K1126" s="23">
        <v>3.3609007768416764E-2</v>
      </c>
      <c r="L1126" s="36">
        <v>1.2339920984700758</v>
      </c>
    </row>
    <row r="1127" spans="9:12" x14ac:dyDescent="0.2">
      <c r="I1127" s="1">
        <v>46078</v>
      </c>
      <c r="J1127" s="27">
        <v>147.88999999999999</v>
      </c>
      <c r="K1127" s="23">
        <v>1.1903687815605987E-2</v>
      </c>
      <c r="L1127" s="36">
        <v>0.42602262398519497</v>
      </c>
    </row>
    <row r="1128" spans="9:12" x14ac:dyDescent="0.2">
      <c r="I1128" s="1">
        <v>46079</v>
      </c>
      <c r="J1128" s="27">
        <v>150.31</v>
      </c>
      <c r="K1128" s="23">
        <v>1.6231073966457253E-2</v>
      </c>
      <c r="L1128" s="36">
        <v>0.58710736826898868</v>
      </c>
    </row>
    <row r="1129" spans="9:12" x14ac:dyDescent="0.2">
      <c r="I1129" s="1">
        <v>46080</v>
      </c>
      <c r="J1129" s="27">
        <v>145.4</v>
      </c>
      <c r="K1129" s="23">
        <v>-3.3211263045715783E-2</v>
      </c>
      <c r="L1129" s="36">
        <v>-1.2533584318150448</v>
      </c>
    </row>
    <row r="1130" spans="9:12" x14ac:dyDescent="0.2">
      <c r="I1130" s="1">
        <v>46083</v>
      </c>
      <c r="J1130" s="27">
        <v>149.25</v>
      </c>
      <c r="K1130" s="23">
        <v>2.613418717329237E-2</v>
      </c>
      <c r="L1130" s="36">
        <v>0.95574571089128635</v>
      </c>
    </row>
    <row r="1131" spans="9:12" x14ac:dyDescent="0.2">
      <c r="I1131" s="1">
        <v>46084</v>
      </c>
      <c r="J1131" s="27">
        <v>149.01</v>
      </c>
      <c r="K1131" s="23">
        <v>-1.6093344853427465E-3</v>
      </c>
      <c r="L1131" s="36">
        <v>-7.6992745101136309E-2</v>
      </c>
    </row>
    <row r="1132" spans="9:12" x14ac:dyDescent="0.2">
      <c r="I1132" s="1">
        <v>46085</v>
      </c>
      <c r="J1132" s="27">
        <v>152.37</v>
      </c>
      <c r="K1132" s="23">
        <v>2.22983556938946E-2</v>
      </c>
      <c r="L1132" s="36">
        <v>0.81295883876226072</v>
      </c>
    </row>
    <row r="1133" spans="9:12" x14ac:dyDescent="0.2">
      <c r="I1133" s="1">
        <v>46086</v>
      </c>
      <c r="J1133" s="27">
        <v>154.79</v>
      </c>
      <c r="K1133" s="23">
        <v>1.575758610452278E-2</v>
      </c>
      <c r="L1133" s="36">
        <v>0.56948202389194691</v>
      </c>
    </row>
    <row r="1134" spans="9:12" x14ac:dyDescent="0.2">
      <c r="I1134" s="1">
        <v>46087</v>
      </c>
      <c r="J1134" s="27">
        <v>152.96</v>
      </c>
      <c r="K1134" s="23">
        <v>-1.1892910282694871E-2</v>
      </c>
      <c r="L1134" s="36">
        <v>-0.45979361377647082</v>
      </c>
    </row>
    <row r="1135" spans="9:12" x14ac:dyDescent="0.2">
      <c r="I1135" s="1">
        <v>46090</v>
      </c>
      <c r="J1135" s="27">
        <v>151.56</v>
      </c>
      <c r="K1135" s="23">
        <v>-9.1948631526911177E-3</v>
      </c>
      <c r="L1135" s="36">
        <v>-0.35936018425301991</v>
      </c>
    </row>
    <row r="1136" spans="9:12" x14ac:dyDescent="0.2">
      <c r="I1136" s="1">
        <v>46091</v>
      </c>
      <c r="J1136" s="27">
        <v>149.4</v>
      </c>
      <c r="K1136" s="23">
        <v>-1.4354313451683054E-2</v>
      </c>
      <c r="L1136" s="36">
        <v>-0.5514180924419082</v>
      </c>
    </row>
    <row r="1137" spans="9:12" x14ac:dyDescent="0.2">
      <c r="I1137" s="1">
        <v>46092</v>
      </c>
      <c r="J1137" s="27">
        <v>163.12</v>
      </c>
      <c r="K1137" s="23">
        <v>8.7858853567482714E-2</v>
      </c>
      <c r="L1137" s="36">
        <v>3.2534149633000866</v>
      </c>
    </row>
    <row r="1138" spans="9:12" x14ac:dyDescent="0.2">
      <c r="I1138" s="1">
        <v>46093</v>
      </c>
      <c r="J1138" s="27">
        <v>159.16</v>
      </c>
      <c r="K1138" s="23">
        <v>-2.4576140707471876E-2</v>
      </c>
      <c r="L1138" s="36">
        <v>-0.93192040312383018</v>
      </c>
    </row>
    <row r="1139" spans="9:12" x14ac:dyDescent="0.2">
      <c r="I1139" s="1">
        <v>46094</v>
      </c>
      <c r="J1139" s="27">
        <v>155.11000000000001</v>
      </c>
      <c r="K1139" s="23">
        <v>-2.5775442922068313E-2</v>
      </c>
      <c r="L1139" s="36">
        <v>-0.97656381691283323</v>
      </c>
    </row>
    <row r="1140" spans="9:12" x14ac:dyDescent="0.2">
      <c r="I1140" s="1">
        <v>46097</v>
      </c>
      <c r="J1140" s="27">
        <v>155.97</v>
      </c>
      <c r="K1140" s="23">
        <v>5.529138427074619E-3</v>
      </c>
      <c r="L1140" s="36">
        <v>0.18873327138743978</v>
      </c>
    </row>
    <row r="1141" spans="9:12" x14ac:dyDescent="0.2">
      <c r="I1141" s="1">
        <v>46098</v>
      </c>
      <c r="J1141" s="27">
        <v>154.69</v>
      </c>
      <c r="K1141" s="23">
        <v>-8.2405668151605618E-3</v>
      </c>
      <c r="L1141" s="36">
        <v>-0.32383698938587574</v>
      </c>
    </row>
    <row r="1142" spans="9:12" x14ac:dyDescent="0.2">
      <c r="I1142" s="1">
        <v>46099</v>
      </c>
      <c r="J1142" s="27">
        <v>152.9</v>
      </c>
      <c r="K1142" s="23">
        <v>-1.1639001313556894E-2</v>
      </c>
      <c r="L1142" s="36">
        <v>-0.45034198178913204</v>
      </c>
    </row>
    <row r="1143" spans="9:12" x14ac:dyDescent="0.2">
      <c r="I1143" s="1">
        <v>46100</v>
      </c>
      <c r="J1143" s="27">
        <v>155.52000000000001</v>
      </c>
      <c r="K1143" s="23">
        <v>1.6990227777112333E-2</v>
      </c>
      <c r="L1143" s="36">
        <v>0.61536648201537458</v>
      </c>
    </row>
    <row r="1144" spans="9:12" x14ac:dyDescent="0.2">
      <c r="I1144" s="1">
        <v>46101</v>
      </c>
      <c r="J1144" s="27">
        <v>149.68</v>
      </c>
      <c r="K1144" s="23">
        <v>-3.8274658746294751E-2</v>
      </c>
      <c r="L1144" s="36">
        <v>-1.4418407565262275</v>
      </c>
    </row>
    <row r="1145" spans="9:12" x14ac:dyDescent="0.2">
      <c r="I1145" s="1">
        <v>46104</v>
      </c>
      <c r="J1145" s="27">
        <v>154.34</v>
      </c>
      <c r="K1145" s="23">
        <v>3.0658279063622736E-2</v>
      </c>
      <c r="L1145" s="36">
        <v>1.1241527260884145</v>
      </c>
    </row>
    <row r="1146" spans="9:12" x14ac:dyDescent="0.2">
      <c r="I1146" s="1">
        <v>46105</v>
      </c>
      <c r="J1146" s="27">
        <v>147.09</v>
      </c>
      <c r="K1146" s="23">
        <v>-4.811331669820542E-2</v>
      </c>
      <c r="L1146" s="36">
        <v>-1.8080797851295511</v>
      </c>
    </row>
    <row r="1147" spans="9:12" x14ac:dyDescent="0.2">
      <c r="I1147" s="1">
        <v>46106</v>
      </c>
      <c r="J1147" s="27">
        <v>146.02000000000001</v>
      </c>
      <c r="K1147" s="23">
        <v>-7.3010457033118306E-3</v>
      </c>
      <c r="L1147" s="36">
        <v>-0.28886379476546797</v>
      </c>
    </row>
    <row r="1148" spans="9:12" x14ac:dyDescent="0.2">
      <c r="I1148" s="1">
        <v>46107</v>
      </c>
      <c r="J1148" s="27">
        <v>142.81</v>
      </c>
      <c r="K1148" s="23">
        <v>-2.2228523163097928E-2</v>
      </c>
      <c r="L1148" s="36">
        <v>-0.84453153635093214</v>
      </c>
    </row>
    <row r="1149" spans="9:12" x14ac:dyDescent="0.2">
      <c r="I1149" s="1">
        <v>46108</v>
      </c>
      <c r="J1149" s="27">
        <v>139.66</v>
      </c>
      <c r="K1149" s="23">
        <v>-2.2304178046952554E-2</v>
      </c>
      <c r="L1149" s="36">
        <v>-0.84734775084964176</v>
      </c>
    </row>
    <row r="1150" spans="9:12" x14ac:dyDescent="0.2">
      <c r="I1150" s="1">
        <v>46111</v>
      </c>
      <c r="J1150" s="27">
        <v>138.80000000000001</v>
      </c>
      <c r="K1150" s="23">
        <v>-6.1768493451849664E-3</v>
      </c>
      <c r="L1150" s="36">
        <v>-0.24701615821054335</v>
      </c>
    </row>
    <row r="1151" spans="9:12" x14ac:dyDescent="0.2">
      <c r="I1151" s="1">
        <v>46112</v>
      </c>
      <c r="J1151" s="27">
        <v>147.11000000000001</v>
      </c>
      <c r="K1151" s="23">
        <v>5.8146558189416275E-2</v>
      </c>
      <c r="L1151" s="36">
        <v>2.1473899088641994</v>
      </c>
    </row>
    <row r="1152" spans="9:12" x14ac:dyDescent="0.2">
      <c r="I1152" s="1">
        <v>46113</v>
      </c>
      <c r="J1152" s="27">
        <v>145.22999999999999</v>
      </c>
      <c r="K1152" s="23">
        <v>-1.2861913642407923E-2</v>
      </c>
      <c r="L1152" s="36">
        <v>-0.49586427004984457</v>
      </c>
    </row>
    <row r="1153" spans="9:12" x14ac:dyDescent="0.2">
      <c r="I1153" s="1">
        <v>46114</v>
      </c>
      <c r="J1153" s="27">
        <v>146.38</v>
      </c>
      <c r="K1153" s="23">
        <v>7.8872875533683197E-3</v>
      </c>
      <c r="L1153" s="36">
        <v>0.27651417093053865</v>
      </c>
    </row>
    <row r="1154" spans="9:12" x14ac:dyDescent="0.2">
      <c r="I1154" s="1">
        <v>46118</v>
      </c>
      <c r="J1154" s="27">
        <v>145.54</v>
      </c>
      <c r="K1154" s="23">
        <v>-5.7550172541407244E-3</v>
      </c>
      <c r="L1154" s="36">
        <v>-0.23131367358175822</v>
      </c>
    </row>
    <row r="1155" spans="9:12" x14ac:dyDescent="0.2">
      <c r="I1155" s="1">
        <v>46119</v>
      </c>
      <c r="J1155" s="27">
        <v>143.16999999999999</v>
      </c>
      <c r="K1155" s="23">
        <v>-1.6418227546704276E-2</v>
      </c>
      <c r="L1155" s="36">
        <v>-0.62824624288436637</v>
      </c>
    </row>
    <row r="1156" spans="9:12" x14ac:dyDescent="0.2">
      <c r="I1156" s="1">
        <v>46120</v>
      </c>
      <c r="J1156" s="27">
        <v>143.66</v>
      </c>
      <c r="K1156" s="23">
        <v>3.4166612744195033E-3</v>
      </c>
      <c r="L1156" s="36">
        <v>0.11009738587168429</v>
      </c>
    </row>
    <row r="1157" spans="9:12" x14ac:dyDescent="0.2">
      <c r="I1157" s="1">
        <v>46121</v>
      </c>
      <c r="J1157" s="27">
        <v>137.86000000000001</v>
      </c>
      <c r="K1157" s="23">
        <v>-4.1210719189149675E-2</v>
      </c>
      <c r="L1157" s="36">
        <v>-1.5511341103319676</v>
      </c>
    </row>
    <row r="1158" spans="9:12" x14ac:dyDescent="0.2">
      <c r="I1158" s="1">
        <v>46122</v>
      </c>
      <c r="J1158" s="27">
        <v>138.09</v>
      </c>
      <c r="K1158" s="23">
        <v>1.6669690397538529E-3</v>
      </c>
      <c r="L1158" s="36">
        <v>4.4965984057447846E-2</v>
      </c>
    </row>
    <row r="1159" spans="9:12" x14ac:dyDescent="0.2">
      <c r="I1159" s="1">
        <v>46125</v>
      </c>
      <c r="J1159" s="27">
        <v>155.62</v>
      </c>
      <c r="K1159" s="23">
        <v>0.11951149169152438</v>
      </c>
      <c r="L1159" s="36">
        <v>4.4316682876806031</v>
      </c>
    </row>
    <row r="1160" spans="9:12" x14ac:dyDescent="0.2">
      <c r="I1160" s="1">
        <v>46126</v>
      </c>
      <c r="J1160" s="27">
        <v>163</v>
      </c>
      <c r="K1160" s="23">
        <v>4.6333062617978218E-2</v>
      </c>
      <c r="L1160" s="36">
        <v>1.7076385562264222</v>
      </c>
    </row>
    <row r="1161" spans="9:12" x14ac:dyDescent="0.2">
      <c r="I1161" s="1">
        <v>46127</v>
      </c>
      <c r="J1161" s="27">
        <v>169.81</v>
      </c>
      <c r="K1161" s="23">
        <v>4.0929964151447423E-2</v>
      </c>
      <c r="L1161" s="36">
        <v>1.5065109691609466</v>
      </c>
    </row>
    <row r="1162" spans="9:12" x14ac:dyDescent="0.2">
      <c r="I1162" s="1">
        <v>46128</v>
      </c>
      <c r="J1162" s="27">
        <v>178.34</v>
      </c>
      <c r="K1162" s="23">
        <v>4.9011675748523685E-2</v>
      </c>
      <c r="L1162" s="36">
        <v>1.8073485650233605</v>
      </c>
    </row>
    <row r="1163" spans="9:12" x14ac:dyDescent="0.2">
      <c r="I1163" s="1">
        <v>46129</v>
      </c>
      <c r="J1163" s="27">
        <v>175.06</v>
      </c>
      <c r="K1163" s="23">
        <v>-1.8563068402441499E-2</v>
      </c>
      <c r="L1163" s="36">
        <v>-0.70808685075521649</v>
      </c>
    </row>
    <row r="1164" spans="9:12" x14ac:dyDescent="0.2">
      <c r="I1164" s="1">
        <v>46132</v>
      </c>
      <c r="J1164" s="27">
        <v>177.58</v>
      </c>
      <c r="K1164" s="23">
        <v>1.4292439299888814E-2</v>
      </c>
      <c r="L1164" s="36">
        <v>0.51494268070986171</v>
      </c>
    </row>
    <row r="1165" spans="9:12" x14ac:dyDescent="0.2">
      <c r="I1165" s="1">
        <v>46133</v>
      </c>
      <c r="J1165" s="27">
        <v>181.17</v>
      </c>
      <c r="K1165" s="23">
        <v>2.0014605383738653E-2</v>
      </c>
      <c r="L1165" s="36">
        <v>0.72794739723718727</v>
      </c>
    </row>
    <row r="1166" spans="9:12" x14ac:dyDescent="0.2">
      <c r="I1166" s="1">
        <v>46134</v>
      </c>
      <c r="J1166" s="27">
        <v>187.5</v>
      </c>
      <c r="K1166" s="23">
        <v>3.4343028422546037E-2</v>
      </c>
      <c r="L1166" s="36">
        <v>1.2613156432723298</v>
      </c>
    </row>
    <row r="1167" spans="9:12" x14ac:dyDescent="0.2">
      <c r="I1167" s="1">
        <v>46135</v>
      </c>
      <c r="J1167" s="27">
        <v>176.28</v>
      </c>
      <c r="K1167" s="23">
        <v>-6.1705205436679261E-2</v>
      </c>
      <c r="L1167" s="36">
        <v>-2.3140309171634081</v>
      </c>
    </row>
    <row r="1168" spans="9:12" x14ac:dyDescent="0.2">
      <c r="I1168" s="1">
        <v>46136</v>
      </c>
      <c r="J1168" s="27">
        <v>173.28</v>
      </c>
      <c r="K1168" s="23">
        <v>-1.7164856721105751E-2</v>
      </c>
      <c r="L1168" s="36">
        <v>-0.6560391334286092</v>
      </c>
    </row>
    <row r="1169" spans="9:12" x14ac:dyDescent="0.2">
      <c r="I1169" s="1">
        <v>46139</v>
      </c>
      <c r="J1169" s="27">
        <v>172.96</v>
      </c>
      <c r="K1169" s="23">
        <v>-1.8484293617823161E-3</v>
      </c>
      <c r="L1169" s="36">
        <v>-8.5892930036852486E-2</v>
      </c>
    </row>
    <row r="1170" spans="9:12" x14ac:dyDescent="0.2">
      <c r="I1170" s="1">
        <v>46140</v>
      </c>
      <c r="J1170" s="27">
        <v>165.96</v>
      </c>
      <c r="K1170" s="23">
        <v>-4.1313558426231037E-2</v>
      </c>
      <c r="L1170" s="36">
        <v>-1.5549622485267374</v>
      </c>
    </row>
    <row r="1171" spans="9:12" x14ac:dyDescent="0.2">
      <c r="I1171" s="1">
        <v>46141</v>
      </c>
      <c r="J1171" s="27">
        <v>163.83000000000001</v>
      </c>
      <c r="K1171" s="23">
        <v>-1.2917490632495088E-2</v>
      </c>
      <c r="L1171" s="36">
        <v>-0.49793309518450302</v>
      </c>
    </row>
    <row r="1172" spans="9:12" x14ac:dyDescent="0.2">
      <c r="I1172" s="1">
        <v>46142</v>
      </c>
      <c r="J1172" s="27">
        <v>161.38999999999999</v>
      </c>
      <c r="K1172" s="23">
        <v>-1.5005508784441112E-2</v>
      </c>
      <c r="L1172" s="36">
        <v>-0.57565850686286213</v>
      </c>
    </row>
    <row r="1173" spans="9:12" x14ac:dyDescent="0.2">
      <c r="I1173" s="1">
        <v>46143</v>
      </c>
      <c r="J1173" s="27">
        <v>171.83</v>
      </c>
      <c r="K1173" s="23">
        <v>6.2681819910922934E-2</v>
      </c>
      <c r="L1173" s="36">
        <v>2.3162127153348595</v>
      </c>
    </row>
    <row r="1174" spans="9:12" x14ac:dyDescent="0.2">
      <c r="I1174" s="1">
        <v>46146</v>
      </c>
      <c r="J1174" s="27">
        <v>180.29</v>
      </c>
      <c r="K1174" s="23">
        <v>4.8061049595454874E-2</v>
      </c>
      <c r="L1174" s="36">
        <v>1.7719619909025248</v>
      </c>
    </row>
    <row r="1175" spans="9:12" x14ac:dyDescent="0.2">
      <c r="I1175" s="1">
        <v>46147</v>
      </c>
      <c r="J1175" s="27">
        <v>185.35</v>
      </c>
      <c r="K1175" s="23">
        <v>2.7679264042632355E-2</v>
      </c>
      <c r="L1175" s="36">
        <v>1.0132604100006957</v>
      </c>
    </row>
    <row r="1176" spans="9:12" x14ac:dyDescent="0.2">
      <c r="I1176" s="1">
        <v>46148</v>
      </c>
      <c r="J1176" s="27">
        <v>194.03</v>
      </c>
      <c r="K1176" s="23">
        <v>4.5766856686439844E-2</v>
      </c>
      <c r="L1176" s="36">
        <v>1.6865618289563391</v>
      </c>
    </row>
    <row r="1177" spans="9:12" x14ac:dyDescent="0.2">
      <c r="I1177" s="1">
        <v>46149</v>
      </c>
      <c r="J1177" s="27">
        <v>194.59</v>
      </c>
      <c r="K1177" s="23">
        <v>2.8819946868833654E-3</v>
      </c>
      <c r="L1177" s="36">
        <v>9.0194694610030907E-2</v>
      </c>
    </row>
    <row r="1178" spans="9:12" x14ac:dyDescent="0.2">
      <c r="I1178" s="1">
        <v>46150</v>
      </c>
      <c r="J1178" s="27">
        <v>195.95</v>
      </c>
      <c r="K1178" s="23">
        <v>6.9647436755758737E-3</v>
      </c>
      <c r="L1178" s="36">
        <v>0.24217294519649085</v>
      </c>
    </row>
    <row r="1179" spans="9:12" x14ac:dyDescent="0.2">
      <c r="I1179" s="1">
        <v>46153</v>
      </c>
      <c r="J1179" s="27">
        <v>193.84</v>
      </c>
      <c r="K1179" s="23">
        <v>-1.0826448137370119E-2</v>
      </c>
      <c r="L1179" s="36">
        <v>-0.42009510387247495</v>
      </c>
    </row>
    <row r="1180" spans="9:12" x14ac:dyDescent="0.2">
      <c r="I1180" s="1">
        <v>46154</v>
      </c>
      <c r="J1180" s="27">
        <v>186.83</v>
      </c>
      <c r="K1180" s="23">
        <v>-3.6833964036524211E-2</v>
      </c>
      <c r="L1180" s="36">
        <v>-1.3882116301149527</v>
      </c>
    </row>
    <row r="1181" spans="9:12" x14ac:dyDescent="0.2">
      <c r="I1181" s="1">
        <v>46155</v>
      </c>
      <c r="J1181" s="27">
        <v>189.76</v>
      </c>
      <c r="K1181" s="23">
        <v>1.5561003337614369E-2</v>
      </c>
      <c r="L1181" s="36">
        <v>0.5621643305698909</v>
      </c>
    </row>
    <row r="1182" spans="9:12" x14ac:dyDescent="0.2">
      <c r="I1182" s="1">
        <v>46156</v>
      </c>
      <c r="J1182" s="27">
        <v>195.61</v>
      </c>
      <c r="K1182" s="23">
        <v>3.0362765228907466E-2</v>
      </c>
      <c r="L1182" s="36">
        <v>1.1131523741812781</v>
      </c>
    </row>
    <row r="1183" spans="9:12" x14ac:dyDescent="0.2">
      <c r="I1183" s="1">
        <v>46157</v>
      </c>
      <c r="J1183" s="27">
        <v>192.95</v>
      </c>
      <c r="K1183" s="23">
        <v>-1.3691793054640444E-2</v>
      </c>
      <c r="L1183" s="36">
        <v>-0.52675610827407227</v>
      </c>
    </row>
    <row r="1184" spans="9:12" x14ac:dyDescent="0.2">
      <c r="I1184" s="1">
        <v>46160</v>
      </c>
      <c r="J1184" s="27">
        <v>186.61</v>
      </c>
      <c r="K1184" s="23">
        <v>-3.3410210438247358E-2</v>
      </c>
      <c r="L1184" s="36">
        <v>-1.2607641471209394</v>
      </c>
    </row>
    <row r="1185" spans="9:12" x14ac:dyDescent="0.2">
      <c r="I1185" s="1">
        <v>46161</v>
      </c>
      <c r="J1185" s="27">
        <v>181.46</v>
      </c>
      <c r="K1185" s="23">
        <v>-2.7985633803897462E-2</v>
      </c>
      <c r="L1185" s="36">
        <v>-1.0588370462034027</v>
      </c>
    </row>
    <row r="1186" spans="9:12" x14ac:dyDescent="0.2">
      <c r="I1186" s="1">
        <v>46162</v>
      </c>
      <c r="J1186" s="27">
        <v>188.16</v>
      </c>
      <c r="K1186" s="23">
        <v>3.6257420968779257E-2</v>
      </c>
      <c r="L1186" s="36">
        <v>1.3325779302554581</v>
      </c>
    </row>
    <row r="1187" spans="9:12" x14ac:dyDescent="0.2">
      <c r="I1187" s="1">
        <v>46163</v>
      </c>
      <c r="J1187" s="27">
        <v>189.77</v>
      </c>
      <c r="K1187" s="23">
        <v>8.5201478556254165E-3</v>
      </c>
      <c r="L1187" s="36">
        <v>0.30007207318439566</v>
      </c>
    </row>
    <row r="1188" spans="9:12" x14ac:dyDescent="0.2">
      <c r="I1188" s="1">
        <v>46164</v>
      </c>
      <c r="J1188" s="27">
        <v>192.08</v>
      </c>
      <c r="K1188" s="23">
        <v>1.2099139347110285E-2</v>
      </c>
      <c r="L1188" s="36">
        <v>0.43329820764579624</v>
      </c>
    </row>
    <row r="1189" spans="9:12" x14ac:dyDescent="0.2">
      <c r="I1189" s="1">
        <v>46168</v>
      </c>
      <c r="J1189" s="27">
        <v>193.06</v>
      </c>
      <c r="K1189" s="23">
        <v>5.0890695074712281E-3</v>
      </c>
      <c r="L1189" s="36">
        <v>0.17235193010879918</v>
      </c>
    </row>
    <row r="1190" spans="9:12" x14ac:dyDescent="0.2">
      <c r="I1190" s="1">
        <v>46169</v>
      </c>
      <c r="J1190" s="27">
        <v>190.96</v>
      </c>
      <c r="K1190" s="23">
        <v>-1.0937039389894388E-2</v>
      </c>
      <c r="L1190" s="36">
        <v>-0.42421180689177723</v>
      </c>
    </row>
    <row r="1191" spans="9:12" x14ac:dyDescent="0.2">
      <c r="I1191" s="1">
        <v>46170</v>
      </c>
      <c r="J1191" s="27">
        <v>203.7</v>
      </c>
      <c r="K1191" s="23">
        <v>6.4584341202185425E-2</v>
      </c>
      <c r="L1191" s="36">
        <v>2.387033100901145</v>
      </c>
    </row>
    <row r="1192" spans="9:12" x14ac:dyDescent="0.2">
      <c r="I1192" s="1">
        <v>46171</v>
      </c>
      <c r="J1192" s="27">
        <v>225.78</v>
      </c>
      <c r="K1192" s="23">
        <v>0.10291275060064081</v>
      </c>
      <c r="L1192" s="36">
        <v>3.8137886090824962</v>
      </c>
    </row>
    <row r="1193" spans="9:12" x14ac:dyDescent="0.2">
      <c r="I1193" s="1">
        <v>46174</v>
      </c>
      <c r="J1193" s="27">
        <v>248.15</v>
      </c>
      <c r="K1193" s="23">
        <v>9.4472328200048944E-2</v>
      </c>
      <c r="L1193" s="36">
        <v>3.4995981863537353</v>
      </c>
    </row>
    <row r="1194" spans="9:12" x14ac:dyDescent="0.2">
      <c r="I1194" s="1">
        <v>46175</v>
      </c>
      <c r="J1194" s="27">
        <v>244.58</v>
      </c>
      <c r="K1194" s="23">
        <v>-1.4490948272225931E-2</v>
      </c>
      <c r="L1194" s="36">
        <v>-0.55650425400922787</v>
      </c>
    </row>
    <row r="1195" spans="9:12" x14ac:dyDescent="0.2">
      <c r="I1195" s="1">
        <v>46176</v>
      </c>
      <c r="J1195" s="27">
        <v>230.33</v>
      </c>
      <c r="K1195" s="23">
        <v>-6.0029390546409794E-2</v>
      </c>
      <c r="L1195" s="36">
        <v>-2.2516495618473527</v>
      </c>
    </row>
    <row r="1196" spans="9:12" x14ac:dyDescent="0.2">
      <c r="I1196" s="1">
        <v>46177</v>
      </c>
      <c r="J1196" s="27">
        <v>236.34</v>
      </c>
      <c r="K1196" s="23">
        <v>2.5758382996055523E-2</v>
      </c>
      <c r="L1196" s="36">
        <v>0.94175659189873451</v>
      </c>
    </row>
    <row r="1197" spans="9:12" x14ac:dyDescent="0.2">
      <c r="I1197" s="1">
        <v>46178</v>
      </c>
      <c r="J1197" s="27">
        <v>213.68</v>
      </c>
      <c r="K1197" s="23">
        <v>-0.10079187740916402</v>
      </c>
      <c r="L1197" s="36">
        <v>-3.769012363261917</v>
      </c>
    </row>
    <row r="1198" spans="9:12" x14ac:dyDescent="0.2">
      <c r="I1198" s="1">
        <v>46181</v>
      </c>
      <c r="J1198" s="27">
        <v>211.82</v>
      </c>
      <c r="K1198" s="23">
        <v>-8.7427113861823086E-3</v>
      </c>
      <c r="L1198" s="36">
        <v>-0.34252906515559217</v>
      </c>
    </row>
    <row r="1199" spans="9:12" x14ac:dyDescent="0.2">
      <c r="I1199" s="1">
        <v>46182</v>
      </c>
      <c r="J1199" s="27">
        <v>205.81</v>
      </c>
      <c r="K1199" s="23">
        <v>-2.878344433115438E-2</v>
      </c>
      <c r="L1199" s="36">
        <v>-1.0885351365263147</v>
      </c>
    </row>
    <row r="1200" spans="9:12" x14ac:dyDescent="0.2">
      <c r="I1200" s="1">
        <v>46183</v>
      </c>
      <c r="J1200" s="27">
        <v>201.26</v>
      </c>
      <c r="K1200" s="23">
        <v>-2.2355808579181697E-2</v>
      </c>
      <c r="L1200" s="36">
        <v>-0.84926967110160068</v>
      </c>
    </row>
    <row r="1201" spans="9:12" x14ac:dyDescent="0.2">
      <c r="I1201" s="1">
        <v>46184</v>
      </c>
      <c r="J1201" s="27">
        <v>184.1</v>
      </c>
      <c r="K1201" s="23">
        <v>-8.9118516266154926E-2</v>
      </c>
      <c r="L1201" s="36">
        <v>-3.3344774433116626</v>
      </c>
    </row>
    <row r="1202" spans="9:12" x14ac:dyDescent="0.2">
      <c r="I1202" s="1">
        <v>46185</v>
      </c>
      <c r="J1202" s="27">
        <v>184.13</v>
      </c>
      <c r="K1202" s="23">
        <v>1.6294164009656147E-4</v>
      </c>
      <c r="L1202" s="36">
        <v>-1.1020669461317613E-2</v>
      </c>
    </row>
    <row r="1203" spans="9:12" x14ac:dyDescent="0.2">
      <c r="I1203" s="1">
        <v>46188</v>
      </c>
      <c r="J1203" s="27">
        <v>192.64</v>
      </c>
      <c r="K1203" s="23">
        <v>4.5181132241327374E-2</v>
      </c>
      <c r="L1203" s="36">
        <v>1.6647585349648499</v>
      </c>
    </row>
    <row r="1204" spans="9:12" x14ac:dyDescent="0.2">
      <c r="I1204" s="1">
        <v>46189</v>
      </c>
      <c r="J1204" s="27">
        <v>188.33</v>
      </c>
      <c r="K1204" s="23">
        <v>-2.2627418913800306E-2</v>
      </c>
      <c r="L1204" s="36">
        <v>-0.85938022739856246</v>
      </c>
    </row>
    <row r="1205" spans="9:12" x14ac:dyDescent="0.2">
      <c r="I1205" s="1">
        <v>46190</v>
      </c>
      <c r="J1205" s="27">
        <v>183.53</v>
      </c>
      <c r="K1205" s="23">
        <v>-2.5817601336275173E-2</v>
      </c>
      <c r="L1205" s="36">
        <v>-0.97813314239828508</v>
      </c>
    </row>
    <row r="1206" spans="9:12" x14ac:dyDescent="0.2">
      <c r="I1206" s="1">
        <v>46191</v>
      </c>
      <c r="J1206" s="27">
        <v>184.29</v>
      </c>
      <c r="K1206" s="23">
        <v>4.132461973565091E-3</v>
      </c>
      <c r="L1206" s="36">
        <v>0.13674270213433062</v>
      </c>
    </row>
    <row r="1207" spans="9:12" x14ac:dyDescent="0.2">
      <c r="I1207" s="1">
        <v>46195</v>
      </c>
      <c r="J1207" s="27">
        <v>175.07</v>
      </c>
      <c r="K1207" s="23">
        <v>-5.1324709899104752E-2</v>
      </c>
      <c r="L1207" s="36">
        <v>-1.9276222605473781</v>
      </c>
    </row>
    <row r="1208" spans="9:12" x14ac:dyDescent="0.2">
      <c r="I1208" s="1">
        <v>46196</v>
      </c>
      <c r="J1208" s="27">
        <v>165.16</v>
      </c>
      <c r="K1208" s="23">
        <v>-5.8271192926951466E-2</v>
      </c>
      <c r="L1208" s="36">
        <v>-2.1862015514184461</v>
      </c>
    </row>
    <row r="1209" spans="9:12" x14ac:dyDescent="0.2">
      <c r="I1209" s="1">
        <v>46197</v>
      </c>
      <c r="J1209" s="27">
        <v>157.53</v>
      </c>
      <c r="K1209" s="23">
        <v>-4.7298784700011809E-2</v>
      </c>
      <c r="L1209" s="36">
        <v>-1.7777592465720724</v>
      </c>
    </row>
    <row r="1210" spans="9:12" x14ac:dyDescent="0.2">
      <c r="I1210" s="1">
        <v>46198</v>
      </c>
      <c r="J1210" s="27">
        <v>152.46</v>
      </c>
      <c r="K1210" s="23">
        <v>-3.2713649757749798E-2</v>
      </c>
      <c r="L1210" s="36">
        <v>-1.2348350307479941</v>
      </c>
    </row>
    <row r="1211" spans="9:12" x14ac:dyDescent="0.2">
      <c r="I1211" s="1">
        <v>46199</v>
      </c>
      <c r="J1211" s="27">
        <v>148.53</v>
      </c>
      <c r="K1211" s="23">
        <v>-2.6115308518686372E-2</v>
      </c>
      <c r="L1211" s="36">
        <v>-0.98921514055570003</v>
      </c>
    </row>
    <row r="1212" spans="9:12" x14ac:dyDescent="0.2">
      <c r="I1212" s="1">
        <v>46202</v>
      </c>
      <c r="J1212" s="27">
        <v>147.76</v>
      </c>
      <c r="K1212" s="23">
        <v>-5.1976221504568976E-3</v>
      </c>
      <c r="L1212" s="36">
        <v>-0.21056492488867354</v>
      </c>
    </row>
    <row r="1213" spans="9:12" x14ac:dyDescent="0.2">
      <c r="I1213" s="1">
        <v>46203</v>
      </c>
      <c r="J1213" s="27">
        <v>146.55000000000001</v>
      </c>
      <c r="K1213" s="23">
        <v>-8.2226687340829791E-3</v>
      </c>
      <c r="L1213" s="36">
        <v>-0.3231707424384001</v>
      </c>
    </row>
    <row r="1214" spans="9:12" x14ac:dyDescent="0.2">
      <c r="I1214" s="1">
        <v>46204</v>
      </c>
      <c r="J1214" s="27">
        <v>142.5</v>
      </c>
      <c r="K1214" s="23">
        <v>-2.8024667448196299E-2</v>
      </c>
      <c r="L1214" s="36">
        <v>-1.060290053721372</v>
      </c>
    </row>
    <row r="1215" spans="9:12" x14ac:dyDescent="0.2">
      <c r="I1215" s="1">
        <v>46205</v>
      </c>
      <c r="J1215" s="27">
        <v>140.27000000000001</v>
      </c>
      <c r="K1215" s="23">
        <v>-1.5772862977125112E-2</v>
      </c>
      <c r="L1215" s="36">
        <v>-0.60422287565146293</v>
      </c>
    </row>
    <row r="1216" spans="9:12" x14ac:dyDescent="0.2">
      <c r="I1216" s="1">
        <v>46209</v>
      </c>
      <c r="J1216" s="27">
        <v>143.76</v>
      </c>
      <c r="K1216" s="23">
        <v>2.4576105743723535E-2</v>
      </c>
      <c r="L1216" s="36">
        <v>0.89774692365431852</v>
      </c>
    </row>
    <row r="1217" spans="9:12" x14ac:dyDescent="0.2">
      <c r="I1217" s="1">
        <v>46210</v>
      </c>
      <c r="J1217" s="27">
        <v>141.6</v>
      </c>
      <c r="K1217" s="23">
        <v>-1.5139061215684153E-2</v>
      </c>
      <c r="L1217" s="36">
        <v>-0.58062992805924241</v>
      </c>
    </row>
    <row r="1218" spans="9:12" x14ac:dyDescent="0.2">
      <c r="I1218" s="1">
        <v>46211</v>
      </c>
      <c r="J1218" s="27">
        <v>140.49</v>
      </c>
      <c r="K1218" s="23">
        <v>-7.8698693960592529E-3</v>
      </c>
      <c r="L1218" s="36">
        <v>-0.31003796686257956</v>
      </c>
    </row>
    <row r="1219" spans="9:12" x14ac:dyDescent="0.2">
      <c r="I1219" s="1">
        <v>46212</v>
      </c>
      <c r="J1219" s="27">
        <v>144.22</v>
      </c>
      <c r="K1219" s="23">
        <v>2.6203599625053229E-2</v>
      </c>
      <c r="L1219" s="36">
        <v>0.95832955403637043</v>
      </c>
    </row>
    <row r="1220" spans="9:12" x14ac:dyDescent="0.2">
      <c r="I1220" s="1">
        <v>46213</v>
      </c>
      <c r="J1220" s="27">
        <v>140.63999999999999</v>
      </c>
      <c r="K1220" s="23">
        <v>-2.5136477551746726E-2</v>
      </c>
      <c r="L1220" s="36">
        <v>-0.95277865661134153</v>
      </c>
    </row>
    <row r="1221" spans="9:12" x14ac:dyDescent="0.2">
      <c r="I1221" s="1">
        <v>46216</v>
      </c>
      <c r="J1221" s="27">
        <v>131.54</v>
      </c>
      <c r="K1221" s="23">
        <v>-6.689244606366182E-2</v>
      </c>
      <c r="L1221" s="36">
        <v>-2.5071233061501457</v>
      </c>
    </row>
    <row r="1222" spans="9:12" x14ac:dyDescent="0.2">
      <c r="I1222" s="1">
        <v>46217</v>
      </c>
      <c r="J1222" s="27">
        <v>127.94</v>
      </c>
      <c r="K1222" s="23">
        <v>-2.7749583851213303E-2</v>
      </c>
      <c r="L1222" s="36">
        <v>-1.0500502070028268</v>
      </c>
    </row>
    <row r="1223" spans="9:12" x14ac:dyDescent="0.2">
      <c r="I1223" s="1">
        <v>46218</v>
      </c>
      <c r="J1223" s="27">
        <v>132.49</v>
      </c>
      <c r="K1223" s="23">
        <v>3.4945766858040246E-2</v>
      </c>
      <c r="L1223" s="36">
        <v>1.2837522743856633</v>
      </c>
    </row>
    <row r="1224" spans="9:12" x14ac:dyDescent="0.2">
      <c r="I1224" s="1">
        <v>46219</v>
      </c>
      <c r="J1224" s="27">
        <v>124.21</v>
      </c>
      <c r="K1224" s="23">
        <v>-6.453348932392948E-2</v>
      </c>
      <c r="L1224" s="36">
        <v>-2.4193123436083428</v>
      </c>
    </row>
    <row r="1225" spans="9:12" x14ac:dyDescent="0.2">
      <c r="I1225" s="1">
        <v>46220</v>
      </c>
      <c r="J1225" s="27">
        <v>126.41</v>
      </c>
      <c r="K1225" s="23">
        <v>1.7556910951363885E-2</v>
      </c>
      <c r="L1225" s="36">
        <v>0.63646097440225868</v>
      </c>
    </row>
    <row r="1226" spans="9:12" x14ac:dyDescent="0.2">
      <c r="I1226" s="1">
        <v>46223</v>
      </c>
      <c r="J1226" s="27">
        <v>121.38</v>
      </c>
      <c r="K1226" s="23">
        <v>-4.0604472099757122E-2</v>
      </c>
      <c r="L1226" s="36">
        <v>-1.5285668713652341</v>
      </c>
    </row>
    <row r="1227" spans="9:12" x14ac:dyDescent="0.2">
      <c r="I1227" s="1">
        <v>46224</v>
      </c>
      <c r="J1227" s="27">
        <v>127.05</v>
      </c>
      <c r="K1227" s="23">
        <v>4.5654589358463935E-2</v>
      </c>
      <c r="L1227" s="36">
        <v>1.6823827348824565</v>
      </c>
    </row>
    <row r="1228" spans="9:12" x14ac:dyDescent="0.2">
      <c r="I1228" s="1">
        <v>46225</v>
      </c>
      <c r="J1228" s="27">
        <v>125.84</v>
      </c>
      <c r="K1228" s="23">
        <v>-9.5694510161506725E-3</v>
      </c>
      <c r="L1228" s="36">
        <v>-0.3733040265850302</v>
      </c>
    </row>
    <row r="1229" spans="9:12" x14ac:dyDescent="0.2">
      <c r="I1229" s="1">
        <v>46226</v>
      </c>
      <c r="J1229" s="27">
        <v>120.04</v>
      </c>
      <c r="K1229" s="23">
        <v>-4.7186238177856027E-2</v>
      </c>
      <c r="L1229" s="36">
        <v>-1.7735697596371178</v>
      </c>
    </row>
    <row r="1230" spans="9:12" x14ac:dyDescent="0.2">
      <c r="I1230" s="1">
        <v>46227</v>
      </c>
      <c r="J1230" s="27">
        <v>114.99</v>
      </c>
      <c r="K1230" s="23">
        <v>-4.2979852511593038E-2</v>
      </c>
      <c r="L1230" s="36">
        <v>-1.6169891967317951</v>
      </c>
    </row>
    <row r="1231" spans="9:12" x14ac:dyDescent="0.2">
      <c r="I1231" s="1">
        <v>46230</v>
      </c>
      <c r="J1231" s="27">
        <v>119.9</v>
      </c>
      <c r="K1231" s="23">
        <v>4.1812893972895213E-2</v>
      </c>
      <c r="L1231" s="36">
        <v>1.5393775818343902</v>
      </c>
    </row>
    <row r="1232" spans="9:12" x14ac:dyDescent="0.2">
      <c r="I1232" s="1">
        <v>46231</v>
      </c>
      <c r="J1232" s="27">
        <v>119.96</v>
      </c>
      <c r="K1232" s="23">
        <v>5.0029184733976361E-4</v>
      </c>
      <c r="L1232" s="36">
        <v>1.5370200938809885E-3</v>
      </c>
    </row>
    <row r="1233" spans="9:12" x14ac:dyDescent="0.2">
      <c r="I1233" s="1">
        <v>46232</v>
      </c>
      <c r="J1233" s="27">
        <v>117.74</v>
      </c>
      <c r="K1233" s="23">
        <v>-1.8679550280693069E-2</v>
      </c>
      <c r="L1233" s="36">
        <v>-0.71242282931542866</v>
      </c>
    </row>
    <row r="1234" spans="9:12" x14ac:dyDescent="0.2">
      <c r="I1234" s="1">
        <v>46233</v>
      </c>
      <c r="J1234" s="27">
        <v>127.56</v>
      </c>
      <c r="K1234" s="23">
        <v>8.0108038541741686E-2</v>
      </c>
      <c r="L1234" s="36">
        <v>2.9648948236848893</v>
      </c>
    </row>
    <row r="1235" spans="9:12" x14ac:dyDescent="0.2">
      <c r="I1235" s="1">
        <v>46234</v>
      </c>
      <c r="J1235" s="27">
        <v>129.87</v>
      </c>
      <c r="K1235" s="23">
        <v>1.7947107980142069E-2</v>
      </c>
      <c r="L1235" s="36">
        <v>0.65098585995902025</v>
      </c>
    </row>
    <row r="1236" spans="9:12" x14ac:dyDescent="0.2">
      <c r="I1236" s="1">
        <v>46237</v>
      </c>
      <c r="J1236" s="27">
        <v>141.85</v>
      </c>
      <c r="K1236" s="23">
        <v>8.8236211132861384E-2</v>
      </c>
      <c r="L1236" s="36">
        <v>3.2674619063746309</v>
      </c>
    </row>
    <row r="1237" spans="9:12" x14ac:dyDescent="0.2">
      <c r="I1237" s="1">
        <v>46238</v>
      </c>
      <c r="J1237" s="27">
        <v>145.74</v>
      </c>
      <c r="K1237" s="23">
        <v>2.7054050987275868E-2</v>
      </c>
      <c r="L1237" s="36">
        <v>0.98998717261577285</v>
      </c>
    </row>
    <row r="1238" spans="9:12" x14ac:dyDescent="0.2">
      <c r="I1238" s="1">
        <v>46239</v>
      </c>
      <c r="J1238" s="27">
        <v>144.38999999999999</v>
      </c>
      <c r="K1238" s="23">
        <v>-9.3062402590085545E-3</v>
      </c>
      <c r="L1238" s="36">
        <v>-0.36350614027931166</v>
      </c>
    </row>
    <row r="1239" spans="9:12" x14ac:dyDescent="0.2">
      <c r="I1239" s="1">
        <v>46240</v>
      </c>
      <c r="J1239" s="27">
        <v>143.47</v>
      </c>
      <c r="K1239" s="23">
        <v>-6.3920178728290294E-3</v>
      </c>
      <c r="L1239" s="36">
        <v>-0.25502569700491373</v>
      </c>
    </row>
    <row r="1240" spans="9:12" x14ac:dyDescent="0.2">
      <c r="I1240" s="1">
        <v>46241</v>
      </c>
      <c r="J1240" s="27">
        <v>147.02000000000001</v>
      </c>
      <c r="K1240" s="23">
        <v>2.4442677835643061E-2</v>
      </c>
      <c r="L1240" s="36">
        <v>0.89278013776920939</v>
      </c>
    </row>
    <row r="1241" spans="9:12" x14ac:dyDescent="0.2">
      <c r="I1241" s="1">
        <v>46244</v>
      </c>
      <c r="J1241" s="27">
        <v>151.05000000000001</v>
      </c>
      <c r="K1241" s="23">
        <v>2.7042275886739485E-2</v>
      </c>
      <c r="L1241" s="36">
        <v>0.98954885049874941</v>
      </c>
    </row>
    <row r="1242" spans="9:12" x14ac:dyDescent="0.2">
      <c r="I1242" s="1">
        <v>46245</v>
      </c>
      <c r="J1242" s="27">
        <v>145.47999999999999</v>
      </c>
      <c r="K1242" s="23">
        <v>-3.7572287713892795E-2</v>
      </c>
      <c r="L1242" s="36">
        <v>-1.4156953527645233</v>
      </c>
    </row>
    <row r="1243" spans="9:12" x14ac:dyDescent="0.2">
      <c r="I1243" s="1">
        <v>46246</v>
      </c>
      <c r="J1243" s="27">
        <v>153.28</v>
      </c>
      <c r="K1243" s="23">
        <v>5.2227694103762233E-2</v>
      </c>
      <c r="L1243" s="36">
        <v>1.9270632094545441</v>
      </c>
    </row>
    <row r="1244" spans="9:12" x14ac:dyDescent="0.2">
      <c r="I1244" s="1">
        <v>46247</v>
      </c>
      <c r="J1244" s="27">
        <v>156.22</v>
      </c>
      <c r="K1244" s="23">
        <v>1.8998955959600734E-2</v>
      </c>
      <c r="L1244" s="36">
        <v>0.69014036498584652</v>
      </c>
    </row>
    <row r="1245" spans="9:12" x14ac:dyDescent="0.2">
      <c r="I1245" s="1">
        <v>46248</v>
      </c>
      <c r="J1245" s="27">
        <v>150.52000000000001</v>
      </c>
      <c r="K1245" s="23">
        <v>-3.7169304456914666E-2</v>
      </c>
      <c r="L1245" s="36">
        <v>-1.40069450637872</v>
      </c>
    </row>
    <row r="1246" spans="9:12" x14ac:dyDescent="0.2">
      <c r="I1246" s="1">
        <v>46251</v>
      </c>
      <c r="J1246" s="27">
        <v>146.65</v>
      </c>
      <c r="K1246" s="23">
        <v>-2.6047170301776459E-2</v>
      </c>
      <c r="L1246" s="36">
        <v>-0.9866787301536083</v>
      </c>
    </row>
    <row r="1247" spans="9:12" x14ac:dyDescent="0.2">
      <c r="I1247" s="1">
        <v>46252</v>
      </c>
      <c r="J1247" s="27">
        <v>142.79</v>
      </c>
      <c r="K1247" s="23">
        <v>-2.6673775981256302E-2</v>
      </c>
      <c r="L1247" s="36">
        <v>-1.0100038072618593</v>
      </c>
    </row>
    <row r="1248" spans="9:12" x14ac:dyDescent="0.2">
      <c r="I1248" s="1">
        <v>46253</v>
      </c>
      <c r="J1248" s="27">
        <v>143.81</v>
      </c>
      <c r="K1248" s="23">
        <v>7.1179644560845304E-3</v>
      </c>
      <c r="L1248" s="36">
        <v>0.24787651067153979</v>
      </c>
    </row>
    <row r="1249" spans="9:12" x14ac:dyDescent="0.2">
      <c r="I1249" s="1">
        <v>46254</v>
      </c>
      <c r="J1249" s="27">
        <v>142.07</v>
      </c>
      <c r="K1249" s="23">
        <v>-1.2173090014302635E-2</v>
      </c>
      <c r="L1249" s="36">
        <v>-0.47022316150949672</v>
      </c>
    </row>
    <row r="1250" spans="9:12" x14ac:dyDescent="0.2">
      <c r="I1250" s="1">
        <v>46255</v>
      </c>
      <c r="J1250" s="27">
        <v>146.47</v>
      </c>
      <c r="K1250" s="23">
        <v>3.0500735446230162E-2</v>
      </c>
      <c r="L1250" s="36">
        <v>1.1182882452132252</v>
      </c>
    </row>
    <row r="1251" spans="9:12" x14ac:dyDescent="0.2">
      <c r="I1251" s="1">
        <v>46258</v>
      </c>
      <c r="J1251" s="27">
        <v>142.44999999999999</v>
      </c>
      <c r="K1251" s="23">
        <v>-2.7829568386298589E-2</v>
      </c>
      <c r="L1251" s="36">
        <v>-1.0530275905622617</v>
      </c>
    </row>
    <row r="1252" spans="9:12" x14ac:dyDescent="0.2">
      <c r="I1252" s="1">
        <v>46259</v>
      </c>
      <c r="J1252" s="27">
        <v>144.76</v>
      </c>
      <c r="K1252" s="23">
        <v>1.6086137751624444E-2</v>
      </c>
      <c r="L1252" s="36">
        <v>0.58171219152951248</v>
      </c>
    </row>
    <row r="1253" spans="9:12" x14ac:dyDescent="0.2">
      <c r="I1253" s="1">
        <v>46260</v>
      </c>
      <c r="J1253" s="27">
        <v>148.87</v>
      </c>
      <c r="K1253" s="23">
        <v>2.7996243193424211E-2</v>
      </c>
      <c r="L1253" s="36">
        <v>1.0250597973603275</v>
      </c>
    </row>
    <row r="1254" spans="9:12" x14ac:dyDescent="0.2">
      <c r="I1254" s="1">
        <v>46261</v>
      </c>
      <c r="J1254" s="27">
        <v>151.94</v>
      </c>
      <c r="K1254" s="23">
        <v>2.0412264186109579E-2</v>
      </c>
      <c r="L1254" s="36">
        <v>0.74275004351351259</v>
      </c>
    </row>
    <row r="1255" spans="9:12" x14ac:dyDescent="0.2">
      <c r="I1255" s="1">
        <v>46262</v>
      </c>
      <c r="J1255" s="27">
        <v>150.85</v>
      </c>
      <c r="K1255" s="23">
        <v>-7.1997404700054977E-3</v>
      </c>
      <c r="L1255" s="36">
        <v>-0.28509275907951459</v>
      </c>
    </row>
    <row r="1256" spans="9:12" x14ac:dyDescent="0.2">
      <c r="I1256" s="1">
        <v>46265</v>
      </c>
      <c r="J1256" s="27">
        <v>149.12</v>
      </c>
      <c r="K1256" s="23">
        <v>-1.1534614667788965E-2</v>
      </c>
      <c r="L1256" s="36">
        <v>-0.44645624209454482</v>
      </c>
    </row>
    <row r="1257" spans="9:12" x14ac:dyDescent="0.2">
      <c r="I1257" s="1">
        <v>46266</v>
      </c>
      <c r="J1257" s="27">
        <v>141.32</v>
      </c>
      <c r="K1257" s="23">
        <v>-5.3724528446336628E-2</v>
      </c>
      <c r="L1257" s="36">
        <v>-2.016954283050687</v>
      </c>
    </row>
    <row r="1258" spans="9:12" x14ac:dyDescent="0.2">
      <c r="I1258" s="1">
        <v>46267</v>
      </c>
      <c r="J1258" s="27">
        <v>145.75</v>
      </c>
      <c r="K1258" s="23">
        <v>3.0866002739657426E-2</v>
      </c>
      <c r="L1258" s="36">
        <v>1.131885134075429</v>
      </c>
    </row>
    <row r="1259" spans="9:12" x14ac:dyDescent="0.2">
      <c r="I1259" s="1">
        <v>46268</v>
      </c>
      <c r="J1259" s="27">
        <v>154.04</v>
      </c>
      <c r="K1259" s="23">
        <v>5.5319483716106323E-2</v>
      </c>
      <c r="L1259" s="36">
        <v>2.0421535022368893</v>
      </c>
    </row>
    <row r="1260" spans="9:12" x14ac:dyDescent="0.2">
      <c r="I1260" s="1">
        <v>46269</v>
      </c>
      <c r="J1260" s="27">
        <v>158.78</v>
      </c>
      <c r="K1260" s="23">
        <v>3.0307287350259192E-2</v>
      </c>
      <c r="L1260" s="36">
        <v>1.1110872384194266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2B3DE7-29C7-4CB5-820D-E2130E20BF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VIX</vt:lpstr>
      <vt:lpstr>Target_PX</vt:lpstr>
      <vt:lpstr>ORCL_DAILY_2026-09-14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Rocco DiDonato</dc:creator>
  <cp:lastModifiedBy>Oscar Varas Hiza</cp:lastModifiedBy>
  <dcterms:created xsi:type="dcterms:W3CDTF">2025-09-08T14:56:11Z</dcterms:created>
  <dcterms:modified xsi:type="dcterms:W3CDTF">2026-09-15T19:21:21Z</dcterms:modified>
</cp:coreProperties>
</file>