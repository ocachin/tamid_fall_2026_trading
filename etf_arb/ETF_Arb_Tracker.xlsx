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oscar/Desktop/TAMID Fall 2026/etf_arb/"/>
    </mc:Choice>
  </mc:AlternateContent>
  <xr:revisionPtr revIDLastSave="0" documentId="13_ncr:1_{61D27D65-B2E4-B64C-BBAB-355EA279DD89}" xr6:coauthVersionLast="47" xr6:coauthVersionMax="47" xr10:uidLastSave="{00000000-0000-0000-0000-000000000000}"/>
  <bookViews>
    <workbookView minimized="1" xWindow="15180" yWindow="860" windowWidth="14900" windowHeight="17640" xr2:uid="{00000000-000D-0000-FFFF-FFFF00000000}"/>
  </bookViews>
  <sheets>
    <sheet name="Dashboard" sheetId="1" r:id="rId1"/>
    <sheet name="Universe" sheetId="2" r:id="rId2"/>
    <sheet name="Holdings" sheetId="3" r:id="rId3"/>
    <sheet name="Charts" sheetId="4" r:id="rId4"/>
    <sheet name="Chart Data" sheetId="5" r:id="rId5"/>
    <sheet name="Config" sheetId="6" r:id="rId6"/>
    <sheet name="Feed" sheetId="7" r:id="rId7"/>
  </sheets>
  <definedNames>
    <definedName name="Anchor">Config!$B$8</definedName>
    <definedName name="CostEq">Config!$B$4</definedName>
    <definedName name="CostFI">Config!$B$5</definedName>
    <definedName name="EdgeEq">Config!$B$6</definedName>
    <definedName name="EdgeFI">Config!$B$7</definedName>
    <definedName name="ExDivFlag">Config!$B$10</definedName>
    <definedName name="SessionLeft">Feed!$R$2</definedName>
    <definedName name="StaleMin">Config!$B$9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 s="1"/>
  <c r="E3" i="3"/>
  <c r="F3" i="3"/>
  <c r="G3" i="3"/>
  <c r="E4" i="3"/>
  <c r="F4" i="3" s="1"/>
  <c r="G4" i="3"/>
  <c r="E5" i="3"/>
  <c r="E6" i="3"/>
  <c r="F6" i="3"/>
  <c r="G6" i="3"/>
  <c r="E7" i="3"/>
  <c r="F7" i="3"/>
  <c r="G7" i="3"/>
  <c r="E8" i="3"/>
  <c r="G8" i="3" s="1"/>
  <c r="E9" i="3"/>
  <c r="F9" i="3" s="1"/>
  <c r="E10" i="3"/>
  <c r="F10" i="3"/>
  <c r="G10" i="3"/>
  <c r="E11" i="3"/>
  <c r="F11" i="3" s="1"/>
  <c r="E12" i="3"/>
  <c r="F12" i="3" s="1"/>
  <c r="E13" i="3"/>
  <c r="F13" i="3"/>
  <c r="G13" i="3"/>
  <c r="E14" i="3"/>
  <c r="F14" i="3" s="1"/>
  <c r="G14" i="3"/>
  <c r="E15" i="3"/>
  <c r="E16" i="3"/>
  <c r="F16" i="3" s="1"/>
  <c r="E17" i="3"/>
  <c r="F17" i="3"/>
  <c r="G17" i="3"/>
  <c r="E18" i="3"/>
  <c r="G18" i="3" s="1"/>
  <c r="F18" i="3"/>
  <c r="E19" i="3"/>
  <c r="G19" i="3" s="1"/>
  <c r="F19" i="3"/>
  <c r="E20" i="3"/>
  <c r="F20" i="3"/>
  <c r="G20" i="3"/>
  <c r="E21" i="3"/>
  <c r="F21" i="3" s="1"/>
  <c r="G21" i="3"/>
  <c r="E22" i="3"/>
  <c r="F22" i="3" s="1"/>
  <c r="G22" i="3"/>
  <c r="E23" i="3"/>
  <c r="F23" i="3"/>
  <c r="G23" i="3"/>
  <c r="E24" i="3"/>
  <c r="F24" i="3" s="1"/>
  <c r="E25" i="3"/>
  <c r="E26" i="3"/>
  <c r="F26" i="3" s="1"/>
  <c r="G26" i="3"/>
  <c r="E27" i="3"/>
  <c r="F27" i="3"/>
  <c r="G27" i="3"/>
  <c r="E28" i="3"/>
  <c r="E29" i="3"/>
  <c r="G29" i="3" s="1"/>
  <c r="F29" i="3"/>
  <c r="E30" i="3"/>
  <c r="F30" i="3"/>
  <c r="G30" i="3"/>
  <c r="E31" i="3"/>
  <c r="G31" i="3" s="1"/>
  <c r="F31" i="3"/>
  <c r="E32" i="3"/>
  <c r="F32" i="3" s="1"/>
  <c r="G32" i="3"/>
  <c r="E33" i="3"/>
  <c r="F33" i="3"/>
  <c r="G33" i="3"/>
  <c r="E34" i="3"/>
  <c r="F34" i="3" s="1"/>
  <c r="G34" i="3"/>
  <c r="E35" i="3"/>
  <c r="E36" i="3"/>
  <c r="F36" i="3" s="1"/>
  <c r="G36" i="3"/>
  <c r="E37" i="3"/>
  <c r="F37" i="3"/>
  <c r="G37" i="3"/>
  <c r="E38" i="3"/>
  <c r="G38" i="3" s="1"/>
  <c r="F38" i="3"/>
  <c r="E39" i="3"/>
  <c r="G39" i="3" s="1"/>
  <c r="F39" i="3"/>
  <c r="E40" i="3"/>
  <c r="F40" i="3"/>
  <c r="G40" i="3"/>
  <c r="E41" i="3"/>
  <c r="F41" i="3" s="1"/>
  <c r="E42" i="3"/>
  <c r="F42" i="3" s="1"/>
  <c r="G42" i="3"/>
  <c r="E43" i="3"/>
  <c r="F43" i="3"/>
  <c r="G43" i="3"/>
  <c r="E44" i="3"/>
  <c r="G44" i="3" s="1"/>
  <c r="F44" i="3"/>
  <c r="E45" i="3"/>
  <c r="E46" i="3"/>
  <c r="F46" i="3" s="1"/>
  <c r="E47" i="3"/>
  <c r="F47" i="3"/>
  <c r="G47" i="3"/>
  <c r="E48" i="3"/>
  <c r="G48" i="3" s="1"/>
  <c r="F48" i="3"/>
  <c r="E49" i="3"/>
  <c r="G49" i="3" s="1"/>
  <c r="F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E55" i="3"/>
  <c r="E56" i="3"/>
  <c r="F56" i="3" s="1"/>
  <c r="E57" i="3"/>
  <c r="F57" i="3"/>
  <c r="G57" i="3"/>
  <c r="E58" i="3"/>
  <c r="G58" i="3" s="1"/>
  <c r="E59" i="3"/>
  <c r="G59" i="3" s="1"/>
  <c r="F59" i="3"/>
  <c r="E60" i="3"/>
  <c r="F60" i="3"/>
  <c r="G60" i="3"/>
  <c r="E61" i="3"/>
  <c r="F61" i="3" s="1"/>
  <c r="G61" i="3"/>
  <c r="E62" i="3"/>
  <c r="F62" i="3"/>
  <c r="G62" i="3"/>
  <c r="E63" i="3"/>
  <c r="F63" i="3"/>
  <c r="G63" i="3"/>
  <c r="E64" i="3"/>
  <c r="G64" i="3" s="1"/>
  <c r="F64" i="3"/>
  <c r="E65" i="3"/>
  <c r="E66" i="3"/>
  <c r="F66" i="3" s="1"/>
  <c r="E67" i="3"/>
  <c r="F67" i="3"/>
  <c r="G67" i="3"/>
  <c r="E68" i="3"/>
  <c r="G68" i="3" s="1"/>
  <c r="E69" i="3"/>
  <c r="F69" i="3"/>
  <c r="G69" i="3"/>
  <c r="E70" i="3"/>
  <c r="F70" i="3"/>
  <c r="G70" i="3"/>
  <c r="E71" i="3"/>
  <c r="F71" i="3"/>
  <c r="G71" i="3"/>
  <c r="E72" i="3"/>
  <c r="F72" i="3" s="1"/>
  <c r="G72" i="3"/>
  <c r="E73" i="3"/>
  <c r="F73" i="3"/>
  <c r="G73" i="3"/>
  <c r="E74" i="3"/>
  <c r="F74" i="3" s="1"/>
  <c r="E75" i="3"/>
  <c r="E76" i="3"/>
  <c r="F76" i="3" s="1"/>
  <c r="G76" i="3"/>
  <c r="E77" i="3"/>
  <c r="F77" i="3"/>
  <c r="G77" i="3"/>
  <c r="E78" i="3"/>
  <c r="E79" i="3"/>
  <c r="F79" i="3"/>
  <c r="G79" i="3"/>
  <c r="E80" i="3"/>
  <c r="F80" i="3"/>
  <c r="G80" i="3"/>
  <c r="E81" i="3"/>
  <c r="F81" i="3" s="1"/>
  <c r="G81" i="3"/>
  <c r="E82" i="3"/>
  <c r="F82" i="3" s="1"/>
  <c r="G82" i="3"/>
  <c r="E83" i="3"/>
  <c r="F83" i="3"/>
  <c r="G83" i="3"/>
  <c r="E84" i="3"/>
  <c r="F84" i="3"/>
  <c r="G84" i="3"/>
  <c r="E85" i="3"/>
  <c r="E86" i="3"/>
  <c r="F86" i="3" s="1"/>
  <c r="E87" i="3"/>
  <c r="F87" i="3"/>
  <c r="G87" i="3"/>
  <c r="E88" i="3"/>
  <c r="G88" i="3" s="1"/>
  <c r="E89" i="3"/>
  <c r="F89" i="3"/>
  <c r="G89" i="3"/>
  <c r="E90" i="3"/>
  <c r="F90" i="3"/>
  <c r="G90" i="3"/>
  <c r="E91" i="3"/>
  <c r="F91" i="3"/>
  <c r="G91" i="3"/>
  <c r="E92" i="3"/>
  <c r="F92" i="3" s="1"/>
  <c r="G92" i="3"/>
  <c r="E93" i="3"/>
  <c r="F93" i="3"/>
  <c r="G93" i="3"/>
  <c r="E94" i="3"/>
  <c r="E95" i="3"/>
  <c r="E96" i="3"/>
  <c r="F96" i="3" s="1"/>
  <c r="E97" i="3"/>
  <c r="F97" i="3"/>
  <c r="G97" i="3"/>
  <c r="E98" i="3"/>
  <c r="G98" i="3" s="1"/>
  <c r="F98" i="3"/>
  <c r="E99" i="3"/>
  <c r="G99" i="3" s="1"/>
  <c r="F99" i="3"/>
  <c r="E100" i="3"/>
  <c r="F100" i="3"/>
  <c r="G100" i="3"/>
  <c r="E101" i="3"/>
  <c r="F101" i="3" s="1"/>
  <c r="G101" i="3"/>
  <c r="E102" i="3"/>
  <c r="F102" i="3" s="1"/>
  <c r="G102" i="3"/>
  <c r="E103" i="3"/>
  <c r="F103" i="3"/>
  <c r="G103" i="3"/>
  <c r="E104" i="3"/>
  <c r="F104" i="3"/>
  <c r="G104" i="3"/>
  <c r="E105" i="3"/>
  <c r="E106" i="3"/>
  <c r="F106" i="3" s="1"/>
  <c r="E107" i="3"/>
  <c r="F107" i="3"/>
  <c r="G107" i="3"/>
  <c r="E108" i="3"/>
  <c r="G108" i="3" s="1"/>
  <c r="E109" i="3"/>
  <c r="G109" i="3" s="1"/>
  <c r="F109" i="3"/>
  <c r="E110" i="3"/>
  <c r="F110" i="3"/>
  <c r="G110" i="3"/>
  <c r="E111" i="3"/>
  <c r="F111" i="3"/>
  <c r="G111" i="3"/>
  <c r="E112" i="3"/>
  <c r="F112" i="3" s="1"/>
  <c r="G112" i="3"/>
  <c r="E113" i="3"/>
  <c r="F113" i="3"/>
  <c r="G113" i="3"/>
  <c r="E114" i="3"/>
  <c r="F114" i="3"/>
  <c r="G114" i="3"/>
  <c r="E115" i="3"/>
  <c r="E116" i="3"/>
  <c r="F116" i="3" s="1"/>
  <c r="E117" i="3"/>
  <c r="F117" i="3"/>
  <c r="G117" i="3"/>
  <c r="E118" i="3"/>
  <c r="G118" i="3" s="1"/>
  <c r="E119" i="3"/>
  <c r="G119" i="3" s="1"/>
  <c r="F119" i="3"/>
  <c r="E120" i="3"/>
  <c r="F120" i="3"/>
  <c r="G120" i="3"/>
  <c r="E121" i="3"/>
  <c r="F121" i="3" s="1"/>
  <c r="E122" i="3"/>
  <c r="F122" i="3" s="1"/>
  <c r="G122" i="3"/>
  <c r="E123" i="3"/>
  <c r="F123" i="3"/>
  <c r="G123" i="3"/>
  <c r="E124" i="3"/>
  <c r="G124" i="3" s="1"/>
  <c r="E125" i="3"/>
  <c r="E126" i="3"/>
  <c r="F126" i="3" s="1"/>
  <c r="E127" i="3"/>
  <c r="F127" i="3"/>
  <c r="G127" i="3"/>
  <c r="E128" i="3"/>
  <c r="G128" i="3" s="1"/>
  <c r="F128" i="3"/>
  <c r="E129" i="3"/>
  <c r="G129" i="3" s="1"/>
  <c r="F129" i="3"/>
  <c r="E130" i="3"/>
  <c r="F130" i="3"/>
  <c r="G130" i="3"/>
  <c r="E131" i="3"/>
  <c r="F131" i="3" s="1"/>
  <c r="E132" i="3"/>
  <c r="F132" i="3" s="1"/>
  <c r="G132" i="3"/>
  <c r="E133" i="3"/>
  <c r="F133" i="3"/>
  <c r="G133" i="3"/>
  <c r="E134" i="3"/>
  <c r="F134" i="3"/>
  <c r="G134" i="3"/>
  <c r="E135" i="3"/>
  <c r="E136" i="3"/>
  <c r="F136" i="3" s="1"/>
  <c r="E137" i="3"/>
  <c r="F137" i="3"/>
  <c r="G137" i="3"/>
  <c r="E138" i="3"/>
  <c r="E139" i="3"/>
  <c r="G139" i="3" s="1"/>
  <c r="F139" i="3"/>
  <c r="E140" i="3"/>
  <c r="F140" i="3"/>
  <c r="G140" i="3"/>
  <c r="E141" i="3"/>
  <c r="F141" i="3"/>
  <c r="G141" i="3"/>
  <c r="E142" i="3"/>
  <c r="F142" i="3" s="1"/>
  <c r="G142" i="3"/>
  <c r="E143" i="3"/>
  <c r="F143" i="3"/>
  <c r="G143" i="3"/>
  <c r="E144" i="3"/>
  <c r="F144" i="3" s="1"/>
  <c r="G144" i="3"/>
  <c r="E145" i="3"/>
  <c r="E146" i="3"/>
  <c r="F146" i="3" s="1"/>
  <c r="E147" i="3"/>
  <c r="F147" i="3"/>
  <c r="G147" i="3"/>
  <c r="E148" i="3"/>
  <c r="G148" i="3" s="1"/>
  <c r="F148" i="3"/>
  <c r="E149" i="3"/>
  <c r="G149" i="3" s="1"/>
  <c r="F149" i="3"/>
  <c r="E150" i="3"/>
  <c r="F150" i="3"/>
  <c r="G150" i="3"/>
  <c r="E151" i="3"/>
  <c r="E152" i="3"/>
  <c r="F152" i="3" s="1"/>
  <c r="E153" i="3"/>
  <c r="F153" i="3"/>
  <c r="G153" i="3"/>
  <c r="E154" i="3"/>
  <c r="F154" i="3" s="1"/>
  <c r="G154" i="3"/>
  <c r="E155" i="3"/>
  <c r="E156" i="3"/>
  <c r="F156" i="3" s="1"/>
  <c r="E157" i="3"/>
  <c r="F157" i="3"/>
  <c r="G157" i="3"/>
  <c r="E158" i="3"/>
  <c r="G158" i="3" s="1"/>
  <c r="E159" i="3"/>
  <c r="G159" i="3" s="1"/>
  <c r="F159" i="3"/>
  <c r="E160" i="3"/>
  <c r="F160" i="3" s="1"/>
  <c r="G160" i="3"/>
  <c r="E161" i="3"/>
  <c r="F161" i="3" s="1"/>
  <c r="E162" i="3"/>
  <c r="F162" i="3" s="1"/>
  <c r="G162" i="3"/>
  <c r="E163" i="3"/>
  <c r="F163" i="3"/>
  <c r="G163" i="3"/>
  <c r="E164" i="3"/>
  <c r="G164" i="3" s="1"/>
  <c r="E165" i="3"/>
  <c r="E166" i="3"/>
  <c r="F166" i="3" s="1"/>
  <c r="E167" i="3"/>
  <c r="F167" i="3"/>
  <c r="G167" i="3"/>
  <c r="E168" i="3"/>
  <c r="G168" i="3" s="1"/>
  <c r="F168" i="3"/>
  <c r="E169" i="3"/>
  <c r="F169" i="3"/>
  <c r="G169" i="3"/>
  <c r="E170" i="3"/>
  <c r="F170" i="3" s="1"/>
  <c r="G170" i="3"/>
  <c r="E171" i="3"/>
  <c r="G171" i="3" s="1"/>
  <c r="F171" i="3"/>
  <c r="E172" i="3"/>
  <c r="F172" i="3" s="1"/>
  <c r="G172" i="3"/>
  <c r="E173" i="3"/>
  <c r="F173" i="3"/>
  <c r="G173" i="3"/>
  <c r="E174" i="3"/>
  <c r="F174" i="3"/>
  <c r="G174" i="3"/>
  <c r="E175" i="3"/>
  <c r="E176" i="3"/>
  <c r="F176" i="3" s="1"/>
  <c r="E177" i="3"/>
  <c r="F177" i="3"/>
  <c r="G177" i="3"/>
  <c r="E178" i="3"/>
  <c r="E179" i="3"/>
  <c r="G179" i="3" s="1"/>
  <c r="F179" i="3"/>
  <c r="E180" i="3"/>
  <c r="F180" i="3" s="1"/>
  <c r="G180" i="3"/>
  <c r="E181" i="3"/>
  <c r="F181" i="3"/>
  <c r="G181" i="3"/>
  <c r="E182" i="3"/>
  <c r="F182" i="3" s="1"/>
  <c r="G182" i="3"/>
  <c r="E183" i="3"/>
  <c r="F183" i="3"/>
  <c r="G183" i="3"/>
  <c r="E184" i="3"/>
  <c r="G184" i="3" s="1"/>
  <c r="F184" i="3"/>
  <c r="E185" i="3"/>
  <c r="E186" i="3"/>
  <c r="F186" i="3" s="1"/>
  <c r="E187" i="3"/>
  <c r="F187" i="3"/>
  <c r="G187" i="3"/>
  <c r="E188" i="3"/>
  <c r="G188" i="3" s="1"/>
  <c r="F188" i="3"/>
  <c r="E189" i="3"/>
  <c r="G189" i="3" s="1"/>
  <c r="F189" i="3"/>
  <c r="E190" i="3"/>
  <c r="F190" i="3" s="1"/>
  <c r="G190" i="3"/>
  <c r="E191" i="3"/>
  <c r="G191" i="3" s="1"/>
  <c r="F191" i="3"/>
  <c r="E192" i="3"/>
  <c r="F192" i="3" s="1"/>
  <c r="G192" i="3"/>
  <c r="E193" i="3"/>
  <c r="F193" i="3"/>
  <c r="G193" i="3"/>
  <c r="E194" i="3"/>
  <c r="F194" i="3"/>
  <c r="G194" i="3"/>
  <c r="E195" i="3"/>
  <c r="E196" i="3"/>
  <c r="F196" i="3" s="1"/>
  <c r="E197" i="3"/>
  <c r="F197" i="3"/>
  <c r="G197" i="3"/>
  <c r="E198" i="3"/>
  <c r="G198" i="3" s="1"/>
  <c r="E199" i="3"/>
  <c r="G199" i="3" s="1"/>
  <c r="F199" i="3"/>
  <c r="E200" i="3"/>
  <c r="F200" i="3" s="1"/>
  <c r="G200" i="3"/>
  <c r="E201" i="3"/>
  <c r="E202" i="3"/>
  <c r="F202" i="3" s="1"/>
  <c r="G202" i="3"/>
  <c r="E203" i="3"/>
  <c r="F203" i="3"/>
  <c r="G203" i="3"/>
  <c r="E204" i="3"/>
  <c r="F204" i="3"/>
  <c r="G204" i="3"/>
  <c r="E205" i="3"/>
  <c r="E206" i="3"/>
  <c r="F206" i="3" s="1"/>
  <c r="E207" i="3"/>
  <c r="F207" i="3"/>
  <c r="G207" i="3"/>
  <c r="E208" i="3"/>
  <c r="G208" i="3" s="1"/>
  <c r="F208" i="3"/>
  <c r="E209" i="3"/>
  <c r="G209" i="3" s="1"/>
  <c r="F209" i="3"/>
  <c r="E210" i="3"/>
  <c r="F210" i="3" s="1"/>
  <c r="G210" i="3"/>
  <c r="E211" i="3"/>
  <c r="F211" i="3"/>
  <c r="G211" i="3"/>
  <c r="E212" i="3"/>
  <c r="F212" i="3" s="1"/>
  <c r="G212" i="3"/>
  <c r="E213" i="3"/>
  <c r="F213" i="3"/>
  <c r="G213" i="3"/>
  <c r="E214" i="3"/>
  <c r="E215" i="3"/>
  <c r="E216" i="3"/>
  <c r="F216" i="3" s="1"/>
  <c r="E217" i="3"/>
  <c r="F217" i="3"/>
  <c r="G217" i="3"/>
  <c r="E218" i="3"/>
  <c r="G218" i="3" s="1"/>
  <c r="E219" i="3"/>
  <c r="G219" i="3" s="1"/>
  <c r="F219" i="3"/>
  <c r="E220" i="3"/>
  <c r="F220" i="3" s="1"/>
  <c r="G220" i="3"/>
  <c r="E221" i="3"/>
  <c r="F221" i="3" s="1"/>
  <c r="E222" i="3"/>
  <c r="F222" i="3" s="1"/>
  <c r="G222" i="3"/>
  <c r="E223" i="3"/>
  <c r="F223" i="3"/>
  <c r="G223" i="3"/>
  <c r="E224" i="3"/>
  <c r="F224" i="3"/>
  <c r="G224" i="3"/>
  <c r="E225" i="3"/>
  <c r="E226" i="3"/>
  <c r="F226" i="3" s="1"/>
  <c r="E227" i="3"/>
  <c r="F227" i="3"/>
  <c r="G227" i="3"/>
  <c r="E228" i="3"/>
  <c r="E229" i="3"/>
  <c r="F229" i="3"/>
  <c r="G229" i="3"/>
  <c r="E230" i="3"/>
  <c r="F230" i="3"/>
  <c r="G230" i="3"/>
  <c r="E231" i="3"/>
  <c r="F231" i="3" s="1"/>
  <c r="E232" i="3"/>
  <c r="F232" i="3" s="1"/>
  <c r="G232" i="3"/>
  <c r="E233" i="3"/>
  <c r="F233" i="3"/>
  <c r="G233" i="3"/>
  <c r="E234" i="3"/>
  <c r="F234" i="3"/>
  <c r="G234" i="3"/>
  <c r="E235" i="3"/>
  <c r="E236" i="3"/>
  <c r="F236" i="3" s="1"/>
  <c r="E237" i="3"/>
  <c r="F237" i="3" s="1"/>
  <c r="E238" i="3"/>
  <c r="G238" i="3" s="1"/>
  <c r="E239" i="3"/>
  <c r="G239" i="3" s="1"/>
  <c r="F239" i="3"/>
  <c r="E240" i="3"/>
  <c r="F240" i="3"/>
  <c r="G240" i="3"/>
  <c r="E241" i="3"/>
  <c r="F241" i="3" s="1"/>
  <c r="E242" i="3"/>
  <c r="F242" i="3" s="1"/>
  <c r="G242" i="3"/>
  <c r="E243" i="3"/>
  <c r="F243" i="3"/>
  <c r="G243" i="3"/>
  <c r="E244" i="3"/>
  <c r="G244" i="3" s="1"/>
  <c r="F244" i="3"/>
  <c r="E245" i="3"/>
  <c r="E246" i="3"/>
  <c r="F246" i="3" s="1"/>
  <c r="E247" i="3"/>
  <c r="F247" i="3" s="1"/>
  <c r="E248" i="3"/>
  <c r="G248" i="3" s="1"/>
  <c r="E249" i="3"/>
  <c r="G249" i="3" s="1"/>
  <c r="F249" i="3"/>
  <c r="E250" i="3"/>
  <c r="F250" i="3"/>
  <c r="G250" i="3"/>
  <c r="E251" i="3"/>
  <c r="F251" i="3" s="1"/>
  <c r="E252" i="3"/>
  <c r="F252" i="3" s="1"/>
  <c r="G252" i="3"/>
  <c r="E253" i="3"/>
  <c r="F253" i="3"/>
  <c r="G253" i="3"/>
  <c r="E254" i="3"/>
  <c r="F254" i="3" s="1"/>
  <c r="G254" i="3"/>
  <c r="E255" i="3"/>
  <c r="E256" i="3"/>
  <c r="F256" i="3" s="1"/>
  <c r="E257" i="3"/>
  <c r="G257" i="3" s="1"/>
  <c r="F257" i="3"/>
  <c r="E258" i="3"/>
  <c r="E259" i="3"/>
  <c r="G259" i="3" s="1"/>
  <c r="F259" i="3"/>
  <c r="E260" i="3"/>
  <c r="F260" i="3"/>
  <c r="G260" i="3"/>
  <c r="E261" i="3"/>
  <c r="F261" i="3"/>
  <c r="G261" i="3"/>
  <c r="E262" i="3"/>
  <c r="F262" i="3" s="1"/>
  <c r="G262" i="3"/>
  <c r="E263" i="3"/>
  <c r="F263" i="3"/>
  <c r="G263" i="3"/>
  <c r="E264" i="3"/>
  <c r="F264" i="3" s="1"/>
  <c r="G264" i="3"/>
  <c r="E265" i="3"/>
  <c r="E266" i="3"/>
  <c r="F266" i="3" s="1"/>
  <c r="E267" i="3"/>
  <c r="E268" i="3"/>
  <c r="G268" i="3" s="1"/>
  <c r="F268" i="3"/>
  <c r="E269" i="3"/>
  <c r="G269" i="3" s="1"/>
  <c r="F269" i="3"/>
  <c r="E270" i="3"/>
  <c r="F270" i="3"/>
  <c r="G270" i="3"/>
  <c r="E271" i="3"/>
  <c r="E272" i="3"/>
  <c r="F272" i="3" s="1"/>
  <c r="G272" i="3"/>
  <c r="E273" i="3"/>
  <c r="F273" i="3"/>
  <c r="G273" i="3"/>
  <c r="E274" i="3"/>
  <c r="F274" i="3" s="1"/>
  <c r="E275" i="3"/>
  <c r="E276" i="3"/>
  <c r="F276" i="3" s="1"/>
  <c r="E277" i="3"/>
  <c r="F277" i="3"/>
  <c r="G277" i="3"/>
  <c r="E278" i="3"/>
  <c r="G278" i="3" s="1"/>
  <c r="F278" i="3"/>
  <c r="E279" i="3"/>
  <c r="G279" i="3" s="1"/>
  <c r="F279" i="3"/>
  <c r="E280" i="3"/>
  <c r="F280" i="3"/>
  <c r="G280" i="3"/>
  <c r="E281" i="3"/>
  <c r="F281" i="3"/>
  <c r="G281" i="3"/>
  <c r="E282" i="3"/>
  <c r="F282" i="3" s="1"/>
  <c r="G282" i="3"/>
  <c r="E283" i="3"/>
  <c r="F283" i="3"/>
  <c r="G283" i="3"/>
  <c r="E284" i="3"/>
  <c r="F284" i="3" s="1"/>
  <c r="E285" i="3"/>
  <c r="E286" i="3"/>
  <c r="F286" i="3" s="1"/>
  <c r="E287" i="3"/>
  <c r="F287" i="3"/>
  <c r="G287" i="3"/>
  <c r="E288" i="3"/>
  <c r="G288" i="3" s="1"/>
  <c r="F288" i="3"/>
  <c r="E289" i="3"/>
  <c r="F289" i="3"/>
  <c r="G289" i="3"/>
  <c r="E290" i="3"/>
  <c r="F290" i="3"/>
  <c r="G290" i="3"/>
  <c r="E291" i="3"/>
  <c r="G291" i="3" s="1"/>
  <c r="F291" i="3"/>
  <c r="E292" i="3"/>
  <c r="F292" i="3" s="1"/>
  <c r="G292" i="3"/>
  <c r="E293" i="3"/>
  <c r="F293" i="3"/>
  <c r="G293" i="3"/>
  <c r="E294" i="3"/>
  <c r="F294" i="3" s="1"/>
  <c r="G294" i="3"/>
  <c r="E295" i="3"/>
  <c r="E296" i="3"/>
  <c r="F296" i="3" s="1"/>
  <c r="E297" i="3"/>
  <c r="E298" i="3"/>
  <c r="G298" i="3" s="1"/>
  <c r="F298" i="3"/>
  <c r="E299" i="3"/>
  <c r="F299" i="3"/>
  <c r="G299" i="3"/>
  <c r="E300" i="3"/>
  <c r="F300" i="3"/>
  <c r="G300" i="3"/>
  <c r="E301" i="3"/>
  <c r="F301" i="3" s="1"/>
  <c r="E302" i="3"/>
  <c r="F302" i="3" s="1"/>
  <c r="G302" i="3"/>
  <c r="E303" i="3"/>
  <c r="F303" i="3"/>
  <c r="G303" i="3"/>
  <c r="E304" i="3"/>
  <c r="G304" i="3" s="1"/>
  <c r="F304" i="3"/>
  <c r="E305" i="3"/>
  <c r="E306" i="3"/>
  <c r="F306" i="3" s="1"/>
  <c r="E307" i="3"/>
  <c r="F307" i="3" s="1"/>
  <c r="E308" i="3"/>
  <c r="G308" i="3" s="1"/>
  <c r="F308" i="3"/>
  <c r="E309" i="3"/>
  <c r="F309" i="3"/>
  <c r="G309" i="3"/>
  <c r="E310" i="3"/>
  <c r="F310" i="3"/>
  <c r="G310" i="3"/>
  <c r="E311" i="3"/>
  <c r="F311" i="3" s="1"/>
  <c r="G311" i="3"/>
  <c r="E312" i="3"/>
  <c r="F312" i="3" s="1"/>
  <c r="G312" i="3"/>
  <c r="E313" i="3"/>
  <c r="F313" i="3"/>
  <c r="G313" i="3"/>
  <c r="E314" i="3"/>
  <c r="F314" i="3"/>
  <c r="G314" i="3"/>
  <c r="E315" i="3"/>
  <c r="E316" i="3"/>
  <c r="E317" i="3"/>
  <c r="G317" i="3" s="1"/>
  <c r="F317" i="3"/>
  <c r="E318" i="3"/>
  <c r="G318" i="3" s="1"/>
  <c r="E319" i="3"/>
  <c r="F319" i="3"/>
  <c r="G319" i="3"/>
  <c r="E320" i="3"/>
  <c r="F320" i="3"/>
  <c r="G320" i="3"/>
  <c r="E321" i="3"/>
  <c r="G321" i="3" s="1"/>
  <c r="F321" i="3"/>
  <c r="E322" i="3"/>
  <c r="F322" i="3" s="1"/>
  <c r="G322" i="3"/>
  <c r="E323" i="3"/>
  <c r="F323" i="3" s="1"/>
  <c r="G323" i="3"/>
  <c r="E324" i="3"/>
  <c r="F324" i="3"/>
  <c r="G324" i="3"/>
  <c r="E325" i="3"/>
  <c r="E326" i="3"/>
  <c r="E327" i="3"/>
  <c r="F327" i="3"/>
  <c r="G327" i="3"/>
  <c r="E328" i="3"/>
  <c r="G328" i="3" s="1"/>
  <c r="E329" i="3"/>
  <c r="F329" i="3"/>
  <c r="G329" i="3"/>
  <c r="E330" i="3"/>
  <c r="F330" i="3"/>
  <c r="G330" i="3"/>
  <c r="E331" i="3"/>
  <c r="F331" i="3"/>
  <c r="G331" i="3"/>
  <c r="E332" i="3"/>
  <c r="F332" i="3"/>
  <c r="G332" i="3"/>
  <c r="E333" i="3"/>
  <c r="F333" i="3" s="1"/>
  <c r="E334" i="3"/>
  <c r="F334" i="3" s="1"/>
  <c r="E335" i="3"/>
  <c r="F335" i="3" s="1"/>
  <c r="E336" i="3"/>
  <c r="G336" i="3" s="1"/>
  <c r="F336" i="3"/>
  <c r="E337" i="3"/>
  <c r="F337" i="3"/>
  <c r="G337" i="3"/>
  <c r="E338" i="3"/>
  <c r="G338" i="3" s="1"/>
  <c r="E339" i="3"/>
  <c r="F339" i="3"/>
  <c r="G339" i="3"/>
  <c r="E340" i="3"/>
  <c r="F340" i="3"/>
  <c r="G340" i="3"/>
  <c r="E341" i="3"/>
  <c r="G341" i="3" s="1"/>
  <c r="F341" i="3"/>
  <c r="E342" i="3"/>
  <c r="F342" i="3"/>
  <c r="G342" i="3"/>
  <c r="E343" i="3"/>
  <c r="F343" i="3" s="1"/>
  <c r="E344" i="3"/>
  <c r="F344" i="3" s="1"/>
  <c r="E345" i="3"/>
  <c r="E346" i="3"/>
  <c r="G346" i="3" s="1"/>
  <c r="F346" i="3"/>
  <c r="E347" i="3"/>
  <c r="F347" i="3" s="1"/>
  <c r="E348" i="3"/>
  <c r="G348" i="3" s="1"/>
  <c r="F348" i="3"/>
  <c r="E349" i="3"/>
  <c r="G349" i="3" s="1"/>
  <c r="F349" i="3"/>
  <c r="E350" i="3"/>
  <c r="F350" i="3"/>
  <c r="G350" i="3"/>
  <c r="E351" i="3"/>
  <c r="F351" i="3" s="1"/>
  <c r="G351" i="3"/>
  <c r="E352" i="3"/>
  <c r="F352" i="3"/>
  <c r="G352" i="3"/>
  <c r="E353" i="3"/>
  <c r="F353" i="3" s="1"/>
  <c r="E354" i="3"/>
  <c r="F354" i="3"/>
  <c r="G354" i="3"/>
  <c r="E355" i="3"/>
  <c r="F355" i="3" s="1"/>
  <c r="G355" i="3"/>
  <c r="E356" i="3"/>
  <c r="G356" i="3" s="1"/>
  <c r="F356" i="3"/>
  <c r="E357" i="3"/>
  <c r="E358" i="3"/>
  <c r="G358" i="3" s="1"/>
  <c r="F358" i="3"/>
  <c r="E359" i="3"/>
  <c r="F359" i="3" s="1"/>
  <c r="G359" i="3"/>
  <c r="E360" i="3"/>
  <c r="F360" i="3"/>
  <c r="G360" i="3"/>
  <c r="E361" i="3"/>
  <c r="F361" i="3" s="1"/>
  <c r="E362" i="3"/>
  <c r="F362" i="3"/>
  <c r="G362" i="3"/>
  <c r="E363" i="3"/>
  <c r="F363" i="3" s="1"/>
  <c r="G363" i="3"/>
  <c r="E364" i="3"/>
  <c r="G364" i="3" s="1"/>
  <c r="E365" i="3"/>
  <c r="F365" i="3" s="1"/>
  <c r="G365" i="3"/>
  <c r="E366" i="3"/>
  <c r="G366" i="3" s="1"/>
  <c r="E367" i="3"/>
  <c r="F367" i="3"/>
  <c r="G367" i="3"/>
  <c r="E368" i="3"/>
  <c r="G368" i="3" s="1"/>
  <c r="E369" i="3"/>
  <c r="F369" i="3" s="1"/>
  <c r="E370" i="3"/>
  <c r="F370" i="3"/>
  <c r="G370" i="3"/>
  <c r="E371" i="3"/>
  <c r="F371" i="3"/>
  <c r="G371" i="3"/>
  <c r="E372" i="3"/>
  <c r="F372" i="3"/>
  <c r="G372" i="3"/>
  <c r="E373" i="3"/>
  <c r="F373" i="3" s="1"/>
  <c r="G373" i="3"/>
  <c r="E374" i="3"/>
  <c r="F374" i="3" s="1"/>
  <c r="G374" i="3"/>
  <c r="E375" i="3"/>
  <c r="F375" i="3" s="1"/>
  <c r="G375" i="3"/>
  <c r="E376" i="3"/>
  <c r="E377" i="3"/>
  <c r="F377" i="3"/>
  <c r="G377" i="3"/>
  <c r="E378" i="3"/>
  <c r="G378" i="3" s="1"/>
  <c r="E379" i="3"/>
  <c r="F379" i="3" s="1"/>
  <c r="E380" i="3"/>
  <c r="F380" i="3"/>
  <c r="G380" i="3"/>
  <c r="E381" i="3"/>
  <c r="F381" i="3"/>
  <c r="G381" i="3"/>
  <c r="E382" i="3"/>
  <c r="F382" i="3"/>
  <c r="G382" i="3"/>
  <c r="E383" i="3"/>
  <c r="F383" i="3" s="1"/>
  <c r="G383" i="3"/>
  <c r="E384" i="3"/>
  <c r="F384" i="3" s="1"/>
  <c r="E385" i="3"/>
  <c r="F385" i="3" s="1"/>
  <c r="G385" i="3"/>
  <c r="E386" i="3"/>
  <c r="G386" i="3" s="1"/>
  <c r="F386" i="3"/>
  <c r="E387" i="3"/>
  <c r="F387" i="3" s="1"/>
  <c r="E388" i="3"/>
  <c r="G388" i="3" s="1"/>
  <c r="E389" i="3"/>
  <c r="F389" i="3"/>
  <c r="G389" i="3"/>
  <c r="E390" i="3"/>
  <c r="F390" i="3"/>
  <c r="G390" i="3"/>
  <c r="E391" i="3"/>
  <c r="G391" i="3" s="1"/>
  <c r="E392" i="3"/>
  <c r="F392" i="3"/>
  <c r="G392" i="3"/>
  <c r="E393" i="3"/>
  <c r="F393" i="3" s="1"/>
  <c r="E394" i="3"/>
  <c r="G394" i="3" s="1"/>
  <c r="F394" i="3"/>
  <c r="E395" i="3"/>
  <c r="E396" i="3"/>
  <c r="G396" i="3" s="1"/>
  <c r="F396" i="3"/>
  <c r="E397" i="3"/>
  <c r="G397" i="3" s="1"/>
  <c r="F397" i="3"/>
  <c r="E398" i="3"/>
  <c r="G398" i="3" s="1"/>
  <c r="F398" i="3"/>
  <c r="E399" i="3"/>
  <c r="G399" i="3" s="1"/>
  <c r="F399" i="3"/>
  <c r="E400" i="3"/>
  <c r="F400" i="3"/>
  <c r="G400" i="3"/>
  <c r="E401" i="3"/>
  <c r="F401" i="3" s="1"/>
  <c r="G401" i="3"/>
  <c r="E402" i="3"/>
  <c r="F402" i="3"/>
  <c r="G402" i="3"/>
  <c r="E403" i="3"/>
  <c r="F403" i="3" s="1"/>
  <c r="E404" i="3"/>
  <c r="F404" i="3"/>
  <c r="G404" i="3"/>
  <c r="E405" i="3"/>
  <c r="F405" i="3" s="1"/>
  <c r="G405" i="3"/>
  <c r="E406" i="3"/>
  <c r="G406" i="3" s="1"/>
  <c r="F406" i="3"/>
  <c r="E407" i="3"/>
  <c r="E408" i="3"/>
  <c r="G408" i="3" s="1"/>
  <c r="F408" i="3"/>
  <c r="E409" i="3"/>
  <c r="F409" i="3" s="1"/>
  <c r="G409" i="3"/>
  <c r="E410" i="3"/>
  <c r="F410" i="3"/>
  <c r="G410" i="3"/>
  <c r="E411" i="3"/>
  <c r="F411" i="3" s="1"/>
  <c r="E412" i="3"/>
  <c r="F412" i="3"/>
  <c r="G412" i="3"/>
  <c r="E413" i="3"/>
  <c r="F413" i="3" s="1"/>
  <c r="G413" i="3"/>
  <c r="E414" i="3"/>
  <c r="G414" i="3" s="1"/>
  <c r="E415" i="3"/>
  <c r="F415" i="3" s="1"/>
  <c r="G415" i="3"/>
  <c r="E416" i="3"/>
  <c r="G416" i="3" s="1"/>
  <c r="F416" i="3"/>
  <c r="E417" i="3"/>
  <c r="F417" i="3"/>
  <c r="G417" i="3"/>
  <c r="E418" i="3"/>
  <c r="G418" i="3" s="1"/>
  <c r="E419" i="3"/>
  <c r="F419" i="3" s="1"/>
  <c r="E420" i="3"/>
  <c r="F420" i="3"/>
  <c r="G420" i="3"/>
  <c r="E421" i="3"/>
  <c r="F421" i="3"/>
  <c r="G421" i="3"/>
  <c r="E422" i="3"/>
  <c r="F422" i="3"/>
  <c r="G422" i="3"/>
  <c r="E423" i="3"/>
  <c r="F423" i="3" s="1"/>
  <c r="G423" i="3"/>
  <c r="E424" i="3"/>
  <c r="F424" i="3" s="1"/>
  <c r="G424" i="3"/>
  <c r="E425" i="3"/>
  <c r="F425" i="3" s="1"/>
  <c r="G425" i="3"/>
  <c r="E426" i="3"/>
  <c r="E427" i="3"/>
  <c r="F427" i="3"/>
  <c r="G427" i="3"/>
  <c r="E428" i="3"/>
  <c r="F428" i="3" s="1"/>
  <c r="G428" i="3"/>
  <c r="E429" i="3"/>
  <c r="F429" i="3" s="1"/>
  <c r="E430" i="3"/>
  <c r="F430" i="3"/>
  <c r="G430" i="3"/>
  <c r="E431" i="3"/>
  <c r="G431" i="3" s="1"/>
  <c r="F431" i="3"/>
  <c r="E432" i="3"/>
  <c r="F432" i="3" s="1"/>
  <c r="E433" i="3"/>
  <c r="E434" i="3"/>
  <c r="F434" i="3"/>
  <c r="G434" i="3"/>
  <c r="E435" i="3"/>
  <c r="F435" i="3"/>
  <c r="G435" i="3"/>
  <c r="E436" i="3"/>
  <c r="G436" i="3" s="1"/>
  <c r="E437" i="3"/>
  <c r="F437" i="3"/>
  <c r="G437" i="3"/>
  <c r="E438" i="3"/>
  <c r="F438" i="3" s="1"/>
  <c r="G438" i="3"/>
  <c r="E439" i="3"/>
  <c r="G439" i="3" s="1"/>
  <c r="F439" i="3"/>
  <c r="E440" i="3"/>
  <c r="F440" i="3" s="1"/>
  <c r="E441" i="3"/>
  <c r="G441" i="3" s="1"/>
  <c r="F441" i="3"/>
  <c r="E442" i="3"/>
  <c r="F442" i="3"/>
  <c r="G442" i="3"/>
  <c r="E443" i="3"/>
  <c r="E444" i="3"/>
  <c r="F444" i="3"/>
  <c r="G444" i="3"/>
  <c r="E445" i="3"/>
  <c r="F445" i="3"/>
  <c r="G445" i="3"/>
  <c r="E446" i="3"/>
  <c r="G446" i="3" s="1"/>
  <c r="F446" i="3"/>
  <c r="E447" i="3"/>
  <c r="F447" i="3"/>
  <c r="G447" i="3"/>
  <c r="E448" i="3"/>
  <c r="F448" i="3" s="1"/>
  <c r="G448" i="3"/>
  <c r="E449" i="3"/>
  <c r="F449" i="3" s="1"/>
  <c r="E450" i="3"/>
  <c r="F450" i="3" s="1"/>
  <c r="E451" i="3"/>
  <c r="G451" i="3" s="1"/>
  <c r="F451" i="3"/>
  <c r="E452" i="3"/>
  <c r="F452" i="3"/>
  <c r="G452" i="3"/>
  <c r="E453" i="3"/>
  <c r="E454" i="3"/>
  <c r="F454" i="3"/>
  <c r="G454" i="3"/>
  <c r="E455" i="3"/>
  <c r="F455" i="3"/>
  <c r="G455" i="3"/>
  <c r="E456" i="3"/>
  <c r="G456" i="3" s="1"/>
  <c r="F456" i="3"/>
  <c r="E457" i="3"/>
  <c r="F457" i="3"/>
  <c r="G457" i="3"/>
  <c r="E458" i="3"/>
  <c r="F458" i="3" s="1"/>
  <c r="G458" i="3"/>
  <c r="E459" i="3"/>
  <c r="F459" i="3"/>
  <c r="G459" i="3"/>
  <c r="E460" i="3"/>
  <c r="F460" i="3" s="1"/>
  <c r="E461" i="3"/>
  <c r="G461" i="3" s="1"/>
  <c r="F461" i="3"/>
  <c r="E462" i="3"/>
  <c r="F462" i="3" s="1"/>
  <c r="E463" i="3"/>
  <c r="E464" i="3"/>
  <c r="F464" i="3"/>
  <c r="G464" i="3"/>
  <c r="E465" i="3"/>
  <c r="F465" i="3"/>
  <c r="G465" i="3"/>
  <c r="E466" i="3"/>
  <c r="G466" i="3" s="1"/>
  <c r="E467" i="3"/>
  <c r="F467" i="3"/>
  <c r="G467" i="3"/>
  <c r="E468" i="3"/>
  <c r="F468" i="3" s="1"/>
  <c r="G468" i="3"/>
  <c r="E469" i="3"/>
  <c r="F469" i="3"/>
  <c r="G469" i="3"/>
  <c r="E470" i="3"/>
  <c r="F470" i="3" s="1"/>
  <c r="E471" i="3"/>
  <c r="G471" i="3" s="1"/>
  <c r="F471" i="3"/>
  <c r="E472" i="3"/>
  <c r="F472" i="3" s="1"/>
  <c r="E473" i="3"/>
  <c r="E474" i="3"/>
  <c r="F474" i="3"/>
  <c r="G474" i="3"/>
  <c r="E475" i="3"/>
  <c r="F475" i="3"/>
  <c r="G475" i="3"/>
  <c r="E476" i="3"/>
  <c r="G476" i="3" s="1"/>
  <c r="E477" i="3"/>
  <c r="F477" i="3"/>
  <c r="G477" i="3"/>
  <c r="E478" i="3"/>
  <c r="F478" i="3" s="1"/>
  <c r="G478" i="3"/>
  <c r="E479" i="3"/>
  <c r="F479" i="3" s="1"/>
  <c r="E480" i="3"/>
  <c r="F480" i="3" s="1"/>
  <c r="E481" i="3"/>
  <c r="G481" i="3" s="1"/>
  <c r="F481" i="3"/>
  <c r="E482" i="3"/>
  <c r="F482" i="3"/>
  <c r="G482" i="3"/>
  <c r="E483" i="3"/>
  <c r="E484" i="3"/>
  <c r="F484" i="3"/>
  <c r="G484" i="3"/>
  <c r="E485" i="3"/>
  <c r="F485" i="3"/>
  <c r="G485" i="3"/>
  <c r="E486" i="3"/>
  <c r="G486" i="3" s="1"/>
  <c r="F486" i="3"/>
  <c r="E487" i="3"/>
  <c r="F487" i="3"/>
  <c r="G487" i="3"/>
  <c r="E488" i="3"/>
  <c r="F488" i="3" s="1"/>
  <c r="G488" i="3"/>
  <c r="E489" i="3"/>
  <c r="F489" i="3" s="1"/>
  <c r="E490" i="3"/>
  <c r="F490" i="3" s="1"/>
  <c r="E491" i="3"/>
  <c r="G491" i="3" s="1"/>
  <c r="F491" i="3"/>
  <c r="E492" i="3"/>
  <c r="F492" i="3" s="1"/>
  <c r="E493" i="3"/>
  <c r="E494" i="3"/>
  <c r="F494" i="3"/>
  <c r="G494" i="3"/>
  <c r="E495" i="3"/>
  <c r="F495" i="3"/>
  <c r="G495" i="3"/>
  <c r="E496" i="3"/>
  <c r="G496" i="3" s="1"/>
  <c r="E497" i="3"/>
  <c r="F497" i="3"/>
  <c r="G497" i="3"/>
  <c r="E498" i="3"/>
  <c r="F498" i="3" s="1"/>
  <c r="G498" i="3"/>
  <c r="E499" i="3"/>
  <c r="F499" i="3"/>
  <c r="G499" i="3"/>
  <c r="E500" i="3"/>
  <c r="F500" i="3" s="1"/>
  <c r="E501" i="3"/>
  <c r="G501" i="3" s="1"/>
  <c r="F501" i="3"/>
  <c r="E502" i="3"/>
  <c r="G502" i="3" s="1"/>
  <c r="F502" i="3"/>
  <c r="E503" i="3"/>
  <c r="E504" i="3"/>
  <c r="F504" i="3"/>
  <c r="G504" i="3"/>
  <c r="E505" i="3"/>
  <c r="F505" i="3"/>
  <c r="G505" i="3"/>
  <c r="E506" i="3"/>
  <c r="G506" i="3" s="1"/>
  <c r="F506" i="3"/>
  <c r="E507" i="3"/>
  <c r="F507" i="3"/>
  <c r="G507" i="3"/>
  <c r="E508" i="3"/>
  <c r="F508" i="3" s="1"/>
  <c r="G508" i="3"/>
  <c r="E509" i="3"/>
  <c r="F509" i="3" s="1"/>
  <c r="E510" i="3"/>
  <c r="F510" i="3" s="1"/>
  <c r="E511" i="3"/>
  <c r="G511" i="3" s="1"/>
  <c r="F511" i="3"/>
  <c r="E512" i="3"/>
  <c r="F512" i="3"/>
  <c r="G512" i="3"/>
  <c r="E513" i="3"/>
  <c r="E514" i="3"/>
  <c r="F514" i="3"/>
  <c r="G514" i="3"/>
  <c r="E515" i="3"/>
  <c r="F515" i="3"/>
  <c r="G515" i="3"/>
  <c r="E516" i="3"/>
  <c r="G516" i="3" s="1"/>
  <c r="F516" i="3"/>
  <c r="E517" i="3"/>
  <c r="F517" i="3"/>
  <c r="G517" i="3"/>
  <c r="E518" i="3"/>
  <c r="F518" i="3" s="1"/>
  <c r="G518" i="3"/>
  <c r="E519" i="3"/>
  <c r="F519" i="3" s="1"/>
  <c r="E520" i="3"/>
  <c r="F520" i="3" s="1"/>
  <c r="E521" i="3"/>
  <c r="G521" i="3" s="1"/>
  <c r="F521" i="3"/>
  <c r="E522" i="3"/>
  <c r="G522" i="3" s="1"/>
  <c r="F522" i="3"/>
  <c r="E523" i="3"/>
  <c r="E524" i="3"/>
  <c r="F524" i="3"/>
  <c r="G524" i="3"/>
  <c r="E525" i="3"/>
  <c r="F525" i="3"/>
  <c r="G525" i="3"/>
  <c r="E526" i="3"/>
  <c r="G526" i="3" s="1"/>
  <c r="F526" i="3"/>
  <c r="E527" i="3"/>
  <c r="F527" i="3"/>
  <c r="G527" i="3"/>
  <c r="E528" i="3"/>
  <c r="F528" i="3" s="1"/>
  <c r="G528" i="3"/>
  <c r="E529" i="3"/>
  <c r="F529" i="3"/>
  <c r="G529" i="3"/>
  <c r="E530" i="3"/>
  <c r="F530" i="3" s="1"/>
  <c r="E531" i="3"/>
  <c r="G531" i="3" s="1"/>
  <c r="F531" i="3"/>
  <c r="E532" i="3"/>
  <c r="F532" i="3" s="1"/>
  <c r="E533" i="3"/>
  <c r="E534" i="3"/>
  <c r="F534" i="3"/>
  <c r="G534" i="3"/>
  <c r="E535" i="3"/>
  <c r="F535" i="3"/>
  <c r="G535" i="3"/>
  <c r="E536" i="3"/>
  <c r="G536" i="3" s="1"/>
  <c r="E537" i="3"/>
  <c r="F537" i="3"/>
  <c r="G537" i="3"/>
  <c r="E538" i="3"/>
  <c r="F538" i="3" s="1"/>
  <c r="G538" i="3"/>
  <c r="E539" i="3"/>
  <c r="G539" i="3" s="1"/>
  <c r="F539" i="3"/>
  <c r="E540" i="3"/>
  <c r="F540" i="3" s="1"/>
  <c r="E541" i="3"/>
  <c r="G541" i="3" s="1"/>
  <c r="F541" i="3"/>
  <c r="E542" i="3"/>
  <c r="F542" i="3"/>
  <c r="G542" i="3"/>
  <c r="E543" i="3"/>
  <c r="E544" i="3"/>
  <c r="F544" i="3"/>
  <c r="G544" i="3"/>
  <c r="E545" i="3"/>
  <c r="F545" i="3"/>
  <c r="G545" i="3"/>
  <c r="E546" i="3"/>
  <c r="G546" i="3" s="1"/>
  <c r="F546" i="3"/>
  <c r="E547" i="3"/>
  <c r="F547" i="3"/>
  <c r="G547" i="3"/>
  <c r="E548" i="3"/>
  <c r="F548" i="3" s="1"/>
  <c r="G548" i="3"/>
  <c r="E549" i="3"/>
  <c r="F549" i="3" s="1"/>
  <c r="E550" i="3"/>
  <c r="F550" i="3" s="1"/>
  <c r="E551" i="3"/>
  <c r="G551" i="3" s="1"/>
  <c r="F551" i="3"/>
  <c r="E552" i="3"/>
  <c r="F552" i="3"/>
  <c r="G552" i="3"/>
  <c r="E553" i="3"/>
  <c r="E554" i="3"/>
  <c r="F554" i="3"/>
  <c r="G554" i="3"/>
  <c r="E555" i="3"/>
  <c r="F555" i="3"/>
  <c r="G555" i="3"/>
  <c r="E556" i="3"/>
  <c r="G556" i="3" s="1"/>
  <c r="F556" i="3"/>
  <c r="E557" i="3"/>
  <c r="F557" i="3"/>
  <c r="G557" i="3"/>
  <c r="E558" i="3"/>
  <c r="F558" i="3" s="1"/>
  <c r="G558" i="3"/>
  <c r="E559" i="3"/>
  <c r="F559" i="3"/>
  <c r="G559" i="3"/>
  <c r="E560" i="3"/>
  <c r="F560" i="3" s="1"/>
  <c r="E561" i="3"/>
  <c r="G561" i="3" s="1"/>
  <c r="F561" i="3"/>
  <c r="E562" i="3"/>
  <c r="F562" i="3" s="1"/>
  <c r="E563" i="3"/>
  <c r="E564" i="3"/>
  <c r="F564" i="3"/>
  <c r="G564" i="3"/>
  <c r="E565" i="3"/>
  <c r="F565" i="3"/>
  <c r="G565" i="3"/>
  <c r="E566" i="3"/>
  <c r="G566" i="3" s="1"/>
  <c r="E567" i="3"/>
  <c r="F567" i="3"/>
  <c r="G567" i="3"/>
  <c r="E568" i="3"/>
  <c r="F568" i="3" s="1"/>
  <c r="G568" i="3"/>
  <c r="E569" i="3"/>
  <c r="F569" i="3"/>
  <c r="G569" i="3"/>
  <c r="E570" i="3"/>
  <c r="F570" i="3" s="1"/>
  <c r="E571" i="3"/>
  <c r="G571" i="3" s="1"/>
  <c r="F571" i="3"/>
  <c r="E572" i="3"/>
  <c r="F572" i="3" s="1"/>
  <c r="E573" i="3"/>
  <c r="E574" i="3"/>
  <c r="F574" i="3"/>
  <c r="G574" i="3"/>
  <c r="E575" i="3"/>
  <c r="F575" i="3"/>
  <c r="G575" i="3"/>
  <c r="E576" i="3"/>
  <c r="G576" i="3" s="1"/>
  <c r="E577" i="3"/>
  <c r="F577" i="3"/>
  <c r="G577" i="3"/>
  <c r="E578" i="3"/>
  <c r="F578" i="3" s="1"/>
  <c r="G578" i="3"/>
  <c r="E579" i="3"/>
  <c r="F579" i="3" s="1"/>
  <c r="E580" i="3"/>
  <c r="F580" i="3" s="1"/>
  <c r="E581" i="3"/>
  <c r="G581" i="3" s="1"/>
  <c r="F581" i="3"/>
  <c r="E582" i="3"/>
  <c r="F582" i="3"/>
  <c r="G582" i="3"/>
  <c r="E583" i="3"/>
  <c r="E584" i="3"/>
  <c r="F584" i="3"/>
  <c r="G584" i="3"/>
  <c r="E585" i="3"/>
  <c r="F585" i="3"/>
  <c r="G585" i="3"/>
  <c r="E586" i="3"/>
  <c r="G586" i="3" s="1"/>
  <c r="F586" i="3"/>
  <c r="E587" i="3"/>
  <c r="F587" i="3"/>
  <c r="G587" i="3"/>
  <c r="E588" i="3"/>
  <c r="F588" i="3" s="1"/>
  <c r="G588" i="3"/>
  <c r="E589" i="3"/>
  <c r="F589" i="3" s="1"/>
  <c r="E590" i="3"/>
  <c r="F590" i="3" s="1"/>
  <c r="E591" i="3"/>
  <c r="G591" i="3" s="1"/>
  <c r="F591" i="3"/>
  <c r="E592" i="3"/>
  <c r="F592" i="3" s="1"/>
  <c r="E593" i="3"/>
  <c r="E594" i="3"/>
  <c r="F594" i="3"/>
  <c r="G594" i="3"/>
  <c r="E595" i="3"/>
  <c r="F595" i="3"/>
  <c r="G595" i="3"/>
  <c r="E596" i="3"/>
  <c r="F596" i="3" s="1"/>
  <c r="E597" i="3"/>
  <c r="F597" i="3"/>
  <c r="G597" i="3"/>
  <c r="E598" i="3"/>
  <c r="F598" i="3" s="1"/>
  <c r="G598" i="3"/>
  <c r="E599" i="3"/>
  <c r="F599" i="3"/>
  <c r="G599" i="3"/>
  <c r="E600" i="3"/>
  <c r="E601" i="3"/>
  <c r="G601" i="3" s="1"/>
  <c r="F601" i="3"/>
  <c r="E602" i="3"/>
  <c r="F602" i="3" s="1"/>
  <c r="E603" i="3"/>
  <c r="G603" i="3" s="1"/>
  <c r="F603" i="3"/>
  <c r="E604" i="3"/>
  <c r="F604" i="3"/>
  <c r="G604" i="3"/>
  <c r="E605" i="3"/>
  <c r="F605" i="3"/>
  <c r="G605" i="3"/>
  <c r="E606" i="3"/>
  <c r="F606" i="3"/>
  <c r="G606" i="3"/>
  <c r="E607" i="3"/>
  <c r="F607" i="3"/>
  <c r="G607" i="3"/>
  <c r="E608" i="3"/>
  <c r="F608" i="3" s="1"/>
  <c r="E609" i="3"/>
  <c r="G609" i="3" s="1"/>
  <c r="F609" i="3"/>
  <c r="E610" i="3"/>
  <c r="E611" i="3"/>
  <c r="G611" i="3" s="1"/>
  <c r="F611" i="3"/>
  <c r="E612" i="3"/>
  <c r="G612" i="3" s="1"/>
  <c r="F612" i="3"/>
  <c r="E613" i="3"/>
  <c r="G613" i="3" s="1"/>
  <c r="E614" i="3"/>
  <c r="F614" i="3"/>
  <c r="G614" i="3"/>
  <c r="E615" i="3"/>
  <c r="F615" i="3"/>
  <c r="G615" i="3"/>
  <c r="E616" i="3"/>
  <c r="F616" i="3" s="1"/>
  <c r="E617" i="3"/>
  <c r="F617" i="3"/>
  <c r="G617" i="3"/>
  <c r="E618" i="3"/>
  <c r="F618" i="3" s="1"/>
  <c r="G618" i="3"/>
  <c r="E619" i="3"/>
  <c r="F619" i="3"/>
  <c r="G619" i="3"/>
  <c r="E620" i="3"/>
  <c r="E621" i="3"/>
  <c r="G621" i="3" s="1"/>
  <c r="F621" i="3"/>
  <c r="E622" i="3"/>
  <c r="F622" i="3" s="1"/>
  <c r="E623" i="3"/>
  <c r="G623" i="3" s="1"/>
  <c r="F623" i="3"/>
  <c r="E624" i="3"/>
  <c r="F624" i="3"/>
  <c r="G624" i="3"/>
  <c r="E625" i="3"/>
  <c r="F625" i="3"/>
  <c r="G625" i="3"/>
  <c r="E626" i="3"/>
  <c r="F626" i="3"/>
  <c r="G626" i="3"/>
  <c r="E627" i="3"/>
  <c r="F627" i="3"/>
  <c r="G627" i="3"/>
  <c r="E628" i="3"/>
  <c r="F628" i="3" s="1"/>
  <c r="E629" i="3"/>
  <c r="G629" i="3" s="1"/>
  <c r="F629" i="3"/>
  <c r="E630" i="3"/>
  <c r="E631" i="3"/>
  <c r="G631" i="3" s="1"/>
  <c r="F631" i="3"/>
  <c r="E632" i="3"/>
  <c r="G632" i="3" s="1"/>
  <c r="F632" i="3"/>
  <c r="E633" i="3"/>
  <c r="G633" i="3" s="1"/>
  <c r="E634" i="3"/>
  <c r="F634" i="3"/>
  <c r="G634" i="3"/>
  <c r="E635" i="3"/>
  <c r="F635" i="3"/>
  <c r="G635" i="3"/>
  <c r="E636" i="3"/>
  <c r="F636" i="3" s="1"/>
  <c r="E637" i="3"/>
  <c r="F637" i="3"/>
  <c r="G637" i="3"/>
  <c r="E638" i="3"/>
  <c r="F638" i="3" s="1"/>
  <c r="G638" i="3"/>
  <c r="E639" i="3"/>
  <c r="F639" i="3"/>
  <c r="G639" i="3"/>
  <c r="E640" i="3"/>
  <c r="F640" i="3" s="1"/>
  <c r="E641" i="3"/>
  <c r="G641" i="3" s="1"/>
  <c r="F641" i="3"/>
  <c r="E642" i="3"/>
  <c r="F642" i="3"/>
  <c r="G642" i="3"/>
  <c r="E643" i="3"/>
  <c r="G643" i="3" s="1"/>
  <c r="F643" i="3"/>
  <c r="E644" i="3"/>
  <c r="F644" i="3" s="1"/>
  <c r="E645" i="3"/>
  <c r="F645" i="3"/>
  <c r="G645" i="3"/>
  <c r="E646" i="3"/>
  <c r="F646" i="3"/>
  <c r="G646" i="3"/>
  <c r="E647" i="3"/>
  <c r="F647" i="3"/>
  <c r="G647" i="3"/>
  <c r="E648" i="3"/>
  <c r="F648" i="3" s="1"/>
  <c r="E649" i="3"/>
  <c r="F649" i="3" s="1"/>
  <c r="E650" i="3"/>
  <c r="F650" i="3" s="1"/>
  <c r="G650" i="3"/>
  <c r="E651" i="3"/>
  <c r="G651" i="3" s="1"/>
  <c r="F651" i="3"/>
  <c r="E652" i="3"/>
  <c r="F652" i="3" s="1"/>
  <c r="E653" i="3"/>
  <c r="G653" i="3" s="1"/>
  <c r="E654" i="3"/>
  <c r="F654" i="3"/>
  <c r="G654" i="3"/>
  <c r="E655" i="3"/>
  <c r="F655" i="3"/>
  <c r="G655" i="3"/>
  <c r="E656" i="3"/>
  <c r="F656" i="3" s="1"/>
  <c r="G656" i="3"/>
  <c r="E657" i="3"/>
  <c r="F657" i="3"/>
  <c r="G657" i="3"/>
  <c r="E658" i="3"/>
  <c r="F658" i="3"/>
  <c r="G658" i="3"/>
  <c r="E659" i="3"/>
  <c r="F659" i="3" s="1"/>
  <c r="E660" i="3"/>
  <c r="F660" i="3" s="1"/>
  <c r="E661" i="3"/>
  <c r="F661" i="3"/>
  <c r="G661" i="3"/>
  <c r="E662" i="3"/>
  <c r="G662" i="3" s="1"/>
  <c r="F662" i="3"/>
  <c r="E663" i="3"/>
  <c r="G663" i="3" s="1"/>
  <c r="E664" i="3"/>
  <c r="F664" i="3" s="1"/>
  <c r="E665" i="3"/>
  <c r="F665" i="3"/>
  <c r="G665" i="3"/>
  <c r="E666" i="3"/>
  <c r="F666" i="3" s="1"/>
  <c r="E667" i="3"/>
  <c r="F667" i="3"/>
  <c r="G667" i="3"/>
  <c r="E668" i="3"/>
  <c r="F668" i="3"/>
  <c r="G668" i="3"/>
  <c r="E669" i="3"/>
  <c r="G669" i="3" s="1"/>
  <c r="F669" i="3"/>
  <c r="E670" i="3"/>
  <c r="F670" i="3" s="1"/>
  <c r="E671" i="3"/>
  <c r="F671" i="3" s="1"/>
  <c r="E672" i="3"/>
  <c r="F672" i="3"/>
  <c r="G672" i="3"/>
  <c r="E673" i="3"/>
  <c r="G673" i="3" s="1"/>
  <c r="E674" i="3"/>
  <c r="F674" i="3" s="1"/>
  <c r="G674" i="3"/>
  <c r="E675" i="3"/>
  <c r="F675" i="3"/>
  <c r="G675" i="3"/>
  <c r="E676" i="3"/>
  <c r="F676" i="3"/>
  <c r="G676" i="3"/>
  <c r="E677" i="3"/>
  <c r="F677" i="3"/>
  <c r="G677" i="3"/>
  <c r="E678" i="3"/>
  <c r="F678" i="3" s="1"/>
  <c r="E679" i="3"/>
  <c r="F679" i="3"/>
  <c r="G679" i="3"/>
  <c r="E680" i="3"/>
  <c r="F680" i="3" s="1"/>
  <c r="E681" i="3"/>
  <c r="F681" i="3" s="1"/>
  <c r="G681" i="3"/>
  <c r="E682" i="3"/>
  <c r="F682" i="3"/>
  <c r="G682" i="3"/>
  <c r="E683" i="3"/>
  <c r="G683" i="3" s="1"/>
  <c r="F683" i="3"/>
  <c r="E684" i="3"/>
  <c r="F684" i="3" s="1"/>
  <c r="E685" i="3"/>
  <c r="G685" i="3" s="1"/>
  <c r="F685" i="3"/>
  <c r="E686" i="3"/>
  <c r="F686" i="3"/>
  <c r="G686" i="3"/>
  <c r="E687" i="3"/>
  <c r="G687" i="3" s="1"/>
  <c r="F687" i="3"/>
  <c r="E688" i="3"/>
  <c r="F688" i="3" s="1"/>
  <c r="G688" i="3"/>
  <c r="E689" i="3"/>
  <c r="F689" i="3"/>
  <c r="G689" i="3"/>
  <c r="E690" i="3"/>
  <c r="F690" i="3"/>
  <c r="G690" i="3"/>
  <c r="E691" i="3"/>
  <c r="F691" i="3" s="1"/>
  <c r="E692" i="3"/>
  <c r="F692" i="3" s="1"/>
  <c r="E693" i="3"/>
  <c r="F693" i="3"/>
  <c r="G693" i="3"/>
  <c r="E694" i="3"/>
  <c r="F694" i="3" s="1"/>
  <c r="E695" i="3"/>
  <c r="G695" i="3" s="1"/>
  <c r="F695" i="3"/>
  <c r="E696" i="3"/>
  <c r="F696" i="3"/>
  <c r="G696" i="3"/>
  <c r="E697" i="3"/>
  <c r="G697" i="3" s="1"/>
  <c r="F697" i="3"/>
  <c r="E698" i="3"/>
  <c r="F698" i="3" s="1"/>
  <c r="G698" i="3"/>
  <c r="E699" i="3"/>
  <c r="F699" i="3"/>
  <c r="G699" i="3"/>
  <c r="E700" i="3"/>
  <c r="F700" i="3"/>
  <c r="G700" i="3"/>
  <c r="E701" i="3"/>
  <c r="F701" i="3" s="1"/>
  <c r="E702" i="3"/>
  <c r="F702" i="3" s="1"/>
  <c r="G702" i="3"/>
  <c r="E703" i="3"/>
  <c r="F703" i="3"/>
  <c r="G703" i="3"/>
  <c r="E704" i="3"/>
  <c r="F704" i="3" s="1"/>
  <c r="E705" i="3"/>
  <c r="G705" i="3" s="1"/>
  <c r="F705" i="3"/>
  <c r="E706" i="3"/>
  <c r="F706" i="3"/>
  <c r="G706" i="3"/>
  <c r="E707" i="3"/>
  <c r="G707" i="3" s="1"/>
  <c r="F707" i="3"/>
  <c r="E708" i="3"/>
  <c r="F708" i="3" s="1"/>
  <c r="G708" i="3"/>
  <c r="E709" i="3"/>
  <c r="F709" i="3"/>
  <c r="G709" i="3"/>
  <c r="E710" i="3"/>
  <c r="F710" i="3"/>
  <c r="G710" i="3"/>
  <c r="E711" i="3"/>
  <c r="F711" i="3" s="1"/>
  <c r="E712" i="3"/>
  <c r="F712" i="3" s="1"/>
  <c r="G712" i="3"/>
  <c r="E713" i="3"/>
  <c r="F713" i="3"/>
  <c r="G713" i="3"/>
  <c r="E714" i="3"/>
  <c r="F714" i="3" s="1"/>
  <c r="E715" i="3"/>
  <c r="G715" i="3" s="1"/>
  <c r="F715" i="3"/>
  <c r="E716" i="3"/>
  <c r="F716" i="3"/>
  <c r="G716" i="3"/>
  <c r="E717" i="3"/>
  <c r="G717" i="3" s="1"/>
  <c r="F717" i="3"/>
  <c r="E718" i="3"/>
  <c r="F718" i="3" s="1"/>
  <c r="G718" i="3"/>
  <c r="E719" i="3"/>
  <c r="F719" i="3"/>
  <c r="G719" i="3"/>
  <c r="E720" i="3"/>
  <c r="F720" i="3"/>
  <c r="G720" i="3"/>
  <c r="E721" i="3"/>
  <c r="F721" i="3" s="1"/>
  <c r="E722" i="3"/>
  <c r="F722" i="3" s="1"/>
  <c r="G722" i="3"/>
  <c r="E723" i="3"/>
  <c r="F723" i="3"/>
  <c r="G723" i="3"/>
  <c r="E724" i="3"/>
  <c r="F724" i="3" s="1"/>
  <c r="E725" i="3"/>
  <c r="G725" i="3" s="1"/>
  <c r="F725" i="3"/>
  <c r="E726" i="3"/>
  <c r="F726" i="3"/>
  <c r="G726" i="3"/>
  <c r="E727" i="3"/>
  <c r="G727" i="3" s="1"/>
  <c r="F727" i="3"/>
  <c r="E728" i="3"/>
  <c r="F728" i="3" s="1"/>
  <c r="G728" i="3"/>
  <c r="E729" i="3"/>
  <c r="F729" i="3"/>
  <c r="G729" i="3"/>
  <c r="E730" i="3"/>
  <c r="F730" i="3"/>
  <c r="G730" i="3"/>
  <c r="E731" i="3"/>
  <c r="F731" i="3" s="1"/>
  <c r="E732" i="3"/>
  <c r="F732" i="3" s="1"/>
  <c r="G732" i="3"/>
  <c r="E733" i="3"/>
  <c r="F733" i="3"/>
  <c r="G733" i="3"/>
  <c r="E734" i="3"/>
  <c r="F734" i="3" s="1"/>
  <c r="E735" i="3"/>
  <c r="G735" i="3" s="1"/>
  <c r="F735" i="3"/>
  <c r="E736" i="3"/>
  <c r="F736" i="3"/>
  <c r="G736" i="3"/>
  <c r="E737" i="3"/>
  <c r="G737" i="3" s="1"/>
  <c r="F737" i="3"/>
  <c r="E738" i="3"/>
  <c r="F738" i="3" s="1"/>
  <c r="G738" i="3"/>
  <c r="E739" i="3"/>
  <c r="F739" i="3"/>
  <c r="G739" i="3"/>
  <c r="E740" i="3"/>
  <c r="F740" i="3"/>
  <c r="G740" i="3"/>
  <c r="E741" i="3"/>
  <c r="F741" i="3" s="1"/>
  <c r="E742" i="3"/>
  <c r="F742" i="3" s="1"/>
  <c r="G742" i="3"/>
  <c r="E743" i="3"/>
  <c r="F743" i="3"/>
  <c r="G743" i="3"/>
  <c r="E744" i="3"/>
  <c r="F744" i="3" s="1"/>
  <c r="E745" i="3"/>
  <c r="G745" i="3" s="1"/>
  <c r="F745" i="3"/>
  <c r="E746" i="3"/>
  <c r="F746" i="3"/>
  <c r="G746" i="3"/>
  <c r="E747" i="3"/>
  <c r="G747" i="3" s="1"/>
  <c r="F747" i="3"/>
  <c r="E748" i="3"/>
  <c r="F748" i="3" s="1"/>
  <c r="G748" i="3"/>
  <c r="E749" i="3"/>
  <c r="F749" i="3"/>
  <c r="G749" i="3"/>
  <c r="E750" i="3"/>
  <c r="F750" i="3"/>
  <c r="G750" i="3"/>
  <c r="E751" i="3"/>
  <c r="F751" i="3" s="1"/>
  <c r="E752" i="3"/>
  <c r="F752" i="3" s="1"/>
  <c r="G752" i="3"/>
  <c r="E753" i="3"/>
  <c r="F753" i="3"/>
  <c r="G753" i="3"/>
  <c r="E754" i="3"/>
  <c r="F754" i="3" s="1"/>
  <c r="E755" i="3"/>
  <c r="G755" i="3" s="1"/>
  <c r="F755" i="3"/>
  <c r="E756" i="3"/>
  <c r="F756" i="3"/>
  <c r="G756" i="3"/>
  <c r="E757" i="3"/>
  <c r="G757" i="3" s="1"/>
  <c r="F757" i="3"/>
  <c r="E758" i="3"/>
  <c r="F758" i="3" s="1"/>
  <c r="G758" i="3"/>
  <c r="E759" i="3"/>
  <c r="F759" i="3"/>
  <c r="G759" i="3"/>
  <c r="E760" i="3"/>
  <c r="F760" i="3"/>
  <c r="G760" i="3"/>
  <c r="E761" i="3"/>
  <c r="F761" i="3" s="1"/>
  <c r="E762" i="3"/>
  <c r="F762" i="3" s="1"/>
  <c r="G762" i="3"/>
  <c r="E763" i="3"/>
  <c r="F763" i="3"/>
  <c r="G763" i="3"/>
  <c r="E764" i="3"/>
  <c r="F764" i="3" s="1"/>
  <c r="E765" i="3"/>
  <c r="G765" i="3" s="1"/>
  <c r="F765" i="3"/>
  <c r="E766" i="3"/>
  <c r="F766" i="3"/>
  <c r="G766" i="3"/>
  <c r="E767" i="3"/>
  <c r="G767" i="3" s="1"/>
  <c r="F767" i="3"/>
  <c r="E768" i="3"/>
  <c r="F768" i="3" s="1"/>
  <c r="G768" i="3"/>
  <c r="E769" i="3"/>
  <c r="F769" i="3"/>
  <c r="G769" i="3"/>
  <c r="E770" i="3"/>
  <c r="F770" i="3"/>
  <c r="G770" i="3"/>
  <c r="E771" i="3"/>
  <c r="F771" i="3" s="1"/>
  <c r="E772" i="3"/>
  <c r="F772" i="3" s="1"/>
  <c r="G772" i="3"/>
  <c r="E773" i="3"/>
  <c r="F773" i="3"/>
  <c r="G773" i="3"/>
  <c r="E774" i="3"/>
  <c r="F774" i="3" s="1"/>
  <c r="E775" i="3"/>
  <c r="G775" i="3" s="1"/>
  <c r="F775" i="3"/>
  <c r="E776" i="3"/>
  <c r="F776" i="3"/>
  <c r="G776" i="3"/>
  <c r="E777" i="3"/>
  <c r="G777" i="3" s="1"/>
  <c r="F777" i="3"/>
  <c r="E778" i="3"/>
  <c r="F778" i="3" s="1"/>
  <c r="G778" i="3"/>
  <c r="E779" i="3"/>
  <c r="F779" i="3"/>
  <c r="G779" i="3"/>
  <c r="E780" i="3"/>
  <c r="F780" i="3"/>
  <c r="G780" i="3"/>
  <c r="E781" i="3"/>
  <c r="F781" i="3" s="1"/>
  <c r="E782" i="3"/>
  <c r="F782" i="3" s="1"/>
  <c r="G782" i="3"/>
  <c r="E783" i="3"/>
  <c r="F783" i="3"/>
  <c r="G783" i="3"/>
  <c r="E784" i="3"/>
  <c r="F784" i="3" s="1"/>
  <c r="E785" i="3"/>
  <c r="G785" i="3" s="1"/>
  <c r="F785" i="3"/>
  <c r="E786" i="3"/>
  <c r="F786" i="3"/>
  <c r="G786" i="3"/>
  <c r="E787" i="3"/>
  <c r="G787" i="3" s="1"/>
  <c r="F787" i="3"/>
  <c r="E788" i="3"/>
  <c r="F788" i="3" s="1"/>
  <c r="G788" i="3"/>
  <c r="E789" i="3"/>
  <c r="F789" i="3"/>
  <c r="G789" i="3"/>
  <c r="E790" i="3"/>
  <c r="F790" i="3"/>
  <c r="G790" i="3"/>
  <c r="E791" i="3"/>
  <c r="F791" i="3" s="1"/>
  <c r="E792" i="3"/>
  <c r="F792" i="3" s="1"/>
  <c r="G792" i="3"/>
  <c r="E793" i="3"/>
  <c r="F793" i="3"/>
  <c r="G793" i="3"/>
  <c r="E794" i="3"/>
  <c r="F794" i="3" s="1"/>
  <c r="E795" i="3"/>
  <c r="G795" i="3" s="1"/>
  <c r="F795" i="3"/>
  <c r="E796" i="3"/>
  <c r="F796" i="3"/>
  <c r="G796" i="3"/>
  <c r="E797" i="3"/>
  <c r="G797" i="3" s="1"/>
  <c r="F797" i="3"/>
  <c r="E798" i="3"/>
  <c r="F798" i="3" s="1"/>
  <c r="E799" i="3"/>
  <c r="F799" i="3"/>
  <c r="G799" i="3"/>
  <c r="E800" i="3"/>
  <c r="F800" i="3"/>
  <c r="G800" i="3"/>
  <c r="E801" i="3"/>
  <c r="F801" i="3" s="1"/>
  <c r="E802" i="3"/>
  <c r="F802" i="3" s="1"/>
  <c r="G802" i="3"/>
  <c r="E803" i="3"/>
  <c r="F803" i="3"/>
  <c r="G803" i="3"/>
  <c r="E804" i="3"/>
  <c r="F804" i="3" s="1"/>
  <c r="E805" i="3"/>
  <c r="G805" i="3" s="1"/>
  <c r="F805" i="3"/>
  <c r="E806" i="3"/>
  <c r="F806" i="3"/>
  <c r="G806" i="3"/>
  <c r="E807" i="3"/>
  <c r="G807" i="3" s="1"/>
  <c r="F807" i="3"/>
  <c r="E808" i="3"/>
  <c r="F808" i="3" s="1"/>
  <c r="E809" i="3"/>
  <c r="F809" i="3"/>
  <c r="G809" i="3"/>
  <c r="E810" i="3"/>
  <c r="F810" i="3"/>
  <c r="G810" i="3"/>
  <c r="E811" i="3"/>
  <c r="F811" i="3" s="1"/>
  <c r="E812" i="3"/>
  <c r="F812" i="3" s="1"/>
  <c r="G812" i="3"/>
  <c r="E813" i="3"/>
  <c r="F813" i="3"/>
  <c r="G813" i="3"/>
  <c r="E814" i="3"/>
  <c r="F814" i="3" s="1"/>
  <c r="E815" i="3"/>
  <c r="G815" i="3" s="1"/>
  <c r="F815" i="3"/>
  <c r="E816" i="3"/>
  <c r="F816" i="3"/>
  <c r="G816" i="3"/>
  <c r="E817" i="3"/>
  <c r="G817" i="3" s="1"/>
  <c r="F817" i="3"/>
  <c r="E818" i="3"/>
  <c r="F818" i="3" s="1"/>
  <c r="E819" i="3"/>
  <c r="F819" i="3"/>
  <c r="G819" i="3"/>
  <c r="E820" i="3"/>
  <c r="F820" i="3"/>
  <c r="G820" i="3"/>
  <c r="E821" i="3"/>
  <c r="F821" i="3" s="1"/>
  <c r="E822" i="3"/>
  <c r="F822" i="3" s="1"/>
  <c r="G822" i="3"/>
  <c r="E823" i="3"/>
  <c r="F823" i="3"/>
  <c r="G823" i="3"/>
  <c r="E824" i="3"/>
  <c r="F824" i="3" s="1"/>
  <c r="E825" i="3"/>
  <c r="G825" i="3" s="1"/>
  <c r="F825" i="3"/>
  <c r="E826" i="3"/>
  <c r="F826" i="3"/>
  <c r="G826" i="3"/>
  <c r="E827" i="3"/>
  <c r="G827" i="3" s="1"/>
  <c r="F827" i="3"/>
  <c r="E828" i="3"/>
  <c r="F828" i="3" s="1"/>
  <c r="E829" i="3"/>
  <c r="F829" i="3"/>
  <c r="G829" i="3"/>
  <c r="E830" i="3"/>
  <c r="F830" i="3"/>
  <c r="G830" i="3"/>
  <c r="E831" i="3"/>
  <c r="F831" i="3" s="1"/>
  <c r="E832" i="3"/>
  <c r="F832" i="3" s="1"/>
  <c r="E833" i="3"/>
  <c r="F833" i="3"/>
  <c r="G833" i="3"/>
  <c r="E834" i="3"/>
  <c r="F834" i="3" s="1"/>
  <c r="E835" i="3"/>
  <c r="G835" i="3" s="1"/>
  <c r="F835" i="3"/>
  <c r="E836" i="3"/>
  <c r="F836" i="3"/>
  <c r="G836" i="3"/>
  <c r="AG3" i="1"/>
  <c r="AG4" i="1"/>
  <c r="N4" i="1" s="1"/>
  <c r="C5" i="1"/>
  <c r="AG5" i="1"/>
  <c r="E5" i="1" s="1"/>
  <c r="C6" i="1"/>
  <c r="AG6" i="1"/>
  <c r="AB6" i="1" s="1"/>
  <c r="C7" i="1"/>
  <c r="AG7" i="1"/>
  <c r="AG8" i="1"/>
  <c r="L8" i="1" s="1"/>
  <c r="AG9" i="1"/>
  <c r="N9" i="1" s="1"/>
  <c r="C10" i="1"/>
  <c r="AG10" i="1"/>
  <c r="G10" i="1" s="1"/>
  <c r="C11" i="1"/>
  <c r="AG11" i="1"/>
  <c r="AB11" i="1" s="1"/>
  <c r="C12" i="1"/>
  <c r="AG12" i="1"/>
  <c r="K12" i="1" s="1"/>
  <c r="AG13" i="1"/>
  <c r="L13" i="1" s="1"/>
  <c r="AG14" i="1"/>
  <c r="N14" i="1" s="1"/>
  <c r="C15" i="1"/>
  <c r="AG15" i="1"/>
  <c r="C16" i="1"/>
  <c r="AG16" i="1"/>
  <c r="AB16" i="1" s="1"/>
  <c r="C17" i="1"/>
  <c r="AG17" i="1"/>
  <c r="K17" i="1" s="1"/>
  <c r="AG18" i="1"/>
  <c r="L18" i="1" s="1"/>
  <c r="AG19" i="1"/>
  <c r="N19" i="1" s="1"/>
  <c r="C20" i="1"/>
  <c r="AG20" i="1"/>
  <c r="H20" i="1" s="1"/>
  <c r="C21" i="1"/>
  <c r="AG21" i="1"/>
  <c r="AB21" i="1" s="1"/>
  <c r="C22" i="1"/>
  <c r="AG22" i="1"/>
  <c r="D22" i="1" s="1"/>
  <c r="J22" i="1" s="1"/>
  <c r="AG23" i="1"/>
  <c r="H23" i="1" s="1"/>
  <c r="AG24" i="1"/>
  <c r="N24" i="1" s="1"/>
  <c r="C25" i="1"/>
  <c r="AG25" i="1"/>
  <c r="AB25" i="1" s="1"/>
  <c r="C26" i="1"/>
  <c r="AG26" i="1"/>
  <c r="AB26" i="1" s="1"/>
  <c r="C27" i="1"/>
  <c r="AG27" i="1"/>
  <c r="K27" i="1" s="1"/>
  <c r="AG28" i="1"/>
  <c r="K28" i="1" s="1"/>
  <c r="AG29" i="1"/>
  <c r="N29" i="1" s="1"/>
  <c r="C30" i="1"/>
  <c r="AG30" i="1"/>
  <c r="E30" i="1" s="1"/>
  <c r="C31" i="1"/>
  <c r="AG31" i="1"/>
  <c r="H31" i="1" s="1"/>
  <c r="C32" i="1"/>
  <c r="AG32" i="1"/>
  <c r="K32" i="1" s="1"/>
  <c r="AG33" i="1"/>
  <c r="F33" i="1" s="1"/>
  <c r="AG34" i="1"/>
  <c r="F34" i="1" s="1"/>
  <c r="AG35" i="1"/>
  <c r="AG36" i="1"/>
  <c r="K36" i="1" s="1"/>
  <c r="AG38" i="1"/>
  <c r="AG39" i="1"/>
  <c r="F39" i="1" s="1"/>
  <c r="AG40" i="1"/>
  <c r="F40" i="1" s="1"/>
  <c r="AG41" i="1"/>
  <c r="K41" i="1" s="1"/>
  <c r="AG42" i="1"/>
  <c r="E42" i="1" s="1"/>
  <c r="AG43" i="1"/>
  <c r="F43" i="1" s="1"/>
  <c r="AG44" i="1"/>
  <c r="S44" i="1" s="1"/>
  <c r="T44" i="1" s="1"/>
  <c r="AG45" i="1"/>
  <c r="AB45" i="1" s="1"/>
  <c r="AG46" i="1"/>
  <c r="C46" i="1" s="1"/>
  <c r="AG47" i="1"/>
  <c r="H47" i="1" s="1"/>
  <c r="AG48" i="1"/>
  <c r="S48" i="1" s="1"/>
  <c r="T48" i="1" s="1"/>
  <c r="AG49" i="1"/>
  <c r="K49" i="1" s="1"/>
  <c r="AG50" i="1"/>
  <c r="N50" i="1" s="1"/>
  <c r="AG51" i="1"/>
  <c r="N51" i="1" s="1"/>
  <c r="AG52" i="1"/>
  <c r="N52" i="1" s="1"/>
  <c r="AG53" i="1"/>
  <c r="K53" i="1" s="1"/>
  <c r="AG54" i="1"/>
  <c r="D54" i="1" s="1"/>
  <c r="J54" i="1" s="1"/>
  <c r="AG55" i="1"/>
  <c r="L55" i="1" s="1"/>
  <c r="F201" i="3" l="1"/>
  <c r="G201" i="3"/>
  <c r="G692" i="3"/>
  <c r="G678" i="3"/>
  <c r="G671" i="3"/>
  <c r="G664" i="3"/>
  <c r="G649" i="3"/>
  <c r="F630" i="3"/>
  <c r="G630" i="3"/>
  <c r="G622" i="3"/>
  <c r="F610" i="3"/>
  <c r="G610" i="3"/>
  <c r="G602" i="3"/>
  <c r="G589" i="3"/>
  <c r="G572" i="3"/>
  <c r="F503" i="3"/>
  <c r="G503" i="3"/>
  <c r="G489" i="3"/>
  <c r="G472" i="3"/>
  <c r="G429" i="3"/>
  <c r="G379" i="3"/>
  <c r="G274" i="3"/>
  <c r="F583" i="3"/>
  <c r="G583" i="3"/>
  <c r="G376" i="3"/>
  <c r="F376" i="3"/>
  <c r="F35" i="3"/>
  <c r="G35" i="3"/>
  <c r="F271" i="3"/>
  <c r="G271" i="3"/>
  <c r="F185" i="3"/>
  <c r="G185" i="3"/>
  <c r="F473" i="3"/>
  <c r="G473" i="3"/>
  <c r="F115" i="3"/>
  <c r="G115" i="3"/>
  <c r="G832" i="3"/>
  <c r="G660" i="3"/>
  <c r="F653" i="3"/>
  <c r="F576" i="3"/>
  <c r="F533" i="3"/>
  <c r="G533" i="3"/>
  <c r="G519" i="3"/>
  <c r="F476" i="3"/>
  <c r="F433" i="3"/>
  <c r="G433" i="3"/>
  <c r="G387" i="3"/>
  <c r="F345" i="3"/>
  <c r="G345" i="3"/>
  <c r="F218" i="3"/>
  <c r="F164" i="3"/>
  <c r="F124" i="3"/>
  <c r="F195" i="3"/>
  <c r="G195" i="3"/>
  <c r="F151" i="3"/>
  <c r="G151" i="3"/>
  <c r="F543" i="3"/>
  <c r="G543" i="3"/>
  <c r="G426" i="3"/>
  <c r="F426" i="3"/>
  <c r="F214" i="3"/>
  <c r="G214" i="3"/>
  <c r="F573" i="3"/>
  <c r="G573" i="3"/>
  <c r="F407" i="3"/>
  <c r="G407" i="3"/>
  <c r="G828" i="3"/>
  <c r="G808" i="3"/>
  <c r="G798" i="3"/>
  <c r="F563" i="3"/>
  <c r="G563" i="3"/>
  <c r="G549" i="3"/>
  <c r="G532" i="3"/>
  <c r="F463" i="3"/>
  <c r="G463" i="3"/>
  <c r="G449" i="3"/>
  <c r="G432" i="3"/>
  <c r="F391" i="3"/>
  <c r="F364" i="3"/>
  <c r="G344" i="3"/>
  <c r="G228" i="3"/>
  <c r="F228" i="3"/>
  <c r="G78" i="3"/>
  <c r="F78" i="3"/>
  <c r="F155" i="3"/>
  <c r="G155" i="3"/>
  <c r="F65" i="3"/>
  <c r="G65" i="3"/>
  <c r="F5" i="3"/>
  <c r="G5" i="3"/>
  <c r="G818" i="3"/>
  <c r="G831" i="3"/>
  <c r="G821" i="3"/>
  <c r="G811" i="3"/>
  <c r="G801" i="3"/>
  <c r="G791" i="3"/>
  <c r="G781" i="3"/>
  <c r="G771" i="3"/>
  <c r="G761" i="3"/>
  <c r="G751" i="3"/>
  <c r="G741" i="3"/>
  <c r="G731" i="3"/>
  <c r="G721" i="3"/>
  <c r="G711" i="3"/>
  <c r="G701" i="3"/>
  <c r="G691" i="3"/>
  <c r="G670" i="3"/>
  <c r="F663" i="3"/>
  <c r="G659" i="3"/>
  <c r="G652" i="3"/>
  <c r="G648" i="3"/>
  <c r="F633" i="3"/>
  <c r="F613" i="3"/>
  <c r="F593" i="3"/>
  <c r="G593" i="3"/>
  <c r="G579" i="3"/>
  <c r="G562" i="3"/>
  <c r="F536" i="3"/>
  <c r="F493" i="3"/>
  <c r="G493" i="3"/>
  <c r="G479" i="3"/>
  <c r="G462" i="3"/>
  <c r="F436" i="3"/>
  <c r="G326" i="3"/>
  <c r="F326" i="3"/>
  <c r="F297" i="3"/>
  <c r="G297" i="3"/>
  <c r="F248" i="3"/>
  <c r="G231" i="3"/>
  <c r="G178" i="3"/>
  <c r="F178" i="3"/>
  <c r="G28" i="3"/>
  <c r="F28" i="3"/>
  <c r="F267" i="3"/>
  <c r="G267" i="3"/>
  <c r="F513" i="3"/>
  <c r="G513" i="3"/>
  <c r="F145" i="3"/>
  <c r="G145" i="3"/>
  <c r="G834" i="3"/>
  <c r="G824" i="3"/>
  <c r="G814" i="3"/>
  <c r="G804" i="3"/>
  <c r="G794" i="3"/>
  <c r="G784" i="3"/>
  <c r="G774" i="3"/>
  <c r="G764" i="3"/>
  <c r="G754" i="3"/>
  <c r="G744" i="3"/>
  <c r="G734" i="3"/>
  <c r="G724" i="3"/>
  <c r="G714" i="3"/>
  <c r="G704" i="3"/>
  <c r="G694" i="3"/>
  <c r="G684" i="3"/>
  <c r="G666" i="3"/>
  <c r="G644" i="3"/>
  <c r="G640" i="3"/>
  <c r="G636" i="3"/>
  <c r="G628" i="3"/>
  <c r="G616" i="3"/>
  <c r="G608" i="3"/>
  <c r="G596" i="3"/>
  <c r="G592" i="3"/>
  <c r="F566" i="3"/>
  <c r="F523" i="3"/>
  <c r="G523" i="3"/>
  <c r="G509" i="3"/>
  <c r="G492" i="3"/>
  <c r="F466" i="3"/>
  <c r="F414" i="3"/>
  <c r="F395" i="3"/>
  <c r="G395" i="3"/>
  <c r="F368" i="3"/>
  <c r="F325" i="3"/>
  <c r="G325" i="3"/>
  <c r="F316" i="3"/>
  <c r="G316" i="3"/>
  <c r="G258" i="3"/>
  <c r="F258" i="3"/>
  <c r="F235" i="3"/>
  <c r="G235" i="3"/>
  <c r="G138" i="3"/>
  <c r="F138" i="3"/>
  <c r="F94" i="3"/>
  <c r="G94" i="3"/>
  <c r="F85" i="3"/>
  <c r="G85" i="3"/>
  <c r="F483" i="3"/>
  <c r="G483" i="3"/>
  <c r="F357" i="3"/>
  <c r="G357" i="3"/>
  <c r="F443" i="3"/>
  <c r="G443" i="3"/>
  <c r="F265" i="3"/>
  <c r="G265" i="3"/>
  <c r="G680" i="3"/>
  <c r="F673" i="3"/>
  <c r="F620" i="3"/>
  <c r="G620" i="3"/>
  <c r="F600" i="3"/>
  <c r="G600" i="3"/>
  <c r="F553" i="3"/>
  <c r="G553" i="3"/>
  <c r="F496" i="3"/>
  <c r="F453" i="3"/>
  <c r="G453" i="3"/>
  <c r="F418" i="3"/>
  <c r="G333" i="3"/>
  <c r="F295" i="3"/>
  <c r="G295" i="3"/>
  <c r="G393" i="3"/>
  <c r="F378" i="3"/>
  <c r="G347" i="3"/>
  <c r="G343" i="3"/>
  <c r="F328" i="3"/>
  <c r="F315" i="3"/>
  <c r="G315" i="3"/>
  <c r="G307" i="3"/>
  <c r="G251" i="3"/>
  <c r="G247" i="3"/>
  <c r="G221" i="3"/>
  <c r="F158" i="3"/>
  <c r="G131" i="3"/>
  <c r="F105" i="3"/>
  <c r="G105" i="3"/>
  <c r="F68" i="3"/>
  <c r="F55" i="3"/>
  <c r="G55" i="3"/>
  <c r="F8" i="3"/>
  <c r="F366" i="3"/>
  <c r="G335" i="3"/>
  <c r="F255" i="3"/>
  <c r="G255" i="3"/>
  <c r="F238" i="3"/>
  <c r="F225" i="3"/>
  <c r="G225" i="3"/>
  <c r="F198" i="3"/>
  <c r="F175" i="3"/>
  <c r="G175" i="3"/>
  <c r="F135" i="3"/>
  <c r="G135" i="3"/>
  <c r="F118" i="3"/>
  <c r="F88" i="3"/>
  <c r="F285" i="3"/>
  <c r="G285" i="3"/>
  <c r="F75" i="3"/>
  <c r="G75" i="3"/>
  <c r="F25" i="3"/>
  <c r="G25" i="3"/>
  <c r="G590" i="3"/>
  <c r="G580" i="3"/>
  <c r="G570" i="3"/>
  <c r="G560" i="3"/>
  <c r="G550" i="3"/>
  <c r="G540" i="3"/>
  <c r="G530" i="3"/>
  <c r="G520" i="3"/>
  <c r="G510" i="3"/>
  <c r="G500" i="3"/>
  <c r="G490" i="3"/>
  <c r="G480" i="3"/>
  <c r="G470" i="3"/>
  <c r="G460" i="3"/>
  <c r="G450" i="3"/>
  <c r="G440" i="3"/>
  <c r="G419" i="3"/>
  <c r="G411" i="3"/>
  <c r="G384" i="3"/>
  <c r="G369" i="3"/>
  <c r="G361" i="3"/>
  <c r="G334" i="3"/>
  <c r="G301" i="3"/>
  <c r="G284" i="3"/>
  <c r="G241" i="3"/>
  <c r="G237" i="3"/>
  <c r="F215" i="3"/>
  <c r="G215" i="3"/>
  <c r="G161" i="3"/>
  <c r="G121" i="3"/>
  <c r="F95" i="3"/>
  <c r="G95" i="3"/>
  <c r="G74" i="3"/>
  <c r="G41" i="3"/>
  <c r="G24" i="3"/>
  <c r="G11" i="3"/>
  <c r="G403" i="3"/>
  <c r="F388" i="3"/>
  <c r="G353" i="3"/>
  <c r="F338" i="3"/>
  <c r="F318" i="3"/>
  <c r="F305" i="3"/>
  <c r="G305" i="3"/>
  <c r="F245" i="3"/>
  <c r="G245" i="3"/>
  <c r="F165" i="3"/>
  <c r="G165" i="3"/>
  <c r="F125" i="3"/>
  <c r="G125" i="3"/>
  <c r="F108" i="3"/>
  <c r="F58" i="3"/>
  <c r="F45" i="3"/>
  <c r="G45" i="3"/>
  <c r="F275" i="3"/>
  <c r="G275" i="3"/>
  <c r="F205" i="3"/>
  <c r="G205" i="3"/>
  <c r="F15" i="3"/>
  <c r="G15" i="3"/>
  <c r="G306" i="3"/>
  <c r="G296" i="3"/>
  <c r="G286" i="3"/>
  <c r="G276" i="3"/>
  <c r="G266" i="3"/>
  <c r="G256" i="3"/>
  <c r="G246" i="3"/>
  <c r="G236" i="3"/>
  <c r="G226" i="3"/>
  <c r="G216" i="3"/>
  <c r="G206" i="3"/>
  <c r="G196" i="3"/>
  <c r="G186" i="3"/>
  <c r="G176" i="3"/>
  <c r="G166" i="3"/>
  <c r="G156" i="3"/>
  <c r="G146" i="3"/>
  <c r="G136" i="3"/>
  <c r="G126" i="3"/>
  <c r="G116" i="3"/>
  <c r="G106" i="3"/>
  <c r="G96" i="3"/>
  <c r="G86" i="3"/>
  <c r="G66" i="3"/>
  <c r="G56" i="3"/>
  <c r="G46" i="3"/>
  <c r="G16" i="3"/>
  <c r="G9" i="3"/>
  <c r="G152" i="3"/>
  <c r="G12" i="3"/>
  <c r="G2" i="3"/>
  <c r="N49" i="1"/>
  <c r="AB40" i="1"/>
  <c r="D44" i="1"/>
  <c r="J44" i="1" s="1"/>
  <c r="N36" i="1"/>
  <c r="G36" i="1"/>
  <c r="L43" i="1"/>
  <c r="AB49" i="1"/>
  <c r="L36" i="1"/>
  <c r="M36" i="1" s="1"/>
  <c r="S18" i="1"/>
  <c r="T18" i="1" s="1"/>
  <c r="E49" i="1"/>
  <c r="K48" i="1"/>
  <c r="K21" i="1"/>
  <c r="C48" i="1"/>
  <c r="C18" i="1"/>
  <c r="H51" i="1"/>
  <c r="F21" i="1"/>
  <c r="E21" i="1"/>
  <c r="K25" i="1"/>
  <c r="N43" i="1"/>
  <c r="D13" i="1"/>
  <c r="J13" i="1" s="1"/>
  <c r="F8" i="1"/>
  <c r="AB30" i="1"/>
  <c r="AA46" i="1"/>
  <c r="N42" i="1"/>
  <c r="D21" i="1"/>
  <c r="J21" i="1" s="1"/>
  <c r="L45" i="1"/>
  <c r="E16" i="1"/>
  <c r="H45" i="1"/>
  <c r="F20" i="1"/>
  <c r="D49" i="1"/>
  <c r="J49" i="1" s="1"/>
  <c r="AB27" i="1"/>
  <c r="N10" i="1"/>
  <c r="N31" i="1"/>
  <c r="N21" i="1"/>
  <c r="G53" i="1"/>
  <c r="N45" i="1"/>
  <c r="L32" i="1"/>
  <c r="M32" i="1" s="1"/>
  <c r="S23" i="1"/>
  <c r="T23" i="1" s="1"/>
  <c r="AB8" i="1"/>
  <c r="F53" i="1"/>
  <c r="H32" i="1"/>
  <c r="K23" i="1"/>
  <c r="N11" i="1"/>
  <c r="AA8" i="1"/>
  <c r="E53" i="1"/>
  <c r="G32" i="1"/>
  <c r="H30" i="1"/>
  <c r="L26" i="1"/>
  <c r="L11" i="1"/>
  <c r="N8" i="1"/>
  <c r="N6" i="1"/>
  <c r="D53" i="1"/>
  <c r="J53" i="1" s="1"/>
  <c r="D45" i="1"/>
  <c r="J45" i="1" s="1"/>
  <c r="AB34" i="1"/>
  <c r="F32" i="1"/>
  <c r="F30" i="1"/>
  <c r="I30" i="1" s="1"/>
  <c r="K16" i="1"/>
  <c r="AA13" i="1"/>
  <c r="G11" i="1"/>
  <c r="L6" i="1"/>
  <c r="E32" i="1"/>
  <c r="G16" i="1"/>
  <c r="K8" i="1"/>
  <c r="M8" i="1" s="1"/>
  <c r="H6" i="1"/>
  <c r="E44" i="1"/>
  <c r="AB33" i="1"/>
  <c r="D32" i="1"/>
  <c r="J32" i="1" s="1"/>
  <c r="F16" i="1"/>
  <c r="H13" i="1"/>
  <c r="AB32" i="1"/>
  <c r="L21" i="1"/>
  <c r="D16" i="1"/>
  <c r="J16" i="1" s="1"/>
  <c r="C13" i="1"/>
  <c r="E8" i="1"/>
  <c r="N32" i="1"/>
  <c r="D8" i="1"/>
  <c r="J8" i="1" s="1"/>
  <c r="N53" i="1"/>
  <c r="D52" i="1"/>
  <c r="J52" i="1" s="1"/>
  <c r="O52" i="1" s="1"/>
  <c r="G49" i="1"/>
  <c r="N48" i="1"/>
  <c r="L47" i="1"/>
  <c r="H44" i="1"/>
  <c r="D43" i="1"/>
  <c r="J43" i="1" s="1"/>
  <c r="E41" i="1"/>
  <c r="E40" i="1"/>
  <c r="I40" i="1" s="1"/>
  <c r="D36" i="1"/>
  <c r="J36" i="1" s="1"/>
  <c r="E34" i="1"/>
  <c r="I34" i="1" s="1"/>
  <c r="E33" i="1"/>
  <c r="I33" i="1" s="1"/>
  <c r="F27" i="1"/>
  <c r="K18" i="1"/>
  <c r="M18" i="1" s="1"/>
  <c r="N13" i="1"/>
  <c r="H12" i="1"/>
  <c r="D11" i="1"/>
  <c r="J11" i="1" s="1"/>
  <c r="O11" i="1" s="1"/>
  <c r="P11" i="1" s="1"/>
  <c r="E6" i="1"/>
  <c r="H53" i="1"/>
  <c r="C52" i="1"/>
  <c r="F49" i="1"/>
  <c r="L48" i="1"/>
  <c r="K47" i="1"/>
  <c r="F44" i="1"/>
  <c r="D41" i="1"/>
  <c r="J41" i="1" s="1"/>
  <c r="D40" i="1"/>
  <c r="J40" i="1" s="1"/>
  <c r="D34" i="1"/>
  <c r="J34" i="1" s="1"/>
  <c r="E27" i="1"/>
  <c r="H18" i="1"/>
  <c r="L16" i="1"/>
  <c r="K13" i="1"/>
  <c r="M13" i="1" s="1"/>
  <c r="G12" i="1"/>
  <c r="D6" i="1"/>
  <c r="J6" i="1" s="1"/>
  <c r="C40" i="1"/>
  <c r="D27" i="1"/>
  <c r="J27" i="1" s="1"/>
  <c r="F12" i="1"/>
  <c r="AB55" i="1"/>
  <c r="E48" i="1"/>
  <c r="K46" i="1"/>
  <c r="C44" i="1"/>
  <c r="N39" i="1"/>
  <c r="N34" i="1"/>
  <c r="AA33" i="1"/>
  <c r="G17" i="1"/>
  <c r="E13" i="1"/>
  <c r="K10" i="1"/>
  <c r="K5" i="1"/>
  <c r="N55" i="1"/>
  <c r="D48" i="1"/>
  <c r="J48" i="1" s="1"/>
  <c r="G46" i="1"/>
  <c r="L39" i="1"/>
  <c r="L31" i="1"/>
  <c r="N26" i="1"/>
  <c r="F17" i="1"/>
  <c r="F46" i="1"/>
  <c r="N41" i="1"/>
  <c r="S40" i="1"/>
  <c r="T40" i="1" s="1"/>
  <c r="K39" i="1"/>
  <c r="L34" i="1"/>
  <c r="S33" i="1"/>
  <c r="T33" i="1" s="1"/>
  <c r="K31" i="1"/>
  <c r="E17" i="1"/>
  <c r="E46" i="1"/>
  <c r="N40" i="1"/>
  <c r="E39" i="1"/>
  <c r="I39" i="1" s="1"/>
  <c r="K34" i="1"/>
  <c r="H33" i="1"/>
  <c r="N27" i="1"/>
  <c r="AB22" i="1"/>
  <c r="S52" i="1"/>
  <c r="T52" i="1" s="1"/>
  <c r="N47" i="1"/>
  <c r="D46" i="1"/>
  <c r="J46" i="1" s="1"/>
  <c r="AB44" i="1"/>
  <c r="K43" i="1"/>
  <c r="L41" i="1"/>
  <c r="M41" i="1" s="1"/>
  <c r="H40" i="1"/>
  <c r="D39" i="1"/>
  <c r="J39" i="1" s="1"/>
  <c r="F36" i="1"/>
  <c r="H34" i="1"/>
  <c r="G33" i="1"/>
  <c r="H27" i="1"/>
  <c r="K26" i="1"/>
  <c r="G22" i="1"/>
  <c r="N18" i="1"/>
  <c r="S13" i="1"/>
  <c r="T13" i="1" s="1"/>
  <c r="AB12" i="1"/>
  <c r="F11" i="1"/>
  <c r="G6" i="1"/>
  <c r="AB53" i="1"/>
  <c r="H49" i="1"/>
  <c r="E36" i="1"/>
  <c r="G34" i="1"/>
  <c r="G27" i="1"/>
  <c r="D26" i="1"/>
  <c r="J26" i="1" s="1"/>
  <c r="N16" i="1"/>
  <c r="L12" i="1"/>
  <c r="M12" i="1" s="1"/>
  <c r="E11" i="1"/>
  <c r="C8" i="1"/>
  <c r="F6" i="1"/>
  <c r="AA54" i="1"/>
  <c r="N54" i="1"/>
  <c r="O54" i="1" s="1"/>
  <c r="E50" i="1"/>
  <c r="D50" i="1"/>
  <c r="J50" i="1" s="1"/>
  <c r="AB42" i="1"/>
  <c r="L38" i="1"/>
  <c r="K38" i="1"/>
  <c r="C38" i="1"/>
  <c r="N38" i="1"/>
  <c r="L28" i="1"/>
  <c r="M28" i="1" s="1"/>
  <c r="C28" i="1"/>
  <c r="N28" i="1"/>
  <c r="D28" i="1"/>
  <c r="J28" i="1" s="1"/>
  <c r="E28" i="1"/>
  <c r="AA28" i="1"/>
  <c r="G52" i="1"/>
  <c r="AA52" i="1"/>
  <c r="H52" i="1"/>
  <c r="AB52" i="1"/>
  <c r="F52" i="1"/>
  <c r="AB51" i="1"/>
  <c r="F55" i="1"/>
  <c r="G55" i="1"/>
  <c r="E55" i="1"/>
  <c r="D55" i="1"/>
  <c r="J55" i="1" s="1"/>
  <c r="E52" i="1"/>
  <c r="K51" i="1"/>
  <c r="H50" i="1"/>
  <c r="G25" i="1"/>
  <c r="N25" i="1"/>
  <c r="L25" i="1"/>
  <c r="D25" i="1"/>
  <c r="J25" i="1" s="1"/>
  <c r="K22" i="1"/>
  <c r="L22" i="1"/>
  <c r="N22" i="1"/>
  <c r="O22" i="1" s="1"/>
  <c r="E22" i="1"/>
  <c r="G35" i="1"/>
  <c r="AA35" i="1"/>
  <c r="L35" i="1"/>
  <c r="C35" i="1"/>
  <c r="N35" i="1"/>
  <c r="K35" i="1"/>
  <c r="L54" i="1"/>
  <c r="C54" i="1"/>
  <c r="K54" i="1"/>
  <c r="AB35" i="1"/>
  <c r="G15" i="1"/>
  <c r="D15" i="1"/>
  <c r="J15" i="1" s="1"/>
  <c r="F15" i="1"/>
  <c r="E15" i="1"/>
  <c r="K15" i="1"/>
  <c r="L15" i="1"/>
  <c r="N15" i="1"/>
  <c r="S50" i="1"/>
  <c r="T50" i="1" s="1"/>
  <c r="AB15" i="1"/>
  <c r="G50" i="1"/>
  <c r="H35" i="1"/>
  <c r="H42" i="1"/>
  <c r="G28" i="1"/>
  <c r="F50" i="1"/>
  <c r="D51" i="1"/>
  <c r="J51" i="1" s="1"/>
  <c r="O51" i="1" s="1"/>
  <c r="G20" i="1"/>
  <c r="N20" i="1"/>
  <c r="E20" i="1"/>
  <c r="D20" i="1"/>
  <c r="J20" i="1" s="1"/>
  <c r="G42" i="1"/>
  <c r="AB28" i="1"/>
  <c r="H28" i="1"/>
  <c r="AB20" i="1"/>
  <c r="H54" i="1"/>
  <c r="L52" i="1"/>
  <c r="F42" i="1"/>
  <c r="I42" i="1" s="1"/>
  <c r="AA38" i="1"/>
  <c r="G38" i="1"/>
  <c r="S35" i="1"/>
  <c r="T35" i="1" s="1"/>
  <c r="G54" i="1"/>
  <c r="K52" i="1"/>
  <c r="AA50" i="1"/>
  <c r="K45" i="1"/>
  <c r="F45" i="1"/>
  <c r="G45" i="1"/>
  <c r="E45" i="1"/>
  <c r="G44" i="1"/>
  <c r="AA44" i="1"/>
  <c r="K44" i="1"/>
  <c r="L44" i="1"/>
  <c r="N44" i="1"/>
  <c r="F38" i="1"/>
  <c r="G30" i="1"/>
  <c r="L30" i="1"/>
  <c r="N30" i="1"/>
  <c r="K30" i="1"/>
  <c r="D30" i="1"/>
  <c r="J30" i="1" s="1"/>
  <c r="F28" i="1"/>
  <c r="H25" i="1"/>
  <c r="L23" i="1"/>
  <c r="D23" i="1"/>
  <c r="J23" i="1" s="1"/>
  <c r="E23" i="1"/>
  <c r="AA23" i="1"/>
  <c r="C23" i="1"/>
  <c r="N23" i="1"/>
  <c r="F23" i="1"/>
  <c r="AB23" i="1"/>
  <c r="H22" i="1"/>
  <c r="L20" i="1"/>
  <c r="H15" i="1"/>
  <c r="AB54" i="1"/>
  <c r="L42" i="1"/>
  <c r="K42" i="1"/>
  <c r="F35" i="1"/>
  <c r="F51" i="1"/>
  <c r="G51" i="1"/>
  <c r="E51" i="1"/>
  <c r="E35" i="1"/>
  <c r="K55" i="1"/>
  <c r="M55" i="1" s="1"/>
  <c r="F54" i="1"/>
  <c r="L46" i="1"/>
  <c r="H46" i="1"/>
  <c r="S46" i="1"/>
  <c r="T46" i="1" s="1"/>
  <c r="S42" i="1"/>
  <c r="T42" i="1" s="1"/>
  <c r="D42" i="1"/>
  <c r="J42" i="1" s="1"/>
  <c r="E38" i="1"/>
  <c r="F25" i="1"/>
  <c r="K20" i="1"/>
  <c r="K7" i="1"/>
  <c r="D7" i="1"/>
  <c r="J7" i="1" s="1"/>
  <c r="E7" i="1"/>
  <c r="F7" i="1"/>
  <c r="G7" i="1"/>
  <c r="H7" i="1"/>
  <c r="AB7" i="1"/>
  <c r="L7" i="1"/>
  <c r="N7" i="1"/>
  <c r="L50" i="1"/>
  <c r="C50" i="1"/>
  <c r="K50" i="1"/>
  <c r="AA42" i="1"/>
  <c r="AB38" i="1"/>
  <c r="H38" i="1"/>
  <c r="D35" i="1"/>
  <c r="J35" i="1" s="1"/>
  <c r="AB50" i="1"/>
  <c r="S54" i="1"/>
  <c r="T54" i="1" s="1"/>
  <c r="F47" i="1"/>
  <c r="E47" i="1"/>
  <c r="G47" i="1"/>
  <c r="D47" i="1"/>
  <c r="J47" i="1" s="1"/>
  <c r="H55" i="1"/>
  <c r="E54" i="1"/>
  <c r="L51" i="1"/>
  <c r="G48" i="1"/>
  <c r="AA48" i="1"/>
  <c r="H48" i="1"/>
  <c r="AB48" i="1"/>
  <c r="F48" i="1"/>
  <c r="AB47" i="1"/>
  <c r="AB46" i="1"/>
  <c r="N46" i="1"/>
  <c r="C42" i="1"/>
  <c r="U42" i="1" s="1"/>
  <c r="G40" i="1"/>
  <c r="AA40" i="1"/>
  <c r="K40" i="1"/>
  <c r="L40" i="1"/>
  <c r="S38" i="1"/>
  <c r="T38" i="1" s="1"/>
  <c r="D38" i="1"/>
  <c r="J38" i="1" s="1"/>
  <c r="L33" i="1"/>
  <c r="C33" i="1"/>
  <c r="N33" i="1"/>
  <c r="D33" i="1"/>
  <c r="J33" i="1" s="1"/>
  <c r="K33" i="1"/>
  <c r="AB31" i="1"/>
  <c r="E31" i="1"/>
  <c r="F31" i="1"/>
  <c r="G31" i="1"/>
  <c r="D31" i="1"/>
  <c r="J31" i="1" s="1"/>
  <c r="S28" i="1"/>
  <c r="T28" i="1" s="1"/>
  <c r="E25" i="1"/>
  <c r="G23" i="1"/>
  <c r="F22" i="1"/>
  <c r="H26" i="1"/>
  <c r="E43" i="1"/>
  <c r="I43" i="1" s="1"/>
  <c r="F41" i="1"/>
  <c r="G39" i="1"/>
  <c r="E26" i="1"/>
  <c r="D18" i="1"/>
  <c r="J18" i="1" s="1"/>
  <c r="L17" i="1"/>
  <c r="M17" i="1" s="1"/>
  <c r="H11" i="1"/>
  <c r="D10" i="1"/>
  <c r="J10" i="1" s="1"/>
  <c r="L5" i="1"/>
  <c r="M5" i="1" s="1"/>
  <c r="L3" i="1"/>
  <c r="C3" i="1"/>
  <c r="D3" i="1"/>
  <c r="J3" i="1" s="1"/>
  <c r="N3" i="1"/>
  <c r="E3" i="1"/>
  <c r="AB17" i="1"/>
  <c r="H17" i="1"/>
  <c r="L10" i="1"/>
  <c r="F5" i="1"/>
  <c r="I5" i="1" s="1"/>
  <c r="AB3" i="1"/>
  <c r="AA3" i="1"/>
  <c r="K3" i="1"/>
  <c r="G5" i="1"/>
  <c r="H5" i="1"/>
  <c r="AB5" i="1"/>
  <c r="D5" i="1"/>
  <c r="J5" i="1" s="1"/>
  <c r="H3" i="1"/>
  <c r="E12" i="1"/>
  <c r="AB10" i="1"/>
  <c r="H10" i="1"/>
  <c r="L53" i="1"/>
  <c r="M53" i="1" s="1"/>
  <c r="L49" i="1"/>
  <c r="M49" i="1" s="1"/>
  <c r="AB43" i="1"/>
  <c r="H43" i="1"/>
  <c r="AB41" i="1"/>
  <c r="H41" i="1"/>
  <c r="L27" i="1"/>
  <c r="M27" i="1" s="1"/>
  <c r="G26" i="1"/>
  <c r="H21" i="1"/>
  <c r="AB18" i="1"/>
  <c r="F18" i="1"/>
  <c r="N17" i="1"/>
  <c r="G13" i="1"/>
  <c r="D12" i="1"/>
  <c r="J12" i="1" s="1"/>
  <c r="K11" i="1"/>
  <c r="F10" i="1"/>
  <c r="S8" i="1"/>
  <c r="T8" i="1" s="1"/>
  <c r="H8" i="1"/>
  <c r="N5" i="1"/>
  <c r="G3" i="1"/>
  <c r="G18" i="1"/>
  <c r="D17" i="1"/>
  <c r="J17" i="1" s="1"/>
  <c r="G43" i="1"/>
  <c r="G41" i="1"/>
  <c r="AB39" i="1"/>
  <c r="H39" i="1"/>
  <c r="AB36" i="1"/>
  <c r="H36" i="1"/>
  <c r="F26" i="1"/>
  <c r="G21" i="1"/>
  <c r="AA18" i="1"/>
  <c r="E18" i="1"/>
  <c r="H16" i="1"/>
  <c r="AB13" i="1"/>
  <c r="F13" i="1"/>
  <c r="N12" i="1"/>
  <c r="E10" i="1"/>
  <c r="G8" i="1"/>
  <c r="S3" i="1"/>
  <c r="T3" i="1" s="1"/>
  <c r="F3" i="1"/>
  <c r="K6" i="1"/>
  <c r="O31" i="1" l="1"/>
  <c r="O16" i="1"/>
  <c r="Q16" i="1" s="1"/>
  <c r="M21" i="1"/>
  <c r="I41" i="1"/>
  <c r="U48" i="1"/>
  <c r="V48" i="1" s="1"/>
  <c r="X48" i="1" s="1"/>
  <c r="I11" i="1"/>
  <c r="O44" i="1"/>
  <c r="Q44" i="1" s="1"/>
  <c r="O17" i="1"/>
  <c r="P17" i="1" s="1"/>
  <c r="I20" i="1"/>
  <c r="O36" i="1"/>
  <c r="Q36" i="1" s="1"/>
  <c r="M16" i="1"/>
  <c r="O49" i="1"/>
  <c r="P49" i="1" s="1"/>
  <c r="O6" i="1"/>
  <c r="R6" i="1" s="1"/>
  <c r="M48" i="1"/>
  <c r="M6" i="1"/>
  <c r="I49" i="1"/>
  <c r="I16" i="1"/>
  <c r="M26" i="1"/>
  <c r="M25" i="1"/>
  <c r="M43" i="1"/>
  <c r="J9" i="1"/>
  <c r="U8" i="1" s="1"/>
  <c r="M45" i="1"/>
  <c r="I21" i="1"/>
  <c r="I32" i="1"/>
  <c r="I53" i="1"/>
  <c r="O47" i="1"/>
  <c r="P47" i="1" s="1"/>
  <c r="M3" i="1"/>
  <c r="O10" i="1"/>
  <c r="P10" i="1" s="1"/>
  <c r="R11" i="1"/>
  <c r="I13" i="1"/>
  <c r="U33" i="1"/>
  <c r="V33" i="1" s="1"/>
  <c r="M23" i="1"/>
  <c r="I6" i="1"/>
  <c r="O8" i="1"/>
  <c r="I36" i="1"/>
  <c r="U38" i="1"/>
  <c r="V38" i="1" s="1"/>
  <c r="M38" i="1"/>
  <c r="U54" i="1"/>
  <c r="V54" i="1" s="1"/>
  <c r="I8" i="1"/>
  <c r="O43" i="1"/>
  <c r="P43" i="1" s="1"/>
  <c r="M11" i="1"/>
  <c r="I23" i="1"/>
  <c r="O48" i="1"/>
  <c r="P48" i="1" s="1"/>
  <c r="O26" i="1"/>
  <c r="R26" i="1" s="1"/>
  <c r="U44" i="1"/>
  <c r="V44" i="1" s="1"/>
  <c r="X44" i="1" s="1"/>
  <c r="O21" i="1"/>
  <c r="R21" i="1" s="1"/>
  <c r="J14" i="1"/>
  <c r="O14" i="1" s="1"/>
  <c r="J24" i="1"/>
  <c r="O24" i="1" s="1"/>
  <c r="R24" i="1" s="1"/>
  <c r="I3" i="1"/>
  <c r="O46" i="1"/>
  <c r="P46" i="1" s="1"/>
  <c r="M46" i="1"/>
  <c r="O13" i="1"/>
  <c r="Q13" i="1" s="1"/>
  <c r="J4" i="1"/>
  <c r="O4" i="1" s="1"/>
  <c r="P4" i="1" s="1"/>
  <c r="U52" i="1"/>
  <c r="O15" i="1"/>
  <c r="Q15" i="1" s="1"/>
  <c r="C29" i="1"/>
  <c r="U40" i="1"/>
  <c r="V40" i="1" s="1"/>
  <c r="W40" i="1" s="1"/>
  <c r="M47" i="1"/>
  <c r="M10" i="1"/>
  <c r="O34" i="1"/>
  <c r="M31" i="1"/>
  <c r="O12" i="1"/>
  <c r="R12" i="1" s="1"/>
  <c r="Q11" i="1"/>
  <c r="M39" i="1"/>
  <c r="I18" i="1"/>
  <c r="M42" i="1"/>
  <c r="M34" i="1"/>
  <c r="O32" i="1"/>
  <c r="U46" i="1"/>
  <c r="V46" i="1" s="1"/>
  <c r="I46" i="1"/>
  <c r="I17" i="1"/>
  <c r="O27" i="1"/>
  <c r="P27" i="1" s="1"/>
  <c r="O45" i="1"/>
  <c r="I44" i="1"/>
  <c r="O53" i="1"/>
  <c r="C9" i="1"/>
  <c r="J29" i="1"/>
  <c r="O29" i="1" s="1"/>
  <c r="M15" i="1"/>
  <c r="I15" i="1"/>
  <c r="J19" i="1"/>
  <c r="M20" i="1"/>
  <c r="I27" i="1"/>
  <c r="C14" i="1"/>
  <c r="M33" i="1"/>
  <c r="I35" i="1"/>
  <c r="O55" i="1"/>
  <c r="Q55" i="1" s="1"/>
  <c r="O40" i="1"/>
  <c r="V42" i="1"/>
  <c r="W42" i="1" s="1"/>
  <c r="O39" i="1"/>
  <c r="O41" i="1"/>
  <c r="C19" i="1"/>
  <c r="C4" i="1"/>
  <c r="C24" i="1"/>
  <c r="I10" i="1"/>
  <c r="I12" i="1"/>
  <c r="I51" i="1"/>
  <c r="O30" i="1"/>
  <c r="P30" i="1" s="1"/>
  <c r="U35" i="1"/>
  <c r="V35" i="1" s="1"/>
  <c r="W35" i="1" s="1"/>
  <c r="I50" i="1"/>
  <c r="R54" i="1"/>
  <c r="P54" i="1"/>
  <c r="Q54" i="1"/>
  <c r="M40" i="1"/>
  <c r="O3" i="1"/>
  <c r="O5" i="1"/>
  <c r="O38" i="1"/>
  <c r="I48" i="1"/>
  <c r="I47" i="1"/>
  <c r="O20" i="1"/>
  <c r="M54" i="1"/>
  <c r="O28" i="1"/>
  <c r="Z42" i="1"/>
  <c r="O42" i="1"/>
  <c r="I52" i="1"/>
  <c r="I31" i="1"/>
  <c r="O23" i="1"/>
  <c r="O18" i="1"/>
  <c r="I38" i="1"/>
  <c r="I25" i="1"/>
  <c r="I7" i="1"/>
  <c r="O35" i="1"/>
  <c r="O33" i="1"/>
  <c r="M52" i="1"/>
  <c r="M51" i="1"/>
  <c r="M44" i="1"/>
  <c r="M50" i="1"/>
  <c r="O7" i="1"/>
  <c r="M30" i="1"/>
  <c r="M35" i="1"/>
  <c r="M22" i="1"/>
  <c r="I55" i="1"/>
  <c r="Q52" i="1"/>
  <c r="R52" i="1"/>
  <c r="P52" i="1"/>
  <c r="P51" i="1"/>
  <c r="Q51" i="1"/>
  <c r="R51" i="1"/>
  <c r="Q22" i="1"/>
  <c r="R22" i="1"/>
  <c r="P22" i="1"/>
  <c r="I22" i="1"/>
  <c r="I26" i="1"/>
  <c r="I54" i="1"/>
  <c r="P31" i="1"/>
  <c r="Q31" i="1"/>
  <c r="R31" i="1"/>
  <c r="U50" i="1"/>
  <c r="V50" i="1" s="1"/>
  <c r="M7" i="1"/>
  <c r="I45" i="1"/>
  <c r="O25" i="1"/>
  <c r="I28" i="1"/>
  <c r="O50" i="1"/>
  <c r="R16" i="1" l="1"/>
  <c r="P16" i="1"/>
  <c r="Q48" i="1"/>
  <c r="W48" i="1"/>
  <c r="Y48" i="1"/>
  <c r="B48" i="1" s="1"/>
  <c r="Z48" i="1"/>
  <c r="R48" i="1"/>
  <c r="Q17" i="1"/>
  <c r="R17" i="1"/>
  <c r="P36" i="1"/>
  <c r="R44" i="1"/>
  <c r="P44" i="1"/>
  <c r="R36" i="1"/>
  <c r="Q49" i="1"/>
  <c r="R47" i="1"/>
  <c r="Q12" i="1"/>
  <c r="P6" i="1"/>
  <c r="P12" i="1"/>
  <c r="Q6" i="1"/>
  <c r="X33" i="1"/>
  <c r="B33" i="1" s="1"/>
  <c r="W44" i="1"/>
  <c r="Q47" i="1"/>
  <c r="W33" i="1"/>
  <c r="Z33" i="1"/>
  <c r="Q21" i="1"/>
  <c r="R49" i="1"/>
  <c r="Q10" i="1"/>
  <c r="Z54" i="1"/>
  <c r="Y33" i="1"/>
  <c r="Q46" i="1"/>
  <c r="R43" i="1"/>
  <c r="R46" i="1"/>
  <c r="O9" i="1"/>
  <c r="R27" i="1"/>
  <c r="X40" i="1"/>
  <c r="R10" i="1"/>
  <c r="Y40" i="1"/>
  <c r="P55" i="1"/>
  <c r="Z46" i="1"/>
  <c r="R15" i="1"/>
  <c r="Q43" i="1"/>
  <c r="Y54" i="1"/>
  <c r="W54" i="1"/>
  <c r="Z44" i="1"/>
  <c r="Z38" i="1"/>
  <c r="Y44" i="1"/>
  <c r="B44" i="1" s="1"/>
  <c r="P15" i="1"/>
  <c r="Q27" i="1"/>
  <c r="P21" i="1"/>
  <c r="R55" i="1"/>
  <c r="P8" i="1"/>
  <c r="R8" i="1"/>
  <c r="Q8" i="1"/>
  <c r="Z40" i="1"/>
  <c r="R13" i="1"/>
  <c r="R4" i="1"/>
  <c r="U13" i="1"/>
  <c r="Z13" i="1" s="1"/>
  <c r="U3" i="1"/>
  <c r="Z3" i="1" s="1"/>
  <c r="Q24" i="1"/>
  <c r="U23" i="1"/>
  <c r="V23" i="1" s="1"/>
  <c r="Y23" i="1" s="1"/>
  <c r="P24" i="1"/>
  <c r="P13" i="1"/>
  <c r="Q26" i="1"/>
  <c r="P26" i="1"/>
  <c r="X54" i="1"/>
  <c r="Q4" i="1"/>
  <c r="V52" i="1"/>
  <c r="Z52" i="1"/>
  <c r="Q45" i="1"/>
  <c r="R45" i="1"/>
  <c r="P45" i="1"/>
  <c r="P32" i="1"/>
  <c r="Q32" i="1"/>
  <c r="R32" i="1"/>
  <c r="R30" i="1"/>
  <c r="Q30" i="1"/>
  <c r="P53" i="1"/>
  <c r="Q53" i="1"/>
  <c r="R53" i="1"/>
  <c r="P34" i="1"/>
  <c r="Q34" i="1"/>
  <c r="R34" i="1"/>
  <c r="O19" i="1"/>
  <c r="U18" i="1"/>
  <c r="V8" i="1"/>
  <c r="Z8" i="1"/>
  <c r="X35" i="1"/>
  <c r="B35" i="1"/>
  <c r="P29" i="1"/>
  <c r="R29" i="1"/>
  <c r="Q29" i="1"/>
  <c r="P14" i="1"/>
  <c r="Q14" i="1"/>
  <c r="R14" i="1"/>
  <c r="Z35" i="1"/>
  <c r="Y35" i="1"/>
  <c r="Q40" i="1"/>
  <c r="R40" i="1"/>
  <c r="P40" i="1"/>
  <c r="X42" i="1"/>
  <c r="P41" i="1"/>
  <c r="Q41" i="1"/>
  <c r="R41" i="1"/>
  <c r="U28" i="1"/>
  <c r="Y42" i="1"/>
  <c r="Q39" i="1"/>
  <c r="P39" i="1"/>
  <c r="R39" i="1"/>
  <c r="Q50" i="1"/>
  <c r="P50" i="1"/>
  <c r="R50" i="1"/>
  <c r="P28" i="1"/>
  <c r="Q28" i="1"/>
  <c r="R28" i="1"/>
  <c r="P18" i="1"/>
  <c r="R18" i="1"/>
  <c r="Q18" i="1"/>
  <c r="R42" i="1"/>
  <c r="P42" i="1"/>
  <c r="Q42" i="1"/>
  <c r="W50" i="1"/>
  <c r="Y50" i="1"/>
  <c r="X50" i="1"/>
  <c r="P7" i="1"/>
  <c r="Q7" i="1"/>
  <c r="R7" i="1"/>
  <c r="Q35" i="1"/>
  <c r="P35" i="1"/>
  <c r="R35" i="1"/>
  <c r="Z50" i="1"/>
  <c r="Q5" i="1"/>
  <c r="R5" i="1"/>
  <c r="P5" i="1"/>
  <c r="Q38" i="1"/>
  <c r="P38" i="1"/>
  <c r="R38" i="1"/>
  <c r="Q20" i="1"/>
  <c r="P20" i="1"/>
  <c r="R20" i="1"/>
  <c r="Q25" i="1"/>
  <c r="P25" i="1"/>
  <c r="R25" i="1"/>
  <c r="R33" i="1"/>
  <c r="P33" i="1"/>
  <c r="Q33" i="1"/>
  <c r="P23" i="1"/>
  <c r="Q23" i="1"/>
  <c r="R23" i="1"/>
  <c r="P3" i="1"/>
  <c r="Q3" i="1"/>
  <c r="R3" i="1"/>
  <c r="W38" i="1"/>
  <c r="X38" i="1"/>
  <c r="Y38" i="1"/>
  <c r="X46" i="1"/>
  <c r="Y46" i="1"/>
  <c r="W46" i="1"/>
  <c r="B38" i="1" l="1"/>
  <c r="B40" i="1"/>
  <c r="V13" i="1"/>
  <c r="X13" i="1" s="1"/>
  <c r="Z23" i="1"/>
  <c r="B23" i="1"/>
  <c r="P9" i="1"/>
  <c r="Q9" i="1"/>
  <c r="R9" i="1"/>
  <c r="B54" i="1"/>
  <c r="W23" i="1"/>
  <c r="V3" i="1"/>
  <c r="B3" i="1" s="1"/>
  <c r="B46" i="1"/>
  <c r="X23" i="1"/>
  <c r="W52" i="1"/>
  <c r="Y52" i="1"/>
  <c r="X52" i="1"/>
  <c r="B52" i="1" s="1"/>
  <c r="B50" i="1"/>
  <c r="V28" i="1"/>
  <c r="Z28" i="1"/>
  <c r="W8" i="1"/>
  <c r="X8" i="1"/>
  <c r="B8" i="1"/>
  <c r="Y8" i="1"/>
  <c r="V18" i="1"/>
  <c r="Z18" i="1"/>
  <c r="B42" i="1"/>
  <c r="P19" i="1"/>
  <c r="Q19" i="1"/>
  <c r="R19" i="1"/>
  <c r="B13" i="1" l="1"/>
  <c r="W13" i="1"/>
  <c r="Y13" i="1"/>
  <c r="X3" i="1"/>
  <c r="Y3" i="1"/>
  <c r="W3" i="1"/>
  <c r="Y18" i="1"/>
  <c r="X18" i="1"/>
  <c r="W18" i="1"/>
  <c r="X28" i="1"/>
  <c r="B28" i="1"/>
  <c r="Y28" i="1"/>
  <c r="W28" i="1"/>
  <c r="B18" i="1" l="1"/>
</calcChain>
</file>

<file path=xl/sharedStrings.xml><?xml version="1.0" encoding="utf-8"?>
<sst xmlns="http://schemas.openxmlformats.org/spreadsheetml/2006/main" count="4306" uniqueCount="1259">
  <si>
    <t>Ticker</t>
  </si>
  <si>
    <t>Signal</t>
  </si>
  <si>
    <t>β / Wt</t>
  </si>
  <si>
    <t>Last</t>
  </si>
  <si>
    <t>Bid</t>
  </si>
  <si>
    <t>Ask</t>
  </si>
  <si>
    <t>Bid Sz</t>
  </si>
  <si>
    <t>Ask Sz</t>
  </si>
  <si>
    <t>Spread bps</t>
  </si>
  <si>
    <t>Chg %</t>
  </si>
  <si>
    <t>Volume</t>
  </si>
  <si>
    <t>Avg Vol</t>
  </si>
  <si>
    <t>Rel Vol</t>
  </si>
  <si>
    <t>σ 1D</t>
  </si>
  <si>
    <t>Move σ</t>
  </si>
  <si>
    <t>P&gt;1σ</t>
  </si>
  <si>
    <t>P&gt;2σ</t>
  </si>
  <si>
    <t>P&gt;3σ</t>
  </si>
  <si>
    <t>NAV T-1</t>
  </si>
  <si>
    <t>Prem T-1 bps</t>
  </si>
  <si>
    <t>Und Move</t>
  </si>
  <si>
    <t>Fair Value</t>
  </si>
  <si>
    <t>vs FV bps</t>
  </si>
  <si>
    <t>Sell Edge</t>
  </si>
  <si>
    <t>Buy Edge</t>
  </si>
  <si>
    <t>Resid Z</t>
  </si>
  <si>
    <t>Yield</t>
  </si>
  <si>
    <t>Time</t>
  </si>
  <si>
    <t>ETF</t>
  </si>
  <si>
    <t>Class</t>
  </si>
  <si>
    <t>Model</t>
  </si>
  <si>
    <t>Underlying</t>
  </si>
  <si>
    <t>Leverage</t>
  </si>
  <si>
    <t>Peers</t>
  </si>
  <si>
    <t>Holdings Source</t>
  </si>
  <si>
    <t>Active</t>
  </si>
  <si>
    <t>SPY</t>
  </si>
  <si>
    <t>EQUITY</t>
  </si>
  <si>
    <t>BASKET</t>
  </si>
  <si>
    <t>IVV,VOO</t>
  </si>
  <si>
    <t>SPDR</t>
  </si>
  <si>
    <t>Y</t>
  </si>
  <si>
    <t>QQQ</t>
  </si>
  <si>
    <t>QQQM</t>
  </si>
  <si>
    <t>INVESCO</t>
  </si>
  <si>
    <t>XLK</t>
  </si>
  <si>
    <t>VGT</t>
  </si>
  <si>
    <t>XLF</t>
  </si>
  <si>
    <t>VFH</t>
  </si>
  <si>
    <t>XLE</t>
  </si>
  <si>
    <t>VDE</t>
  </si>
  <si>
    <t>XLV</t>
  </si>
  <si>
    <t>VHT</t>
  </si>
  <si>
    <t>IWM</t>
  </si>
  <si>
    <t>PROXY</t>
  </si>
  <si>
    <t>VTWO</t>
  </si>
  <si>
    <t>AAPU</t>
  </si>
  <si>
    <t>AAPL</t>
  </si>
  <si>
    <t>TLT</t>
  </si>
  <si>
    <t>FI</t>
  </si>
  <si>
    <t>VGLT</t>
  </si>
  <si>
    <t>VGLT,SPTL</t>
  </si>
  <si>
    <t>IEF</t>
  </si>
  <si>
    <t>VGIT</t>
  </si>
  <si>
    <t>VGIT,SCHR</t>
  </si>
  <si>
    <t>SHY</t>
  </si>
  <si>
    <t>VGSH</t>
  </si>
  <si>
    <t>VGSH,SCHO</t>
  </si>
  <si>
    <t>LQD</t>
  </si>
  <si>
    <t>VCIT,IGIB</t>
  </si>
  <si>
    <t>VCIT</t>
  </si>
  <si>
    <t>IGIB</t>
  </si>
  <si>
    <t>HYG</t>
  </si>
  <si>
    <t>JNK</t>
  </si>
  <si>
    <t>JNK,USHY</t>
  </si>
  <si>
    <t>AGG</t>
  </si>
  <si>
    <t>BND</t>
  </si>
  <si>
    <t>BND,SCHZ</t>
  </si>
  <si>
    <t>TIP</t>
  </si>
  <si>
    <t>SCHP</t>
  </si>
  <si>
    <t>SCHP,SPIP</t>
  </si>
  <si>
    <t>MUB</t>
  </si>
  <si>
    <t>VTEB</t>
  </si>
  <si>
    <t>Symbol</t>
  </si>
  <si>
    <t>Name</t>
  </si>
  <si>
    <t>Weight</t>
  </si>
  <si>
    <t>Contribution</t>
  </si>
  <si>
    <t>Priced Wt</t>
  </si>
  <si>
    <t>Source</t>
  </si>
  <si>
    <t>As Of</t>
  </si>
  <si>
    <t>Days</t>
  </si>
  <si>
    <t>Setting</t>
  </si>
  <si>
    <t>Value</t>
  </si>
  <si>
    <t>Live</t>
  </si>
  <si>
    <t>Refresh (sec)</t>
  </si>
  <si>
    <t>Equity cost (bps)</t>
  </si>
  <si>
    <t>FI cost (bps)</t>
  </si>
  <si>
    <t>Equity min edge (bps)</t>
  </si>
  <si>
    <t>FI min edge (bps)</t>
  </si>
  <si>
    <t>Anchor (CLOSE/NAV)</t>
  </si>
  <si>
    <t>CLOSE</t>
  </si>
  <si>
    <t>Stale after (min)</t>
  </si>
  <si>
    <t>Ex-div flag (bps)</t>
  </si>
  <si>
    <t>Holdings shown</t>
  </si>
  <si>
    <t>Max basket names</t>
  </si>
  <si>
    <t>History period</t>
  </si>
  <si>
    <t>1y</t>
  </si>
  <si>
    <t>Beta lookback (days)</t>
  </si>
  <si>
    <t>Resid lookback (days)</t>
  </si>
  <si>
    <t>Vol lookback (days)</t>
  </si>
  <si>
    <t>Chart refresh (sec)</t>
  </si>
  <si>
    <t>Log intraday</t>
  </si>
  <si>
    <t>Prev Close</t>
  </si>
  <si>
    <t>NAV</t>
  </si>
  <si>
    <t>Sigma</t>
  </si>
  <si>
    <t>Beta</t>
  </si>
  <si>
    <t>Resid Mean</t>
  </si>
  <si>
    <t>Resid SD</t>
  </si>
  <si>
    <t>Session Left</t>
  </si>
  <si>
    <t>NVDA</t>
  </si>
  <si>
    <t>NVIDIA CORP</t>
  </si>
  <si>
    <t>APPLE INC</t>
  </si>
  <si>
    <t>MSFT</t>
  </si>
  <si>
    <t>MICROSOFT CORP</t>
  </si>
  <si>
    <t>AMZN</t>
  </si>
  <si>
    <t>AMAZON.COM INC</t>
  </si>
  <si>
    <t>GOOGL</t>
  </si>
  <si>
    <t>ALPHABET INC CL A</t>
  </si>
  <si>
    <t>AVGO</t>
  </si>
  <si>
    <t>BROADCOM INC</t>
  </si>
  <si>
    <t>GOOG</t>
  </si>
  <si>
    <t>ALPHABET INC CL C</t>
  </si>
  <si>
    <t>META</t>
  </si>
  <si>
    <t>META PLATFORMS INC CLASS A</t>
  </si>
  <si>
    <t>MU</t>
  </si>
  <si>
    <t>MICRON TECHNOLOGY INC</t>
  </si>
  <si>
    <t>TSLA</t>
  </si>
  <si>
    <t>TESLA INC</t>
  </si>
  <si>
    <t>BRK-B</t>
  </si>
  <si>
    <t>BERKSHIRE HATHAWAY INC CL B</t>
  </si>
  <si>
    <t>JPM</t>
  </si>
  <si>
    <t>JPMORGAN CHASE + CO</t>
  </si>
  <si>
    <t>LLY</t>
  </si>
  <si>
    <t>ELI LILLY + CO</t>
  </si>
  <si>
    <t>AMD</t>
  </si>
  <si>
    <t>ADVANCED MICRO DEVICES</t>
  </si>
  <si>
    <t>XOM</t>
  </si>
  <si>
    <t>EXXONMOBIL HOLDINGS CORP</t>
  </si>
  <si>
    <t>JNJ</t>
  </si>
  <si>
    <t>JOHNSON + JOHNSON</t>
  </si>
  <si>
    <t>V</t>
  </si>
  <si>
    <t>VISA INC CLASS A SHARES</t>
  </si>
  <si>
    <t>INTC</t>
  </si>
  <si>
    <t>INTEL CORP</t>
  </si>
  <si>
    <t>WMT</t>
  </si>
  <si>
    <t>WALMART INC</t>
  </si>
  <si>
    <t>ABBV</t>
  </si>
  <si>
    <t>ABBVIE INC</t>
  </si>
  <si>
    <t>MA</t>
  </si>
  <si>
    <t>MASTERCARD INC   A</t>
  </si>
  <si>
    <t>CSCO</t>
  </si>
  <si>
    <t>CISCO SYSTEMS INC</t>
  </si>
  <si>
    <t>CVX</t>
  </si>
  <si>
    <t>CHEVRON CORP</t>
  </si>
  <si>
    <t>PLTR</t>
  </si>
  <si>
    <t>PALANTIR TECHNOLOGIES INC A</t>
  </si>
  <si>
    <t>COST</t>
  </si>
  <si>
    <t>COSTCO WHOLESALE CORP</t>
  </si>
  <si>
    <t>BAC</t>
  </si>
  <si>
    <t>BANK OF AMERICA CORP</t>
  </si>
  <si>
    <t>CAT</t>
  </si>
  <si>
    <t>CATERPILLAR INC</t>
  </si>
  <si>
    <t>MRK</t>
  </si>
  <si>
    <t>MERCK + CO. INC.</t>
  </si>
  <si>
    <t>LRCX</t>
  </si>
  <si>
    <t>LAM RESEARCH CORP</t>
  </si>
  <si>
    <t>AMAT</t>
  </si>
  <si>
    <t>APPLIED MATERIALS INC</t>
  </si>
  <si>
    <t>KO</t>
  </si>
  <si>
    <t>COCA COLA CO/THE</t>
  </si>
  <si>
    <t>PG</t>
  </si>
  <si>
    <t>PROCTER + GAMBLE CO/THE</t>
  </si>
  <si>
    <t>UNH</t>
  </si>
  <si>
    <t>UNITEDHEALTH GROUP INC</t>
  </si>
  <si>
    <t>GE</t>
  </si>
  <si>
    <t>GENERAL ELECTRIC</t>
  </si>
  <si>
    <t>HD</t>
  </si>
  <si>
    <t>HOME DEPOT INC</t>
  </si>
  <si>
    <t>NFLX</t>
  </si>
  <si>
    <t>NETFLIX INC</t>
  </si>
  <si>
    <t>PANW</t>
  </si>
  <si>
    <t>PALO ALTO NETWORKS INC</t>
  </si>
  <si>
    <t>PM</t>
  </si>
  <si>
    <t>PHILIP MORRIS INTERNATIONAL</t>
  </si>
  <si>
    <t>GS</t>
  </si>
  <si>
    <t>GOLDMAN SACHS GROUP INC</t>
  </si>
  <si>
    <t>SNDK</t>
  </si>
  <si>
    <t>SANDISK CORP</t>
  </si>
  <si>
    <t>RTX</t>
  </si>
  <si>
    <t>RTX CORP</t>
  </si>
  <si>
    <t>WFC</t>
  </si>
  <si>
    <t>WELLS FARGO + CO</t>
  </si>
  <si>
    <t>ORCL</t>
  </si>
  <si>
    <t>ORACLE CORP</t>
  </si>
  <si>
    <t>GEV</t>
  </si>
  <si>
    <t>GE VERNOVA INC</t>
  </si>
  <si>
    <t>TXN</t>
  </si>
  <si>
    <t>TEXAS INSTRUMENTS INC</t>
  </si>
  <si>
    <t>CRWD</t>
  </si>
  <si>
    <t>CROWDSTRIKE HOLDINGS INC   A</t>
  </si>
  <si>
    <t>MS</t>
  </si>
  <si>
    <t>MORGAN STANLEY</t>
  </si>
  <si>
    <t>TMO</t>
  </si>
  <si>
    <t>THERMO FISHER SCIENTIFIC INC</t>
  </si>
  <si>
    <t>KLAC</t>
  </si>
  <si>
    <t>KLA CORP</t>
  </si>
  <si>
    <t>C</t>
  </si>
  <si>
    <t>CITIGROUP INC</t>
  </si>
  <si>
    <t>IBM</t>
  </si>
  <si>
    <t>INTL BUSINESS MACHINES CORP</t>
  </si>
  <si>
    <t>MRVL</t>
  </si>
  <si>
    <t>MARVELL TECHNOLOGY INC</t>
  </si>
  <si>
    <t>LIN</t>
  </si>
  <si>
    <t>LINDE PLC</t>
  </si>
  <si>
    <t>ANET</t>
  </si>
  <si>
    <t>ARISTA NETWORKS INC</t>
  </si>
  <si>
    <t>AMGN</t>
  </si>
  <si>
    <t>AMGEN INC</t>
  </si>
  <si>
    <t>VZ</t>
  </si>
  <si>
    <t>VERIZON COMMUNICATIONS INC</t>
  </si>
  <si>
    <t>CRM</t>
  </si>
  <si>
    <t>SALESFORCE INC</t>
  </si>
  <si>
    <t>STX</t>
  </si>
  <si>
    <t>SEAGATE TECHNOLOGY HOLDINGS</t>
  </si>
  <si>
    <t>APH</t>
  </si>
  <si>
    <t>AMPHENOL CORP CL A</t>
  </si>
  <si>
    <t>QCOM</t>
  </si>
  <si>
    <t>QUALCOMM INC</t>
  </si>
  <si>
    <t>GILD</t>
  </si>
  <si>
    <t>GILEAD SCIENCES INC</t>
  </si>
  <si>
    <t>ADI</t>
  </si>
  <si>
    <t>ANALOG DEVICES INC</t>
  </si>
  <si>
    <t>ABT</t>
  </si>
  <si>
    <t>ABBOTT LABORATORIES</t>
  </si>
  <si>
    <t>DIS</t>
  </si>
  <si>
    <t>WALT DISNEY CO/THE</t>
  </si>
  <si>
    <t>PEP</t>
  </si>
  <si>
    <t>PEPSICO INC</t>
  </si>
  <si>
    <t>MCD</t>
  </si>
  <si>
    <t>MCDONALD S CORP</t>
  </si>
  <si>
    <t>T</t>
  </si>
  <si>
    <t>AT+T INC</t>
  </si>
  <si>
    <t>DELL</t>
  </si>
  <si>
    <t>DELL TECHNOLOGIES  C</t>
  </si>
  <si>
    <t>DE</t>
  </si>
  <si>
    <t>DEERE + CO</t>
  </si>
  <si>
    <t>SCHW</t>
  </si>
  <si>
    <t>SCHWAB (CHARLES) CORP</t>
  </si>
  <si>
    <t>NEE</t>
  </si>
  <si>
    <t>NEXTERA ENERGY INC</t>
  </si>
  <si>
    <t>UNP</t>
  </si>
  <si>
    <t>UNION PACIFIC CORP</t>
  </si>
  <si>
    <t>ETN</t>
  </si>
  <si>
    <t>EATON CORP PLC</t>
  </si>
  <si>
    <t>WELL</t>
  </si>
  <si>
    <t>WELLTOWER INC</t>
  </si>
  <si>
    <t>AXP</t>
  </si>
  <si>
    <t>AMERICAN EXPRESS CO</t>
  </si>
  <si>
    <t>WDC</t>
  </si>
  <si>
    <t>WESTERN DIGITAL CORP</t>
  </si>
  <si>
    <t>COP</t>
  </si>
  <si>
    <t>CONOCOPHILLIPS</t>
  </si>
  <si>
    <t>PFE</t>
  </si>
  <si>
    <t>PFIZER INC</t>
  </si>
  <si>
    <t>BA</t>
  </si>
  <si>
    <t>BOEING CO/THE</t>
  </si>
  <si>
    <t>BLK</t>
  </si>
  <si>
    <t>BLACKROCK INC</t>
  </si>
  <si>
    <t>UBER</t>
  </si>
  <si>
    <t>UBER TECHNOLOGIES INC</t>
  </si>
  <si>
    <t>TJX</t>
  </si>
  <si>
    <t>TJX COMPANIES INC</t>
  </si>
  <si>
    <t>NOW</t>
  </si>
  <si>
    <t>SERVICENOW INC</t>
  </si>
  <si>
    <t>ISRG</t>
  </si>
  <si>
    <t>INTUITIVE SURGICAL INC</t>
  </si>
  <si>
    <t>DHR</t>
  </si>
  <si>
    <t>DANAHER CORP</t>
  </si>
  <si>
    <t>NEM</t>
  </si>
  <si>
    <t>NEWMONT CORP</t>
  </si>
  <si>
    <t>BMY</t>
  </si>
  <si>
    <t>BRISTOL MYERS SQUIBB CO</t>
  </si>
  <si>
    <t>VRTX</t>
  </si>
  <si>
    <t>VERTEX PHARMACEUTICALS INC</t>
  </si>
  <si>
    <t>PLD</t>
  </si>
  <si>
    <t>PROLOGIS INC</t>
  </si>
  <si>
    <t>BKNG</t>
  </si>
  <si>
    <t>BOOKING HOLDINGS INC</t>
  </si>
  <si>
    <t>PGR</t>
  </si>
  <si>
    <t>PROGRESSIVE CORP</t>
  </si>
  <si>
    <t>COF</t>
  </si>
  <si>
    <t>CAPITAL ONE FINANCIAL CORP</t>
  </si>
  <si>
    <t>SPGI</t>
  </si>
  <si>
    <t>S+P GLOBAL INC</t>
  </si>
  <si>
    <t>CB</t>
  </si>
  <si>
    <t>CHUBB LTD</t>
  </si>
  <si>
    <t>MPC</t>
  </si>
  <si>
    <t>MARATHON PETROLEUM CORP</t>
  </si>
  <si>
    <t>PH</t>
  </si>
  <si>
    <t>PARKER HANNIFIN CORP</t>
  </si>
  <si>
    <t>VLO</t>
  </si>
  <si>
    <t>VALERO ENERGY CORP</t>
  </si>
  <si>
    <t>GLW</t>
  </si>
  <si>
    <t>CORNING INC</t>
  </si>
  <si>
    <t>MDT</t>
  </si>
  <si>
    <t>MEDTRONIC PLC</t>
  </si>
  <si>
    <t>MO</t>
  </si>
  <si>
    <t>ALTRIA GROUP INC</t>
  </si>
  <si>
    <t>CVS</t>
  </si>
  <si>
    <t>CVS HEALTH CORP</t>
  </si>
  <si>
    <t>ACN</t>
  </si>
  <si>
    <t>ACCENTURE PLC CL A</t>
  </si>
  <si>
    <t>SBUX</t>
  </si>
  <si>
    <t>STARBUCKS CORP</t>
  </si>
  <si>
    <t>PSX</t>
  </si>
  <si>
    <t>PHILLIPS 66</t>
  </si>
  <si>
    <t>LMT</t>
  </si>
  <si>
    <t>LOCKHEED MARTIN CORP</t>
  </si>
  <si>
    <t>LOW</t>
  </si>
  <si>
    <t>LOWE S COS INC</t>
  </si>
  <si>
    <t>ADP</t>
  </si>
  <si>
    <t>AUTOMATIC DATA PROCESSING</t>
  </si>
  <si>
    <t>FTNT</t>
  </si>
  <si>
    <t>FORTINET INC</t>
  </si>
  <si>
    <t>BNY</t>
  </si>
  <si>
    <t>BANK OF NEW YORK MELLON CORP</t>
  </si>
  <si>
    <t>FCX</t>
  </si>
  <si>
    <t>FREEPORT MCMORAN INC</t>
  </si>
  <si>
    <t>MCK</t>
  </si>
  <si>
    <t>MCKESSON CORP</t>
  </si>
  <si>
    <t>EQIX</t>
  </si>
  <si>
    <t>EQUINIX INC</t>
  </si>
  <si>
    <t>CME</t>
  </si>
  <si>
    <t>CME GROUP INC</t>
  </si>
  <si>
    <t>ADBE</t>
  </si>
  <si>
    <t>ADOBE INC</t>
  </si>
  <si>
    <t>SO</t>
  </si>
  <si>
    <t>SOUTHERN CO/THE</t>
  </si>
  <si>
    <t>SYK</t>
  </si>
  <si>
    <t>STRYKER CORP</t>
  </si>
  <si>
    <t>VRT</t>
  </si>
  <si>
    <t>VERTIV HOLDINGS CO A</t>
  </si>
  <si>
    <t>PWR</t>
  </si>
  <si>
    <t>QUANTA SERVICES INC</t>
  </si>
  <si>
    <t>HOOD</t>
  </si>
  <si>
    <t>ROBINHOOD MARKETS INC   A</t>
  </si>
  <si>
    <t>TT</t>
  </si>
  <si>
    <t>TRANE TECHNOLOGIES PLC</t>
  </si>
  <si>
    <t>BX</t>
  </si>
  <si>
    <t>BLACKSTONE INC</t>
  </si>
  <si>
    <t>USB</t>
  </si>
  <si>
    <t>US BANCORP</t>
  </si>
  <si>
    <t>PNC</t>
  </si>
  <si>
    <t>PNC FINANCIAL SERVICES GROUP</t>
  </si>
  <si>
    <t>DUK</t>
  </si>
  <si>
    <t>DUKE ENERGY CORP</t>
  </si>
  <si>
    <t>HWM</t>
  </si>
  <si>
    <t>HOWMET AEROSPACE INC</t>
  </si>
  <si>
    <t>GD</t>
  </si>
  <si>
    <t>GENERAL DYNAMICS CORP</t>
  </si>
  <si>
    <t>ELV</t>
  </si>
  <si>
    <t>ELEVANCE HEALTH INC</t>
  </si>
  <si>
    <t>WMB</t>
  </si>
  <si>
    <t>WILLIAMS COS INC</t>
  </si>
  <si>
    <t>ICE</t>
  </si>
  <si>
    <t>INTERCONTINENTAL EXCHANGE IN</t>
  </si>
  <si>
    <t>CSX</t>
  </si>
  <si>
    <t>CSX CORP</t>
  </si>
  <si>
    <t>JCI</t>
  </si>
  <si>
    <t>JOHNSON CONTROLS INTERNATION</t>
  </si>
  <si>
    <t>MMM</t>
  </si>
  <si>
    <t>3M CO</t>
  </si>
  <si>
    <t>CEG</t>
  </si>
  <si>
    <t>CONSTELLATION ENERGY</t>
  </si>
  <si>
    <t>MRSH</t>
  </si>
  <si>
    <t>MARSH + MCLENNAN COS</t>
  </si>
  <si>
    <t>EMR</t>
  </si>
  <si>
    <t>EMERSON ELECTRIC CO</t>
  </si>
  <si>
    <t>APP</t>
  </si>
  <si>
    <t>APPLOVIN CORP CLASS A</t>
  </si>
  <si>
    <t>INTU</t>
  </si>
  <si>
    <t>INTUIT INC</t>
  </si>
  <si>
    <t>LITE</t>
  </si>
  <si>
    <t>LUMENTUM HOLDINGS INC</t>
  </si>
  <si>
    <t>AMT</t>
  </si>
  <si>
    <t>AMERICAN TOWER CORP</t>
  </si>
  <si>
    <t>TMUS</t>
  </si>
  <si>
    <t>T MOBILE US INC</t>
  </si>
  <si>
    <t>CMCSA</t>
  </si>
  <si>
    <t>COMCAST CORP CLASS A</t>
  </si>
  <si>
    <t>HPE</t>
  </si>
  <si>
    <t>HEWLETT PACKARD ENTERPRISE</t>
  </si>
  <si>
    <t>WM</t>
  </si>
  <si>
    <t>WASTE MANAGEMENT INC</t>
  </si>
  <si>
    <t>BE</t>
  </si>
  <si>
    <t>BLOOM ENERGY CORP  A</t>
  </si>
  <si>
    <t>TRV</t>
  </si>
  <si>
    <t>TRAVELERS COS INC/THE</t>
  </si>
  <si>
    <t>CDNS</t>
  </si>
  <si>
    <t>CADENCE DESIGN SYS INC</t>
  </si>
  <si>
    <t>MDLZ</t>
  </si>
  <si>
    <t>MONDELEZ INTERNATIONAL INC A</t>
  </si>
  <si>
    <t>DDOG</t>
  </si>
  <si>
    <t>DATADOG INC   CLASS A</t>
  </si>
  <si>
    <t>REGN</t>
  </si>
  <si>
    <t>REGENERON PHARMACEUTICALS</t>
  </si>
  <si>
    <t>MSI</t>
  </si>
  <si>
    <t>MOTOROLA SOLUTIONS INC</t>
  </si>
  <si>
    <t>SLB</t>
  </si>
  <si>
    <t>SLB LTD</t>
  </si>
  <si>
    <t>EOG</t>
  </si>
  <si>
    <t>EOG RESOURCES INC</t>
  </si>
  <si>
    <t>UPS</t>
  </si>
  <si>
    <t>UNITED PARCEL SERVICE CL B</t>
  </si>
  <si>
    <t>SNPS</t>
  </si>
  <si>
    <t>SYNOPSYS INC</t>
  </si>
  <si>
    <t>CMI</t>
  </si>
  <si>
    <t>CUMMINS INC</t>
  </si>
  <si>
    <t>SHW</t>
  </si>
  <si>
    <t>SHERWIN WILLIAMS CO/THE</t>
  </si>
  <si>
    <t>CI</t>
  </si>
  <si>
    <t>THE CIGNA GROUP</t>
  </si>
  <si>
    <t>DASH</t>
  </si>
  <si>
    <t>DOORDASH INC   A</t>
  </si>
  <si>
    <t>ROST</t>
  </si>
  <si>
    <t>ROSS STORES INC</t>
  </si>
  <si>
    <t>MAR</t>
  </si>
  <si>
    <t>MARRIOTT INTERNATIONAL  CL A</t>
  </si>
  <si>
    <t>GM</t>
  </si>
  <si>
    <t>GENERAL MOTORS CO</t>
  </si>
  <si>
    <t>TGT</t>
  </si>
  <si>
    <t>TARGET CORP</t>
  </si>
  <si>
    <t>NOC</t>
  </si>
  <si>
    <t>NORTHROP GRUMMAN CORP</t>
  </si>
  <si>
    <t>NSC</t>
  </si>
  <si>
    <t>NORFOLK SOUTHERN CORP</t>
  </si>
  <si>
    <t>ITW</t>
  </si>
  <si>
    <t>ILLINOIS TOOL WORKS</t>
  </si>
  <si>
    <t>WBD</t>
  </si>
  <si>
    <t>WARNER BROS DISCOVERY INC</t>
  </si>
  <si>
    <t>MCO</t>
  </si>
  <si>
    <t>MOODY S CORP</t>
  </si>
  <si>
    <t>CL</t>
  </si>
  <si>
    <t>COLGATE PALMOLIVE CO</t>
  </si>
  <si>
    <t>ABNB</t>
  </si>
  <si>
    <t>AIRBNB INC CLASS A</t>
  </si>
  <si>
    <t>HLT</t>
  </si>
  <si>
    <t>HILTON WORLDWIDE HOLDINGS IN</t>
  </si>
  <si>
    <t>ORLY</t>
  </si>
  <si>
    <t>O REILLY AUTOMOTIVE INC</t>
  </si>
  <si>
    <t>KKR</t>
  </si>
  <si>
    <t>KKR + CO INC</t>
  </si>
  <si>
    <t>CTAS</t>
  </si>
  <si>
    <t>CINTAS CORP</t>
  </si>
  <si>
    <t>ECL</t>
  </si>
  <si>
    <t>ECOLAB INC</t>
  </si>
  <si>
    <t>FDX</t>
  </si>
  <si>
    <t>FEDEX CORP</t>
  </si>
  <si>
    <t>SPG</t>
  </si>
  <si>
    <t>SIMON PROPERTY GROUP INC</t>
  </si>
  <si>
    <t>HON</t>
  </si>
  <si>
    <t>HONEYWELL INTERNATIONAL INC</t>
  </si>
  <si>
    <t>AEP</t>
  </si>
  <si>
    <t>AMERICAN ELECTRIC POWER</t>
  </si>
  <si>
    <t>DLR</t>
  </si>
  <si>
    <t>DIGITAL REALTY TRUST INC</t>
  </si>
  <si>
    <t>MNST</t>
  </si>
  <si>
    <t>MONSTER BEVERAGE CORP</t>
  </si>
  <si>
    <t>APD</t>
  </si>
  <si>
    <t>AIR PRODUCTS + CHEMICALS INC</t>
  </si>
  <si>
    <t>URI</t>
  </si>
  <si>
    <t>UNITED RENTALS INC</t>
  </si>
  <si>
    <t>ALL</t>
  </si>
  <si>
    <t>ALLSTATE CORP</t>
  </si>
  <si>
    <t>HCA</t>
  </si>
  <si>
    <t>HCA HEALTHCARE INC</t>
  </si>
  <si>
    <t>BSX</t>
  </si>
  <si>
    <t>BOSTON SCIENTIFIC CORP</t>
  </si>
  <si>
    <t>TRGP</t>
  </si>
  <si>
    <t>TARGA RESOURCES CORP</t>
  </si>
  <si>
    <t>AON</t>
  </si>
  <si>
    <t>AON PLC CLASS A</t>
  </si>
  <si>
    <t>KMI</t>
  </si>
  <si>
    <t>KINDER MORGAN INC</t>
  </si>
  <si>
    <t>COHR</t>
  </si>
  <si>
    <t>COHERENT CORP</t>
  </si>
  <si>
    <t>AJG</t>
  </si>
  <si>
    <t>ARTHUR J GALLAGHER + CO</t>
  </si>
  <si>
    <t>PCAR</t>
  </si>
  <si>
    <t>PACCAR INC</t>
  </si>
  <si>
    <t>RCL</t>
  </si>
  <si>
    <t>ROYAL CARIBBEAN CRUISES LTD</t>
  </si>
  <si>
    <t>MPWR</t>
  </si>
  <si>
    <t>MONOLITHIC POWER SYSTEMS INC</t>
  </si>
  <si>
    <t>TDG</t>
  </si>
  <si>
    <t>TRANSDIGM GROUP INC</t>
  </si>
  <si>
    <t>APO</t>
  </si>
  <si>
    <t>APOLLO GLOBAL MANAGEMENT INC</t>
  </si>
  <si>
    <t>TEL</t>
  </si>
  <si>
    <t>TE CONNECTIVITY PLC</t>
  </si>
  <si>
    <t>TFC</t>
  </si>
  <si>
    <t>TRUIST FINANCIAL CORP</t>
  </si>
  <si>
    <t>OKE</t>
  </si>
  <si>
    <t>ONEOK INC</t>
  </si>
  <si>
    <t>COR</t>
  </si>
  <si>
    <t>CENCORA INC</t>
  </si>
  <si>
    <t>TER</t>
  </si>
  <si>
    <t>TERADYNE INC</t>
  </si>
  <si>
    <t>FIX</t>
  </si>
  <si>
    <t>COMFORT SYSTEMS USA INC</t>
  </si>
  <si>
    <t>NXPI</t>
  </si>
  <si>
    <t>NXP SEMICONDUCTORS NV</t>
  </si>
  <si>
    <t>KEYS</t>
  </si>
  <si>
    <t>KEYSIGHT TECHNOLOGIES IN</t>
  </si>
  <si>
    <t>MRNA</t>
  </si>
  <si>
    <t>MODERNA INC</t>
  </si>
  <si>
    <t>CRH</t>
  </si>
  <si>
    <t>CRH PLC</t>
  </si>
  <si>
    <t>BKR</t>
  </si>
  <si>
    <t>BAKER HUGHES CO</t>
  </si>
  <si>
    <t>FAST</t>
  </si>
  <si>
    <t>FASTENAL CO</t>
  </si>
  <si>
    <t>NUE</t>
  </si>
  <si>
    <t>NUCOR CORP</t>
  </si>
  <si>
    <t>D</t>
  </si>
  <si>
    <t>DOMINION ENERGY INC</t>
  </si>
  <si>
    <t>GWW</t>
  </si>
  <si>
    <t>WW GRAINGER INC</t>
  </si>
  <si>
    <t>AME</t>
  </si>
  <si>
    <t>AMETEK INC</t>
  </si>
  <si>
    <t>CTVA</t>
  </si>
  <si>
    <t>CORTEVA INC</t>
  </si>
  <si>
    <t>O</t>
  </si>
  <si>
    <t>REALTY INCOME CORP</t>
  </si>
  <si>
    <t>DVN</t>
  </si>
  <si>
    <t>DEVON ENERGY CORP</t>
  </si>
  <si>
    <t>SRE</t>
  </si>
  <si>
    <t>SEMPRA</t>
  </si>
  <si>
    <t>CAH</t>
  </si>
  <si>
    <t>CARDINAL HEALTH INC</t>
  </si>
  <si>
    <t>HONA</t>
  </si>
  <si>
    <t>HONEYWELL AEROSPACE INC</t>
  </si>
  <si>
    <t>AFL</t>
  </si>
  <si>
    <t>AFLAC INC</t>
  </si>
  <si>
    <t>F</t>
  </si>
  <si>
    <t>FORD MOTOR CO</t>
  </si>
  <si>
    <t>MET</t>
  </si>
  <si>
    <t>METLIFE INC</t>
  </si>
  <si>
    <t>EW</t>
  </si>
  <si>
    <t>EDWARDS LIFESCIENCES CORP</t>
  </si>
  <si>
    <t>STT</t>
  </si>
  <si>
    <t>STATE STREET CORP</t>
  </si>
  <si>
    <t>PSA</t>
  </si>
  <si>
    <t>PUBLIC STORAGE</t>
  </si>
  <si>
    <t>CIEN</t>
  </si>
  <si>
    <t>CIENA CORP</t>
  </si>
  <si>
    <t>BDX</t>
  </si>
  <si>
    <t>BECTON DICKINSON AND CO</t>
  </si>
  <si>
    <t>FITB</t>
  </si>
  <si>
    <t>FIFTH THIRD BANCORP</t>
  </si>
  <si>
    <t>AMP</t>
  </si>
  <si>
    <t>AMERIPRISE FINANCIAL INC</t>
  </si>
  <si>
    <t>ETR</t>
  </si>
  <si>
    <t>ENTERGY CORP</t>
  </si>
  <si>
    <t>DAL</t>
  </si>
  <si>
    <t>DELTA AIR LINES INC</t>
  </si>
  <si>
    <t>WAB</t>
  </si>
  <si>
    <t>WABTEC CORP</t>
  </si>
  <si>
    <t>CVNA</t>
  </si>
  <si>
    <t>CARVANA CO</t>
  </si>
  <si>
    <t>AZO</t>
  </si>
  <si>
    <t>AUTOZONE INC</t>
  </si>
  <si>
    <t>HUM</t>
  </si>
  <si>
    <t>HUMANA INC</t>
  </si>
  <si>
    <t>ROK</t>
  </si>
  <si>
    <t>ROCKWELL AUTOMATION INC</t>
  </si>
  <si>
    <t>LHX</t>
  </si>
  <si>
    <t>L3HARRIS TECHNOLOGIES INC</t>
  </si>
  <si>
    <t>ADSK</t>
  </si>
  <si>
    <t>AUTODESK INC</t>
  </si>
  <si>
    <t>GRMN</t>
  </si>
  <si>
    <t>GARMIN LTD</t>
  </si>
  <si>
    <t>XEL</t>
  </si>
  <si>
    <t>XCEL ENERGY INC</t>
  </si>
  <si>
    <t>EBAY</t>
  </si>
  <si>
    <t>EBAY INC</t>
  </si>
  <si>
    <t>PYPL</t>
  </si>
  <si>
    <t>PAYPAL HOLDINGS INC</t>
  </si>
  <si>
    <t>VTR</t>
  </si>
  <si>
    <t>VENTAS INC</t>
  </si>
  <si>
    <t>CARR</t>
  </si>
  <si>
    <t>CARRIER GLOBAL CORP</t>
  </si>
  <si>
    <t>A</t>
  </si>
  <si>
    <t>AGILENT TECHNOLOGIES INC</t>
  </si>
  <si>
    <t>VST</t>
  </si>
  <si>
    <t>VISTRA CORP</t>
  </si>
  <si>
    <t>VMRK</t>
  </si>
  <si>
    <t>VIVMARK RESIDENTIAL</t>
  </si>
  <si>
    <t>IQV</t>
  </si>
  <si>
    <t>IQVIA HOLDINGS INC</t>
  </si>
  <si>
    <t>EXC</t>
  </si>
  <si>
    <t>EXELON CORP</t>
  </si>
  <si>
    <t>COIN</t>
  </si>
  <si>
    <t>COINBASE GLOBAL INC  CLASS A</t>
  </si>
  <si>
    <t>OXY</t>
  </si>
  <si>
    <t>OCCIDENTAL PETROLEUM CORP</t>
  </si>
  <si>
    <t>NKE</t>
  </si>
  <si>
    <t>NIKE INC  CL B</t>
  </si>
  <si>
    <t>RSG</t>
  </si>
  <si>
    <t>REPUBLIC SERVICES INC</t>
  </si>
  <si>
    <t>KDP</t>
  </si>
  <si>
    <t>KEURIG DR PEPPER INC</t>
  </si>
  <si>
    <t>CMG</t>
  </si>
  <si>
    <t>CHIPOTLE MEXICAN GRILL INC</t>
  </si>
  <si>
    <t>FERG</t>
  </si>
  <si>
    <t>FERGUSON ENTERPRISES INC</t>
  </si>
  <si>
    <t>WAT</t>
  </si>
  <si>
    <t>WATERS CORP</t>
  </si>
  <si>
    <t>NDAQ</t>
  </si>
  <si>
    <t>NASDAQ INC</t>
  </si>
  <si>
    <t>XYZ</t>
  </si>
  <si>
    <t>BLOCK INC</t>
  </si>
  <si>
    <t>ADM</t>
  </si>
  <si>
    <t>ARCHER DANIELS MIDLAND CO</t>
  </si>
  <si>
    <t>IBKR</t>
  </si>
  <si>
    <t>INTERACTIVE BROKERS GRO CL A</t>
  </si>
  <si>
    <t>PRU</t>
  </si>
  <si>
    <t>PRUDENTIAL FINANCIAL INC</t>
  </si>
  <si>
    <t>IDXX</t>
  </si>
  <si>
    <t>IDEXX LABORATORIES INC</t>
  </si>
  <si>
    <t>MSCI</t>
  </si>
  <si>
    <t>MSCI INC</t>
  </si>
  <si>
    <t>FLEX</t>
  </si>
  <si>
    <t>FLEX LTD</t>
  </si>
  <si>
    <t>MCHP</t>
  </si>
  <si>
    <t>MICROCHIP TECHNOLOGY INC</t>
  </si>
  <si>
    <t>CBRE</t>
  </si>
  <si>
    <t>CBRE GROUP INC   A</t>
  </si>
  <si>
    <t>AIG</t>
  </si>
  <si>
    <t>AMERICAN INTERNATIONAL GROUP</t>
  </si>
  <si>
    <t>FANG</t>
  </si>
  <si>
    <t>DIAMONDBACK ENERGY INC</t>
  </si>
  <si>
    <t>ED</t>
  </si>
  <si>
    <t>CONSOLIDATED EDISON INC</t>
  </si>
  <si>
    <t>VEEV</t>
  </si>
  <si>
    <t>VEEVA SYSTEMS INC CLASS A</t>
  </si>
  <si>
    <t>WDAY</t>
  </si>
  <si>
    <t>WORKDAY INC CLASS A</t>
  </si>
  <si>
    <t>NTAP</t>
  </si>
  <si>
    <t>NETAPP INC</t>
  </si>
  <si>
    <t>SYY</t>
  </si>
  <si>
    <t>SYSCO CORP</t>
  </si>
  <si>
    <t>YUM</t>
  </si>
  <si>
    <t>YUM  BRANDS INC</t>
  </si>
  <si>
    <t>PAYX</t>
  </si>
  <si>
    <t>PAYCHEX INC</t>
  </si>
  <si>
    <t>ROP</t>
  </si>
  <si>
    <t>ROPER TECHNOLOGIES INC</t>
  </si>
  <si>
    <t>AXON</t>
  </si>
  <si>
    <t>AXON ENTERPRISE INC</t>
  </si>
  <si>
    <t>ILMN</t>
  </si>
  <si>
    <t>ILLUMINA INC</t>
  </si>
  <si>
    <t>TTWO</t>
  </si>
  <si>
    <t>TAKE TWO INTERACTIVE SOFTWRE</t>
  </si>
  <si>
    <t>HIG</t>
  </si>
  <si>
    <t>HARTFORD INSURANCE GROUP INC</t>
  </si>
  <si>
    <t>UAL</t>
  </si>
  <si>
    <t>UNITED AIRLINES HOLDINGS INC</t>
  </si>
  <si>
    <t>DHI</t>
  </si>
  <si>
    <t>DR HORTON INC</t>
  </si>
  <si>
    <t>PEG</t>
  </si>
  <si>
    <t>PUBLIC SERVICE ENTERPRISE GP</t>
  </si>
  <si>
    <t>P</t>
  </si>
  <si>
    <t>EVERPURE INC A</t>
  </si>
  <si>
    <t>KR</t>
  </si>
  <si>
    <t>KROGER CO</t>
  </si>
  <si>
    <t>IRM</t>
  </si>
  <si>
    <t>IRON MOUNTAIN INC</t>
  </si>
  <si>
    <t>KVUE</t>
  </si>
  <si>
    <t>KENVUE INC</t>
  </si>
  <si>
    <t>WEC</t>
  </si>
  <si>
    <t>WEC ENERGY GROUP INC</t>
  </si>
  <si>
    <t>DXCM</t>
  </si>
  <si>
    <t>DEXCOM INC</t>
  </si>
  <si>
    <t>EME</t>
  </si>
  <si>
    <t>EMCOR GROUP INC</t>
  </si>
  <si>
    <t>ACGL</t>
  </si>
  <si>
    <t>ARCH CAPITAL GROUP LTD</t>
  </si>
  <si>
    <t>MTB</t>
  </si>
  <si>
    <t>M + T BANK CORP</t>
  </si>
  <si>
    <t>KMB</t>
  </si>
  <si>
    <t>KIMBERLY CLARK CORP</t>
  </si>
  <si>
    <t>NTRS</t>
  </si>
  <si>
    <t>NORTHERN TRUST CORP</t>
  </si>
  <si>
    <t>RMD</t>
  </si>
  <si>
    <t>RESMED INC</t>
  </si>
  <si>
    <t>ODFL</t>
  </si>
  <si>
    <t>OLD DOMINION FREIGHT LINE</t>
  </si>
  <si>
    <t>HBAN</t>
  </si>
  <si>
    <t>HUNTINGTON BANCSHARES INC</t>
  </si>
  <si>
    <t>CNC</t>
  </si>
  <si>
    <t>CENTENE CORP</t>
  </si>
  <si>
    <t>EXPE</t>
  </si>
  <si>
    <t>EXPEDIA GROUP INC</t>
  </si>
  <si>
    <t>BIIB</t>
  </si>
  <si>
    <t>BIOGEN INC</t>
  </si>
  <si>
    <t>STLD</t>
  </si>
  <si>
    <t>STEEL DYNAMICS INC</t>
  </si>
  <si>
    <t>HPQ</t>
  </si>
  <si>
    <t>HP INC</t>
  </si>
  <si>
    <t>JBL</t>
  </si>
  <si>
    <t>JABIL INC</t>
  </si>
  <si>
    <t>EQT</t>
  </si>
  <si>
    <t>EQT CORP</t>
  </si>
  <si>
    <t>VMC</t>
  </si>
  <si>
    <t>VULCAN MATERIALS CO</t>
  </si>
  <si>
    <t>CCI</t>
  </si>
  <si>
    <t>CROWN CASTLE INC</t>
  </si>
  <si>
    <t>MLM</t>
  </si>
  <si>
    <t>MARTIN MARIETTA MATERIALS</t>
  </si>
  <si>
    <t>ZTS</t>
  </si>
  <si>
    <t>ZOETIS INC</t>
  </si>
  <si>
    <t>PCG</t>
  </si>
  <si>
    <t>P G + E CORP</t>
  </si>
  <si>
    <t>GEHC</t>
  </si>
  <si>
    <t>GE HEALTHCARE TECHNOLOGY</t>
  </si>
  <si>
    <t>EXR</t>
  </si>
  <si>
    <t>EXTRA SPACE STORAGE INC</t>
  </si>
  <si>
    <t>WTW</t>
  </si>
  <si>
    <t>WILLIS TOWERS WATSON PLC</t>
  </si>
  <si>
    <t>CBOE</t>
  </si>
  <si>
    <t>CBOE GLOBAL MARKETS INC</t>
  </si>
  <si>
    <t>RJF</t>
  </si>
  <si>
    <t>RAYMOND JAMES FINANCIAL INC</t>
  </si>
  <si>
    <t>CFG</t>
  </si>
  <si>
    <t>CITIZENS FINANCIAL GROUP</t>
  </si>
  <si>
    <t>AEE</t>
  </si>
  <si>
    <t>AMEREN CORPORATION</t>
  </si>
  <si>
    <t>HAL</t>
  </si>
  <si>
    <t>HALLIBURTON CO</t>
  </si>
  <si>
    <t>MTD</t>
  </si>
  <si>
    <t>METTLER TOLEDO INTERNATIONAL</t>
  </si>
  <si>
    <t>TDY</t>
  </si>
  <si>
    <t>TELEDYNE TECHNOLOGIES INC</t>
  </si>
  <si>
    <t>CCL</t>
  </si>
  <si>
    <t>CARNIVAL CORP LTD</t>
  </si>
  <si>
    <t>ARES</t>
  </si>
  <si>
    <t>ARES MANAGEMENT CORP   A</t>
  </si>
  <si>
    <t>DGX</t>
  </si>
  <si>
    <t>QUEST DIAGNOSTICS INC</t>
  </si>
  <si>
    <t>ON</t>
  </si>
  <si>
    <t>ON SEMICONDUCTOR</t>
  </si>
  <si>
    <t>ATO</t>
  </si>
  <si>
    <t>ATMOS ENERGY CORP</t>
  </si>
  <si>
    <t>DG</t>
  </si>
  <si>
    <t>DOLLAR GENERAL CORP</t>
  </si>
  <si>
    <t>AWK</t>
  </si>
  <si>
    <t>AMERICAN WATER WORKS CO INC</t>
  </si>
  <si>
    <t>CTSH</t>
  </si>
  <si>
    <t>COGNIZANT TECH SOLUTIONS A</t>
  </si>
  <si>
    <t>DTE</t>
  </si>
  <si>
    <t>DTE ENERGY COMPANY</t>
  </si>
  <si>
    <t>LYV</t>
  </si>
  <si>
    <t>LIVE NATION ENTERTAINMENT IN</t>
  </si>
  <si>
    <t>WSM</t>
  </si>
  <si>
    <t>WILLIAMS SONOMA INC</t>
  </si>
  <si>
    <t>VICI</t>
  </si>
  <si>
    <t>VICI PROPERTIES INC</t>
  </si>
  <si>
    <t>OTIS</t>
  </si>
  <si>
    <t>OTIS WORLDWIDE CORP</t>
  </si>
  <si>
    <t>CPAY</t>
  </si>
  <si>
    <t>CORPAY INC</t>
  </si>
  <si>
    <t>CINF</t>
  </si>
  <si>
    <t>CINCINNATI FINANCIAL CORP</t>
  </si>
  <si>
    <t>LH</t>
  </si>
  <si>
    <t>LABCORP HOLDINGS INC</t>
  </si>
  <si>
    <t>WST</t>
  </si>
  <si>
    <t>WEST PHARMACEUTICAL SERVICES</t>
  </si>
  <si>
    <t>DOV</t>
  </si>
  <si>
    <t>DOVER CORP</t>
  </si>
  <si>
    <t>FISV</t>
  </si>
  <si>
    <t>FISERV INC</t>
  </si>
  <si>
    <t>ES</t>
  </si>
  <si>
    <t>EVERSOURCE ENERGY</t>
  </si>
  <si>
    <t>Q</t>
  </si>
  <si>
    <t>QNITY ELECTRONICS INC</t>
  </si>
  <si>
    <t>PPL</t>
  </si>
  <si>
    <t>PPL CORP</t>
  </si>
  <si>
    <t>XYL</t>
  </si>
  <si>
    <t>XYLEM INC</t>
  </si>
  <si>
    <t>CNP</t>
  </si>
  <si>
    <t>CENTERPOINT ENERGY INC</t>
  </si>
  <si>
    <t>EXPD</t>
  </si>
  <si>
    <t>EXPEDITORS INTL WASH INC</t>
  </si>
  <si>
    <t>HSY</t>
  </si>
  <si>
    <t>HERSHEY CO/THE</t>
  </si>
  <si>
    <t>IR</t>
  </si>
  <si>
    <t>INGERSOLL RAND INC</t>
  </si>
  <si>
    <t>VRSN</t>
  </si>
  <si>
    <t>VERISIGN INC</t>
  </si>
  <si>
    <t>CPRT</t>
  </si>
  <si>
    <t>COPART INC</t>
  </si>
  <si>
    <t>FFIV</t>
  </si>
  <si>
    <t>F5 INC</t>
  </si>
  <si>
    <t>RF</t>
  </si>
  <si>
    <t>REGIONS FINANCIAL CORP</t>
  </si>
  <si>
    <t>SYF</t>
  </si>
  <si>
    <t>SYNCHRONY FINANCIAL</t>
  </si>
  <si>
    <t>DRI</t>
  </si>
  <si>
    <t>DARDEN RESTAURANTS INC</t>
  </si>
  <si>
    <t>HUBB</t>
  </si>
  <si>
    <t>HUBBELL INC</t>
  </si>
  <si>
    <t>FE</t>
  </si>
  <si>
    <t>FIRSTENERGY CORP</t>
  </si>
  <si>
    <t>PPG</t>
  </si>
  <si>
    <t>PPG INDUSTRIES INC</t>
  </si>
  <si>
    <t>SW</t>
  </si>
  <si>
    <t>SMURFIT WESTROCK PLC</t>
  </si>
  <si>
    <t>ULTA</t>
  </si>
  <si>
    <t>ULTA BEAUTY INC</t>
  </si>
  <si>
    <t>EL</t>
  </si>
  <si>
    <t>ESTEE LAUDER COMPANIES CL A</t>
  </si>
  <si>
    <t>VRSK</t>
  </si>
  <si>
    <t>VERISK ANALYTICS INC</t>
  </si>
  <si>
    <t>VLTO</t>
  </si>
  <si>
    <t>VERALTO CORP</t>
  </si>
  <si>
    <t>PFG</t>
  </si>
  <si>
    <t>PRINCIPAL FINANCIAL GROUP</t>
  </si>
  <si>
    <t>TPR</t>
  </si>
  <si>
    <t>TAPESTRY INC</t>
  </si>
  <si>
    <t>CHD</t>
  </si>
  <si>
    <t>CHURCH + DWIGHT CO INC</t>
  </si>
  <si>
    <t>TROW</t>
  </si>
  <si>
    <t>T ROWE PRICE GROUP INC</t>
  </si>
  <si>
    <t>CASY</t>
  </si>
  <si>
    <t>CASEY S GENERAL STORES INC</t>
  </si>
  <si>
    <t>SMCI</t>
  </si>
  <si>
    <t>SUPER MICRO COMPUTER INC</t>
  </si>
  <si>
    <t>RDDT</t>
  </si>
  <si>
    <t>REDDIT INC CL A</t>
  </si>
  <si>
    <t>PHM</t>
  </si>
  <si>
    <t>PULTEGROUP INC</t>
  </si>
  <si>
    <t>NRG</t>
  </si>
  <si>
    <t>NRG ENERGY INC</t>
  </si>
  <si>
    <t>DLTR</t>
  </si>
  <si>
    <t>DOLLAR TREE INC</t>
  </si>
  <si>
    <t>EIX</t>
  </si>
  <si>
    <t>EDISON INTERNATIONAL</t>
  </si>
  <si>
    <t>INCY</t>
  </si>
  <si>
    <t>INCYTE CORP</t>
  </si>
  <si>
    <t>IFF</t>
  </si>
  <si>
    <t>INTL FLAVORS + FRAGRANCES</t>
  </si>
  <si>
    <t>KHC</t>
  </si>
  <si>
    <t>KRAFT HEINZ CO/THE</t>
  </si>
  <si>
    <t>FSLR</t>
  </si>
  <si>
    <t>FIRST SOLAR INC</t>
  </si>
  <si>
    <t>OMC</t>
  </si>
  <si>
    <t>OMNICOM GROUP</t>
  </si>
  <si>
    <t>DOW</t>
  </si>
  <si>
    <t>DOW INC</t>
  </si>
  <si>
    <t>TPL</t>
  </si>
  <si>
    <t>TEXAS PACIFIC LAND CORP</t>
  </si>
  <si>
    <t>PKG</t>
  </si>
  <si>
    <t>PACKAGING CORP OF AMERICA</t>
  </si>
  <si>
    <t>FICO</t>
  </si>
  <si>
    <t>FAIR ISAAC CORP</t>
  </si>
  <si>
    <t>CMS</t>
  </si>
  <si>
    <t>CMS ENERGY CORP</t>
  </si>
  <si>
    <t>STE</t>
  </si>
  <si>
    <t>STERIS PLC</t>
  </si>
  <si>
    <t>EXE</t>
  </si>
  <si>
    <t>EXPAND ENERGY CORP</t>
  </si>
  <si>
    <t>LUV</t>
  </si>
  <si>
    <t>SOUTHWEST AIRLINES CO</t>
  </si>
  <si>
    <t>VTRS</t>
  </si>
  <si>
    <t>VIATRIS INC</t>
  </si>
  <si>
    <t>NI</t>
  </si>
  <si>
    <t>NISOURCE INC</t>
  </si>
  <si>
    <t>GIS</t>
  </si>
  <si>
    <t>GENERAL MILLS INC</t>
  </si>
  <si>
    <t>SNA</t>
  </si>
  <si>
    <t>SNAP ON INC</t>
  </si>
  <si>
    <t>CF</t>
  </si>
  <si>
    <t>CF INDUSTRIES HOLDINGS INC</t>
  </si>
  <si>
    <t>AMCR</t>
  </si>
  <si>
    <t>AMCOR PLC</t>
  </si>
  <si>
    <t>SBAC</t>
  </si>
  <si>
    <t>SBA COMMUNICATIONS CORP</t>
  </si>
  <si>
    <t>GPN</t>
  </si>
  <si>
    <t>GLOBAL PAYMENTS INC</t>
  </si>
  <si>
    <t>KEY</t>
  </si>
  <si>
    <t>KEYCORP</t>
  </si>
  <si>
    <t>BRO</t>
  </si>
  <si>
    <t>BROWN + BROWN INC</t>
  </si>
  <si>
    <t>EFX</t>
  </si>
  <si>
    <t>EQUIFAX INC</t>
  </si>
  <si>
    <t>BR</t>
  </si>
  <si>
    <t>BROADRIDGE FINANCIAL SOLUTIO</t>
  </si>
  <si>
    <t>FIS</t>
  </si>
  <si>
    <t>FIDELITY NATIONAL INFO SERV</t>
  </si>
  <si>
    <t>EVRG</t>
  </si>
  <si>
    <t>EVERGY INC</t>
  </si>
  <si>
    <t>BBY</t>
  </si>
  <si>
    <t>BEST BUY CO INC</t>
  </si>
  <si>
    <t>IP</t>
  </si>
  <si>
    <t>INTERNATIONAL PAPER CO</t>
  </si>
  <si>
    <t>BG</t>
  </si>
  <si>
    <t>BUNGE GLOBAL SA</t>
  </si>
  <si>
    <t>ZBH</t>
  </si>
  <si>
    <t>ZIMMER BIOMET HOLDINGS INC</t>
  </si>
  <si>
    <t>CDW</t>
  </si>
  <si>
    <t>CDW CORP/DE</t>
  </si>
  <si>
    <t>CHRW</t>
  </si>
  <si>
    <t>C.H. ROBINSON WORLDWIDE INC</t>
  </si>
  <si>
    <t>STZ</t>
  </si>
  <si>
    <t>CONSTELLATION BRANDS INC A</t>
  </si>
  <si>
    <t>L</t>
  </si>
  <si>
    <t>LOEWS CORP</t>
  </si>
  <si>
    <t>GPC</t>
  </si>
  <si>
    <t>GENUINE PARTS CO</t>
  </si>
  <si>
    <t>DD</t>
  </si>
  <si>
    <t>DUPONT DE NEMOURS INC</t>
  </si>
  <si>
    <t>JBHT</t>
  </si>
  <si>
    <t>HUNT (JB) TRANSPRT SVCS INC</t>
  </si>
  <si>
    <t>ESS</t>
  </si>
  <si>
    <t>ESSEX PROPERTY TRUST INC</t>
  </si>
  <si>
    <t>J</t>
  </si>
  <si>
    <t>JACOBS SOLUTIONS INC</t>
  </si>
  <si>
    <t>TSCO</t>
  </si>
  <si>
    <t>TRACTOR SUPPLY COMPANY</t>
  </si>
  <si>
    <t>LNT</t>
  </si>
  <si>
    <t>ALLIANT ENERGY CORP</t>
  </si>
  <si>
    <t>FTV</t>
  </si>
  <si>
    <t>FORTIVE CORP</t>
  </si>
  <si>
    <t>IEX</t>
  </si>
  <si>
    <t>IDEX CORP</t>
  </si>
  <si>
    <t>NDSN</t>
  </si>
  <si>
    <t>NORDSON CORP</t>
  </si>
  <si>
    <t>ZBRA</t>
  </si>
  <si>
    <t>ZEBRA TECHNOLOGIES CORP CL A</t>
  </si>
  <si>
    <t>LDOS</t>
  </si>
  <si>
    <t>LEIDOS HOLDINGS INC</t>
  </si>
  <si>
    <t>LYB</t>
  </si>
  <si>
    <t>LYONDELLBASELL INDU CL A</t>
  </si>
  <si>
    <t>BALL</t>
  </si>
  <si>
    <t>BALL CORP</t>
  </si>
  <si>
    <t>RVTY</t>
  </si>
  <si>
    <t>REVVITY INC</t>
  </si>
  <si>
    <t>APA</t>
  </si>
  <si>
    <t>APA CORP</t>
  </si>
  <si>
    <t>WRB</t>
  </si>
  <si>
    <t>WR BERKLEY CORP</t>
  </si>
  <si>
    <t>GEN</t>
  </si>
  <si>
    <t>GEN DIGITAL INC</t>
  </si>
  <si>
    <t>NVR</t>
  </si>
  <si>
    <t>NVR INC</t>
  </si>
  <si>
    <t>KIM</t>
  </si>
  <si>
    <t>KIMCO REALTY CORP</t>
  </si>
  <si>
    <t>AKAM</t>
  </si>
  <si>
    <t>AKAMAI TECHNOLOGIES INC</t>
  </si>
  <si>
    <t>WY</t>
  </si>
  <si>
    <t>WEYERHAEUSER CO</t>
  </si>
  <si>
    <t>HST</t>
  </si>
  <si>
    <t>HOST HOTELS + RESORTS INC</t>
  </si>
  <si>
    <t>TSN</t>
  </si>
  <si>
    <t>TYSON FOODS INC CL A</t>
  </si>
  <si>
    <t>LEN</t>
  </si>
  <si>
    <t>LENNAR CORP A</t>
  </si>
  <si>
    <t>PTC</t>
  </si>
  <si>
    <t>PTC INC</t>
  </si>
  <si>
    <t>INVH</t>
  </si>
  <si>
    <t>INVITATION HOMES INC</t>
  </si>
  <si>
    <t>FDXF</t>
  </si>
  <si>
    <t>FEDEX FREIGHT HOLDING CO</t>
  </si>
  <si>
    <t>CHTR</t>
  </si>
  <si>
    <t>CHARTER COMMUNICATIONS INC A</t>
  </si>
  <si>
    <t>DOC</t>
  </si>
  <si>
    <t>HEALTHPEAK PROPERTIES INC</t>
  </si>
  <si>
    <t>AIZ</t>
  </si>
  <si>
    <t>ASSURANT INC</t>
  </si>
  <si>
    <t>MAA</t>
  </si>
  <si>
    <t>MID AMERICA APARTMENT COMM</t>
  </si>
  <si>
    <t>TXT</t>
  </si>
  <si>
    <t>TEXTRON INC</t>
  </si>
  <si>
    <t>IVZ</t>
  </si>
  <si>
    <t>INVESCO LTD</t>
  </si>
  <si>
    <t>GL</t>
  </si>
  <si>
    <t>GLOBE LIFE INC</t>
  </si>
  <si>
    <t>TRMB</t>
  </si>
  <si>
    <t>TRIMBLE INC</t>
  </si>
  <si>
    <t>CRL</t>
  </si>
  <si>
    <t>CHARLES RIVER LABORATORIES</t>
  </si>
  <si>
    <t>SWK</t>
  </si>
  <si>
    <t>STANLEY BLACK + DECKER INC</t>
  </si>
  <si>
    <t>SWKS</t>
  </si>
  <si>
    <t>SKYWORKS SOLUTIONS INC</t>
  </si>
  <si>
    <t>EG</t>
  </si>
  <si>
    <t>EVEREST GROUP LTD</t>
  </si>
  <si>
    <t>MAS</t>
  </si>
  <si>
    <t>MASCO CORP</t>
  </si>
  <si>
    <t>SJM</t>
  </si>
  <si>
    <t>JM SMUCKER CO/THE</t>
  </si>
  <si>
    <t>ALB</t>
  </si>
  <si>
    <t>ALBEMARLE CORP</t>
  </si>
  <si>
    <t>ALLE</t>
  </si>
  <si>
    <t>ALLEGION PLC</t>
  </si>
  <si>
    <t>ECHO</t>
  </si>
  <si>
    <t>ECHOSTAR CORP A</t>
  </si>
  <si>
    <t>FOXA</t>
  </si>
  <si>
    <t>FOX CORP   CLASS A</t>
  </si>
  <si>
    <t>AVY</t>
  </si>
  <si>
    <t>AVERY DENNISON CORP</t>
  </si>
  <si>
    <t>SOLV</t>
  </si>
  <si>
    <t>SOLVENTUM CORP</t>
  </si>
  <si>
    <t>TYL</t>
  </si>
  <si>
    <t>TYLER TECHNOLOGIES INC</t>
  </si>
  <si>
    <t>RL</t>
  </si>
  <si>
    <t>RALPH LAUREN CORP</t>
  </si>
  <si>
    <t>MKC</t>
  </si>
  <si>
    <t>MCCORMICK + CO NON VTG SHRS</t>
  </si>
  <si>
    <t>HAS</t>
  </si>
  <si>
    <t>HASBRO INC</t>
  </si>
  <si>
    <t>GDDY</t>
  </si>
  <si>
    <t>GODADDY INC   CLASS A</t>
  </si>
  <si>
    <t>GNRC</t>
  </si>
  <si>
    <t>GENERAC HOLDINGS INC</t>
  </si>
  <si>
    <t>REG</t>
  </si>
  <si>
    <t>REGENCY CENTERS CORP</t>
  </si>
  <si>
    <t>CSGP</t>
  </si>
  <si>
    <t>COSTAR GROUP INC</t>
  </si>
  <si>
    <t>BAX</t>
  </si>
  <si>
    <t>BAXTER INTERNATIONAL INC</t>
  </si>
  <si>
    <t>IT</t>
  </si>
  <si>
    <t>GARTNER INC</t>
  </si>
  <si>
    <t>PNW</t>
  </si>
  <si>
    <t>PINNACLE WEST CAPITAL</t>
  </si>
  <si>
    <t>LII</t>
  </si>
  <si>
    <t>LENNOX INTERNATIONAL INC</t>
  </si>
  <si>
    <t>TECH</t>
  </si>
  <si>
    <t>BIO TECHNE CORP</t>
  </si>
  <si>
    <t>TKO</t>
  </si>
  <si>
    <t>TKO GROUP HOLDINGS INC</t>
  </si>
  <si>
    <t>JKHY</t>
  </si>
  <si>
    <t>JACK HENRY + ASSOCIATES INC</t>
  </si>
  <si>
    <t>NWSA</t>
  </si>
  <si>
    <t>NEWS CORP   CLASS A</t>
  </si>
  <si>
    <t>COO</t>
  </si>
  <si>
    <t>COOPER COS INC/THE</t>
  </si>
  <si>
    <t>HII</t>
  </si>
  <si>
    <t>HUNTINGTON INGALLS INDUSTRIE</t>
  </si>
  <si>
    <t>AES</t>
  </si>
  <si>
    <t>AES CORP</t>
  </si>
  <si>
    <t>DECK</t>
  </si>
  <si>
    <t>DECKERS OUTDOOR CORP</t>
  </si>
  <si>
    <t>LULU</t>
  </si>
  <si>
    <t>LULULEMON ATHLETICA INC</t>
  </si>
  <si>
    <t>LVS</t>
  </si>
  <si>
    <t>LAS VEGAS SANDS CORP</t>
  </si>
  <si>
    <t>CLX</t>
  </si>
  <si>
    <t>CLOROX COMPANY</t>
  </si>
  <si>
    <t>FDS</t>
  </si>
  <si>
    <t>FACTSET RESEARCH SYSTEMS INC</t>
  </si>
  <si>
    <t>BXP</t>
  </si>
  <si>
    <t>BXP INC</t>
  </si>
  <si>
    <t>UDR</t>
  </si>
  <si>
    <t>UDR INC</t>
  </si>
  <si>
    <t>CPT</t>
  </si>
  <si>
    <t>CAMDEN PROPERTY TRUST</t>
  </si>
  <si>
    <t>PODD</t>
  </si>
  <si>
    <t>INSULET CORP</t>
  </si>
  <si>
    <t>ALGN</t>
  </si>
  <si>
    <t>ALIGN TECHNOLOGY INC</t>
  </si>
  <si>
    <t>DPZ</t>
  </si>
  <si>
    <t>DOMINO S PIZZA INC</t>
  </si>
  <si>
    <t>BEN</t>
  </si>
  <si>
    <t>FRANKLIN TEMPLETON INC</t>
  </si>
  <si>
    <t>ROL</t>
  </si>
  <si>
    <t>ROLLINS INC</t>
  </si>
  <si>
    <t>APTV</t>
  </si>
  <si>
    <t>APTIV PLC</t>
  </si>
  <si>
    <t>UHS</t>
  </si>
  <si>
    <t>UNIVERSAL HEALTH SERVICES B</t>
  </si>
  <si>
    <t>PNR</t>
  </si>
  <si>
    <t>PENTAIR PLC</t>
  </si>
  <si>
    <t>FRT</t>
  </si>
  <si>
    <t>FEDERAL REALTY INVS TRUST</t>
  </si>
  <si>
    <t>ARE</t>
  </si>
  <si>
    <t>ALEXANDRIA REAL ESTATE EQUIT</t>
  </si>
  <si>
    <t>HSIC</t>
  </si>
  <si>
    <t>HENRY SCHEIN INC</t>
  </si>
  <si>
    <t>MOS</t>
  </si>
  <si>
    <t>MOSAIC CO/THE</t>
  </si>
  <si>
    <t>FOX</t>
  </si>
  <si>
    <t>FOX CORP   CLASS B</t>
  </si>
  <si>
    <t>MGM</t>
  </si>
  <si>
    <t>MGM RESORTS INTERNATIONAL</t>
  </si>
  <si>
    <t>NCLH</t>
  </si>
  <si>
    <t>NORWEGIAN CRUISE LINE HOLDIN</t>
  </si>
  <si>
    <t>AOS</t>
  </si>
  <si>
    <t>SMITH (A.O.) CORP</t>
  </si>
  <si>
    <t>DVA</t>
  </si>
  <si>
    <t>DAVITA INC</t>
  </si>
  <si>
    <t>HRL</t>
  </si>
  <si>
    <t>HORMEL FOODS CORP</t>
  </si>
  <si>
    <t>ERIE</t>
  </si>
  <si>
    <t>ERIE INDEMNITY COMPANY CL A</t>
  </si>
  <si>
    <t>WYNN</t>
  </si>
  <si>
    <t>WYNN RESORTS LTD</t>
  </si>
  <si>
    <t>PSKY</t>
  </si>
  <si>
    <t>PARAMOUNT SKYDANCE CL B</t>
  </si>
  <si>
    <t>BF-B</t>
  </si>
  <si>
    <t>BROWN FORMAN CORP CLASS B</t>
  </si>
  <si>
    <t>NWS</t>
  </si>
  <si>
    <t>NEWS CORP   CLASS B</t>
  </si>
  <si>
    <t>NVIDIA Corp</t>
  </si>
  <si>
    <t>Apple Inc</t>
  </si>
  <si>
    <t>Microsoft Corp</t>
  </si>
  <si>
    <t>Micron Technology Inc</t>
  </si>
  <si>
    <t>Amazon.com Inc</t>
  </si>
  <si>
    <t>Advanced Micro Devices Inc</t>
  </si>
  <si>
    <t>Alphabet Inc Class A</t>
  </si>
  <si>
    <t>Meta Platforms Inc</t>
  </si>
  <si>
    <t>Alphabet Inc Class C</t>
  </si>
  <si>
    <t>Tesla Inc</t>
  </si>
  <si>
    <t>Broadcom Inc</t>
  </si>
  <si>
    <t>Intel Corp</t>
  </si>
  <si>
    <t>Walmart Inc</t>
  </si>
  <si>
    <t>Cisco Systems Inc</t>
  </si>
  <si>
    <t>Palantir Technologies Inc</t>
  </si>
  <si>
    <t>Costco Wholesale Corp</t>
  </si>
  <si>
    <t>Lam Research Corp</t>
  </si>
  <si>
    <t>Applied Materials Inc</t>
  </si>
  <si>
    <t>Netflix Inc</t>
  </si>
  <si>
    <t>Palo Alto Networks Inc</t>
  </si>
  <si>
    <t>SPCX</t>
  </si>
  <si>
    <t>Space Exploration Technologies Corp</t>
  </si>
  <si>
    <t>Sandisk Corp</t>
  </si>
  <si>
    <t>Texas Instruments Inc</t>
  </si>
  <si>
    <t>Crowdstrike Holdings Inc</t>
  </si>
  <si>
    <t>KLA Corp</t>
  </si>
  <si>
    <t>Marvell Technology Inc</t>
  </si>
  <si>
    <t>Linde PLC</t>
  </si>
  <si>
    <t>Amgen Inc</t>
  </si>
  <si>
    <t>Seagate Technology Holdings PLC</t>
  </si>
  <si>
    <t>QUALCOMM Inc</t>
  </si>
  <si>
    <t>Gilead Sciences Inc</t>
  </si>
  <si>
    <t>Analog Devices Inc</t>
  </si>
  <si>
    <t>T-Mobile US Inc</t>
  </si>
  <si>
    <t>PepsiCo Inc</t>
  </si>
  <si>
    <t>SHOP</t>
  </si>
  <si>
    <t>Shopify Inc</t>
  </si>
  <si>
    <t>ASML</t>
  </si>
  <si>
    <t>ASML Holding NV</t>
  </si>
  <si>
    <t>Western Digital Corp</t>
  </si>
  <si>
    <t>Intuitive Surgical Inc</t>
  </si>
  <si>
    <t>Booking Holdings Inc</t>
  </si>
  <si>
    <t>Vertex Pharmaceuticals Inc</t>
  </si>
  <si>
    <t>Fortinet Inc</t>
  </si>
  <si>
    <t>ARM</t>
  </si>
  <si>
    <t>ARM Holdings PLC</t>
  </si>
  <si>
    <t>Starbucks Corp</t>
  </si>
  <si>
    <t>Automatic Data Processing Inc</t>
  </si>
  <si>
    <t>Adobe Inc</t>
  </si>
  <si>
    <t>AppLovin Corp</t>
  </si>
  <si>
    <t>Constellation Energy Corp</t>
  </si>
  <si>
    <t>MELI</t>
  </si>
  <si>
    <t>MercadoLibre Inc</t>
  </si>
  <si>
    <t>Marriott International Inc/MD</t>
  </si>
  <si>
    <t>CSX Corp</t>
  </si>
  <si>
    <t>Monster Beverage Corp</t>
  </si>
  <si>
    <t>Intuit Inc</t>
  </si>
  <si>
    <t>Comcast Corp</t>
  </si>
  <si>
    <t>Regeneron Pharmaceuticals Inc</t>
  </si>
  <si>
    <t>DoorDash Inc</t>
  </si>
  <si>
    <t>Cintas Corp</t>
  </si>
  <si>
    <t>Mondelez International Inc</t>
  </si>
  <si>
    <t>Cadence Design Systems Inc</t>
  </si>
  <si>
    <t>Datadog Inc</t>
  </si>
  <si>
    <t>Synopsys Inc</t>
  </si>
  <si>
    <t>Ross Stores Inc</t>
  </si>
  <si>
    <t>Lumentum Holdings Inc</t>
  </si>
  <si>
    <t>O'Reilly Automotive Inc</t>
  </si>
  <si>
    <t>Warner Bros Discovery Inc</t>
  </si>
  <si>
    <t>Airbnb Inc</t>
  </si>
  <si>
    <t>Honeywell International Inc</t>
  </si>
  <si>
    <t>American Electric Power Co Inc</t>
  </si>
  <si>
    <t>PACCAR Inc</t>
  </si>
  <si>
    <t>Monolithic Power Systems Inc</t>
  </si>
  <si>
    <t>Teradyne Inc</t>
  </si>
  <si>
    <t>NXP Semiconductors NV</t>
  </si>
  <si>
    <t>Baker Hughes Co</t>
  </si>
  <si>
    <t>Fastenal Co</t>
  </si>
  <si>
    <t>Diamondback Energy Inc</t>
  </si>
  <si>
    <t>PDD</t>
  </si>
  <si>
    <t>PDD Holdings Inc</t>
  </si>
  <si>
    <t>ALAB</t>
  </si>
  <si>
    <t>Astera Labs Inc</t>
  </si>
  <si>
    <t>Honeywell Aerospace Inc</t>
  </si>
  <si>
    <t>MSTR</t>
  </si>
  <si>
    <t>Strategy Inc</t>
  </si>
  <si>
    <t>NBIS</t>
  </si>
  <si>
    <t>Nebius Group NV</t>
  </si>
  <si>
    <t>PayPal Holdings Inc</t>
  </si>
  <si>
    <t>Autodesk Inc</t>
  </si>
  <si>
    <t>Xcel Energy Inc</t>
  </si>
  <si>
    <t>CCEP</t>
  </si>
  <si>
    <t>Coca-Cola Europacific Partners PLC</t>
  </si>
  <si>
    <t>Exelon Corp</t>
  </si>
  <si>
    <t>Keurig Dr Pepper Inc</t>
  </si>
  <si>
    <t>Paychex Inc</t>
  </si>
  <si>
    <t>IDEXX Laboratories Inc</t>
  </si>
  <si>
    <t>Microchip Technology Inc</t>
  </si>
  <si>
    <t>FER</t>
  </si>
  <si>
    <t>Ferrovial NV</t>
  </si>
  <si>
    <t>Workday Inc</t>
  </si>
  <si>
    <t>Take-Two Interactive Software Inc</t>
  </si>
  <si>
    <t>Roper Technologies Inc</t>
  </si>
  <si>
    <t>RKLB</t>
  </si>
  <si>
    <t>Rocket Lab Corp</t>
  </si>
  <si>
    <t>CRWV</t>
  </si>
  <si>
    <t>CoreWeave Inc</t>
  </si>
  <si>
    <t>Axon Enterprise Inc</t>
  </si>
  <si>
    <t>Old Dominion Freight Line Inc</t>
  </si>
  <si>
    <t>TRI</t>
  </si>
  <si>
    <t>Thomson Reuters Corp</t>
  </si>
  <si>
    <t>Dexcom Inc</t>
  </si>
  <si>
    <t>ALNY</t>
  </si>
  <si>
    <t>Alnylam Pharmaceuticals Inc</t>
  </si>
  <si>
    <t>GE HealthCare Technologies Inc</t>
  </si>
  <si>
    <t>Copart Inc</t>
  </si>
  <si>
    <t>IVV</t>
  </si>
  <si>
    <t>SCHO</t>
  </si>
  <si>
    <t>SCHR</t>
  </si>
  <si>
    <t>SCHZ</t>
  </si>
  <si>
    <t>SPIP</t>
  </si>
  <si>
    <t>SPTL</t>
  </si>
  <si>
    <t>USHY</t>
  </si>
  <si>
    <t>VOO</t>
  </si>
  <si>
    <t>SPY BASKET</t>
  </si>
  <si>
    <t>QQQ BASKET</t>
  </si>
  <si>
    <t>XLK BASKET</t>
  </si>
  <si>
    <t>XLF BASKET</t>
  </si>
  <si>
    <t>XLE BASKET</t>
  </si>
  <si>
    <t>XLV BASKET</t>
  </si>
  <si>
    <t>Basket</t>
  </si>
  <si>
    <t>Holding</t>
  </si>
  <si>
    <t>Date</t>
  </si>
  <si>
    <t>Spread (bps)</t>
  </si>
  <si>
    <t>09:00   market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</si>
</sst>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;\-0.0%;;@"/>
    <numFmt numFmtId="165" formatCode="#,##0.00;\-#,##0.00;;@"/>
    <numFmt numFmtId="166" formatCode="#,##0;\-#,##0;;@"/>
    <numFmt numFmtId="167" formatCode="0.0"/>
    <numFmt numFmtId="168" formatCode="0.00&quot;x&quot;"/>
    <numFmt numFmtId="169" formatCode="0.00%;\-0.00%;;@"/>
    <numFmt numFmtId="170" formatCode="#,##0.000"/>
    <numFmt numFmtId="171" formatCode="hh:mm:ss;;;@"/>
    <numFmt numFmtId="172" formatCode="0.000%"/>
    <numFmt numFmtId="173" formatCode="hh:mm:ss"/>
  </numFmts>
  <fonts count="5" x14ac:knownFonts="1">
    <font>
      <sz val="11"/>
      <color theme="1"/>
      <name val="Arial"/>
      <family val="2"/>
    </font>
    <font>
      <sz val="8"/>
      <color rgb="FF80808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0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2" fontId="3" fillId="0" borderId="0" xfId="0" applyNumberFormat="1" applyFont="1"/>
    <xf numFmtId="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0" fontId="4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172" fontId="0" fillId="0" borderId="0" xfId="0" applyNumberFormat="1"/>
    <xf numFmtId="4" fontId="0" fillId="0" borderId="0" xfId="0" applyNumberFormat="1"/>
    <xf numFmtId="3" fontId="0" fillId="0" borderId="0" xfId="0" applyNumberFormat="1"/>
    <xf numFmtId="173" fontId="0" fillId="0" borderId="0" xfId="0" applyNumberFormat="1"/>
    <xf numFmtId="2" fontId="0" fillId="0" borderId="0" xfId="0" applyNumberFormat="1"/>
  </cellXfs>
  <cellStyles count="1">
    <cellStyle name="Normal" xfId="0" builtinId="0" customBuiltin="1"/>
  </cellStyles>
  <dxfs count="5">
    <dxf>
      <font>
        <b/>
        <color rgb="FF006100"/>
      </font>
    </dxf>
    <dxf>
      <numFmt numFmtId="168" formatCode="0.00&quot;x&quot;"/>
    </dxf>
    <dxf>
      <font>
        <color rgb="FF006100"/>
      </font>
      <fill>
        <patternFill patternType="solid">
          <fgColor rgb="FFD9EAD3"/>
          <bgColor rgb="FFD9EAD3"/>
        </patternFill>
      </fill>
    </dxf>
    <dxf>
      <font>
        <color rgb="FF9C0006"/>
      </font>
      <fill>
        <patternFill patternType="solid">
          <fgColor rgb="FFF4CCCC"/>
          <bgColor rgb="FFF4CCCC"/>
        </patternFill>
      </fill>
    </dxf>
    <dxf>
      <font>
        <b/>
      </font>
      <border>
        <top style="thin">
          <color rgb="FFBFBFBF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0"/>
  <sheetViews>
    <sheetView showGridLines="0" tabSelected="1" zoomScale="139" workbookViewId="0">
      <pane xSplit="1" ySplit="2" topLeftCell="D3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 x14ac:dyDescent="0.15"/>
  <cols>
    <col min="1" max="1" width="9" customWidth="1"/>
    <col min="2" max="2" width="21" customWidth="1"/>
    <col min="3" max="3" width="8" customWidth="1"/>
    <col min="4" max="6" width="9" customWidth="1"/>
    <col min="7" max="10" width="8" customWidth="1"/>
    <col min="11" max="12" width="12" customWidth="1"/>
    <col min="13" max="18" width="7" customWidth="1"/>
    <col min="19" max="20" width="9" customWidth="1"/>
    <col min="21" max="21" width="8" customWidth="1"/>
    <col min="22" max="22" width="10" customWidth="1"/>
    <col min="23" max="25" width="8" customWidth="1"/>
    <col min="26" max="27" width="7" customWidth="1"/>
    <col min="28" max="28" width="9" customWidth="1"/>
    <col min="30" max="33" width="13" hidden="1" customWidth="1"/>
  </cols>
  <sheetData>
    <row r="1" spans="1:33" x14ac:dyDescent="0.15">
      <c r="A1" s="1" t="s">
        <v>1258</v>
      </c>
    </row>
    <row r="2" spans="1:33" ht="27" customHeight="1" x14ac:dyDescent="0.1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</row>
    <row r="3" spans="1:33" x14ac:dyDescent="0.15">
      <c r="A3" s="4" t="s">
        <v>36</v>
      </c>
      <c r="B3" s="4" t="str">
        <f ca="1">IF(NOT(ISNUMBER(V3)),"",IF((NOW()-N(AB3))*1440&gt;StaleMin,"STALE",IF(AND($AF3="EQUITY",ABS(N(T3))&gt;ExDivFlag),"EX-DIV?",IF(X3&gt;IF($AF3="FI",EdgeFI,EdgeEq),"SELL ETF / BUY "&amp;UPPER($A$4),IF(Y3&gt;IF($AF3="FI",EdgeFI,EdgeEq),"BUY ETF / SELL "&amp;UPPER($A$4),"")))))</f>
        <v>STALE</v>
      </c>
      <c r="C3" s="5">
        <f>IFERROR(IF(INDEX(Feed!$N:$N,$AG3)="","",INDEX(Feed!$N:$N,$AG3)),"")</f>
        <v>1</v>
      </c>
      <c r="D3" s="6">
        <f>IFERROR(IF(INDEX(Feed!$B:$B,$AG3)="","",INDEX(Feed!$B:$B,$AG3)),"")</f>
        <v>773.61969999999997</v>
      </c>
      <c r="E3" s="6">
        <f>IFERROR(IF(INDEX(Feed!$C:$C,$AG3)="","",INDEX(Feed!$C:$C,$AG3)),"")</f>
        <v>773.61</v>
      </c>
      <c r="F3" s="6">
        <f>IFERROR(IF(INDEX(Feed!$D:$D,$AG3)="","",INDEX(Feed!$D:$D,$AG3)),"")</f>
        <v>773.66</v>
      </c>
      <c r="G3" s="7">
        <f>IFERROR(IF(INDEX(Feed!$E:$E,$AG3)="","",INDEX(Feed!$E:$E,$AG3)),"")</f>
        <v>246</v>
      </c>
      <c r="H3" s="7">
        <f>IFERROR(IF(INDEX(Feed!$F:$F,$AG3)="","",INDEX(Feed!$F:$F,$AG3)),"")</f>
        <v>1620</v>
      </c>
      <c r="I3" s="8">
        <f>IF(AND(N(E3)&gt;0,N(F3)&gt;0),(F3-E3)/((F3+E3)/2)*10000,"")</f>
        <v>0.6462996115733457</v>
      </c>
      <c r="J3" s="9">
        <f>IF(N(D3)&gt;0,IFERROR(D3/INDEX(Feed!$G:$G,$AG3)-1,""),"")</f>
        <v>1.5662146017408451E-2</v>
      </c>
      <c r="K3" s="7">
        <f>IFERROR(IF(INDEX(Feed!$H:$H,$AG3)="","",INDEX(Feed!$H:$H,$AG3)),"")</f>
        <v>50486686</v>
      </c>
      <c r="L3" s="7" t="str">
        <f>IFERROR(IF(INDEX(Feed!$I:$I,$AG3)="","",INDEX(Feed!$I:$I,$AG3)),"")</f>
        <v/>
      </c>
      <c r="M3" s="10" t="str">
        <f>IF(AND(N(K3)&gt;0,N(L3)&gt;0),K3/L3,"")</f>
        <v/>
      </c>
      <c r="N3" s="11">
        <f>IFERROR(IF(INDEX(Feed!$L:$L,$AG3)="","",INDEX(Feed!$L:$L,$AG3)),"")</f>
        <v>7.3762092903559623E-3</v>
      </c>
      <c r="O3" s="12">
        <f>IF(AND(ISNUMBER(J3),N(N3)&gt;0),J3/N3,"")</f>
        <v>2.1233326497237477</v>
      </c>
      <c r="P3" s="13">
        <f>IF(ISNUMBER(O3),IF(SessionLeft&lt;=0,--(ABS(O3)&gt;1),_xlfn.NORM.S.DIST((-1-O3)/SQRT(SessionLeft),TRUE)+1-_xlfn.NORM.S.DIST((1-O3)/SQRT(SessionLeft),TRUE)),"")</f>
        <v>1</v>
      </c>
      <c r="Q3" s="13">
        <f>IF(ISNUMBER(O3),IF(SessionLeft&lt;=0,--(ABS(O3)&gt;2),_xlfn.NORM.S.DIST((-2-O3)/SQRT(SessionLeft),TRUE)+1-_xlfn.NORM.S.DIST((2-O3)/SQRT(SessionLeft),TRUE)),"")</f>
        <v>1</v>
      </c>
      <c r="R3" s="13">
        <f>IF(ISNUMBER(O3),IF(SessionLeft&lt;=0,--(ABS(O3)&gt;3),_xlfn.NORM.S.DIST((-3-O3)/SQRT(SessionLeft),TRUE)+1-_xlfn.NORM.S.DIST((3-O3)/SQRT(SessionLeft),TRUE)),"")</f>
        <v>0</v>
      </c>
      <c r="S3" s="6">
        <f>IFERROR(IF(INDEX(Feed!$J:$J,$AG3)="","",INDEX(Feed!$J:$J,$AG3)),"")</f>
        <v>762.01139999999998</v>
      </c>
      <c r="T3" s="8">
        <f>IFERROR(IF(N(S3)&gt;0,(INDEX(Feed!$G:$G,$AG3)/S3-1)*10000,""),"")</f>
        <v>-4.2177846683122411</v>
      </c>
      <c r="U3" s="9">
        <f>IFERROR(C3*$J$4,"")</f>
        <v>1.5108122083726671E-2</v>
      </c>
      <c r="V3" s="14">
        <f>IF(ISNUMBER(U3),IF(AND(Anchor="NAV",N(S3)&gt;0),S3,INDEX(Feed!$G:$G,$AG3))*(1+U3),"")</f>
        <v>773.19770550995372</v>
      </c>
      <c r="W3" s="8">
        <f>IF(ISNUMBER(V3),(IF(AND(N(E3)&gt;0,N(F3)&gt;0),(E3+F3)/2,D3)/V3-1)*10000,"")</f>
        <v>5.6556620244729849</v>
      </c>
      <c r="X3" s="8">
        <f>IF(ISNUMBER(V3),(IF(N(E3)&gt;0,E3,D3)/V3-1)*10000-IF($AF3="FI",CostFI,CostEq),"")</f>
        <v>2.3323294560780887</v>
      </c>
      <c r="Y3" s="8">
        <f>IF(ISNUMBER(V3),(1-IF(N(F3)&gt;0,F3,D3)/V3)*10000-IF($AF3="FI",CostFI,CostEq),"")</f>
        <v>-8.9789945928678812</v>
      </c>
      <c r="Z3" s="12">
        <f>IFERROR((J3-U3-INDEX(Feed!$O:$O,$AG3))/INDEX(Feed!$P:$P,$AG3),"")</f>
        <v>0.53567994076831937</v>
      </c>
      <c r="AA3" s="11">
        <f>IFERROR(IF(INDEX(Feed!$K:$K,$AG3)="","",INDEX(Feed!$K:$K,$AG3)),"")</f>
        <v>9.7999999999999997E-3</v>
      </c>
      <c r="AB3" s="15">
        <f>IFERROR(IF(INDEX(Feed!$M:$M,$AG3)="","",INDEX(Feed!$M:$M,$AG3)),"")</f>
        <v>46287.672222222223</v>
      </c>
      <c r="AD3" t="s">
        <v>36</v>
      </c>
      <c r="AE3" t="s">
        <v>28</v>
      </c>
      <c r="AF3" t="s">
        <v>37</v>
      </c>
      <c r="AG3">
        <f>IFERROR(MATCH($AD3,Feed!$A:$A,0),"")</f>
        <v>2</v>
      </c>
    </row>
    <row r="4" spans="1:33" x14ac:dyDescent="0.15">
      <c r="A4" s="4" t="s">
        <v>1254</v>
      </c>
      <c r="B4" s="4"/>
      <c r="C4" s="5">
        <f>IFERROR(SUMIFS(Holdings!$G:$G,Holdings!$A:$A,$A$3)/SUMIFS(Holdings!$D:$D,Holdings!$A:$A,$A$3),"")</f>
        <v>0.80101819838835808</v>
      </c>
      <c r="D4" s="6"/>
      <c r="E4" s="6"/>
      <c r="F4" s="6"/>
      <c r="G4" s="7"/>
      <c r="H4" s="7"/>
      <c r="I4" s="8"/>
      <c r="J4" s="9">
        <f>IFERROR(SUMIFS(Holdings!$F:$F,Holdings!$A:$A,$A$3)/SUMIFS(Holdings!$G:$G,Holdings!$A:$A,$A$3),"")</f>
        <v>1.5108122083726671E-2</v>
      </c>
      <c r="K4" s="7"/>
      <c r="L4" s="7"/>
      <c r="M4" s="10"/>
      <c r="N4" s="11">
        <f>IFERROR(IF(INDEX(Feed!$L:$L,$AG4)="","",INDEX(Feed!$L:$L,$AG4)),"")</f>
        <v>7.2114744566044615E-3</v>
      </c>
      <c r="O4" s="12">
        <f>IF(AND(ISNUMBER(J4),N(N4)&gt;0),J4/N4,"")</f>
        <v>2.095011522905728</v>
      </c>
      <c r="P4" s="13">
        <f>IF(ISNUMBER(O4),IF(SessionLeft&lt;=0,--(ABS(O4)&gt;1),_xlfn.NORM.S.DIST((-1-O4)/SQRT(SessionLeft),TRUE)+1-_xlfn.NORM.S.DIST((1-O4)/SQRT(SessionLeft),TRUE)),"")</f>
        <v>1</v>
      </c>
      <c r="Q4" s="13">
        <f>IF(ISNUMBER(O4),IF(SessionLeft&lt;=0,--(ABS(O4)&gt;2),_xlfn.NORM.S.DIST((-2-O4)/SQRT(SessionLeft),TRUE)+1-_xlfn.NORM.S.DIST((2-O4)/SQRT(SessionLeft),TRUE)),"")</f>
        <v>1</v>
      </c>
      <c r="R4" s="13">
        <f>IF(ISNUMBER(O4),IF(SessionLeft&lt;=0,--(ABS(O4)&gt;3),_xlfn.NORM.S.DIST((-3-O4)/SQRT(SessionLeft),TRUE)+1-_xlfn.NORM.S.DIST((3-O4)/SQRT(SessionLeft),TRUE)),"")</f>
        <v>0</v>
      </c>
      <c r="S4" s="6"/>
      <c r="T4" s="8"/>
      <c r="U4" s="9"/>
      <c r="V4" s="14"/>
      <c r="W4" s="8"/>
      <c r="X4" s="8"/>
      <c r="Y4" s="8"/>
      <c r="Z4" s="12"/>
      <c r="AA4" s="11"/>
      <c r="AB4" s="15"/>
      <c r="AD4" t="s">
        <v>1248</v>
      </c>
      <c r="AE4" t="s">
        <v>1254</v>
      </c>
      <c r="AF4" t="s">
        <v>37</v>
      </c>
      <c r="AG4">
        <f>IFERROR(MATCH($AD4,Feed!$A:$A,0),"")</f>
        <v>559</v>
      </c>
    </row>
    <row r="5" spans="1:33" x14ac:dyDescent="0.15">
      <c r="A5" s="4" t="s">
        <v>119</v>
      </c>
      <c r="B5" s="4"/>
      <c r="C5" s="5">
        <f>SUMIFS(Holdings!$D:$D,Holdings!$A:$A,$A$3,Holdings!$B:$B,A5)</f>
        <v>8.2767949999999993E-2</v>
      </c>
      <c r="D5" s="6">
        <f>IFERROR(IF(INDEX(Feed!$B:$B,$AG5)="","",INDEX(Feed!$B:$B,$AG5)),"")</f>
        <v>228.38820000000001</v>
      </c>
      <c r="E5" s="6" t="str">
        <f>IFERROR(IF(INDEX(Feed!$C:$C,$AG5)="","",INDEX(Feed!$C:$C,$AG5)),"")</f>
        <v/>
      </c>
      <c r="F5" s="6" t="str">
        <f>IFERROR(IF(INDEX(Feed!$D:$D,$AG5)="","",INDEX(Feed!$D:$D,$AG5)),"")</f>
        <v/>
      </c>
      <c r="G5" s="7" t="str">
        <f>IFERROR(IF(INDEX(Feed!$E:$E,$AG5)="","",INDEX(Feed!$E:$E,$AG5)),"")</f>
        <v/>
      </c>
      <c r="H5" s="7" t="str">
        <f>IFERROR(IF(INDEX(Feed!$F:$F,$AG5)="","",INDEX(Feed!$F:$F,$AG5)),"")</f>
        <v/>
      </c>
      <c r="I5" s="8" t="str">
        <f>IF(AND(N(E5)&gt;0,N(F5)&gt;0),(F5-E5)/((F5+E5)/2)*10000,"")</f>
        <v/>
      </c>
      <c r="J5" s="9">
        <f>IF(N(D5)&gt;0,IFERROR(D5/INDEX(Feed!$G:$G,$AG5)-1,""),"")</f>
        <v>2.7525981913888442E-2</v>
      </c>
      <c r="K5" s="7">
        <f>IFERROR(IF(INDEX(Feed!$H:$H,$AG5)="","",INDEX(Feed!$H:$H,$AG5)),"")</f>
        <v>109980196</v>
      </c>
      <c r="L5" s="7" t="str">
        <f>IFERROR(IF(INDEX(Feed!$I:$I,$AG5)="","",INDEX(Feed!$I:$I,$AG5)),"")</f>
        <v/>
      </c>
      <c r="M5" s="10" t="str">
        <f>IF(AND(N(K5)&gt;0,N(L5)&gt;0),K5/L5,"")</f>
        <v/>
      </c>
      <c r="N5" s="11">
        <f>IFERROR(IF(INDEX(Feed!$L:$L,$AG5)="","",INDEX(Feed!$L:$L,$AG5)),"")</f>
        <v>2.5073561590479024E-2</v>
      </c>
      <c r="O5" s="12">
        <f>IF(AND(ISNUMBER(J5),N(N5)&gt;0),J5/N5,"")</f>
        <v>1.0978090134726075</v>
      </c>
      <c r="P5" s="13">
        <f>IF(ISNUMBER(O5),IF(SessionLeft&lt;=0,--(ABS(O5)&gt;1),_xlfn.NORM.S.DIST((-1-O5)/SQRT(SessionLeft),TRUE)+1-_xlfn.NORM.S.DIST((1-O5)/SQRT(SessionLeft),TRUE)),"")</f>
        <v>1</v>
      </c>
      <c r="Q5" s="13">
        <f>IF(ISNUMBER(O5),IF(SessionLeft&lt;=0,--(ABS(O5)&gt;2),_xlfn.NORM.S.DIST((-2-O5)/SQRT(SessionLeft),TRUE)+1-_xlfn.NORM.S.DIST((2-O5)/SQRT(SessionLeft),TRUE)),"")</f>
        <v>0</v>
      </c>
      <c r="R5" s="13">
        <f>IF(ISNUMBER(O5),IF(SessionLeft&lt;=0,--(ABS(O5)&gt;3),_xlfn.NORM.S.DIST((-3-O5)/SQRT(SessionLeft),TRUE)+1-_xlfn.NORM.S.DIST((3-O5)/SQRT(SessionLeft),TRUE)),"")</f>
        <v>0</v>
      </c>
      <c r="S5" s="6"/>
      <c r="T5" s="8"/>
      <c r="U5" s="9"/>
      <c r="V5" s="14"/>
      <c r="W5" s="8"/>
      <c r="X5" s="8"/>
      <c r="Y5" s="8"/>
      <c r="Z5" s="12"/>
      <c r="AA5" s="11"/>
      <c r="AB5" s="15">
        <f>IFERROR(IF(INDEX(Feed!$M:$M,$AG5)="","",INDEX(Feed!$M:$M,$AG5)),"")</f>
        <v>46287.671435185184</v>
      </c>
      <c r="AD5" t="s">
        <v>119</v>
      </c>
      <c r="AE5" t="s">
        <v>1255</v>
      </c>
      <c r="AF5" t="s">
        <v>37</v>
      </c>
      <c r="AG5">
        <f>IFERROR(MATCH($AD5,Feed!$A:$A,0),"")</f>
        <v>373</v>
      </c>
    </row>
    <row r="6" spans="1:33" x14ac:dyDescent="0.15">
      <c r="A6" s="4" t="s">
        <v>57</v>
      </c>
      <c r="B6" s="4"/>
      <c r="C6" s="5">
        <f>SUMIFS(Holdings!$D:$D,Holdings!$A:$A,$A$3,Holdings!$B:$B,A6)</f>
        <v>7.409621999999999E-2</v>
      </c>
      <c r="D6" s="6" t="str">
        <f>IFERROR(IF(INDEX(Feed!$B:$B,$AG6)="","",INDEX(Feed!$B:$B,$AG6)),"")</f>
        <v/>
      </c>
      <c r="E6" s="6" t="str">
        <f>IFERROR(IF(INDEX(Feed!$C:$C,$AG6)="","",INDEX(Feed!$C:$C,$AG6)),"")</f>
        <v/>
      </c>
      <c r="F6" s="6" t="str">
        <f>IFERROR(IF(INDEX(Feed!$D:$D,$AG6)="","",INDEX(Feed!$D:$D,$AG6)),"")</f>
        <v/>
      </c>
      <c r="G6" s="7" t="str">
        <f>IFERROR(IF(INDEX(Feed!$E:$E,$AG6)="","",INDEX(Feed!$E:$E,$AG6)),"")</f>
        <v/>
      </c>
      <c r="H6" s="7" t="str">
        <f>IFERROR(IF(INDEX(Feed!$F:$F,$AG6)="","",INDEX(Feed!$F:$F,$AG6)),"")</f>
        <v/>
      </c>
      <c r="I6" s="8" t="str">
        <f>IF(AND(N(E6)&gt;0,N(F6)&gt;0),(F6-E6)/((F6+E6)/2)*10000,"")</f>
        <v/>
      </c>
      <c r="J6" s="9" t="str">
        <f>IF(N(D6)&gt;0,IFERROR(D6/INDEX(Feed!$G:$G,$AG6)-1,""),"")</f>
        <v/>
      </c>
      <c r="K6" s="7" t="str">
        <f>IFERROR(IF(INDEX(Feed!$H:$H,$AG6)="","",INDEX(Feed!$H:$H,$AG6)),"")</f>
        <v/>
      </c>
      <c r="L6" s="7" t="str">
        <f>IFERROR(IF(INDEX(Feed!$I:$I,$AG6)="","",INDEX(Feed!$I:$I,$AG6)),"")</f>
        <v/>
      </c>
      <c r="M6" s="10" t="str">
        <f>IF(AND(N(K6)&gt;0,N(L6)&gt;0),K6/L6,"")</f>
        <v/>
      </c>
      <c r="N6" s="11">
        <f>IFERROR(IF(INDEX(Feed!$L:$L,$AG6)="","",INDEX(Feed!$L:$L,$AG6)),"")</f>
        <v>1.8439339103154519E-2</v>
      </c>
      <c r="O6" s="12" t="str">
        <f>IF(AND(ISNUMBER(J6),N(N6)&gt;0),J6/N6,"")</f>
        <v/>
      </c>
      <c r="P6" s="13" t="str">
        <f>IF(ISNUMBER(O6),IF(SessionLeft&lt;=0,--(ABS(O6)&gt;1),_xlfn.NORM.S.DIST((-1-O6)/SQRT(SessionLeft),TRUE)+1-_xlfn.NORM.S.DIST((1-O6)/SQRT(SessionLeft),TRUE)),"")</f>
        <v/>
      </c>
      <c r="Q6" s="13" t="str">
        <f>IF(ISNUMBER(O6),IF(SessionLeft&lt;=0,--(ABS(O6)&gt;2),_xlfn.NORM.S.DIST((-2-O6)/SQRT(SessionLeft),TRUE)+1-_xlfn.NORM.S.DIST((2-O6)/SQRT(SessionLeft),TRUE)),"")</f>
        <v/>
      </c>
      <c r="R6" s="13" t="str">
        <f>IF(ISNUMBER(O6),IF(SessionLeft&lt;=0,--(ABS(O6)&gt;3),_xlfn.NORM.S.DIST((-3-O6)/SQRT(SessionLeft),TRUE)+1-_xlfn.NORM.S.DIST((3-O6)/SQRT(SessionLeft),TRUE)),"")</f>
        <v/>
      </c>
      <c r="S6" s="6"/>
      <c r="T6" s="8"/>
      <c r="U6" s="9"/>
      <c r="V6" s="14"/>
      <c r="W6" s="8"/>
      <c r="X6" s="8"/>
      <c r="Y6" s="8"/>
      <c r="Z6" s="12"/>
      <c r="AA6" s="11"/>
      <c r="AB6" s="15" t="str">
        <f>IFERROR(IF(INDEX(Feed!$M:$M,$AG6)="","",INDEX(Feed!$M:$M,$AG6)),"")</f>
        <v/>
      </c>
      <c r="AD6" t="s">
        <v>57</v>
      </c>
      <c r="AE6" t="s">
        <v>1255</v>
      </c>
      <c r="AF6" t="s">
        <v>37</v>
      </c>
      <c r="AG6">
        <f>IFERROR(MATCH($AD6,Feed!$A:$A,0),"")</f>
        <v>20</v>
      </c>
    </row>
    <row r="7" spans="1:33" x14ac:dyDescent="0.15">
      <c r="A7" s="4" t="s">
        <v>122</v>
      </c>
      <c r="B7" s="4"/>
      <c r="C7" s="5">
        <f>SUMIFS(Holdings!$D:$D,Holdings!$A:$A,$A$3,Holdings!$B:$B,A7)</f>
        <v>5.5259980000000007E-2</v>
      </c>
      <c r="D7" s="6">
        <f>IFERROR(IF(INDEX(Feed!$B:$B,$AG7)="","",INDEX(Feed!$B:$B,$AG7)),"")</f>
        <v>497.83249999999998</v>
      </c>
      <c r="E7" s="6" t="str">
        <f>IFERROR(IF(INDEX(Feed!$C:$C,$AG7)="","",INDEX(Feed!$C:$C,$AG7)),"")</f>
        <v/>
      </c>
      <c r="F7" s="6" t="str">
        <f>IFERROR(IF(INDEX(Feed!$D:$D,$AG7)="","",INDEX(Feed!$D:$D,$AG7)),"")</f>
        <v/>
      </c>
      <c r="G7" s="7" t="str">
        <f>IFERROR(IF(INDEX(Feed!$E:$E,$AG7)="","",INDEX(Feed!$E:$E,$AG7)),"")</f>
        <v/>
      </c>
      <c r="H7" s="7" t="str">
        <f>IFERROR(IF(INDEX(Feed!$F:$F,$AG7)="","",INDEX(Feed!$F:$F,$AG7)),"")</f>
        <v/>
      </c>
      <c r="I7" s="8" t="str">
        <f>IF(AND(N(E7)&gt;0,N(F7)&gt;0),(F7-E7)/((F7+E7)/2)*10000,"")</f>
        <v/>
      </c>
      <c r="J7" s="9">
        <f>IF(N(D7)&gt;0,IFERROR(D7/INDEX(Feed!$G:$G,$AG7)-1,""),"")</f>
        <v>-7.5307509818385299E-3</v>
      </c>
      <c r="K7" s="7">
        <f>IFERROR(IF(INDEX(Feed!$H:$H,$AG7)="","",INDEX(Feed!$H:$H,$AG7)),"")</f>
        <v>16019410</v>
      </c>
      <c r="L7" s="7" t="str">
        <f>IFERROR(IF(INDEX(Feed!$I:$I,$AG7)="","",INDEX(Feed!$I:$I,$AG7)),"")</f>
        <v/>
      </c>
      <c r="M7" s="10" t="str">
        <f>IF(AND(N(K7)&gt;0,N(L7)&gt;0),K7/L7,"")</f>
        <v/>
      </c>
      <c r="N7" s="11">
        <f>IFERROR(IF(INDEX(Feed!$L:$L,$AG7)="","",INDEX(Feed!$L:$L,$AG7)),"")</f>
        <v>2.6179693325035364E-2</v>
      </c>
      <c r="O7" s="12">
        <f>IF(AND(ISNUMBER(J7),N(N7)&gt;0),J7/N7,"")</f>
        <v>-0.2876561955229992</v>
      </c>
      <c r="P7" s="13">
        <f>IF(ISNUMBER(O7),IF(SessionLeft&lt;=0,--(ABS(O7)&gt;1),_xlfn.NORM.S.DIST((-1-O7)/SQRT(SessionLeft),TRUE)+1-_xlfn.NORM.S.DIST((1-O7)/SQRT(SessionLeft),TRUE)),"")</f>
        <v>0</v>
      </c>
      <c r="Q7" s="13">
        <f>IF(ISNUMBER(O7),IF(SessionLeft&lt;=0,--(ABS(O7)&gt;2),_xlfn.NORM.S.DIST((-2-O7)/SQRT(SessionLeft),TRUE)+1-_xlfn.NORM.S.DIST((2-O7)/SQRT(SessionLeft),TRUE)),"")</f>
        <v>0</v>
      </c>
      <c r="R7" s="13">
        <f>IF(ISNUMBER(O7),IF(SessionLeft&lt;=0,--(ABS(O7)&gt;3),_xlfn.NORM.S.DIST((-3-O7)/SQRT(SessionLeft),TRUE)+1-_xlfn.NORM.S.DIST((3-O7)/SQRT(SessionLeft),TRUE)),"")</f>
        <v>0</v>
      </c>
      <c r="S7" s="6"/>
      <c r="T7" s="8"/>
      <c r="U7" s="9"/>
      <c r="V7" s="14"/>
      <c r="W7" s="8"/>
      <c r="X7" s="8"/>
      <c r="Y7" s="8"/>
      <c r="Z7" s="12"/>
      <c r="AA7" s="11"/>
      <c r="AB7" s="15">
        <f>IFERROR(IF(INDEX(Feed!$M:$M,$AG7)="","",INDEX(Feed!$M:$M,$AG7)),"")</f>
        <v>46287.671423611115</v>
      </c>
      <c r="AD7" t="s">
        <v>122</v>
      </c>
      <c r="AE7" t="s">
        <v>1255</v>
      </c>
      <c r="AF7" t="s">
        <v>37</v>
      </c>
      <c r="AG7">
        <f>IFERROR(MATCH($AD7,Feed!$A:$A,0),"")</f>
        <v>351</v>
      </c>
    </row>
    <row r="8" spans="1:33" x14ac:dyDescent="0.15">
      <c r="A8" s="4" t="s">
        <v>42</v>
      </c>
      <c r="B8" s="4" t="str">
        <f ca="1">IF(NOT(ISNUMBER(V8)),"",IF((NOW()-N(AB8))*1440&gt;StaleMin,"STALE",IF(AND($AF8="EQUITY",ABS(N(T8))&gt;ExDivFlag),"EX-DIV?",IF(X8&gt;IF($AF8="FI",EdgeFI,EdgeEq),"SELL ETF / BUY "&amp;UPPER($A$9),IF(Y8&gt;IF($AF8="FI",EdgeFI,EdgeEq),"BUY ETF / SELL "&amp;UPPER($A$9),"")))))</f>
        <v>STALE</v>
      </c>
      <c r="C8" s="5">
        <f>IFERROR(IF(INDEX(Feed!$N:$N,$AG8)="","",INDEX(Feed!$N:$N,$AG8)),"")</f>
        <v>1</v>
      </c>
      <c r="D8" s="6">
        <f>IFERROR(IF(INDEX(Feed!$B:$B,$AG8)="","",INDEX(Feed!$B:$B,$AG8)),"")</f>
        <v>747.45</v>
      </c>
      <c r="E8" s="6">
        <f>IFERROR(IF(INDEX(Feed!$C:$C,$AG8)="","",INDEX(Feed!$C:$C,$AG8)),"")</f>
        <v>747.45</v>
      </c>
      <c r="F8" s="6">
        <f>IFERROR(IF(INDEX(Feed!$D:$D,$AG8)="","",INDEX(Feed!$D:$D,$AG8)),"")</f>
        <v>747.48</v>
      </c>
      <c r="G8" s="7">
        <f>IFERROR(IF(INDEX(Feed!$E:$E,$AG8)="","",INDEX(Feed!$E:$E,$AG8)),"")</f>
        <v>180</v>
      </c>
      <c r="H8" s="7">
        <f>IFERROR(IF(INDEX(Feed!$F:$F,$AG8)="","",INDEX(Feed!$F:$F,$AG8)),"")</f>
        <v>100</v>
      </c>
      <c r="I8" s="8">
        <f>IF(AND(N(E8)&gt;0,N(F8)&gt;0),(F8-E8)/((F8+E8)/2)*10000,"")</f>
        <v>0.40135658525780754</v>
      </c>
      <c r="J8" s="9">
        <f>IF(N(D8)&gt;0,IFERROR(D8/INDEX(Feed!$G:$G,$AG8)-1,""),"")</f>
        <v>3.7118706765907339E-2</v>
      </c>
      <c r="K8" s="7">
        <f>IFERROR(IF(INDEX(Feed!$H:$H,$AG8)="","",INDEX(Feed!$H:$H,$AG8)),"")</f>
        <v>46731300</v>
      </c>
      <c r="L8" s="7" t="str">
        <f>IFERROR(IF(INDEX(Feed!$I:$I,$AG8)="","",INDEX(Feed!$I:$I,$AG8)),"")</f>
        <v/>
      </c>
      <c r="M8" s="10" t="str">
        <f>IF(AND(N(K8)&gt;0,N(L8)&gt;0),K8/L8,"")</f>
        <v/>
      </c>
      <c r="N8" s="11">
        <f>IFERROR(IF(INDEX(Feed!$L:$L,$AG8)="","",INDEX(Feed!$L:$L,$AG8)),"")</f>
        <v>1.3248840131814392E-2</v>
      </c>
      <c r="O8" s="12">
        <f>IF(AND(ISNUMBER(J8),N(N8)&gt;0),J8/N8,"")</f>
        <v>2.8016570806658252</v>
      </c>
      <c r="P8" s="13">
        <f>IF(ISNUMBER(O8),IF(SessionLeft&lt;=0,--(ABS(O8)&gt;1),_xlfn.NORM.S.DIST((-1-O8)/SQRT(SessionLeft),TRUE)+1-_xlfn.NORM.S.DIST((1-O8)/SQRT(SessionLeft),TRUE)),"")</f>
        <v>1</v>
      </c>
      <c r="Q8" s="13">
        <f>IF(ISNUMBER(O8),IF(SessionLeft&lt;=0,--(ABS(O8)&gt;2),_xlfn.NORM.S.DIST((-2-O8)/SQRT(SessionLeft),TRUE)+1-_xlfn.NORM.S.DIST((2-O8)/SQRT(SessionLeft),TRUE)),"")</f>
        <v>1</v>
      </c>
      <c r="R8" s="13">
        <f>IF(ISNUMBER(O8),IF(SessionLeft&lt;=0,--(ABS(O8)&gt;3),_xlfn.NORM.S.DIST((-3-O8)/SQRT(SessionLeft),TRUE)+1-_xlfn.NORM.S.DIST((3-O8)/SQRT(SessionLeft),TRUE)),"")</f>
        <v>0</v>
      </c>
      <c r="S8" s="6">
        <f>IFERROR(IF(INDEX(Feed!$J:$J,$AG8)="","",INDEX(Feed!$J:$J,$AG8)),"")</f>
        <v>721.72</v>
      </c>
      <c r="T8" s="8">
        <f>IFERROR(IF(N(S8)&gt;0,(INDEX(Feed!$G:$G,$AG8)/S8-1)*10000,""),"")</f>
        <v>-14.15230283212332</v>
      </c>
      <c r="U8" s="9">
        <f>IFERROR(C8*$J$9,"")</f>
        <v>3.5298945959426065E-2</v>
      </c>
      <c r="V8" s="14">
        <f>IF(ISNUMBER(U8),IF(AND(Anchor="NAV",N(S8)&gt;0),S8,INDEX(Feed!$G:$G,$AG8))*(1+U8),"")</f>
        <v>746.13850093443398</v>
      </c>
      <c r="W8" s="8">
        <f>IF(ISNUMBER(V8),(IF(AND(N(E8)&gt;0,N(F8)&gt;0),(E8+F8)/2,D8)/V8-1)*10000,"")</f>
        <v>17.778188150119334</v>
      </c>
      <c r="X8" s="8">
        <f>IF(ISNUMBER(V8),(IF(N(E8)&gt;0,E8,D8)/V8-1)*10000-IF($AF8="FI",CostFI,CostEq),"")</f>
        <v>14.577153087846575</v>
      </c>
      <c r="Y8" s="8">
        <f>IF(ISNUMBER(V8),(1-IF(N(F8)&gt;0,F8,D8)/V8)*10000-IF($AF8="FI",CostFI,CostEq),"")</f>
        <v>-20.979223212392093</v>
      </c>
      <c r="Z8" s="12">
        <f>IFERROR((J8-U8-INDEX(Feed!$O:$O,$AG8))/INDEX(Feed!$P:$P,$AG8),"")</f>
        <v>2.0779963469346829</v>
      </c>
      <c r="AA8" s="11">
        <f>IFERROR(IF(INDEX(Feed!$K:$K,$AG8)="","",INDEX(Feed!$K:$K,$AG8)),"")</f>
        <v>4.1999999999999997E-3</v>
      </c>
      <c r="AB8" s="15">
        <f>IFERROR(IF(INDEX(Feed!$M:$M,$AG8)="","",INDEX(Feed!$M:$M,$AG8)),"")</f>
        <v>46287.672222222223</v>
      </c>
      <c r="AD8" t="s">
        <v>42</v>
      </c>
      <c r="AE8" t="s">
        <v>28</v>
      </c>
      <c r="AF8" t="s">
        <v>37</v>
      </c>
      <c r="AG8">
        <f>IFERROR(MATCH($AD8,Feed!$A:$A,0),"")</f>
        <v>3</v>
      </c>
    </row>
    <row r="9" spans="1:33" x14ac:dyDescent="0.15">
      <c r="A9" s="4" t="s">
        <v>1254</v>
      </c>
      <c r="B9" s="4"/>
      <c r="C9" s="5">
        <f>IFERROR(SUMIFS(Holdings!$G:$G,Holdings!$A:$A,$A$8)/SUMIFS(Holdings!$D:$D,Holdings!$A:$A,$A$8),"")</f>
        <v>0.80563984288639334</v>
      </c>
      <c r="D9" s="6"/>
      <c r="E9" s="6"/>
      <c r="F9" s="6"/>
      <c r="G9" s="7"/>
      <c r="H9" s="7"/>
      <c r="I9" s="8"/>
      <c r="J9" s="9">
        <f>IFERROR(SUMIFS(Holdings!$F:$F,Holdings!$A:$A,$A$8)/SUMIFS(Holdings!$G:$G,Holdings!$A:$A,$A$8),"")</f>
        <v>3.5298945959426065E-2</v>
      </c>
      <c r="K9" s="7"/>
      <c r="L9" s="7"/>
      <c r="M9" s="10"/>
      <c r="N9" s="11">
        <f>IFERROR(IF(INDEX(Feed!$L:$L,$AG9)="","",INDEX(Feed!$L:$L,$AG9)),"")</f>
        <v>1.3382349743576492E-2</v>
      </c>
      <c r="O9" s="12">
        <f>IF(AND(ISNUMBER(J9),N(N9)&gt;0),J9/N9,"")</f>
        <v>2.6377240645925806</v>
      </c>
      <c r="P9" s="13">
        <f>IF(ISNUMBER(O9),IF(SessionLeft&lt;=0,--(ABS(O9)&gt;1),_xlfn.NORM.S.DIST((-1-O9)/SQRT(SessionLeft),TRUE)+1-_xlfn.NORM.S.DIST((1-O9)/SQRT(SessionLeft),TRUE)),"")</f>
        <v>1</v>
      </c>
      <c r="Q9" s="13">
        <f>IF(ISNUMBER(O9),IF(SessionLeft&lt;=0,--(ABS(O9)&gt;2),_xlfn.NORM.S.DIST((-2-O9)/SQRT(SessionLeft),TRUE)+1-_xlfn.NORM.S.DIST((2-O9)/SQRT(SessionLeft),TRUE)),"")</f>
        <v>1</v>
      </c>
      <c r="R9" s="13">
        <f>IF(ISNUMBER(O9),IF(SessionLeft&lt;=0,--(ABS(O9)&gt;3),_xlfn.NORM.S.DIST((-3-O9)/SQRT(SessionLeft),TRUE)+1-_xlfn.NORM.S.DIST((3-O9)/SQRT(SessionLeft),TRUE)),"")</f>
        <v>0</v>
      </c>
      <c r="S9" s="6"/>
      <c r="T9" s="8"/>
      <c r="U9" s="9"/>
      <c r="V9" s="14"/>
      <c r="W9" s="8"/>
      <c r="X9" s="8"/>
      <c r="Y9" s="8"/>
      <c r="Z9" s="12"/>
      <c r="AA9" s="11"/>
      <c r="AB9" s="15"/>
      <c r="AD9" t="s">
        <v>1249</v>
      </c>
      <c r="AE9" t="s">
        <v>1254</v>
      </c>
      <c r="AF9" t="s">
        <v>37</v>
      </c>
      <c r="AG9">
        <f>IFERROR(MATCH($AD9,Feed!$A:$A,0),"")</f>
        <v>560</v>
      </c>
    </row>
    <row r="10" spans="1:33" x14ac:dyDescent="0.15">
      <c r="A10" s="4" t="s">
        <v>119</v>
      </c>
      <c r="B10" s="4"/>
      <c r="C10" s="5">
        <f>SUMIFS(Holdings!$D:$D,Holdings!$A:$A,$A$8,Holdings!$B:$B,A10)</f>
        <v>8.2771940000000002E-2</v>
      </c>
      <c r="D10" s="6">
        <f>IFERROR(IF(INDEX(Feed!$B:$B,$AG10)="","",INDEX(Feed!$B:$B,$AG10)),"")</f>
        <v>228.38820000000001</v>
      </c>
      <c r="E10" s="6" t="str">
        <f>IFERROR(IF(INDEX(Feed!$C:$C,$AG10)="","",INDEX(Feed!$C:$C,$AG10)),"")</f>
        <v/>
      </c>
      <c r="F10" s="6" t="str">
        <f>IFERROR(IF(INDEX(Feed!$D:$D,$AG10)="","",INDEX(Feed!$D:$D,$AG10)),"")</f>
        <v/>
      </c>
      <c r="G10" s="7" t="str">
        <f>IFERROR(IF(INDEX(Feed!$E:$E,$AG10)="","",INDEX(Feed!$E:$E,$AG10)),"")</f>
        <v/>
      </c>
      <c r="H10" s="7" t="str">
        <f>IFERROR(IF(INDEX(Feed!$F:$F,$AG10)="","",INDEX(Feed!$F:$F,$AG10)),"")</f>
        <v/>
      </c>
      <c r="I10" s="8" t="str">
        <f>IF(AND(N(E10)&gt;0,N(F10)&gt;0),(F10-E10)/((F10+E10)/2)*10000,"")</f>
        <v/>
      </c>
      <c r="J10" s="9">
        <f>IF(N(D10)&gt;0,IFERROR(D10/INDEX(Feed!$G:$G,$AG10)-1,""),"")</f>
        <v>2.7525981913888442E-2</v>
      </c>
      <c r="K10" s="7">
        <f>IFERROR(IF(INDEX(Feed!$H:$H,$AG10)="","",INDEX(Feed!$H:$H,$AG10)),"")</f>
        <v>109980196</v>
      </c>
      <c r="L10" s="7" t="str">
        <f>IFERROR(IF(INDEX(Feed!$I:$I,$AG10)="","",INDEX(Feed!$I:$I,$AG10)),"")</f>
        <v/>
      </c>
      <c r="M10" s="10" t="str">
        <f>IF(AND(N(K10)&gt;0,N(L10)&gt;0),K10/L10,"")</f>
        <v/>
      </c>
      <c r="N10" s="11">
        <f>IFERROR(IF(INDEX(Feed!$L:$L,$AG10)="","",INDEX(Feed!$L:$L,$AG10)),"")</f>
        <v>2.5073561590479024E-2</v>
      </c>
      <c r="O10" s="12">
        <f>IF(AND(ISNUMBER(J10),N(N10)&gt;0),J10/N10,"")</f>
        <v>1.0978090134726075</v>
      </c>
      <c r="P10" s="13">
        <f>IF(ISNUMBER(O10),IF(SessionLeft&lt;=0,--(ABS(O10)&gt;1),_xlfn.NORM.S.DIST((-1-O10)/SQRT(SessionLeft),TRUE)+1-_xlfn.NORM.S.DIST((1-O10)/SQRT(SessionLeft),TRUE)),"")</f>
        <v>1</v>
      </c>
      <c r="Q10" s="13">
        <f>IF(ISNUMBER(O10),IF(SessionLeft&lt;=0,--(ABS(O10)&gt;2),_xlfn.NORM.S.DIST((-2-O10)/SQRT(SessionLeft),TRUE)+1-_xlfn.NORM.S.DIST((2-O10)/SQRT(SessionLeft),TRUE)),"")</f>
        <v>0</v>
      </c>
      <c r="R10" s="13">
        <f>IF(ISNUMBER(O10),IF(SessionLeft&lt;=0,--(ABS(O10)&gt;3),_xlfn.NORM.S.DIST((-3-O10)/SQRT(SessionLeft),TRUE)+1-_xlfn.NORM.S.DIST((3-O10)/SQRT(SessionLeft),TRUE)),"")</f>
        <v>0</v>
      </c>
      <c r="S10" s="6"/>
      <c r="T10" s="8"/>
      <c r="U10" s="9"/>
      <c r="V10" s="14"/>
      <c r="W10" s="8"/>
      <c r="X10" s="8"/>
      <c r="Y10" s="8"/>
      <c r="Z10" s="12"/>
      <c r="AA10" s="11"/>
      <c r="AB10" s="15">
        <f>IFERROR(IF(INDEX(Feed!$M:$M,$AG10)="","",INDEX(Feed!$M:$M,$AG10)),"")</f>
        <v>46287.671435185184</v>
      </c>
      <c r="AD10" t="s">
        <v>119</v>
      </c>
      <c r="AE10" t="s">
        <v>1255</v>
      </c>
      <c r="AF10" t="s">
        <v>37</v>
      </c>
      <c r="AG10">
        <f>IFERROR(MATCH($AD10,Feed!$A:$A,0),"")</f>
        <v>373</v>
      </c>
    </row>
    <row r="11" spans="1:33" x14ac:dyDescent="0.15">
      <c r="A11" s="4" t="s">
        <v>57</v>
      </c>
      <c r="B11" s="4"/>
      <c r="C11" s="5">
        <f>SUMIFS(Holdings!$D:$D,Holdings!$A:$A,$A$8,Holdings!$B:$B,A11)</f>
        <v>7.4323479999999997E-2</v>
      </c>
      <c r="D11" s="6" t="str">
        <f>IFERROR(IF(INDEX(Feed!$B:$B,$AG11)="","",INDEX(Feed!$B:$B,$AG11)),"")</f>
        <v/>
      </c>
      <c r="E11" s="6" t="str">
        <f>IFERROR(IF(INDEX(Feed!$C:$C,$AG11)="","",INDEX(Feed!$C:$C,$AG11)),"")</f>
        <v/>
      </c>
      <c r="F11" s="6" t="str">
        <f>IFERROR(IF(INDEX(Feed!$D:$D,$AG11)="","",INDEX(Feed!$D:$D,$AG11)),"")</f>
        <v/>
      </c>
      <c r="G11" s="7" t="str">
        <f>IFERROR(IF(INDEX(Feed!$E:$E,$AG11)="","",INDEX(Feed!$E:$E,$AG11)),"")</f>
        <v/>
      </c>
      <c r="H11" s="7" t="str">
        <f>IFERROR(IF(INDEX(Feed!$F:$F,$AG11)="","",INDEX(Feed!$F:$F,$AG11)),"")</f>
        <v/>
      </c>
      <c r="I11" s="8" t="str">
        <f>IF(AND(N(E11)&gt;0,N(F11)&gt;0),(F11-E11)/((F11+E11)/2)*10000,"")</f>
        <v/>
      </c>
      <c r="J11" s="9" t="str">
        <f>IF(N(D11)&gt;0,IFERROR(D11/INDEX(Feed!$G:$G,$AG11)-1,""),"")</f>
        <v/>
      </c>
      <c r="K11" s="7" t="str">
        <f>IFERROR(IF(INDEX(Feed!$H:$H,$AG11)="","",INDEX(Feed!$H:$H,$AG11)),"")</f>
        <v/>
      </c>
      <c r="L11" s="7" t="str">
        <f>IFERROR(IF(INDEX(Feed!$I:$I,$AG11)="","",INDEX(Feed!$I:$I,$AG11)),"")</f>
        <v/>
      </c>
      <c r="M11" s="10" t="str">
        <f>IF(AND(N(K11)&gt;0,N(L11)&gt;0),K11/L11,"")</f>
        <v/>
      </c>
      <c r="N11" s="11">
        <f>IFERROR(IF(INDEX(Feed!$L:$L,$AG11)="","",INDEX(Feed!$L:$L,$AG11)),"")</f>
        <v>1.8439339103154519E-2</v>
      </c>
      <c r="O11" s="12" t="str">
        <f>IF(AND(ISNUMBER(J11),N(N11)&gt;0),J11/N11,"")</f>
        <v/>
      </c>
      <c r="P11" s="13" t="str">
        <f>IF(ISNUMBER(O11),IF(SessionLeft&lt;=0,--(ABS(O11)&gt;1),_xlfn.NORM.S.DIST((-1-O11)/SQRT(SessionLeft),TRUE)+1-_xlfn.NORM.S.DIST((1-O11)/SQRT(SessionLeft),TRUE)),"")</f>
        <v/>
      </c>
      <c r="Q11" s="13" t="str">
        <f>IF(ISNUMBER(O11),IF(SessionLeft&lt;=0,--(ABS(O11)&gt;2),_xlfn.NORM.S.DIST((-2-O11)/SQRT(SessionLeft),TRUE)+1-_xlfn.NORM.S.DIST((2-O11)/SQRT(SessionLeft),TRUE)),"")</f>
        <v/>
      </c>
      <c r="R11" s="13" t="str">
        <f>IF(ISNUMBER(O11),IF(SessionLeft&lt;=0,--(ABS(O11)&gt;3),_xlfn.NORM.S.DIST((-3-O11)/SQRT(SessionLeft),TRUE)+1-_xlfn.NORM.S.DIST((3-O11)/SQRT(SessionLeft),TRUE)),"")</f>
        <v/>
      </c>
      <c r="S11" s="6"/>
      <c r="T11" s="8"/>
      <c r="U11" s="9"/>
      <c r="V11" s="14"/>
      <c r="W11" s="8"/>
      <c r="X11" s="8"/>
      <c r="Y11" s="8"/>
      <c r="Z11" s="12"/>
      <c r="AA11" s="11"/>
      <c r="AB11" s="15" t="str">
        <f>IFERROR(IF(INDEX(Feed!$M:$M,$AG11)="","",INDEX(Feed!$M:$M,$AG11)),"")</f>
        <v/>
      </c>
      <c r="AD11" t="s">
        <v>57</v>
      </c>
      <c r="AE11" t="s">
        <v>1255</v>
      </c>
      <c r="AF11" t="s">
        <v>37</v>
      </c>
      <c r="AG11">
        <f>IFERROR(MATCH($AD11,Feed!$A:$A,0),"")</f>
        <v>20</v>
      </c>
    </row>
    <row r="12" spans="1:33" x14ac:dyDescent="0.15">
      <c r="A12" s="4" t="s">
        <v>122</v>
      </c>
      <c r="B12" s="4"/>
      <c r="C12" s="5">
        <f>SUMIFS(Holdings!$D:$D,Holdings!$A:$A,$A$8,Holdings!$B:$B,A12)</f>
        <v>5.5429969999999995E-2</v>
      </c>
      <c r="D12" s="6">
        <f>IFERROR(IF(INDEX(Feed!$B:$B,$AG12)="","",INDEX(Feed!$B:$B,$AG12)),"")</f>
        <v>497.83249999999998</v>
      </c>
      <c r="E12" s="6" t="str">
        <f>IFERROR(IF(INDEX(Feed!$C:$C,$AG12)="","",INDEX(Feed!$C:$C,$AG12)),"")</f>
        <v/>
      </c>
      <c r="F12" s="6" t="str">
        <f>IFERROR(IF(INDEX(Feed!$D:$D,$AG12)="","",INDEX(Feed!$D:$D,$AG12)),"")</f>
        <v/>
      </c>
      <c r="G12" s="7" t="str">
        <f>IFERROR(IF(INDEX(Feed!$E:$E,$AG12)="","",INDEX(Feed!$E:$E,$AG12)),"")</f>
        <v/>
      </c>
      <c r="H12" s="7" t="str">
        <f>IFERROR(IF(INDEX(Feed!$F:$F,$AG12)="","",INDEX(Feed!$F:$F,$AG12)),"")</f>
        <v/>
      </c>
      <c r="I12" s="8" t="str">
        <f>IF(AND(N(E12)&gt;0,N(F12)&gt;0),(F12-E12)/((F12+E12)/2)*10000,"")</f>
        <v/>
      </c>
      <c r="J12" s="9">
        <f>IF(N(D12)&gt;0,IFERROR(D12/INDEX(Feed!$G:$G,$AG12)-1,""),"")</f>
        <v>-7.5307509818385299E-3</v>
      </c>
      <c r="K12" s="7">
        <f>IFERROR(IF(INDEX(Feed!$H:$H,$AG12)="","",INDEX(Feed!$H:$H,$AG12)),"")</f>
        <v>16019410</v>
      </c>
      <c r="L12" s="7" t="str">
        <f>IFERROR(IF(INDEX(Feed!$I:$I,$AG12)="","",INDEX(Feed!$I:$I,$AG12)),"")</f>
        <v/>
      </c>
      <c r="M12" s="10" t="str">
        <f>IF(AND(N(K12)&gt;0,N(L12)&gt;0),K12/L12,"")</f>
        <v/>
      </c>
      <c r="N12" s="11">
        <f>IFERROR(IF(INDEX(Feed!$L:$L,$AG12)="","",INDEX(Feed!$L:$L,$AG12)),"")</f>
        <v>2.6179693325035364E-2</v>
      </c>
      <c r="O12" s="12">
        <f>IF(AND(ISNUMBER(J12),N(N12)&gt;0),J12/N12,"")</f>
        <v>-0.2876561955229992</v>
      </c>
      <c r="P12" s="13">
        <f>IF(ISNUMBER(O12),IF(SessionLeft&lt;=0,--(ABS(O12)&gt;1),_xlfn.NORM.S.DIST((-1-O12)/SQRT(SessionLeft),TRUE)+1-_xlfn.NORM.S.DIST((1-O12)/SQRT(SessionLeft),TRUE)),"")</f>
        <v>0</v>
      </c>
      <c r="Q12" s="13">
        <f>IF(ISNUMBER(O12),IF(SessionLeft&lt;=0,--(ABS(O12)&gt;2),_xlfn.NORM.S.DIST((-2-O12)/SQRT(SessionLeft),TRUE)+1-_xlfn.NORM.S.DIST((2-O12)/SQRT(SessionLeft),TRUE)),"")</f>
        <v>0</v>
      </c>
      <c r="R12" s="13">
        <f>IF(ISNUMBER(O12),IF(SessionLeft&lt;=0,--(ABS(O12)&gt;3),_xlfn.NORM.S.DIST((-3-O12)/SQRT(SessionLeft),TRUE)+1-_xlfn.NORM.S.DIST((3-O12)/SQRT(SessionLeft),TRUE)),"")</f>
        <v>0</v>
      </c>
      <c r="S12" s="6"/>
      <c r="T12" s="8"/>
      <c r="U12" s="9"/>
      <c r="V12" s="14"/>
      <c r="W12" s="8"/>
      <c r="X12" s="8"/>
      <c r="Y12" s="8"/>
      <c r="Z12" s="12"/>
      <c r="AA12" s="11"/>
      <c r="AB12" s="15">
        <f>IFERROR(IF(INDEX(Feed!$M:$M,$AG12)="","",INDEX(Feed!$M:$M,$AG12)),"")</f>
        <v>46287.671423611115</v>
      </c>
      <c r="AD12" t="s">
        <v>122</v>
      </c>
      <c r="AE12" t="s">
        <v>1255</v>
      </c>
      <c r="AF12" t="s">
        <v>37</v>
      </c>
      <c r="AG12">
        <f>IFERROR(MATCH($AD12,Feed!$A:$A,0),"")</f>
        <v>351</v>
      </c>
    </row>
    <row r="13" spans="1:33" x14ac:dyDescent="0.15">
      <c r="A13" s="4" t="s">
        <v>45</v>
      </c>
      <c r="B13" s="4" t="str">
        <f ca="1">IF(NOT(ISNUMBER(V13)),"",IF((NOW()-N(AB13))*1440&gt;StaleMin,"STALE",IF(AND($AF13="EQUITY",ABS(N(T13))&gt;ExDivFlag),"EX-DIV?",IF(X13&gt;IF($AF13="FI",EdgeFI,EdgeEq),"SELL ETF / BUY "&amp;UPPER($A$14),IF(Y13&gt;IF($AF13="FI",EdgeFI,EdgeEq),"BUY ETF / SELL "&amp;UPPER($A$14),"")))))</f>
        <v>STALE</v>
      </c>
      <c r="C13" s="5">
        <f>IFERROR(IF(INDEX(Feed!$N:$N,$AG13)="","",INDEX(Feed!$N:$N,$AG13)),"")</f>
        <v>1</v>
      </c>
      <c r="D13" s="6">
        <f>IFERROR(IF(INDEX(Feed!$B:$B,$AG13)="","",INDEX(Feed!$B:$B,$AG13)),"")</f>
        <v>196.22900000000001</v>
      </c>
      <c r="E13" s="6">
        <f>IFERROR(IF(INDEX(Feed!$C:$C,$AG13)="","",INDEX(Feed!$C:$C,$AG13)),"")</f>
        <v>195.6</v>
      </c>
      <c r="F13" s="6">
        <f>IFERROR(IF(INDEX(Feed!$D:$D,$AG13)="","",INDEX(Feed!$D:$D,$AG13)),"")</f>
        <v>196.24</v>
      </c>
      <c r="G13" s="7">
        <f>IFERROR(IF(INDEX(Feed!$E:$E,$AG13)="","",INDEX(Feed!$E:$E,$AG13)),"")</f>
        <v>400</v>
      </c>
      <c r="H13" s="7">
        <f>IFERROR(IF(INDEX(Feed!$F:$F,$AG13)="","",INDEX(Feed!$F:$F,$AG13)),"")</f>
        <v>100</v>
      </c>
      <c r="I13" s="8">
        <f>IF(AND(N(E13)&gt;0,N(F13)&gt;0),(F13-E13)/((F13+E13)/2)*10000,"")</f>
        <v>32.666394446713696</v>
      </c>
      <c r="J13" s="9">
        <f>IF(N(D13)&gt;0,IFERROR(D13/INDEX(Feed!$G:$G,$AG13)-1,""),"")</f>
        <v>3.4963080168776584E-2</v>
      </c>
      <c r="K13" s="7">
        <f>IFERROR(IF(INDEX(Feed!$H:$H,$AG13)="","",INDEX(Feed!$H:$H,$AG13)),"")</f>
        <v>9047360</v>
      </c>
      <c r="L13" s="7" t="str">
        <f>IFERROR(IF(INDEX(Feed!$I:$I,$AG13)="","",INDEX(Feed!$I:$I,$AG13)),"")</f>
        <v/>
      </c>
      <c r="M13" s="10" t="str">
        <f>IF(AND(N(K13)&gt;0,N(L13)&gt;0),K13/L13,"")</f>
        <v/>
      </c>
      <c r="N13" s="11">
        <f>IFERROR(IF(INDEX(Feed!$L:$L,$AG13)="","",INDEX(Feed!$L:$L,$AG13)),"")</f>
        <v>1.8249067909335906E-2</v>
      </c>
      <c r="O13" s="12">
        <f>IF(AND(ISNUMBER(J13),N(N13)&gt;0),J13/N13,"")</f>
        <v>1.9158830655065993</v>
      </c>
      <c r="P13" s="13">
        <f>IF(ISNUMBER(O13),IF(SessionLeft&lt;=0,--(ABS(O13)&gt;1),_xlfn.NORM.S.DIST((-1-O13)/SQRT(SessionLeft),TRUE)+1-_xlfn.NORM.S.DIST((1-O13)/SQRT(SessionLeft),TRUE)),"")</f>
        <v>1</v>
      </c>
      <c r="Q13" s="13">
        <f>IF(ISNUMBER(O13),IF(SessionLeft&lt;=0,--(ABS(O13)&gt;2),_xlfn.NORM.S.DIST((-2-O13)/SQRT(SessionLeft),TRUE)+1-_xlfn.NORM.S.DIST((2-O13)/SQRT(SessionLeft),TRUE)),"")</f>
        <v>0</v>
      </c>
      <c r="R13" s="13">
        <f>IF(ISNUMBER(O13),IF(SessionLeft&lt;=0,--(ABS(O13)&gt;3),_xlfn.NORM.S.DIST((-3-O13)/SQRT(SessionLeft),TRUE)+1-_xlfn.NORM.S.DIST((3-O13)/SQRT(SessionLeft),TRUE)),"")</f>
        <v>0</v>
      </c>
      <c r="S13" s="6">
        <f>IFERROR(IF(INDEX(Feed!$J:$J,$AG13)="","",INDEX(Feed!$J:$J,$AG13)),"")</f>
        <v>189.69777999999999</v>
      </c>
      <c r="T13" s="8">
        <f>IFERROR(IF(N(S13)&gt;0,(INDEX(Feed!$G:$G,$AG13)/S13-1)*10000,""),"")</f>
        <v>-5.1545147233666988</v>
      </c>
      <c r="U13" s="9">
        <f>IFERROR(C13*$J$14,"")</f>
        <v>3.1931104635354687E-2</v>
      </c>
      <c r="V13" s="14">
        <f>IF(ISNUMBER(U13),IF(AND(Anchor="NAV",N(S13)&gt;0),S13,INDEX(Feed!$G:$G,$AG13))*(1+U13),"")</f>
        <v>195.65413743886324</v>
      </c>
      <c r="W13" s="8">
        <f>IF(ISNUMBER(V13),(IF(AND(N(E13)&gt;0,N(F13)&gt;0),(E13+F13)/2,D13)/V13-1)*10000,"")</f>
        <v>13.588394532155768</v>
      </c>
      <c r="X13" s="8">
        <f>IF(ISNUMBER(V13),(IF(N(E13)&gt;0,E13,D13)/V13-1)*10000-IF($AF13="FI",CostFI,CostEq),"")</f>
        <v>-5.7669968839871828</v>
      </c>
      <c r="Y13" s="8">
        <f>IF(ISNUMBER(V13),(1-IF(N(F13)&gt;0,F13,D13)/V13)*10000-IF($AF13="FI",CostFI,CostEq),"")</f>
        <v>-32.943785948294277</v>
      </c>
      <c r="Z13" s="12">
        <f>IFERROR((J13-U13-INDEX(Feed!$O:$O,$AG13))/INDEX(Feed!$P:$P,$AG13),"")</f>
        <v>3.8391935073136065</v>
      </c>
      <c r="AA13" s="11">
        <f>IFERROR(IF(INDEX(Feed!$K:$K,$AG13)="","",INDEX(Feed!$K:$K,$AG13)),"")</f>
        <v>4.3E-3</v>
      </c>
      <c r="AB13" s="15">
        <f>IFERROR(IF(INDEX(Feed!$M:$M,$AG13)="","",INDEX(Feed!$M:$M,$AG13)),"")</f>
        <v>46287.67291666667</v>
      </c>
      <c r="AD13" t="s">
        <v>45</v>
      </c>
      <c r="AE13" t="s">
        <v>28</v>
      </c>
      <c r="AF13" t="s">
        <v>37</v>
      </c>
      <c r="AG13">
        <f>IFERROR(MATCH($AD13,Feed!$A:$A,0),"")</f>
        <v>4</v>
      </c>
    </row>
    <row r="14" spans="1:33" x14ac:dyDescent="0.15">
      <c r="A14" s="4" t="s">
        <v>1254</v>
      </c>
      <c r="B14" s="4"/>
      <c r="C14" s="5">
        <f>IFERROR(SUMIFS(Holdings!$G:$G,Holdings!$A:$A,$A$13)/SUMIFS(Holdings!$D:$D,Holdings!$A:$A,$A$13),"")</f>
        <v>0.79367952749451265</v>
      </c>
      <c r="D14" s="6"/>
      <c r="E14" s="6"/>
      <c r="F14" s="6"/>
      <c r="G14" s="7"/>
      <c r="H14" s="7"/>
      <c r="I14" s="8"/>
      <c r="J14" s="9">
        <f>IFERROR(SUMIFS(Holdings!$F:$F,Holdings!$A:$A,$A$13)/SUMIFS(Holdings!$G:$G,Holdings!$A:$A,$A$13),"")</f>
        <v>3.1931104635354687E-2</v>
      </c>
      <c r="K14" s="7"/>
      <c r="L14" s="7"/>
      <c r="M14" s="10"/>
      <c r="N14" s="11">
        <f>IFERROR(IF(INDEX(Feed!$L:$L,$AG14)="","",INDEX(Feed!$L:$L,$AG14)),"")</f>
        <v>1.7895275660671724E-2</v>
      </c>
      <c r="O14" s="12">
        <f>IF(AND(ISNUMBER(J14),N(N14)&gt;0),J14/N14,"")</f>
        <v>1.7843315320103936</v>
      </c>
      <c r="P14" s="13">
        <f>IF(ISNUMBER(O14),IF(SessionLeft&lt;=0,--(ABS(O14)&gt;1),_xlfn.NORM.S.DIST((-1-O14)/SQRT(SessionLeft),TRUE)+1-_xlfn.NORM.S.DIST((1-O14)/SQRT(SessionLeft),TRUE)),"")</f>
        <v>1</v>
      </c>
      <c r="Q14" s="13">
        <f>IF(ISNUMBER(O14),IF(SessionLeft&lt;=0,--(ABS(O14)&gt;2),_xlfn.NORM.S.DIST((-2-O14)/SQRT(SessionLeft),TRUE)+1-_xlfn.NORM.S.DIST((2-O14)/SQRT(SessionLeft),TRUE)),"")</f>
        <v>0</v>
      </c>
      <c r="R14" s="13">
        <f>IF(ISNUMBER(O14),IF(SessionLeft&lt;=0,--(ABS(O14)&gt;3),_xlfn.NORM.S.DIST((-3-O14)/SQRT(SessionLeft),TRUE)+1-_xlfn.NORM.S.DIST((3-O14)/SQRT(SessionLeft),TRUE)),"")</f>
        <v>0</v>
      </c>
      <c r="S14" s="6"/>
      <c r="T14" s="8"/>
      <c r="U14" s="9"/>
      <c r="V14" s="14"/>
      <c r="W14" s="8"/>
      <c r="X14" s="8"/>
      <c r="Y14" s="8"/>
      <c r="Z14" s="12"/>
      <c r="AA14" s="11"/>
      <c r="AB14" s="15"/>
      <c r="AD14" t="s">
        <v>1250</v>
      </c>
      <c r="AE14" t="s">
        <v>1254</v>
      </c>
      <c r="AF14" t="s">
        <v>37</v>
      </c>
      <c r="AG14">
        <f>IFERROR(MATCH($AD14,Feed!$A:$A,0),"")</f>
        <v>561</v>
      </c>
    </row>
    <row r="15" spans="1:33" x14ac:dyDescent="0.15">
      <c r="A15" s="4" t="s">
        <v>119</v>
      </c>
      <c r="B15" s="4"/>
      <c r="C15" s="5">
        <f>SUMIFS(Holdings!$D:$D,Holdings!$A:$A,$A$13,Holdings!$B:$B,A15)</f>
        <v>0.15457152000000002</v>
      </c>
      <c r="D15" s="6">
        <f>IFERROR(IF(INDEX(Feed!$B:$B,$AG15)="","",INDEX(Feed!$B:$B,$AG15)),"")</f>
        <v>228.38820000000001</v>
      </c>
      <c r="E15" s="6" t="str">
        <f>IFERROR(IF(INDEX(Feed!$C:$C,$AG15)="","",INDEX(Feed!$C:$C,$AG15)),"")</f>
        <v/>
      </c>
      <c r="F15" s="6" t="str">
        <f>IFERROR(IF(INDEX(Feed!$D:$D,$AG15)="","",INDEX(Feed!$D:$D,$AG15)),"")</f>
        <v/>
      </c>
      <c r="G15" s="7" t="str">
        <f>IFERROR(IF(INDEX(Feed!$E:$E,$AG15)="","",INDEX(Feed!$E:$E,$AG15)),"")</f>
        <v/>
      </c>
      <c r="H15" s="7" t="str">
        <f>IFERROR(IF(INDEX(Feed!$F:$F,$AG15)="","",INDEX(Feed!$F:$F,$AG15)),"")</f>
        <v/>
      </c>
      <c r="I15" s="8" t="str">
        <f>IF(AND(N(E15)&gt;0,N(F15)&gt;0),(F15-E15)/((F15+E15)/2)*10000,"")</f>
        <v/>
      </c>
      <c r="J15" s="9">
        <f>IF(N(D15)&gt;0,IFERROR(D15/INDEX(Feed!$G:$G,$AG15)-1,""),"")</f>
        <v>2.7525981913888442E-2</v>
      </c>
      <c r="K15" s="7">
        <f>IFERROR(IF(INDEX(Feed!$H:$H,$AG15)="","",INDEX(Feed!$H:$H,$AG15)),"")</f>
        <v>109980196</v>
      </c>
      <c r="L15" s="7" t="str">
        <f>IFERROR(IF(INDEX(Feed!$I:$I,$AG15)="","",INDEX(Feed!$I:$I,$AG15)),"")</f>
        <v/>
      </c>
      <c r="M15" s="10" t="str">
        <f>IF(AND(N(K15)&gt;0,N(L15)&gt;0),K15/L15,"")</f>
        <v/>
      </c>
      <c r="N15" s="11">
        <f>IFERROR(IF(INDEX(Feed!$L:$L,$AG15)="","",INDEX(Feed!$L:$L,$AG15)),"")</f>
        <v>2.5073561590479024E-2</v>
      </c>
      <c r="O15" s="12">
        <f>IF(AND(ISNUMBER(J15),N(N15)&gt;0),J15/N15,"")</f>
        <v>1.0978090134726075</v>
      </c>
      <c r="P15" s="13">
        <f>IF(ISNUMBER(O15),IF(SessionLeft&lt;=0,--(ABS(O15)&gt;1),_xlfn.NORM.S.DIST((-1-O15)/SQRT(SessionLeft),TRUE)+1-_xlfn.NORM.S.DIST((1-O15)/SQRT(SessionLeft),TRUE)),"")</f>
        <v>1</v>
      </c>
      <c r="Q15" s="13">
        <f>IF(ISNUMBER(O15),IF(SessionLeft&lt;=0,--(ABS(O15)&gt;2),_xlfn.NORM.S.DIST((-2-O15)/SQRT(SessionLeft),TRUE)+1-_xlfn.NORM.S.DIST((2-O15)/SQRT(SessionLeft),TRUE)),"")</f>
        <v>0</v>
      </c>
      <c r="R15" s="13">
        <f>IF(ISNUMBER(O15),IF(SessionLeft&lt;=0,--(ABS(O15)&gt;3),_xlfn.NORM.S.DIST((-3-O15)/SQRT(SessionLeft),TRUE)+1-_xlfn.NORM.S.DIST((3-O15)/SQRT(SessionLeft),TRUE)),"")</f>
        <v>0</v>
      </c>
      <c r="S15" s="6"/>
      <c r="T15" s="8"/>
      <c r="U15" s="9"/>
      <c r="V15" s="14"/>
      <c r="W15" s="8"/>
      <c r="X15" s="8"/>
      <c r="Y15" s="8"/>
      <c r="Z15" s="12"/>
      <c r="AA15" s="11"/>
      <c r="AB15" s="15">
        <f>IFERROR(IF(INDEX(Feed!$M:$M,$AG15)="","",INDEX(Feed!$M:$M,$AG15)),"")</f>
        <v>46287.671435185184</v>
      </c>
      <c r="AD15" t="s">
        <v>119</v>
      </c>
      <c r="AE15" t="s">
        <v>1255</v>
      </c>
      <c r="AF15" t="s">
        <v>37</v>
      </c>
      <c r="AG15">
        <f>IFERROR(MATCH($AD15,Feed!$A:$A,0),"")</f>
        <v>373</v>
      </c>
    </row>
    <row r="16" spans="1:33" x14ac:dyDescent="0.15">
      <c r="A16" s="4" t="s">
        <v>57</v>
      </c>
      <c r="B16" s="4"/>
      <c r="C16" s="5">
        <f>SUMIFS(Holdings!$D:$D,Holdings!$A:$A,$A$13,Holdings!$B:$B,A16)</f>
        <v>0.13837713000000001</v>
      </c>
      <c r="D16" s="6" t="str">
        <f>IFERROR(IF(INDEX(Feed!$B:$B,$AG16)="","",INDEX(Feed!$B:$B,$AG16)),"")</f>
        <v/>
      </c>
      <c r="E16" s="6" t="str">
        <f>IFERROR(IF(INDEX(Feed!$C:$C,$AG16)="","",INDEX(Feed!$C:$C,$AG16)),"")</f>
        <v/>
      </c>
      <c r="F16" s="6" t="str">
        <f>IFERROR(IF(INDEX(Feed!$D:$D,$AG16)="","",INDEX(Feed!$D:$D,$AG16)),"")</f>
        <v/>
      </c>
      <c r="G16" s="7" t="str">
        <f>IFERROR(IF(INDEX(Feed!$E:$E,$AG16)="","",INDEX(Feed!$E:$E,$AG16)),"")</f>
        <v/>
      </c>
      <c r="H16" s="7" t="str">
        <f>IFERROR(IF(INDEX(Feed!$F:$F,$AG16)="","",INDEX(Feed!$F:$F,$AG16)),"")</f>
        <v/>
      </c>
      <c r="I16" s="8" t="str">
        <f>IF(AND(N(E16)&gt;0,N(F16)&gt;0),(F16-E16)/((F16+E16)/2)*10000,"")</f>
        <v/>
      </c>
      <c r="J16" s="9" t="str">
        <f>IF(N(D16)&gt;0,IFERROR(D16/INDEX(Feed!$G:$G,$AG16)-1,""),"")</f>
        <v/>
      </c>
      <c r="K16" s="7" t="str">
        <f>IFERROR(IF(INDEX(Feed!$H:$H,$AG16)="","",INDEX(Feed!$H:$H,$AG16)),"")</f>
        <v/>
      </c>
      <c r="L16" s="7" t="str">
        <f>IFERROR(IF(INDEX(Feed!$I:$I,$AG16)="","",INDEX(Feed!$I:$I,$AG16)),"")</f>
        <v/>
      </c>
      <c r="M16" s="10" t="str">
        <f>IF(AND(N(K16)&gt;0,N(L16)&gt;0),K16/L16,"")</f>
        <v/>
      </c>
      <c r="N16" s="11">
        <f>IFERROR(IF(INDEX(Feed!$L:$L,$AG16)="","",INDEX(Feed!$L:$L,$AG16)),"")</f>
        <v>1.8439339103154519E-2</v>
      </c>
      <c r="O16" s="12" t="str">
        <f>IF(AND(ISNUMBER(J16),N(N16)&gt;0),J16/N16,"")</f>
        <v/>
      </c>
      <c r="P16" s="13" t="str">
        <f>IF(ISNUMBER(O16),IF(SessionLeft&lt;=0,--(ABS(O16)&gt;1),_xlfn.NORM.S.DIST((-1-O16)/SQRT(SessionLeft),TRUE)+1-_xlfn.NORM.S.DIST((1-O16)/SQRT(SessionLeft),TRUE)),"")</f>
        <v/>
      </c>
      <c r="Q16" s="13" t="str">
        <f>IF(ISNUMBER(O16),IF(SessionLeft&lt;=0,--(ABS(O16)&gt;2),_xlfn.NORM.S.DIST((-2-O16)/SQRT(SessionLeft),TRUE)+1-_xlfn.NORM.S.DIST((2-O16)/SQRT(SessionLeft),TRUE)),"")</f>
        <v/>
      </c>
      <c r="R16" s="13" t="str">
        <f>IF(ISNUMBER(O16),IF(SessionLeft&lt;=0,--(ABS(O16)&gt;3),_xlfn.NORM.S.DIST((-3-O16)/SQRT(SessionLeft),TRUE)+1-_xlfn.NORM.S.DIST((3-O16)/SQRT(SessionLeft),TRUE)),"")</f>
        <v/>
      </c>
      <c r="S16" s="6"/>
      <c r="T16" s="8"/>
      <c r="U16" s="9"/>
      <c r="V16" s="14"/>
      <c r="W16" s="8"/>
      <c r="X16" s="8"/>
      <c r="Y16" s="8"/>
      <c r="Z16" s="12"/>
      <c r="AA16" s="11"/>
      <c r="AB16" s="15" t="str">
        <f>IFERROR(IF(INDEX(Feed!$M:$M,$AG16)="","",INDEX(Feed!$M:$M,$AG16)),"")</f>
        <v/>
      </c>
      <c r="AD16" t="s">
        <v>57</v>
      </c>
      <c r="AE16" t="s">
        <v>1255</v>
      </c>
      <c r="AF16" t="s">
        <v>37</v>
      </c>
      <c r="AG16">
        <f>IFERROR(MATCH($AD16,Feed!$A:$A,0),"")</f>
        <v>20</v>
      </c>
    </row>
    <row r="17" spans="1:33" x14ac:dyDescent="0.15">
      <c r="A17" s="4" t="s">
        <v>122</v>
      </c>
      <c r="B17" s="4"/>
      <c r="C17" s="5">
        <f>SUMIFS(Holdings!$D:$D,Holdings!$A:$A,$A$13,Holdings!$B:$B,A17)</f>
        <v>0.10320077</v>
      </c>
      <c r="D17" s="6">
        <f>IFERROR(IF(INDEX(Feed!$B:$B,$AG17)="","",INDEX(Feed!$B:$B,$AG17)),"")</f>
        <v>497.83249999999998</v>
      </c>
      <c r="E17" s="6" t="str">
        <f>IFERROR(IF(INDEX(Feed!$C:$C,$AG17)="","",INDEX(Feed!$C:$C,$AG17)),"")</f>
        <v/>
      </c>
      <c r="F17" s="6" t="str">
        <f>IFERROR(IF(INDEX(Feed!$D:$D,$AG17)="","",INDEX(Feed!$D:$D,$AG17)),"")</f>
        <v/>
      </c>
      <c r="G17" s="7" t="str">
        <f>IFERROR(IF(INDEX(Feed!$E:$E,$AG17)="","",INDEX(Feed!$E:$E,$AG17)),"")</f>
        <v/>
      </c>
      <c r="H17" s="7" t="str">
        <f>IFERROR(IF(INDEX(Feed!$F:$F,$AG17)="","",INDEX(Feed!$F:$F,$AG17)),"")</f>
        <v/>
      </c>
      <c r="I17" s="8" t="str">
        <f>IF(AND(N(E17)&gt;0,N(F17)&gt;0),(F17-E17)/((F17+E17)/2)*10000,"")</f>
        <v/>
      </c>
      <c r="J17" s="9">
        <f>IF(N(D17)&gt;0,IFERROR(D17/INDEX(Feed!$G:$G,$AG17)-1,""),"")</f>
        <v>-7.5307509818385299E-3</v>
      </c>
      <c r="K17" s="7">
        <f>IFERROR(IF(INDEX(Feed!$H:$H,$AG17)="","",INDEX(Feed!$H:$H,$AG17)),"")</f>
        <v>16019410</v>
      </c>
      <c r="L17" s="7" t="str">
        <f>IFERROR(IF(INDEX(Feed!$I:$I,$AG17)="","",INDEX(Feed!$I:$I,$AG17)),"")</f>
        <v/>
      </c>
      <c r="M17" s="10" t="str">
        <f>IF(AND(N(K17)&gt;0,N(L17)&gt;0),K17/L17,"")</f>
        <v/>
      </c>
      <c r="N17" s="11">
        <f>IFERROR(IF(INDEX(Feed!$L:$L,$AG17)="","",INDEX(Feed!$L:$L,$AG17)),"")</f>
        <v>2.6179693325035364E-2</v>
      </c>
      <c r="O17" s="12">
        <f>IF(AND(ISNUMBER(J17),N(N17)&gt;0),J17/N17,"")</f>
        <v>-0.2876561955229992</v>
      </c>
      <c r="P17" s="13">
        <f>IF(ISNUMBER(O17),IF(SessionLeft&lt;=0,--(ABS(O17)&gt;1),_xlfn.NORM.S.DIST((-1-O17)/SQRT(SessionLeft),TRUE)+1-_xlfn.NORM.S.DIST((1-O17)/SQRT(SessionLeft),TRUE)),"")</f>
        <v>0</v>
      </c>
      <c r="Q17" s="13">
        <f>IF(ISNUMBER(O17),IF(SessionLeft&lt;=0,--(ABS(O17)&gt;2),_xlfn.NORM.S.DIST((-2-O17)/SQRT(SessionLeft),TRUE)+1-_xlfn.NORM.S.DIST((2-O17)/SQRT(SessionLeft),TRUE)),"")</f>
        <v>0</v>
      </c>
      <c r="R17" s="13">
        <f>IF(ISNUMBER(O17),IF(SessionLeft&lt;=0,--(ABS(O17)&gt;3),_xlfn.NORM.S.DIST((-3-O17)/SQRT(SessionLeft),TRUE)+1-_xlfn.NORM.S.DIST((3-O17)/SQRT(SessionLeft),TRUE)),"")</f>
        <v>0</v>
      </c>
      <c r="S17" s="6"/>
      <c r="T17" s="8"/>
      <c r="U17" s="9"/>
      <c r="V17" s="14"/>
      <c r="W17" s="8"/>
      <c r="X17" s="8"/>
      <c r="Y17" s="8"/>
      <c r="Z17" s="12"/>
      <c r="AA17" s="11"/>
      <c r="AB17" s="15">
        <f>IFERROR(IF(INDEX(Feed!$M:$M,$AG17)="","",INDEX(Feed!$M:$M,$AG17)),"")</f>
        <v>46287.671423611115</v>
      </c>
      <c r="AD17" t="s">
        <v>122</v>
      </c>
      <c r="AE17" t="s">
        <v>1255</v>
      </c>
      <c r="AF17" t="s">
        <v>37</v>
      </c>
      <c r="AG17">
        <f>IFERROR(MATCH($AD17,Feed!$A:$A,0),"")</f>
        <v>351</v>
      </c>
    </row>
    <row r="18" spans="1:33" x14ac:dyDescent="0.15">
      <c r="A18" s="4" t="s">
        <v>47</v>
      </c>
      <c r="B18" s="4" t="str">
        <f ca="1">IF(NOT(ISNUMBER(V18)),"",IF((NOW()-N(AB18))*1440&gt;StaleMin,"STALE",IF(AND($AF18="EQUITY",ABS(N(T18))&gt;ExDivFlag),"EX-DIV?",IF(X18&gt;IF($AF18="FI",EdgeFI,EdgeEq),"SELL ETF / BUY "&amp;UPPER($A$19),IF(Y18&gt;IF($AF18="FI",EdgeFI,EdgeEq),"BUY ETF / SELL "&amp;UPPER($A$19),"")))))</f>
        <v>STALE</v>
      </c>
      <c r="C18" s="5">
        <f>IFERROR(IF(INDEX(Feed!$N:$N,$AG18)="","",INDEX(Feed!$N:$N,$AG18)),"")</f>
        <v>1</v>
      </c>
      <c r="D18" s="6">
        <f>IFERROR(IF(INDEX(Feed!$B:$B,$AG18)="","",INDEX(Feed!$B:$B,$AG18)),"")</f>
        <v>54.8</v>
      </c>
      <c r="E18" s="6" t="str">
        <f>IFERROR(IF(INDEX(Feed!$C:$C,$AG18)="","",INDEX(Feed!$C:$C,$AG18)),"")</f>
        <v/>
      </c>
      <c r="F18" s="6" t="str">
        <f>IFERROR(IF(INDEX(Feed!$D:$D,$AG18)="","",INDEX(Feed!$D:$D,$AG18)),"")</f>
        <v/>
      </c>
      <c r="G18" s="7" t="str">
        <f>IFERROR(IF(INDEX(Feed!$E:$E,$AG18)="","",INDEX(Feed!$E:$E,$AG18)),"")</f>
        <v/>
      </c>
      <c r="H18" s="7" t="str">
        <f>IFERROR(IF(INDEX(Feed!$F:$F,$AG18)="","",INDEX(Feed!$F:$F,$AG18)),"")</f>
        <v/>
      </c>
      <c r="I18" s="8" t="str">
        <f>IF(AND(N(E18)&gt;0,N(F18)&gt;0),(F18-E18)/((F18+E18)/2)*10000,"")</f>
        <v/>
      </c>
      <c r="J18" s="9">
        <f>IF(N(D18)&gt;0,IFERROR(D18/INDEX(Feed!$G:$G,$AG18)-1,""),"")</f>
        <v>-1.8976011457214503E-2</v>
      </c>
      <c r="K18" s="7">
        <f>IFERROR(IF(INDEX(Feed!$H:$H,$AG18)="","",INDEX(Feed!$H:$H,$AG18)),"")</f>
        <v>30640768</v>
      </c>
      <c r="L18" s="7" t="str">
        <f>IFERROR(IF(INDEX(Feed!$I:$I,$AG18)="","",INDEX(Feed!$I:$I,$AG18)),"")</f>
        <v/>
      </c>
      <c r="M18" s="10" t="str">
        <f>IF(AND(N(K18)&gt;0,N(L18)&gt;0),K18/L18,"")</f>
        <v/>
      </c>
      <c r="N18" s="11">
        <f>IFERROR(IF(INDEX(Feed!$L:$L,$AG18)="","",INDEX(Feed!$L:$L,$AG18)),"")</f>
        <v>8.1681500053617274E-3</v>
      </c>
      <c r="O18" s="12">
        <f>IF(AND(ISNUMBER(J18),N(N18)&gt;0),J18/N18,"")</f>
        <v>-2.3231712743715889</v>
      </c>
      <c r="P18" s="13">
        <f>IF(ISNUMBER(O18),IF(SessionLeft&lt;=0,--(ABS(O18)&gt;1),_xlfn.NORM.S.DIST((-1-O18)/SQRT(SessionLeft),TRUE)+1-_xlfn.NORM.S.DIST((1-O18)/SQRT(SessionLeft),TRUE)),"")</f>
        <v>1</v>
      </c>
      <c r="Q18" s="13">
        <f>IF(ISNUMBER(O18),IF(SessionLeft&lt;=0,--(ABS(O18)&gt;2),_xlfn.NORM.S.DIST((-2-O18)/SQRT(SessionLeft),TRUE)+1-_xlfn.NORM.S.DIST((2-O18)/SQRT(SessionLeft),TRUE)),"")</f>
        <v>1</v>
      </c>
      <c r="R18" s="13">
        <f>IF(ISNUMBER(O18),IF(SessionLeft&lt;=0,--(ABS(O18)&gt;3),_xlfn.NORM.S.DIST((-3-O18)/SQRT(SessionLeft),TRUE)+1-_xlfn.NORM.S.DIST((3-O18)/SQRT(SessionLeft),TRUE)),"")</f>
        <v>0</v>
      </c>
      <c r="S18" s="6">
        <f>IFERROR(IF(INDEX(Feed!$J:$J,$AG18)="","",INDEX(Feed!$J:$J,$AG18)),"")</f>
        <v>55.90363</v>
      </c>
      <c r="T18" s="8">
        <f>IFERROR(IF(N(S18)&gt;0,(INDEX(Feed!$G:$G,$AG18)/S18-1)*10000,""),"")</f>
        <v>-7.8045021405581672</v>
      </c>
      <c r="U18" s="9">
        <f>IFERROR(C18*$J$19,"")</f>
        <v>-1.5404939610914027E-2</v>
      </c>
      <c r="V18" s="14">
        <f>IF(ISNUMBER(U18),IF(AND(Anchor="NAV",N(S18)&gt;0),S18,INDEX(Feed!$G:$G,$AG18))*(1+U18),"")</f>
        <v>54.99948007333434</v>
      </c>
      <c r="W18" s="8">
        <f>IF(ISNUMBER(V18),(IF(AND(N(E18)&gt;0,N(F18)&gt;0),(E18+F18)/2,D18)/V18-1)*10000,"")</f>
        <v>-36.269447105383712</v>
      </c>
      <c r="X18" s="8">
        <f>IF(ISNUMBER(V18),(IF(N(E18)&gt;0,E18,D18)/V18-1)*10000-IF($AF18="FI",CostFI,CostEq),"")</f>
        <v>-39.269447105383712</v>
      </c>
      <c r="Y18" s="8">
        <f>IF(ISNUMBER(V18),(1-IF(N(F18)&gt;0,F18,D18)/V18)*10000-IF($AF18="FI",CostFI,CostEq),"")</f>
        <v>33.269447105383712</v>
      </c>
      <c r="Z18" s="12">
        <f>IFERROR((J18-U18-INDEX(Feed!$O:$O,$AG18))/INDEX(Feed!$P:$P,$AG18),"")</f>
        <v>-7.0802112740358982</v>
      </c>
      <c r="AA18" s="11">
        <f>IFERROR(IF(INDEX(Feed!$K:$K,$AG18)="","",INDEX(Feed!$K:$K,$AG18)),"")</f>
        <v>1.3999999500000001E-2</v>
      </c>
      <c r="AB18" s="15">
        <f>IFERROR(IF(INDEX(Feed!$M:$M,$AG18)="","",INDEX(Feed!$M:$M,$AG18)),"")</f>
        <v>46287.671377314815</v>
      </c>
      <c r="AD18" t="s">
        <v>47</v>
      </c>
      <c r="AE18" t="s">
        <v>28</v>
      </c>
      <c r="AF18" t="s">
        <v>37</v>
      </c>
      <c r="AG18">
        <f>IFERROR(MATCH($AD18,Feed!$A:$A,0),"")</f>
        <v>5</v>
      </c>
    </row>
    <row r="19" spans="1:33" x14ac:dyDescent="0.15">
      <c r="A19" s="4" t="s">
        <v>1254</v>
      </c>
      <c r="B19" s="4"/>
      <c r="C19" s="5">
        <f>IFERROR(SUMIFS(Holdings!$G:$G,Holdings!$A:$A,$A$18)/SUMIFS(Holdings!$D:$D,Holdings!$A:$A,$A$18),"")</f>
        <v>0.82881438560082654</v>
      </c>
      <c r="D19" s="6"/>
      <c r="E19" s="6"/>
      <c r="F19" s="6"/>
      <c r="G19" s="7"/>
      <c r="H19" s="7"/>
      <c r="I19" s="8"/>
      <c r="J19" s="9">
        <f>IFERROR(SUMIFS(Holdings!$F:$F,Holdings!$A:$A,$A$18)/SUMIFS(Holdings!$G:$G,Holdings!$A:$A,$A$18),"")</f>
        <v>-1.5404939610914027E-2</v>
      </c>
      <c r="K19" s="7"/>
      <c r="L19" s="7"/>
      <c r="M19" s="10"/>
      <c r="N19" s="11">
        <f>IFERROR(IF(INDEX(Feed!$L:$L,$AG19)="","",INDEX(Feed!$L:$L,$AG19)),"")</f>
        <v>8.107433326899588E-3</v>
      </c>
      <c r="O19" s="12">
        <f>IF(AND(ISNUMBER(J19),N(N19)&gt;0),J19/N19,"")</f>
        <v>-1.9001006841218295</v>
      </c>
      <c r="P19" s="13">
        <f>IF(ISNUMBER(O19),IF(SessionLeft&lt;=0,--(ABS(O19)&gt;1),_xlfn.NORM.S.DIST((-1-O19)/SQRT(SessionLeft),TRUE)+1-_xlfn.NORM.S.DIST((1-O19)/SQRT(SessionLeft),TRUE)),"")</f>
        <v>1</v>
      </c>
      <c r="Q19" s="13">
        <f>IF(ISNUMBER(O19),IF(SessionLeft&lt;=0,--(ABS(O19)&gt;2),_xlfn.NORM.S.DIST((-2-O19)/SQRT(SessionLeft),TRUE)+1-_xlfn.NORM.S.DIST((2-O19)/SQRT(SessionLeft),TRUE)),"")</f>
        <v>0</v>
      </c>
      <c r="R19" s="13">
        <f>IF(ISNUMBER(O19),IF(SessionLeft&lt;=0,--(ABS(O19)&gt;3),_xlfn.NORM.S.DIST((-3-O19)/SQRT(SessionLeft),TRUE)+1-_xlfn.NORM.S.DIST((3-O19)/SQRT(SessionLeft),TRUE)),"")</f>
        <v>0</v>
      </c>
      <c r="S19" s="6"/>
      <c r="T19" s="8"/>
      <c r="U19" s="9"/>
      <c r="V19" s="14"/>
      <c r="W19" s="8"/>
      <c r="X19" s="8"/>
      <c r="Y19" s="8"/>
      <c r="Z19" s="12"/>
      <c r="AA19" s="11"/>
      <c r="AB19" s="15"/>
      <c r="AD19" t="s">
        <v>1251</v>
      </c>
      <c r="AE19" t="s">
        <v>1254</v>
      </c>
      <c r="AF19" t="s">
        <v>37</v>
      </c>
      <c r="AG19">
        <f>IFERROR(MATCH($AD19,Feed!$A:$A,0),"")</f>
        <v>562</v>
      </c>
    </row>
    <row r="20" spans="1:33" x14ac:dyDescent="0.15">
      <c r="A20" s="4" t="s">
        <v>140</v>
      </c>
      <c r="B20" s="4"/>
      <c r="C20" s="5">
        <f>SUMIFS(Holdings!$D:$D,Holdings!$A:$A,$A$18,Holdings!$B:$B,A20)</f>
        <v>0.11694535</v>
      </c>
      <c r="D20" s="6">
        <f>IFERROR(IF(INDEX(Feed!$B:$B,$AG20)="","",INDEX(Feed!$B:$B,$AG20)),"")</f>
        <v>340.19</v>
      </c>
      <c r="E20" s="6" t="str">
        <f>IFERROR(IF(INDEX(Feed!$C:$C,$AG20)="","",INDEX(Feed!$C:$C,$AG20)),"")</f>
        <v/>
      </c>
      <c r="F20" s="6" t="str">
        <f>IFERROR(IF(INDEX(Feed!$D:$D,$AG20)="","",INDEX(Feed!$D:$D,$AG20)),"")</f>
        <v/>
      </c>
      <c r="G20" s="7" t="str">
        <f>IFERROR(IF(INDEX(Feed!$E:$E,$AG20)="","",INDEX(Feed!$E:$E,$AG20)),"")</f>
        <v/>
      </c>
      <c r="H20" s="7" t="str">
        <f>IFERROR(IF(INDEX(Feed!$F:$F,$AG20)="","",INDEX(Feed!$F:$F,$AG20)),"")</f>
        <v/>
      </c>
      <c r="I20" s="8" t="str">
        <f>IF(AND(N(E20)&gt;0,N(F20)&gt;0),(F20-E20)/((F20+E20)/2)*10000,"")</f>
        <v/>
      </c>
      <c r="J20" s="9">
        <f>IF(N(D20)&gt;0,IFERROR(D20/INDEX(Feed!$G:$G,$AG20)-1,""),"")</f>
        <v>-2.711127634626942E-2</v>
      </c>
      <c r="K20" s="7">
        <f>IFERROR(IF(INDEX(Feed!$H:$H,$AG20)="","",INDEX(Feed!$H:$H,$AG20)),"")</f>
        <v>6414696</v>
      </c>
      <c r="L20" s="7" t="str">
        <f>IFERROR(IF(INDEX(Feed!$I:$I,$AG20)="","",INDEX(Feed!$I:$I,$AG20)),"")</f>
        <v/>
      </c>
      <c r="M20" s="10" t="str">
        <f>IF(AND(N(K20)&gt;0,N(L20)&gt;0),K20/L20,"")</f>
        <v/>
      </c>
      <c r="N20" s="11">
        <f>IFERROR(IF(INDEX(Feed!$L:$L,$AG20)="","",INDEX(Feed!$L:$L,$AG20)),"")</f>
        <v>1.1337587894607882E-2</v>
      </c>
      <c r="O20" s="12">
        <f>IF(AND(ISNUMBER(J20),N(N20)&gt;0),J20/N20,"")</f>
        <v>-2.3912737522558434</v>
      </c>
      <c r="P20" s="13">
        <f>IF(ISNUMBER(O20),IF(SessionLeft&lt;=0,--(ABS(O20)&gt;1),_xlfn.NORM.S.DIST((-1-O20)/SQRT(SessionLeft),TRUE)+1-_xlfn.NORM.S.DIST((1-O20)/SQRT(SessionLeft),TRUE)),"")</f>
        <v>1</v>
      </c>
      <c r="Q20" s="13">
        <f>IF(ISNUMBER(O20),IF(SessionLeft&lt;=0,--(ABS(O20)&gt;2),_xlfn.NORM.S.DIST((-2-O20)/SQRT(SessionLeft),TRUE)+1-_xlfn.NORM.S.DIST((2-O20)/SQRT(SessionLeft),TRUE)),"")</f>
        <v>1</v>
      </c>
      <c r="R20" s="13">
        <f>IF(ISNUMBER(O20),IF(SessionLeft&lt;=0,--(ABS(O20)&gt;3),_xlfn.NORM.S.DIST((-3-O20)/SQRT(SessionLeft),TRUE)+1-_xlfn.NORM.S.DIST((3-O20)/SQRT(SessionLeft),TRUE)),"")</f>
        <v>0</v>
      </c>
      <c r="S20" s="6"/>
      <c r="T20" s="8"/>
      <c r="U20" s="9"/>
      <c r="V20" s="14"/>
      <c r="W20" s="8"/>
      <c r="X20" s="8"/>
      <c r="Y20" s="8"/>
      <c r="Z20" s="12"/>
      <c r="AA20" s="11"/>
      <c r="AB20" s="15">
        <f>IFERROR(IF(INDEX(Feed!$M:$M,$AG20)="","",INDEX(Feed!$M:$M,$AG20)),"")</f>
        <v>46287.671423611115</v>
      </c>
      <c r="AD20" t="s">
        <v>140</v>
      </c>
      <c r="AE20" t="s">
        <v>1255</v>
      </c>
      <c r="AF20" t="s">
        <v>37</v>
      </c>
      <c r="AG20">
        <f>IFERROR(MATCH($AD20,Feed!$A:$A,0),"")</f>
        <v>292</v>
      </c>
    </row>
    <row r="21" spans="1:33" x14ac:dyDescent="0.15">
      <c r="A21" s="4" t="s">
        <v>138</v>
      </c>
      <c r="B21" s="4"/>
      <c r="C21" s="5">
        <f>SUMIFS(Holdings!$D:$D,Holdings!$A:$A,$A$18,Holdings!$B:$B,A21)</f>
        <v>0.12133901</v>
      </c>
      <c r="D21" s="6">
        <f>IFERROR(IF(INDEX(Feed!$B:$B,$AG21)="","",INDEX(Feed!$B:$B,$AG21)),"")</f>
        <v>503.57</v>
      </c>
      <c r="E21" s="6" t="str">
        <f>IFERROR(IF(INDEX(Feed!$C:$C,$AG21)="","",INDEX(Feed!$C:$C,$AG21)),"")</f>
        <v/>
      </c>
      <c r="F21" s="6" t="str">
        <f>IFERROR(IF(INDEX(Feed!$D:$D,$AG21)="","",INDEX(Feed!$D:$D,$AG21)),"")</f>
        <v/>
      </c>
      <c r="G21" s="7" t="str">
        <f>IFERROR(IF(INDEX(Feed!$E:$E,$AG21)="","",INDEX(Feed!$E:$E,$AG21)),"")</f>
        <v/>
      </c>
      <c r="H21" s="7" t="str">
        <f>IFERROR(IF(INDEX(Feed!$F:$F,$AG21)="","",INDEX(Feed!$F:$F,$AG21)),"")</f>
        <v/>
      </c>
      <c r="I21" s="8" t="str">
        <f>IF(AND(N(E21)&gt;0,N(F21)&gt;0),(F21-E21)/((F21+E21)/2)*10000,"")</f>
        <v/>
      </c>
      <c r="J21" s="9">
        <f>IF(N(D21)&gt;0,IFERROR(D21/INDEX(Feed!$G:$G,$AG21)-1,""),"")</f>
        <v>-1.2162347725444778E-2</v>
      </c>
      <c r="K21" s="7">
        <f>IFERROR(IF(INDEX(Feed!$H:$H,$AG21)="","",INDEX(Feed!$H:$H,$AG21)),"")</f>
        <v>4807459</v>
      </c>
      <c r="L21" s="7" t="str">
        <f>IFERROR(IF(INDEX(Feed!$I:$I,$AG21)="","",INDEX(Feed!$I:$I,$AG21)),"")</f>
        <v/>
      </c>
      <c r="M21" s="10" t="str">
        <f>IF(AND(N(K21)&gt;0,N(L21)&gt;0),K21/L21,"")</f>
        <v/>
      </c>
      <c r="N21" s="11">
        <f>IFERROR(IF(INDEX(Feed!$L:$L,$AG21)="","",INDEX(Feed!$L:$L,$AG21)),"")</f>
        <v>9.6126655611705365E-3</v>
      </c>
      <c r="O21" s="12">
        <f>IF(AND(ISNUMBER(J21),N(N21)&gt;0),J21/N21,"")</f>
        <v>-1.2652419506378589</v>
      </c>
      <c r="P21" s="13">
        <f>IF(ISNUMBER(O21),IF(SessionLeft&lt;=0,--(ABS(O21)&gt;1),_xlfn.NORM.S.DIST((-1-O21)/SQRT(SessionLeft),TRUE)+1-_xlfn.NORM.S.DIST((1-O21)/SQRT(SessionLeft),TRUE)),"")</f>
        <v>1</v>
      </c>
      <c r="Q21" s="13">
        <f>IF(ISNUMBER(O21),IF(SessionLeft&lt;=0,--(ABS(O21)&gt;2),_xlfn.NORM.S.DIST((-2-O21)/SQRT(SessionLeft),TRUE)+1-_xlfn.NORM.S.DIST((2-O21)/SQRT(SessionLeft),TRUE)),"")</f>
        <v>0</v>
      </c>
      <c r="R21" s="13">
        <f>IF(ISNUMBER(O21),IF(SessionLeft&lt;=0,--(ABS(O21)&gt;3),_xlfn.NORM.S.DIST((-3-O21)/SQRT(SessionLeft),TRUE)+1-_xlfn.NORM.S.DIST((3-O21)/SQRT(SessionLeft),TRUE)),"")</f>
        <v>0</v>
      </c>
      <c r="S21" s="6"/>
      <c r="T21" s="8"/>
      <c r="U21" s="9"/>
      <c r="V21" s="14"/>
      <c r="W21" s="8"/>
      <c r="X21" s="8"/>
      <c r="Y21" s="8"/>
      <c r="Z21" s="12"/>
      <c r="AA21" s="11"/>
      <c r="AB21" s="15">
        <f>IFERROR(IF(INDEX(Feed!$M:$M,$AG21)="","",INDEX(Feed!$M:$M,$AG21)),"")</f>
        <v>46287.671400462961</v>
      </c>
      <c r="AD21" t="s">
        <v>138</v>
      </c>
      <c r="AE21" t="s">
        <v>1255</v>
      </c>
      <c r="AF21" t="s">
        <v>37</v>
      </c>
      <c r="AG21">
        <f>IFERROR(MATCH($AD21,Feed!$A:$A,0),"")</f>
        <v>91</v>
      </c>
    </row>
    <row r="22" spans="1:33" x14ac:dyDescent="0.15">
      <c r="A22" s="4" t="s">
        <v>150</v>
      </c>
      <c r="B22" s="4"/>
      <c r="C22" s="5">
        <f>SUMIFS(Holdings!$D:$D,Holdings!$A:$A,$A$18,Holdings!$B:$B,A22)</f>
        <v>7.9833340000000003E-2</v>
      </c>
      <c r="D22" s="6" t="str">
        <f>IFERROR(IF(INDEX(Feed!$B:$B,$AG22)="","",INDEX(Feed!$B:$B,$AG22)),"")</f>
        <v/>
      </c>
      <c r="E22" s="6" t="str">
        <f>IFERROR(IF(INDEX(Feed!$C:$C,$AG22)="","",INDEX(Feed!$C:$C,$AG22)),"")</f>
        <v/>
      </c>
      <c r="F22" s="6" t="str">
        <f>IFERROR(IF(INDEX(Feed!$D:$D,$AG22)="","",INDEX(Feed!$D:$D,$AG22)),"")</f>
        <v/>
      </c>
      <c r="G22" s="7" t="str">
        <f>IFERROR(IF(INDEX(Feed!$E:$E,$AG22)="","",INDEX(Feed!$E:$E,$AG22)),"")</f>
        <v/>
      </c>
      <c r="H22" s="7" t="str">
        <f>IFERROR(IF(INDEX(Feed!$F:$F,$AG22)="","",INDEX(Feed!$F:$F,$AG22)),"")</f>
        <v/>
      </c>
      <c r="I22" s="8" t="str">
        <f>IF(AND(N(E22)&gt;0,N(F22)&gt;0),(F22-E22)/((F22+E22)/2)*10000,"")</f>
        <v/>
      </c>
      <c r="J22" s="9" t="str">
        <f>IF(N(D22)&gt;0,IFERROR(D22/INDEX(Feed!$G:$G,$AG22)-1,""),"")</f>
        <v/>
      </c>
      <c r="K22" s="7" t="str">
        <f>IFERROR(IF(INDEX(Feed!$H:$H,$AG22)="","",INDEX(Feed!$H:$H,$AG22)),"")</f>
        <v/>
      </c>
      <c r="L22" s="7" t="str">
        <f>IFERROR(IF(INDEX(Feed!$I:$I,$AG22)="","",INDEX(Feed!$I:$I,$AG22)),"")</f>
        <v/>
      </c>
      <c r="M22" s="10" t="str">
        <f>IF(AND(N(K22)&gt;0,N(L22)&gt;0),K22/L22,"")</f>
        <v/>
      </c>
      <c r="N22" s="11">
        <f>IFERROR(IF(INDEX(Feed!$L:$L,$AG22)="","",INDEX(Feed!$L:$L,$AG22)),"")</f>
        <v>1.265704152520911E-2</v>
      </c>
      <c r="O22" s="12" t="str">
        <f>IF(AND(ISNUMBER(J22),N(N22)&gt;0),J22/N22,"")</f>
        <v/>
      </c>
      <c r="P22" s="13" t="str">
        <f>IF(ISNUMBER(O22),IF(SessionLeft&lt;=0,--(ABS(O22)&gt;1),_xlfn.NORM.S.DIST((-1-O22)/SQRT(SessionLeft),TRUE)+1-_xlfn.NORM.S.DIST((1-O22)/SQRT(SessionLeft),TRUE)),"")</f>
        <v/>
      </c>
      <c r="Q22" s="13" t="str">
        <f>IF(ISNUMBER(O22),IF(SessionLeft&lt;=0,--(ABS(O22)&gt;2),_xlfn.NORM.S.DIST((-2-O22)/SQRT(SessionLeft),TRUE)+1-_xlfn.NORM.S.DIST((2-O22)/SQRT(SessionLeft),TRUE)),"")</f>
        <v/>
      </c>
      <c r="R22" s="13" t="str">
        <f>IF(ISNUMBER(O22),IF(SessionLeft&lt;=0,--(ABS(O22)&gt;3),_xlfn.NORM.S.DIST((-3-O22)/SQRT(SessionLeft),TRUE)+1-_xlfn.NORM.S.DIST((3-O22)/SQRT(SessionLeft),TRUE)),"")</f>
        <v/>
      </c>
      <c r="S22" s="6"/>
      <c r="T22" s="8"/>
      <c r="U22" s="9"/>
      <c r="V22" s="14"/>
      <c r="W22" s="8"/>
      <c r="X22" s="8"/>
      <c r="Y22" s="8"/>
      <c r="Z22" s="12"/>
      <c r="AA22" s="11"/>
      <c r="AB22" s="15" t="str">
        <f>IFERROR(IF(INDEX(Feed!$M:$M,$AG22)="","",INDEX(Feed!$M:$M,$AG22)),"")</f>
        <v/>
      </c>
      <c r="AD22" t="s">
        <v>150</v>
      </c>
      <c r="AE22" t="s">
        <v>1255</v>
      </c>
      <c r="AF22" t="s">
        <v>37</v>
      </c>
      <c r="AG22">
        <f>IFERROR(MATCH($AD22,Feed!$A:$A,0),"")</f>
        <v>509</v>
      </c>
    </row>
    <row r="23" spans="1:33" x14ac:dyDescent="0.15">
      <c r="A23" s="4" t="s">
        <v>49</v>
      </c>
      <c r="B23" s="4" t="str">
        <f ca="1">IF(NOT(ISNUMBER(V23)),"",IF((NOW()-N(AB23))*1440&gt;StaleMin,"STALE",IF(AND($AF23="EQUITY",ABS(N(T23))&gt;ExDivFlag),"EX-DIV?",IF(X23&gt;IF($AF23="FI",EdgeFI,EdgeEq),"SELL ETF / BUY "&amp;UPPER($A$24),IF(Y23&gt;IF($AF23="FI",EdgeFI,EdgeEq),"BUY ETF / SELL "&amp;UPPER($A$24),"")))))</f>
        <v>STALE</v>
      </c>
      <c r="C23" s="5">
        <f>IFERROR(IF(INDEX(Feed!$N:$N,$AG23)="","",INDEX(Feed!$N:$N,$AG23)),"")</f>
        <v>1</v>
      </c>
      <c r="D23" s="6">
        <f>IFERROR(IF(INDEX(Feed!$B:$B,$AG23)="","",INDEX(Feed!$B:$B,$AG23)),"")</f>
        <v>61.78</v>
      </c>
      <c r="E23" s="6" t="str">
        <f>IFERROR(IF(INDEX(Feed!$C:$C,$AG23)="","",INDEX(Feed!$C:$C,$AG23)),"")</f>
        <v/>
      </c>
      <c r="F23" s="6" t="str">
        <f>IFERROR(IF(INDEX(Feed!$D:$D,$AG23)="","",INDEX(Feed!$D:$D,$AG23)),"")</f>
        <v/>
      </c>
      <c r="G23" s="7" t="str">
        <f>IFERROR(IF(INDEX(Feed!$E:$E,$AG23)="","",INDEX(Feed!$E:$E,$AG23)),"")</f>
        <v/>
      </c>
      <c r="H23" s="7" t="str">
        <f>IFERROR(IF(INDEX(Feed!$F:$F,$AG23)="","",INDEX(Feed!$F:$F,$AG23)),"")</f>
        <v/>
      </c>
      <c r="I23" s="8" t="str">
        <f>IF(AND(N(E23)&gt;0,N(F23)&gt;0),(F23-E23)/((F23+E23)/2)*10000,"")</f>
        <v/>
      </c>
      <c r="J23" s="9">
        <f>IF(N(D23)&gt;0,IFERROR(D23/INDEX(Feed!$G:$G,$AG23)-1,""),"")</f>
        <v>-3.9340693515782954E-2</v>
      </c>
      <c r="K23" s="7">
        <f>IFERROR(IF(INDEX(Feed!$H:$H,$AG23)="","",INDEX(Feed!$H:$H,$AG23)),"")</f>
        <v>36482216</v>
      </c>
      <c r="L23" s="7" t="str">
        <f>IFERROR(IF(INDEX(Feed!$I:$I,$AG23)="","",INDEX(Feed!$I:$I,$AG23)),"")</f>
        <v/>
      </c>
      <c r="M23" s="10" t="str">
        <f>IF(AND(N(K23)&gt;0,N(L23)&gt;0),K23/L23,"")</f>
        <v/>
      </c>
      <c r="N23" s="11">
        <f>IFERROR(IF(INDEX(Feed!$L:$L,$AG23)="","",INDEX(Feed!$L:$L,$AG23)),"")</f>
        <v>1.3677718688802947E-2</v>
      </c>
      <c r="O23" s="12">
        <f>IF(AND(ISNUMBER(J23),N(N23)&gt;0),J23/N23,"")</f>
        <v>-2.8762613423237462</v>
      </c>
      <c r="P23" s="13">
        <f>IF(ISNUMBER(O23),IF(SessionLeft&lt;=0,--(ABS(O23)&gt;1),_xlfn.NORM.S.DIST((-1-O23)/SQRT(SessionLeft),TRUE)+1-_xlfn.NORM.S.DIST((1-O23)/SQRT(SessionLeft),TRUE)),"")</f>
        <v>1</v>
      </c>
      <c r="Q23" s="13">
        <f>IF(ISNUMBER(O23),IF(SessionLeft&lt;=0,--(ABS(O23)&gt;2),_xlfn.NORM.S.DIST((-2-O23)/SQRT(SessionLeft),TRUE)+1-_xlfn.NORM.S.DIST((2-O23)/SQRT(SessionLeft),TRUE)),"")</f>
        <v>1</v>
      </c>
      <c r="R23" s="13">
        <f>IF(ISNUMBER(O23),IF(SessionLeft&lt;=0,--(ABS(O23)&gt;3),_xlfn.NORM.S.DIST((-3-O23)/SQRT(SessionLeft),TRUE)+1-_xlfn.NORM.S.DIST((3-O23)/SQRT(SessionLeft),TRUE)),"")</f>
        <v>0</v>
      </c>
      <c r="S23" s="6">
        <f>IFERROR(IF(INDEX(Feed!$J:$J,$AG23)="","",INDEX(Feed!$J:$J,$AG23)),"")</f>
        <v>64.354299999999995</v>
      </c>
      <c r="T23" s="8">
        <f>IFERROR(IF(N(S23)&gt;0,(INDEX(Feed!$G:$G,$AG23)/S23-1)*10000,""),"")</f>
        <v>-6.8837668966936771</v>
      </c>
      <c r="U23" s="9">
        <f>IFERROR(C23*$J$24,"")</f>
        <v>-3.1958604621827966E-2</v>
      </c>
      <c r="V23" s="14">
        <f>IF(ISNUMBER(U23),IF(AND(Anchor="NAV",N(S23)&gt;0),S23,INDEX(Feed!$G:$G,$AG23))*(1+U23),"")</f>
        <v>62.254742136770247</v>
      </c>
      <c r="W23" s="8">
        <f>IF(ISNUMBER(V23),(IF(AND(N(E23)&gt;0,N(F23)&gt;0),(E23+F23)/2,D23)/V23-1)*10000,"")</f>
        <v>-76.257987821596316</v>
      </c>
      <c r="X23" s="8">
        <f>IF(ISNUMBER(V23),(IF(N(E23)&gt;0,E23,D23)/V23-1)*10000-IF($AF23="FI",CostFI,CostEq),"")</f>
        <v>-79.257987821596316</v>
      </c>
      <c r="Y23" s="8">
        <f>IF(ISNUMBER(V23),(1-IF(N(F23)&gt;0,F23,D23)/V23)*10000-IF($AF23="FI",CostFI,CostEq),"")</f>
        <v>73.257987821596316</v>
      </c>
      <c r="Z23" s="12">
        <f>IFERROR((J23-U23-INDEX(Feed!$O:$O,$AG23))/INDEX(Feed!$P:$P,$AG23),"")</f>
        <v>-8.2694726433989132</v>
      </c>
      <c r="AA23" s="11">
        <f>IFERROR(IF(INDEX(Feed!$K:$K,$AG23)="","",INDEX(Feed!$K:$K,$AG23)),"")</f>
        <v>2.3699998999999999E-2</v>
      </c>
      <c r="AB23" s="15">
        <f>IFERROR(IF(INDEX(Feed!$M:$M,$AG23)="","",INDEX(Feed!$M:$M,$AG23)),"")</f>
        <v>46287.671377314815</v>
      </c>
      <c r="AD23" t="s">
        <v>49</v>
      </c>
      <c r="AE23" t="s">
        <v>28</v>
      </c>
      <c r="AF23" t="s">
        <v>37</v>
      </c>
      <c r="AG23">
        <f>IFERROR(MATCH($AD23,Feed!$A:$A,0),"")</f>
        <v>6</v>
      </c>
    </row>
    <row r="24" spans="1:33" x14ac:dyDescent="0.15">
      <c r="A24" s="4" t="s">
        <v>1254</v>
      </c>
      <c r="B24" s="4"/>
      <c r="C24" s="5">
        <f>IFERROR(SUMIFS(Holdings!$G:$G,Holdings!$A:$A,$A$23)/SUMIFS(Holdings!$D:$D,Holdings!$A:$A,$A$23),"")</f>
        <v>0.58519159667686549</v>
      </c>
      <c r="D24" s="6"/>
      <c r="E24" s="6"/>
      <c r="F24" s="6"/>
      <c r="G24" s="7"/>
      <c r="H24" s="7"/>
      <c r="I24" s="8"/>
      <c r="J24" s="9">
        <f>IFERROR(SUMIFS(Holdings!$F:$F,Holdings!$A:$A,$A$23)/SUMIFS(Holdings!$G:$G,Holdings!$A:$A,$A$23),"")</f>
        <v>-3.1958604621827966E-2</v>
      </c>
      <c r="K24" s="7"/>
      <c r="L24" s="7"/>
      <c r="M24" s="10"/>
      <c r="N24" s="11">
        <f>IFERROR(IF(INDEX(Feed!$L:$L,$AG24)="","",INDEX(Feed!$L:$L,$AG24)),"")</f>
        <v>1.382642126682353E-2</v>
      </c>
      <c r="O24" s="12">
        <f>IF(AND(ISNUMBER(J24),N(N24)&gt;0),J24/N24,"")</f>
        <v>-2.3114155141875052</v>
      </c>
      <c r="P24" s="13">
        <f>IF(ISNUMBER(O24),IF(SessionLeft&lt;=0,--(ABS(O24)&gt;1),_xlfn.NORM.S.DIST((-1-O24)/SQRT(SessionLeft),TRUE)+1-_xlfn.NORM.S.DIST((1-O24)/SQRT(SessionLeft),TRUE)),"")</f>
        <v>1</v>
      </c>
      <c r="Q24" s="13">
        <f>IF(ISNUMBER(O24),IF(SessionLeft&lt;=0,--(ABS(O24)&gt;2),_xlfn.NORM.S.DIST((-2-O24)/SQRT(SessionLeft),TRUE)+1-_xlfn.NORM.S.DIST((2-O24)/SQRT(SessionLeft),TRUE)),"")</f>
        <v>1</v>
      </c>
      <c r="R24" s="13">
        <f>IF(ISNUMBER(O24),IF(SessionLeft&lt;=0,--(ABS(O24)&gt;3),_xlfn.NORM.S.DIST((-3-O24)/SQRT(SessionLeft),TRUE)+1-_xlfn.NORM.S.DIST((3-O24)/SQRT(SessionLeft),TRUE)),"")</f>
        <v>0</v>
      </c>
      <c r="S24" s="6"/>
      <c r="T24" s="8"/>
      <c r="U24" s="9"/>
      <c r="V24" s="14"/>
      <c r="W24" s="8"/>
      <c r="X24" s="8"/>
      <c r="Y24" s="8"/>
      <c r="Z24" s="12"/>
      <c r="AA24" s="11"/>
      <c r="AB24" s="15"/>
      <c r="AD24" t="s">
        <v>1252</v>
      </c>
      <c r="AE24" t="s">
        <v>1254</v>
      </c>
      <c r="AF24" t="s">
        <v>37</v>
      </c>
      <c r="AG24">
        <f>IFERROR(MATCH($AD24,Feed!$A:$A,0),"")</f>
        <v>563</v>
      </c>
    </row>
    <row r="25" spans="1:33" x14ac:dyDescent="0.15">
      <c r="A25" s="4" t="s">
        <v>146</v>
      </c>
      <c r="B25" s="4"/>
      <c r="C25" s="5">
        <f>SUMIFS(Holdings!$D:$D,Holdings!$A:$A,$A$23,Holdings!$B:$B,A25)</f>
        <v>0.23363762000000002</v>
      </c>
      <c r="D25" s="6" t="str">
        <f>IFERROR(IF(INDEX(Feed!$B:$B,$AG25)="","",INDEX(Feed!$B:$B,$AG25)),"")</f>
        <v/>
      </c>
      <c r="E25" s="6" t="str">
        <f>IFERROR(IF(INDEX(Feed!$C:$C,$AG25)="","",INDEX(Feed!$C:$C,$AG25)),"")</f>
        <v/>
      </c>
      <c r="F25" s="6" t="str">
        <f>IFERROR(IF(INDEX(Feed!$D:$D,$AG25)="","",INDEX(Feed!$D:$D,$AG25)),"")</f>
        <v/>
      </c>
      <c r="G25" s="7" t="str">
        <f>IFERROR(IF(INDEX(Feed!$E:$E,$AG25)="","",INDEX(Feed!$E:$E,$AG25)),"")</f>
        <v/>
      </c>
      <c r="H25" s="7" t="str">
        <f>IFERROR(IF(INDEX(Feed!$F:$F,$AG25)="","",INDEX(Feed!$F:$F,$AG25)),"")</f>
        <v/>
      </c>
      <c r="I25" s="8" t="str">
        <f>IF(AND(N(E25)&gt;0,N(F25)&gt;0),(F25-E25)/((F25+E25)/2)*10000,"")</f>
        <v/>
      </c>
      <c r="J25" s="9" t="str">
        <f>IF(N(D25)&gt;0,IFERROR(D25/INDEX(Feed!$G:$G,$AG25)-1,""),"")</f>
        <v/>
      </c>
      <c r="K25" s="7" t="str">
        <f>IFERROR(IF(INDEX(Feed!$H:$H,$AG25)="","",INDEX(Feed!$H:$H,$AG25)),"")</f>
        <v/>
      </c>
      <c r="L25" s="7" t="str">
        <f>IFERROR(IF(INDEX(Feed!$I:$I,$AG25)="","",INDEX(Feed!$I:$I,$AG25)),"")</f>
        <v/>
      </c>
      <c r="M25" s="10" t="str">
        <f>IF(AND(N(K25)&gt;0,N(L25)&gt;0),K25/L25,"")</f>
        <v/>
      </c>
      <c r="N25" s="11">
        <f>IFERROR(IF(INDEX(Feed!$L:$L,$AG25)="","",INDEX(Feed!$L:$L,$AG25)),"")</f>
        <v>1.6503579122045125E-2</v>
      </c>
      <c r="O25" s="12" t="str">
        <f>IF(AND(ISNUMBER(J25),N(N25)&gt;0),J25/N25,"")</f>
        <v/>
      </c>
      <c r="P25" s="13" t="str">
        <f>IF(ISNUMBER(O25),IF(SessionLeft&lt;=0,--(ABS(O25)&gt;1),_xlfn.NORM.S.DIST((-1-O25)/SQRT(SessionLeft),TRUE)+1-_xlfn.NORM.S.DIST((1-O25)/SQRT(SessionLeft),TRUE)),"")</f>
        <v/>
      </c>
      <c r="Q25" s="13" t="str">
        <f>IF(ISNUMBER(O25),IF(SessionLeft&lt;=0,--(ABS(O25)&gt;2),_xlfn.NORM.S.DIST((-2-O25)/SQRT(SessionLeft),TRUE)+1-_xlfn.NORM.S.DIST((2-O25)/SQRT(SessionLeft),TRUE)),"")</f>
        <v/>
      </c>
      <c r="R25" s="13" t="str">
        <f>IF(ISNUMBER(O25),IF(SessionLeft&lt;=0,--(ABS(O25)&gt;3),_xlfn.NORM.S.DIST((-3-O25)/SQRT(SessionLeft),TRUE)+1-_xlfn.NORM.S.DIST((3-O25)/SQRT(SessionLeft),TRUE)),"")</f>
        <v/>
      </c>
      <c r="S25" s="6"/>
      <c r="T25" s="8"/>
      <c r="U25" s="9"/>
      <c r="V25" s="14"/>
      <c r="W25" s="8"/>
      <c r="X25" s="8"/>
      <c r="Y25" s="8"/>
      <c r="Z25" s="12"/>
      <c r="AA25" s="11"/>
      <c r="AB25" s="15" t="str">
        <f>IFERROR(IF(INDEX(Feed!$M:$M,$AG25)="","",INDEX(Feed!$M:$M,$AG25)),"")</f>
        <v/>
      </c>
      <c r="AD25" t="s">
        <v>146</v>
      </c>
      <c r="AE25" t="s">
        <v>1255</v>
      </c>
      <c r="AF25" t="s">
        <v>37</v>
      </c>
      <c r="AG25">
        <f>IFERROR(MATCH($AD25,Feed!$A:$A,0),"")</f>
        <v>552</v>
      </c>
    </row>
    <row r="26" spans="1:33" x14ac:dyDescent="0.15">
      <c r="A26" s="4" t="s">
        <v>162</v>
      </c>
      <c r="B26" s="4"/>
      <c r="C26" s="5">
        <f>SUMIFS(Holdings!$D:$D,Holdings!$A:$A,$A$23,Holdings!$B:$B,A26)</f>
        <v>0.17839262</v>
      </c>
      <c r="D26" s="6">
        <f>IFERROR(IF(INDEX(Feed!$B:$B,$AG26)="","",INDEX(Feed!$B:$B,$AG26)),"")</f>
        <v>202.41</v>
      </c>
      <c r="E26" s="6" t="str">
        <f>IFERROR(IF(INDEX(Feed!$C:$C,$AG26)="","",INDEX(Feed!$C:$C,$AG26)),"")</f>
        <v/>
      </c>
      <c r="F26" s="6" t="str">
        <f>IFERROR(IF(INDEX(Feed!$D:$D,$AG26)="","",INDEX(Feed!$D:$D,$AG26)),"")</f>
        <v/>
      </c>
      <c r="G26" s="7" t="str">
        <f>IFERROR(IF(INDEX(Feed!$E:$E,$AG26)="","",INDEX(Feed!$E:$E,$AG26)),"")</f>
        <v/>
      </c>
      <c r="H26" s="7" t="str">
        <f>IFERROR(IF(INDEX(Feed!$F:$F,$AG26)="","",INDEX(Feed!$F:$F,$AG26)),"")</f>
        <v/>
      </c>
      <c r="I26" s="8" t="str">
        <f>IF(AND(N(E26)&gt;0,N(F26)&gt;0),(F26-E26)/((F26+E26)/2)*10000,"")</f>
        <v/>
      </c>
      <c r="J26" s="9">
        <f>IF(N(D26)&gt;0,IFERROR(D26/INDEX(Feed!$G:$G,$AG26)-1,""),"")</f>
        <v>-3.3888597202997417E-2</v>
      </c>
      <c r="K26" s="7">
        <f>IFERROR(IF(INDEX(Feed!$H:$H,$AG26)="","",INDEX(Feed!$H:$H,$AG26)),"")</f>
        <v>8469759</v>
      </c>
      <c r="L26" s="7" t="str">
        <f>IFERROR(IF(INDEX(Feed!$I:$I,$AG26)="","",INDEX(Feed!$I:$I,$AG26)),"")</f>
        <v/>
      </c>
      <c r="M26" s="10" t="str">
        <f>IF(AND(N(K26)&gt;0,N(L26)&gt;0),K26/L26,"")</f>
        <v/>
      </c>
      <c r="N26" s="11">
        <f>IFERROR(IF(INDEX(Feed!$L:$L,$AG26)="","",INDEX(Feed!$L:$L,$AG26)),"")</f>
        <v>1.5788965960304345E-2</v>
      </c>
      <c r="O26" s="12">
        <f>IF(AND(ISNUMBER(J26),N(N26)&gt;0),J26/N26,"")</f>
        <v>-2.1463468404579542</v>
      </c>
      <c r="P26" s="13">
        <f>IF(ISNUMBER(O26),IF(SessionLeft&lt;=0,--(ABS(O26)&gt;1),_xlfn.NORM.S.DIST((-1-O26)/SQRT(SessionLeft),TRUE)+1-_xlfn.NORM.S.DIST((1-O26)/SQRT(SessionLeft),TRUE)),"")</f>
        <v>1</v>
      </c>
      <c r="Q26" s="13">
        <f>IF(ISNUMBER(O26),IF(SessionLeft&lt;=0,--(ABS(O26)&gt;2),_xlfn.NORM.S.DIST((-2-O26)/SQRT(SessionLeft),TRUE)+1-_xlfn.NORM.S.DIST((2-O26)/SQRT(SessionLeft),TRUE)),"")</f>
        <v>1</v>
      </c>
      <c r="R26" s="13">
        <f>IF(ISNUMBER(O26),IF(SessionLeft&lt;=0,--(ABS(O26)&gt;3),_xlfn.NORM.S.DIST((-3-O26)/SQRT(SessionLeft),TRUE)+1-_xlfn.NORM.S.DIST((3-O26)/SQRT(SessionLeft),TRUE)),"")</f>
        <v>0</v>
      </c>
      <c r="S26" s="6"/>
      <c r="T26" s="8"/>
      <c r="U26" s="9"/>
      <c r="V26" s="14"/>
      <c r="W26" s="8"/>
      <c r="X26" s="8"/>
      <c r="Y26" s="8"/>
      <c r="Z26" s="12"/>
      <c r="AA26" s="11"/>
      <c r="AB26" s="15">
        <f>IFERROR(IF(INDEX(Feed!$M:$M,$AG26)="","",INDEX(Feed!$M:$M,$AG26)),"")</f>
        <v>46287.671377314815</v>
      </c>
      <c r="AD26" t="s">
        <v>162</v>
      </c>
      <c r="AE26" t="s">
        <v>1255</v>
      </c>
      <c r="AF26" t="s">
        <v>37</v>
      </c>
      <c r="AG26">
        <f>IFERROR(MATCH($AD26,Feed!$A:$A,0),"")</f>
        <v>150</v>
      </c>
    </row>
    <row r="27" spans="1:33" x14ac:dyDescent="0.15">
      <c r="A27" s="4" t="s">
        <v>270</v>
      </c>
      <c r="B27" s="4"/>
      <c r="C27" s="5">
        <f>SUMIFS(Holdings!$D:$D,Holdings!$A:$A,$A$23,Holdings!$B:$B,A27)</f>
        <v>6.7130389999999998E-2</v>
      </c>
      <c r="D27" s="6">
        <f>IFERROR(IF(INDEX(Feed!$B:$B,$AG27)="","",INDEX(Feed!$B:$B,$AG27)),"")</f>
        <v>125.27</v>
      </c>
      <c r="E27" s="6" t="str">
        <f>IFERROR(IF(INDEX(Feed!$C:$C,$AG27)="","",INDEX(Feed!$C:$C,$AG27)),"")</f>
        <v/>
      </c>
      <c r="F27" s="6" t="str">
        <f>IFERROR(IF(INDEX(Feed!$D:$D,$AG27)="","",INDEX(Feed!$D:$D,$AG27)),"")</f>
        <v/>
      </c>
      <c r="G27" s="7" t="str">
        <f>IFERROR(IF(INDEX(Feed!$E:$E,$AG27)="","",INDEX(Feed!$E:$E,$AG27)),"")</f>
        <v/>
      </c>
      <c r="H27" s="7" t="str">
        <f>IFERROR(IF(INDEX(Feed!$F:$F,$AG27)="","",INDEX(Feed!$F:$F,$AG27)),"")</f>
        <v/>
      </c>
      <c r="I27" s="8" t="str">
        <f>IF(AND(N(E27)&gt;0,N(F27)&gt;0),(F27-E27)/((F27+E27)/2)*10000,"")</f>
        <v/>
      </c>
      <c r="J27" s="9">
        <f>IF(N(D27)&gt;0,IFERROR(D27/INDEX(Feed!$G:$G,$AG27)-1,""),"")</f>
        <v>-4.9761055905332752E-2</v>
      </c>
      <c r="K27" s="7">
        <f>IFERROR(IF(INDEX(Feed!$H:$H,$AG27)="","",INDEX(Feed!$H:$H,$AG27)),"")</f>
        <v>6157054</v>
      </c>
      <c r="L27" s="7" t="str">
        <f>IFERROR(IF(INDEX(Feed!$I:$I,$AG27)="","",INDEX(Feed!$I:$I,$AG27)),"")</f>
        <v/>
      </c>
      <c r="M27" s="10" t="str">
        <f>IF(AND(N(K27)&gt;0,N(L27)&gt;0),K27/L27,"")</f>
        <v/>
      </c>
      <c r="N27" s="11">
        <f>IFERROR(IF(INDEX(Feed!$L:$L,$AG27)="","",INDEX(Feed!$L:$L,$AG27)),"")</f>
        <v>1.9798019712667907E-2</v>
      </c>
      <c r="O27" s="12">
        <f>IF(AND(ISNUMBER(J27),N(N27)&gt;0),J27/N27,"")</f>
        <v>-2.5134360217599325</v>
      </c>
      <c r="P27" s="13">
        <f>IF(ISNUMBER(O27),IF(SessionLeft&lt;=0,--(ABS(O27)&gt;1),_xlfn.NORM.S.DIST((-1-O27)/SQRT(SessionLeft),TRUE)+1-_xlfn.NORM.S.DIST((1-O27)/SQRT(SessionLeft),TRUE)),"")</f>
        <v>1</v>
      </c>
      <c r="Q27" s="13">
        <f>IF(ISNUMBER(O27),IF(SessionLeft&lt;=0,--(ABS(O27)&gt;2),_xlfn.NORM.S.DIST((-2-O27)/SQRT(SessionLeft),TRUE)+1-_xlfn.NORM.S.DIST((2-O27)/SQRT(SessionLeft),TRUE)),"")</f>
        <v>1</v>
      </c>
      <c r="R27" s="13">
        <f>IF(ISNUMBER(O27),IF(SessionLeft&lt;=0,--(ABS(O27)&gt;3),_xlfn.NORM.S.DIST((-3-O27)/SQRT(SessionLeft),TRUE)+1-_xlfn.NORM.S.DIST((3-O27)/SQRT(SessionLeft),TRUE)),"")</f>
        <v>0</v>
      </c>
      <c r="S27" s="6"/>
      <c r="T27" s="8"/>
      <c r="U27" s="9"/>
      <c r="V27" s="14"/>
      <c r="W27" s="8"/>
      <c r="X27" s="8"/>
      <c r="Y27" s="8"/>
      <c r="Z27" s="12"/>
      <c r="AA27" s="11"/>
      <c r="AB27" s="15">
        <f>IFERROR(IF(INDEX(Feed!$M:$M,$AG27)="","",INDEX(Feed!$M:$M,$AG27)),"")</f>
        <v>46287.671400462961</v>
      </c>
      <c r="AD27" t="s">
        <v>270</v>
      </c>
      <c r="AE27" t="s">
        <v>1255</v>
      </c>
      <c r="AF27" t="s">
        <v>37</v>
      </c>
      <c r="AG27">
        <f>IFERROR(MATCH($AD27,Feed!$A:$A,0),"")</f>
        <v>131</v>
      </c>
    </row>
    <row r="28" spans="1:33" x14ac:dyDescent="0.15">
      <c r="A28" s="4" t="s">
        <v>51</v>
      </c>
      <c r="B28" s="4" t="str">
        <f ca="1">IF(NOT(ISNUMBER(V28)),"",IF((NOW()-N(AB28))*1440&gt;StaleMin,"STALE",IF(AND($AF28="EQUITY",ABS(N(T28))&gt;ExDivFlag),"EX-DIV?",IF(X28&gt;IF($AF28="FI",EdgeFI,EdgeEq),"SELL ETF / BUY "&amp;UPPER($A$29),IF(Y28&gt;IF($AF28="FI",EdgeFI,EdgeEq),"BUY ETF / SELL "&amp;UPPER($A$29),"")))))</f>
        <v>STALE</v>
      </c>
      <c r="C28" s="5">
        <f>IFERROR(IF(INDEX(Feed!$N:$N,$AG28)="","",INDEX(Feed!$N:$N,$AG28)),"")</f>
        <v>1</v>
      </c>
      <c r="D28" s="6">
        <f>IFERROR(IF(INDEX(Feed!$B:$B,$AG28)="","",INDEX(Feed!$B:$B,$AG28)),"")</f>
        <v>170.34</v>
      </c>
      <c r="E28" s="6">
        <f>IFERROR(IF(INDEX(Feed!$C:$C,$AG28)="","",INDEX(Feed!$C:$C,$AG28)),"")</f>
        <v>169.55</v>
      </c>
      <c r="F28" s="6">
        <f>IFERROR(IF(INDEX(Feed!$D:$D,$AG28)="","",INDEX(Feed!$D:$D,$AG28)),"")</f>
        <v>170.35</v>
      </c>
      <c r="G28" s="7">
        <f>IFERROR(IF(INDEX(Feed!$E:$E,$AG28)="","",INDEX(Feed!$E:$E,$AG28)),"")</f>
        <v>100</v>
      </c>
      <c r="H28" s="7">
        <f>IFERROR(IF(INDEX(Feed!$F:$F,$AG28)="","",INDEX(Feed!$F:$F,$AG28)),"")</f>
        <v>700</v>
      </c>
      <c r="I28" s="8">
        <f>IF(AND(N(E28)&gt;0,N(F28)&gt;0),(F28-E28)/((F28+E28)/2)*10000,"")</f>
        <v>47.072668431890733</v>
      </c>
      <c r="J28" s="9">
        <f>IF(N(D28)&gt;0,IFERROR(D28/INDEX(Feed!$G:$G,$AG28)-1,""),"")</f>
        <v>1.1580260110457985E-2</v>
      </c>
      <c r="K28" s="7">
        <f>IFERROR(IF(INDEX(Feed!$H:$H,$AG28)="","",INDEX(Feed!$H:$H,$AG28)),"")</f>
        <v>7618319</v>
      </c>
      <c r="L28" s="7" t="str">
        <f>IFERROR(IF(INDEX(Feed!$I:$I,$AG28)="","",INDEX(Feed!$I:$I,$AG28)),"")</f>
        <v/>
      </c>
      <c r="M28" s="10" t="str">
        <f>IF(AND(N(K28)&gt;0,N(L28)&gt;0),K28/L28,"")</f>
        <v/>
      </c>
      <c r="N28" s="11">
        <f>IFERROR(IF(INDEX(Feed!$L:$L,$AG28)="","",INDEX(Feed!$L:$L,$AG28)),"")</f>
        <v>1.2011045651777406E-2</v>
      </c>
      <c r="O28" s="12">
        <f>IF(AND(ISNUMBER(J28),N(N28)&gt;0),J28/N28,"")</f>
        <v>0.96413421830132895</v>
      </c>
      <c r="P28" s="13">
        <f>IF(ISNUMBER(O28),IF(SessionLeft&lt;=0,--(ABS(O28)&gt;1),_xlfn.NORM.S.DIST((-1-O28)/SQRT(SessionLeft),TRUE)+1-_xlfn.NORM.S.DIST((1-O28)/SQRT(SessionLeft),TRUE)),"")</f>
        <v>0</v>
      </c>
      <c r="Q28" s="13">
        <f>IF(ISNUMBER(O28),IF(SessionLeft&lt;=0,--(ABS(O28)&gt;2),_xlfn.NORM.S.DIST((-2-O28)/SQRT(SessionLeft),TRUE)+1-_xlfn.NORM.S.DIST((2-O28)/SQRT(SessionLeft),TRUE)),"")</f>
        <v>0</v>
      </c>
      <c r="R28" s="13">
        <f>IF(ISNUMBER(O28),IF(SessionLeft&lt;=0,--(ABS(O28)&gt;3),_xlfn.NORM.S.DIST((-3-O28)/SQRT(SessionLeft),TRUE)+1-_xlfn.NORM.S.DIST((3-O28)/SQRT(SessionLeft),TRUE)),"")</f>
        <v>0</v>
      </c>
      <c r="S28" s="6">
        <f>IFERROR(IF(INDEX(Feed!$J:$J,$AG28)="","",INDEX(Feed!$J:$J,$AG28)),"")</f>
        <v>168.47355999999999</v>
      </c>
      <c r="T28" s="8">
        <f>IFERROR(IF(N(S28)&gt;0,(INDEX(Feed!$G:$G,$AG28)/S28-1)*10000,""),"")</f>
        <v>-4.9598287114016593</v>
      </c>
      <c r="U28" s="9">
        <f>IFERROR(C28*$J$29,"")</f>
        <v>1.3971662688305273E-2</v>
      </c>
      <c r="V28" s="14">
        <f>IF(ISNUMBER(U28),IF(AND(Anchor="NAV",N(S28)&gt;0),S28,INDEX(Feed!$G:$G,$AG28))*(1+U28),"")</f>
        <v>170.74268828008371</v>
      </c>
      <c r="W28" s="8">
        <f>IF(ISNUMBER(V28),(IF(AND(N(E28)&gt;0,N(F28)&gt;0),(E28+F28)/2,D28)/V28-1)*10000,"")</f>
        <v>-46.42589899857996</v>
      </c>
      <c r="X28" s="8">
        <f>IF(ISNUMBER(V28),(IF(N(E28)&gt;0,E28,D28)/V28-1)*10000-IF($AF28="FI",CostFI,CostEq),"")</f>
        <v>-72.852963667014208</v>
      </c>
      <c r="Y28" s="8">
        <f>IF(ISNUMBER(V28),(1-IF(N(F28)&gt;0,F28,D28)/V28)*10000-IF($AF28="FI",CostFI,CostEq),"")</f>
        <v>19.998834330144604</v>
      </c>
      <c r="Z28" s="12">
        <f>IFERROR((J28-U28-INDEX(Feed!$O:$O,$AG28))/INDEX(Feed!$P:$P,$AG28),"")</f>
        <v>-5.0744294984962606</v>
      </c>
      <c r="AA28" s="11">
        <f>IFERROR(IF(INDEX(Feed!$K:$K,$AG28)="","",INDEX(Feed!$K:$K,$AG28)),"")</f>
        <v>1.49E-2</v>
      </c>
      <c r="AB28" s="15">
        <f>IFERROR(IF(INDEX(Feed!$M:$M,$AG28)="","",INDEX(Feed!$M:$M,$AG28)),"")</f>
        <v>46287.67291666667</v>
      </c>
      <c r="AD28" t="s">
        <v>51</v>
      </c>
      <c r="AE28" t="s">
        <v>28</v>
      </c>
      <c r="AF28" t="s">
        <v>37</v>
      </c>
      <c r="AG28">
        <f>IFERROR(MATCH($AD28,Feed!$A:$A,0),"")</f>
        <v>7</v>
      </c>
    </row>
    <row r="29" spans="1:33" x14ac:dyDescent="0.15">
      <c r="A29" s="4" t="s">
        <v>1254</v>
      </c>
      <c r="B29" s="4"/>
      <c r="C29" s="5">
        <f>IFERROR(SUMIFS(Holdings!$G:$G,Holdings!$A:$A,$A$28)/SUMIFS(Holdings!$D:$D,Holdings!$A:$A,$A$28),"")</f>
        <v>0.89305529115099103</v>
      </c>
      <c r="D29" s="6"/>
      <c r="E29" s="6"/>
      <c r="F29" s="6"/>
      <c r="G29" s="7"/>
      <c r="H29" s="7"/>
      <c r="I29" s="8"/>
      <c r="J29" s="9">
        <f>IFERROR(SUMIFS(Holdings!$F:$F,Holdings!$A:$A,$A$28)/SUMIFS(Holdings!$G:$G,Holdings!$A:$A,$A$28),"")</f>
        <v>1.3971662688305273E-2</v>
      </c>
      <c r="K29" s="7"/>
      <c r="L29" s="7"/>
      <c r="M29" s="10"/>
      <c r="N29" s="11">
        <f>IFERROR(IF(INDEX(Feed!$L:$L,$AG29)="","",INDEX(Feed!$L:$L,$AG29)),"")</f>
        <v>1.2162635520833832E-2</v>
      </c>
      <c r="O29" s="12">
        <f>IF(AND(ISNUMBER(J29),N(N29)&gt;0),J29/N29,"")</f>
        <v>1.1487364448579167</v>
      </c>
      <c r="P29" s="13">
        <f>IF(ISNUMBER(O29),IF(SessionLeft&lt;=0,--(ABS(O29)&gt;1),_xlfn.NORM.S.DIST((-1-O29)/SQRT(SessionLeft),TRUE)+1-_xlfn.NORM.S.DIST((1-O29)/SQRT(SessionLeft),TRUE)),"")</f>
        <v>1</v>
      </c>
      <c r="Q29" s="13">
        <f>IF(ISNUMBER(O29),IF(SessionLeft&lt;=0,--(ABS(O29)&gt;2),_xlfn.NORM.S.DIST((-2-O29)/SQRT(SessionLeft),TRUE)+1-_xlfn.NORM.S.DIST((2-O29)/SQRT(SessionLeft),TRUE)),"")</f>
        <v>0</v>
      </c>
      <c r="R29" s="13">
        <f>IF(ISNUMBER(O29),IF(SessionLeft&lt;=0,--(ABS(O29)&gt;3),_xlfn.NORM.S.DIST((-3-O29)/SQRT(SessionLeft),TRUE)+1-_xlfn.NORM.S.DIST((3-O29)/SQRT(SessionLeft),TRUE)),"")</f>
        <v>0</v>
      </c>
      <c r="S29" s="6"/>
      <c r="T29" s="8"/>
      <c r="U29" s="9"/>
      <c r="V29" s="14"/>
      <c r="W29" s="8"/>
      <c r="X29" s="8"/>
      <c r="Y29" s="8"/>
      <c r="Z29" s="12"/>
      <c r="AA29" s="11"/>
      <c r="AB29" s="15"/>
      <c r="AD29" t="s">
        <v>1253</v>
      </c>
      <c r="AE29" t="s">
        <v>1254</v>
      </c>
      <c r="AF29" t="s">
        <v>37</v>
      </c>
      <c r="AG29">
        <f>IFERROR(MATCH($AD29,Feed!$A:$A,0),"")</f>
        <v>564</v>
      </c>
    </row>
    <row r="30" spans="1:33" x14ac:dyDescent="0.15">
      <c r="A30" s="4" t="s">
        <v>142</v>
      </c>
      <c r="B30" s="4"/>
      <c r="C30" s="5">
        <f>SUMIFS(Holdings!$D:$D,Holdings!$A:$A,$A$28,Holdings!$B:$B,A30)</f>
        <v>0.15160360000000001</v>
      </c>
      <c r="D30" s="6">
        <f>IFERROR(IF(INDEX(Feed!$B:$B,$AG30)="","",INDEX(Feed!$B:$B,$AG30)),"")</f>
        <v>1169</v>
      </c>
      <c r="E30" s="6" t="str">
        <f>IFERROR(IF(INDEX(Feed!$C:$C,$AG30)="","",INDEX(Feed!$C:$C,$AG30)),"")</f>
        <v/>
      </c>
      <c r="F30" s="6" t="str">
        <f>IFERROR(IF(INDEX(Feed!$D:$D,$AG30)="","",INDEX(Feed!$D:$D,$AG30)),"")</f>
        <v/>
      </c>
      <c r="G30" s="7" t="str">
        <f>IFERROR(IF(INDEX(Feed!$E:$E,$AG30)="","",INDEX(Feed!$E:$E,$AG30)),"")</f>
        <v/>
      </c>
      <c r="H30" s="7" t="str">
        <f>IFERROR(IF(INDEX(Feed!$F:$F,$AG30)="","",INDEX(Feed!$F:$F,$AG30)),"")</f>
        <v/>
      </c>
      <c r="I30" s="8" t="str">
        <f>IF(AND(N(E30)&gt;0,N(F30)&gt;0),(F30-E30)/((F30+E30)/2)*10000,"")</f>
        <v/>
      </c>
      <c r="J30" s="9">
        <f>IF(N(D30)&gt;0,IFERROR(D30/INDEX(Feed!$G:$G,$AG30)-1,""),"")</f>
        <v>1.3938400423269437E-2</v>
      </c>
      <c r="K30" s="7">
        <f>IFERROR(IF(INDEX(Feed!$H:$H,$AG30)="","",INDEX(Feed!$H:$H,$AG30)),"")</f>
        <v>2480210</v>
      </c>
      <c r="L30" s="7" t="str">
        <f>IFERROR(IF(INDEX(Feed!$I:$I,$AG30)="","",INDEX(Feed!$I:$I,$AG30)),"")</f>
        <v/>
      </c>
      <c r="M30" s="10" t="str">
        <f>IF(AND(N(K30)&gt;0,N(L30)&gt;0),K30/L30,"")</f>
        <v/>
      </c>
      <c r="N30" s="11">
        <f>IFERROR(IF(INDEX(Feed!$L:$L,$AG30)="","",INDEX(Feed!$L:$L,$AG30)),"")</f>
        <v>2.1168383782813379E-2</v>
      </c>
      <c r="O30" s="12">
        <f>IF(AND(ISNUMBER(J30),N(N30)&gt;0),J30/N30,"")</f>
        <v>0.65845369047900726</v>
      </c>
      <c r="P30" s="13">
        <f>IF(ISNUMBER(O30),IF(SessionLeft&lt;=0,--(ABS(O30)&gt;1),_xlfn.NORM.S.DIST((-1-O30)/SQRT(SessionLeft),TRUE)+1-_xlfn.NORM.S.DIST((1-O30)/SQRT(SessionLeft),TRUE)),"")</f>
        <v>0</v>
      </c>
      <c r="Q30" s="13">
        <f>IF(ISNUMBER(O30),IF(SessionLeft&lt;=0,--(ABS(O30)&gt;2),_xlfn.NORM.S.DIST((-2-O30)/SQRT(SessionLeft),TRUE)+1-_xlfn.NORM.S.DIST((2-O30)/SQRT(SessionLeft),TRUE)),"")</f>
        <v>0</v>
      </c>
      <c r="R30" s="13">
        <f>IF(ISNUMBER(O30),IF(SessionLeft&lt;=0,--(ABS(O30)&gt;3),_xlfn.NORM.S.DIST((-3-O30)/SQRT(SessionLeft),TRUE)+1-_xlfn.NORM.S.DIST((3-O30)/SQRT(SessionLeft),TRUE)),"")</f>
        <v>0</v>
      </c>
      <c r="S30" s="6"/>
      <c r="T30" s="8"/>
      <c r="U30" s="9"/>
      <c r="V30" s="14"/>
      <c r="W30" s="8"/>
      <c r="X30" s="8"/>
      <c r="Y30" s="8"/>
      <c r="Z30" s="12"/>
      <c r="AA30" s="11"/>
      <c r="AB30" s="15">
        <f>IFERROR(IF(INDEX(Feed!$M:$M,$AG30)="","",INDEX(Feed!$M:$M,$AG30)),"")</f>
        <v>46287.671412037038</v>
      </c>
      <c r="AD30" t="s">
        <v>142</v>
      </c>
      <c r="AE30" t="s">
        <v>1255</v>
      </c>
      <c r="AF30" t="s">
        <v>37</v>
      </c>
      <c r="AG30">
        <f>IFERROR(MATCH($AD30,Feed!$A:$A,0),"")</f>
        <v>313</v>
      </c>
    </row>
    <row r="31" spans="1:33" x14ac:dyDescent="0.15">
      <c r="A31" s="4" t="s">
        <v>148</v>
      </c>
      <c r="B31" s="4"/>
      <c r="C31" s="5">
        <f>SUMIFS(Holdings!$D:$D,Holdings!$A:$A,$A$28,Holdings!$B:$B,A31)</f>
        <v>0.10504005</v>
      </c>
      <c r="D31" s="6">
        <f>IFERROR(IF(INDEX(Feed!$B:$B,$AG31)="","",INDEX(Feed!$B:$B,$AG31)),"")</f>
        <v>269.19</v>
      </c>
      <c r="E31" s="6" t="str">
        <f>IFERROR(IF(INDEX(Feed!$C:$C,$AG31)="","",INDEX(Feed!$C:$C,$AG31)),"")</f>
        <v/>
      </c>
      <c r="F31" s="6" t="str">
        <f>IFERROR(IF(INDEX(Feed!$D:$D,$AG31)="","",INDEX(Feed!$D:$D,$AG31)),"")</f>
        <v/>
      </c>
      <c r="G31" s="7" t="str">
        <f>IFERROR(IF(INDEX(Feed!$E:$E,$AG31)="","",INDEX(Feed!$E:$E,$AG31)),"")</f>
        <v/>
      </c>
      <c r="H31" s="7" t="str">
        <f>IFERROR(IF(INDEX(Feed!$F:$F,$AG31)="","",INDEX(Feed!$F:$F,$AG31)),"")</f>
        <v/>
      </c>
      <c r="I31" s="8" t="str">
        <f>IF(AND(N(E31)&gt;0,N(F31)&gt;0),(F31-E31)/((F31+E31)/2)*10000,"")</f>
        <v/>
      </c>
      <c r="J31" s="9">
        <f>IF(N(D31)&gt;0,IFERROR(D31/INDEX(Feed!$G:$G,$AG31)-1,""),"")</f>
        <v>-2.9630727063966189E-3</v>
      </c>
      <c r="K31" s="7">
        <f>IFERROR(IF(INDEX(Feed!$H:$H,$AG31)="","",INDEX(Feed!$H:$H,$AG31)),"")</f>
        <v>4487741</v>
      </c>
      <c r="L31" s="7" t="str">
        <f>IFERROR(IF(INDEX(Feed!$I:$I,$AG31)="","",INDEX(Feed!$I:$I,$AG31)),"")</f>
        <v/>
      </c>
      <c r="M31" s="10" t="str">
        <f>IF(AND(N(K31)&gt;0,N(L31)&gt;0),K31/L31,"")</f>
        <v/>
      </c>
      <c r="N31" s="11">
        <f>IFERROR(IF(INDEX(Feed!$L:$L,$AG31)="","",INDEX(Feed!$L:$L,$AG31)),"")</f>
        <v>1.5061651698494745E-2</v>
      </c>
      <c r="O31" s="12">
        <f>IF(AND(ISNUMBER(J31),N(N31)&gt;0),J31/N31,"")</f>
        <v>-0.19672959949623234</v>
      </c>
      <c r="P31" s="13">
        <f>IF(ISNUMBER(O31),IF(SessionLeft&lt;=0,--(ABS(O31)&gt;1),_xlfn.NORM.S.DIST((-1-O31)/SQRT(SessionLeft),TRUE)+1-_xlfn.NORM.S.DIST((1-O31)/SQRT(SessionLeft),TRUE)),"")</f>
        <v>0</v>
      </c>
      <c r="Q31" s="13">
        <f>IF(ISNUMBER(O31),IF(SessionLeft&lt;=0,--(ABS(O31)&gt;2),_xlfn.NORM.S.DIST((-2-O31)/SQRT(SessionLeft),TRUE)+1-_xlfn.NORM.S.DIST((2-O31)/SQRT(SessionLeft),TRUE)),"")</f>
        <v>0</v>
      </c>
      <c r="R31" s="13">
        <f>IF(ISNUMBER(O31),IF(SessionLeft&lt;=0,--(ABS(O31)&gt;3),_xlfn.NORM.S.DIST((-3-O31)/SQRT(SessionLeft),TRUE)+1-_xlfn.NORM.S.DIST((3-O31)/SQRT(SessionLeft),TRUE)),"")</f>
        <v>0</v>
      </c>
      <c r="S31" s="6"/>
      <c r="T31" s="8"/>
      <c r="U31" s="9"/>
      <c r="V31" s="14"/>
      <c r="W31" s="8"/>
      <c r="X31" s="8"/>
      <c r="Y31" s="8"/>
      <c r="Z31" s="12"/>
      <c r="AA31" s="11"/>
      <c r="AB31" s="15">
        <f>IFERROR(IF(INDEX(Feed!$M:$M,$AG31)="","",INDEX(Feed!$M:$M,$AG31)),"")</f>
        <v>46287.671423611115</v>
      </c>
      <c r="AD31" t="s">
        <v>148</v>
      </c>
      <c r="AE31" t="s">
        <v>1255</v>
      </c>
      <c r="AF31" t="s">
        <v>37</v>
      </c>
      <c r="AG31">
        <f>IFERROR(MATCH($AD31,Feed!$A:$A,0),"")</f>
        <v>290</v>
      </c>
    </row>
    <row r="32" spans="1:33" x14ac:dyDescent="0.15">
      <c r="A32" s="4" t="s">
        <v>156</v>
      </c>
      <c r="B32" s="4"/>
      <c r="C32" s="5">
        <f>SUMIFS(Holdings!$D:$D,Holdings!$A:$A,$A$28,Holdings!$B:$B,A32)</f>
        <v>7.5884560000000004E-2</v>
      </c>
      <c r="D32" s="6">
        <f>IFERROR(IF(INDEX(Feed!$B:$B,$AG32)="","",INDEX(Feed!$B:$B,$AG32)),"")</f>
        <v>265.20999999999998</v>
      </c>
      <c r="E32" s="6" t="str">
        <f>IFERROR(IF(INDEX(Feed!$C:$C,$AG32)="","",INDEX(Feed!$C:$C,$AG32)),"")</f>
        <v/>
      </c>
      <c r="F32" s="6" t="str">
        <f>IFERROR(IF(INDEX(Feed!$D:$D,$AG32)="","",INDEX(Feed!$D:$D,$AG32)),"")</f>
        <v/>
      </c>
      <c r="G32" s="7" t="str">
        <f>IFERROR(IF(INDEX(Feed!$E:$E,$AG32)="","",INDEX(Feed!$E:$E,$AG32)),"")</f>
        <v/>
      </c>
      <c r="H32" s="7" t="str">
        <f>IFERROR(IF(INDEX(Feed!$F:$F,$AG32)="","",INDEX(Feed!$F:$F,$AG32)),"")</f>
        <v/>
      </c>
      <c r="I32" s="8" t="str">
        <f>IF(AND(N(E32)&gt;0,N(F32)&gt;0),(F32-E32)/((F32+E32)/2)*10000,"")</f>
        <v/>
      </c>
      <c r="J32" s="9">
        <f>IF(N(D32)&gt;0,IFERROR(D32/INDEX(Feed!$G:$G,$AG32)-1,""),"")</f>
        <v>4.7355659948478124E-3</v>
      </c>
      <c r="K32" s="7">
        <f>IFERROR(IF(INDEX(Feed!$H:$H,$AG32)="","",INDEX(Feed!$H:$H,$AG32)),"")</f>
        <v>3438160</v>
      </c>
      <c r="L32" s="7" t="str">
        <f>IFERROR(IF(INDEX(Feed!$I:$I,$AG32)="","",INDEX(Feed!$I:$I,$AG32)),"")</f>
        <v/>
      </c>
      <c r="M32" s="10" t="str">
        <f>IF(AND(N(K32)&gt;0,N(L32)&gt;0),K32/L32,"")</f>
        <v/>
      </c>
      <c r="N32" s="11">
        <f>IFERROR(IF(INDEX(Feed!$L:$L,$AG32)="","",INDEX(Feed!$L:$L,$AG32)),"")</f>
        <v>1.5757902673756798E-2</v>
      </c>
      <c r="O32" s="12">
        <f>IF(AND(ISNUMBER(J32),N(N32)&gt;0),J32/N32,"")</f>
        <v>0.30052006874838877</v>
      </c>
      <c r="P32" s="13">
        <f>IF(ISNUMBER(O32),IF(SessionLeft&lt;=0,--(ABS(O32)&gt;1),_xlfn.NORM.S.DIST((-1-O32)/SQRT(SessionLeft),TRUE)+1-_xlfn.NORM.S.DIST((1-O32)/SQRT(SessionLeft),TRUE)),"")</f>
        <v>0</v>
      </c>
      <c r="Q32" s="13">
        <f>IF(ISNUMBER(O32),IF(SessionLeft&lt;=0,--(ABS(O32)&gt;2),_xlfn.NORM.S.DIST((-2-O32)/SQRT(SessionLeft),TRUE)+1-_xlfn.NORM.S.DIST((2-O32)/SQRT(SessionLeft),TRUE)),"")</f>
        <v>0</v>
      </c>
      <c r="R32" s="13">
        <f>IF(ISNUMBER(O32),IF(SessionLeft&lt;=0,--(ABS(O32)&gt;3),_xlfn.NORM.S.DIST((-3-O32)/SQRT(SessionLeft),TRUE)+1-_xlfn.NORM.S.DIST((3-O32)/SQRT(SessionLeft),TRUE)),"")</f>
        <v>0</v>
      </c>
      <c r="S32" s="6"/>
      <c r="T32" s="8"/>
      <c r="U32" s="9"/>
      <c r="V32" s="14"/>
      <c r="W32" s="8"/>
      <c r="X32" s="8"/>
      <c r="Y32" s="8"/>
      <c r="Z32" s="12"/>
      <c r="AA32" s="11"/>
      <c r="AB32" s="15">
        <f>IFERROR(IF(INDEX(Feed!$M:$M,$AG32)="","",INDEX(Feed!$M:$M,$AG32)),"")</f>
        <v>46287.671377314815</v>
      </c>
      <c r="AD32" t="s">
        <v>156</v>
      </c>
      <c r="AE32" t="s">
        <v>1255</v>
      </c>
      <c r="AF32" t="s">
        <v>37</v>
      </c>
      <c r="AG32">
        <f>IFERROR(MATCH($AD32,Feed!$A:$A,0),"")</f>
        <v>21</v>
      </c>
    </row>
    <row r="33" spans="1:33" x14ac:dyDescent="0.15">
      <c r="A33" s="4" t="s">
        <v>53</v>
      </c>
      <c r="B33" s="4" t="str">
        <f ca="1">IF(NOT(ISNUMBER(V33)),"",IF((NOW()-N(AB33))*1440&gt;StaleMin,"STALE",IF(AND($AF33="EQUITY",ABS(N(T33))&gt;ExDivFlag),"EX-DIV?",IF(X33&gt;IF($AF33="FI",EdgeFI,EdgeEq),"SELL ETF / BUY "&amp;UPPER($A$34),IF(Y33&gt;IF($AF33="FI",EdgeFI,EdgeEq),"BUY ETF / SELL "&amp;UPPER($A$34),"")))))</f>
        <v>STALE</v>
      </c>
      <c r="C33" s="5">
        <f>IFERROR(IF(INDEX(Feed!$N:$N,$AG33)="","",INDEX(Feed!$N:$N,$AG33)),"")</f>
        <v>0.99819867429314268</v>
      </c>
      <c r="D33" s="6">
        <f>IFERROR(IF(INDEX(Feed!$B:$B,$AG33)="","",INDEX(Feed!$B:$B,$AG33)),"")</f>
        <v>285.49209999999999</v>
      </c>
      <c r="E33" s="6" t="str">
        <f>IFERROR(IF(INDEX(Feed!$C:$C,$AG33)="","",INDEX(Feed!$C:$C,$AG33)),"")</f>
        <v/>
      </c>
      <c r="F33" s="6" t="str">
        <f>IFERROR(IF(INDEX(Feed!$D:$D,$AG33)="","",INDEX(Feed!$D:$D,$AG33)),"")</f>
        <v/>
      </c>
      <c r="G33" s="7" t="str">
        <f>IFERROR(IF(INDEX(Feed!$E:$E,$AG33)="","",INDEX(Feed!$E:$E,$AG33)),"")</f>
        <v/>
      </c>
      <c r="H33" s="7" t="str">
        <f>IFERROR(IF(INDEX(Feed!$F:$F,$AG33)="","",INDEX(Feed!$F:$F,$AG33)),"")</f>
        <v/>
      </c>
      <c r="I33" s="8" t="str">
        <f>IF(AND(N(E33)&gt;0,N(F33)&gt;0),(F33-E33)/((F33+E33)/2)*10000,"")</f>
        <v/>
      </c>
      <c r="J33" s="9">
        <f>IF(N(D33)&gt;0,IFERROR(D33/INDEX(Feed!$G:$G,$AG33)-1,""),"")</f>
        <v>4.900035198873498E-3</v>
      </c>
      <c r="K33" s="7">
        <f>IFERROR(IF(INDEX(Feed!$H:$H,$AG33)="","",INDEX(Feed!$H:$H,$AG33)),"")</f>
        <v>18968224</v>
      </c>
      <c r="L33" s="7" t="str">
        <f>IFERROR(IF(INDEX(Feed!$I:$I,$AG33)="","",INDEX(Feed!$I:$I,$AG33)),"")</f>
        <v/>
      </c>
      <c r="M33" s="10" t="str">
        <f>IF(AND(N(K33)&gt;0,N(L33)&gt;0),K33/L33,"")</f>
        <v/>
      </c>
      <c r="N33" s="11">
        <f>IFERROR(IF(INDEX(Feed!$L:$L,$AG33)="","",INDEX(Feed!$L:$L,$AG33)),"")</f>
        <v>8.1275090172931667E-3</v>
      </c>
      <c r="O33" s="12">
        <f>IF(AND(ISNUMBER(J33),N(N33)&gt;0),J33/N33,"")</f>
        <v>0.60289507996208103</v>
      </c>
      <c r="P33" s="13">
        <f>IF(ISNUMBER(O33),IF(SessionLeft&lt;=0,--(ABS(O33)&gt;1),_xlfn.NORM.S.DIST((-1-O33)/SQRT(SessionLeft),TRUE)+1-_xlfn.NORM.S.DIST((1-O33)/SQRT(SessionLeft),TRUE)),"")</f>
        <v>0</v>
      </c>
      <c r="Q33" s="13">
        <f>IF(ISNUMBER(O33),IF(SessionLeft&lt;=0,--(ABS(O33)&gt;2),_xlfn.NORM.S.DIST((-2-O33)/SQRT(SessionLeft),TRUE)+1-_xlfn.NORM.S.DIST((2-O33)/SQRT(SessionLeft),TRUE)),"")</f>
        <v>0</v>
      </c>
      <c r="R33" s="13">
        <f>IF(ISNUMBER(O33),IF(SessionLeft&lt;=0,--(ABS(O33)&gt;3),_xlfn.NORM.S.DIST((-3-O33)/SQRT(SessionLeft),TRUE)+1-_xlfn.NORM.S.DIST((3-O33)/SQRT(SessionLeft),TRUE)),"")</f>
        <v>0</v>
      </c>
      <c r="S33" s="6">
        <f>IFERROR(IF(INDEX(Feed!$J:$J,$AG33)="","",INDEX(Feed!$J:$J,$AG33)),"")</f>
        <v>283.99689999999998</v>
      </c>
      <c r="T33" s="8">
        <f>IFERROR(IF(N(S33)&gt;0,(INDEX(Feed!$G:$G,$AG33)/S33-1)*10000,""),"")</f>
        <v>3.6303213168897841</v>
      </c>
      <c r="U33" s="9">
        <f>IFERROR(C33*$J$34,"")</f>
        <v>5.6921830791058859E-3</v>
      </c>
      <c r="V33" s="14">
        <f>IF(ISNUMBER(U33),IF(AND(Anchor="NAV",N(S33)&gt;0),S33,INDEX(Feed!$G:$G,$AG33))*(1+U33),"")</f>
        <v>285.71714921277402</v>
      </c>
      <c r="W33" s="8">
        <f>IF(ISNUMBER(V33),(IF(AND(N(E33)&gt;0,N(F33)&gt;0),(E33+F33)/2,D33)/V33-1)*10000,"")</f>
        <v>-7.8766435054422601</v>
      </c>
      <c r="X33" s="8">
        <f>IF(ISNUMBER(V33),(IF(N(E33)&gt;0,E33,D33)/V33-1)*10000-IF($AF33="FI",CostFI,CostEq),"")</f>
        <v>-10.87664350544226</v>
      </c>
      <c r="Y33" s="8">
        <f>IF(ISNUMBER(V33),(1-IF(N(F33)&gt;0,F33,D33)/V33)*10000-IF($AF33="FI",CostFI,CostEq),"")</f>
        <v>4.8766435054422601</v>
      </c>
      <c r="Z33" s="12">
        <f>IFERROR((J33-U33-INDEX(Feed!$O:$O,$AG33))/INDEX(Feed!$P:$P,$AG33),"")</f>
        <v>-0.57140361355352787</v>
      </c>
      <c r="AA33" s="11">
        <f>IFERROR(IF(INDEX(Feed!$K:$K,$AG33)="","",INDEX(Feed!$K:$K,$AG33)),"")</f>
        <v>8.9999999999999993E-3</v>
      </c>
      <c r="AB33" s="15">
        <f>IFERROR(IF(INDEX(Feed!$M:$M,$AG33)="","",INDEX(Feed!$M:$M,$AG33)),"")</f>
        <v>46287.672222222223</v>
      </c>
      <c r="AD33" t="s">
        <v>53</v>
      </c>
      <c r="AE33" t="s">
        <v>28</v>
      </c>
      <c r="AF33" t="s">
        <v>37</v>
      </c>
      <c r="AG33">
        <f>IFERROR(MATCH($AD33,Feed!$A:$A,0),"")</f>
        <v>8</v>
      </c>
    </row>
    <row r="34" spans="1:33" x14ac:dyDescent="0.15">
      <c r="A34" s="4" t="s">
        <v>55</v>
      </c>
      <c r="B34" s="4"/>
      <c r="C34" s="5"/>
      <c r="D34" s="6">
        <f>IFERROR(IF(INDEX(Feed!$B:$B,$AG34)="","",INDEX(Feed!$B:$B,$AG34)),"")</f>
        <v>116.4</v>
      </c>
      <c r="E34" s="6">
        <f>IFERROR(IF(INDEX(Feed!$C:$C,$AG34)="","",INDEX(Feed!$C:$C,$AG34)),"")</f>
        <v>116.35</v>
      </c>
      <c r="F34" s="6">
        <f>IFERROR(IF(INDEX(Feed!$D:$D,$AG34)="","",INDEX(Feed!$D:$D,$AG34)),"")</f>
        <v>116.38</v>
      </c>
      <c r="G34" s="7">
        <f>IFERROR(IF(INDEX(Feed!$E:$E,$AG34)="","",INDEX(Feed!$E:$E,$AG34)),"")</f>
        <v>1300</v>
      </c>
      <c r="H34" s="7">
        <f>IFERROR(IF(INDEX(Feed!$F:$F,$AG34)="","",INDEX(Feed!$F:$F,$AG34)),"")</f>
        <v>1300</v>
      </c>
      <c r="I34" s="8">
        <f>IF(AND(N(E34)&gt;0,N(F34)&gt;0),(F34-E34)/((F34+E34)/2)*10000,"")</f>
        <v>2.5780947879518017</v>
      </c>
      <c r="J34" s="9">
        <f>IF(N(D34)&gt;0,IFERROR(D34/INDEX(Feed!$G:$G,$AG34)-1,""),"")</f>
        <v>5.7024550579940492E-3</v>
      </c>
      <c r="K34" s="7" t="str">
        <f>IFERROR(IF(INDEX(Feed!$H:$H,$AG34)="","",INDEX(Feed!$H:$H,$AG34)),"")</f>
        <v/>
      </c>
      <c r="L34" s="7" t="str">
        <f>IFERROR(IF(INDEX(Feed!$I:$I,$AG34)="","",INDEX(Feed!$I:$I,$AG34)),"")</f>
        <v/>
      </c>
      <c r="M34" s="10" t="str">
        <f>IF(AND(N(K34)&gt;0,N(L34)&gt;0),K34/L34,"")</f>
        <v/>
      </c>
      <c r="N34" s="11">
        <f>IFERROR(IF(INDEX(Feed!$L:$L,$AG34)="","",INDEX(Feed!$L:$L,$AG34)),"")</f>
        <v>8.0839738382777176E-3</v>
      </c>
      <c r="O34" s="12">
        <f>IF(AND(ISNUMBER(J34),N(N34)&gt;0),J34/N34,"")</f>
        <v>0.7054024632035365</v>
      </c>
      <c r="P34" s="13">
        <f>IF(ISNUMBER(O34),IF(SessionLeft&lt;=0,--(ABS(O34)&gt;1),_xlfn.NORM.S.DIST((-1-O34)/SQRT(SessionLeft),TRUE)+1-_xlfn.NORM.S.DIST((1-O34)/SQRT(SessionLeft),TRUE)),"")</f>
        <v>0</v>
      </c>
      <c r="Q34" s="13">
        <f>IF(ISNUMBER(O34),IF(SessionLeft&lt;=0,--(ABS(O34)&gt;2),_xlfn.NORM.S.DIST((-2-O34)/SQRT(SessionLeft),TRUE)+1-_xlfn.NORM.S.DIST((2-O34)/SQRT(SessionLeft),TRUE)),"")</f>
        <v>0</v>
      </c>
      <c r="R34" s="13">
        <f>IF(ISNUMBER(O34),IF(SessionLeft&lt;=0,--(ABS(O34)&gt;3),_xlfn.NORM.S.DIST((-3-O34)/SQRT(SessionLeft),TRUE)+1-_xlfn.NORM.S.DIST((3-O34)/SQRT(SessionLeft),TRUE)),"")</f>
        <v>0</v>
      </c>
      <c r="S34" s="6"/>
      <c r="T34" s="8"/>
      <c r="U34" s="9"/>
      <c r="V34" s="14"/>
      <c r="W34" s="8"/>
      <c r="X34" s="8"/>
      <c r="Y34" s="8"/>
      <c r="Z34" s="12"/>
      <c r="AA34" s="11"/>
      <c r="AB34" s="15">
        <f>IFERROR(IF(INDEX(Feed!$M:$M,$AG34)="","",INDEX(Feed!$M:$M,$AG34)),"")</f>
        <v>46287.683333333334</v>
      </c>
      <c r="AD34" t="s">
        <v>55</v>
      </c>
      <c r="AE34" t="s">
        <v>31</v>
      </c>
      <c r="AF34" t="s">
        <v>37</v>
      </c>
      <c r="AG34">
        <f>IFERROR(MATCH($AD34,Feed!$A:$A,0),"")</f>
        <v>532</v>
      </c>
    </row>
    <row r="35" spans="1:33" x14ac:dyDescent="0.15">
      <c r="A35" s="4" t="s">
        <v>56</v>
      </c>
      <c r="B35" s="4" t="str">
        <f ca="1">IF(NOT(ISNUMBER(V35)),"",IF((NOW()-N(AB35))*1440&gt;StaleMin,"STALE",IF(AND($AF35="EQUITY",ABS(N(T35))&gt;ExDivFlag),"EX-DIV?",IF(X35&gt;IF($AF35="FI",EdgeFI,EdgeEq),"SELL ETF / BUY "&amp;UPPER($A$36),IF(Y35&gt;IF($AF35="FI",EdgeFI,EdgeEq),"BUY ETF / SELL "&amp;UPPER($A$36),"")))))</f>
        <v/>
      </c>
      <c r="C35" s="5">
        <f>IFERROR(IF(INDEX(Feed!$N:$N,$AG35)="","",INDEX(Feed!$N:$N,$AG35)),"")</f>
        <v>2</v>
      </c>
      <c r="D35" s="6">
        <f>IFERROR(IF(INDEX(Feed!$B:$B,$AG35)="","",INDEX(Feed!$B:$B,$AG35)),"")</f>
        <v>46.14</v>
      </c>
      <c r="E35" s="6" t="str">
        <f>IFERROR(IF(INDEX(Feed!$C:$C,$AG35)="","",INDEX(Feed!$C:$C,$AG35)),"")</f>
        <v/>
      </c>
      <c r="F35" s="6" t="str">
        <f>IFERROR(IF(INDEX(Feed!$D:$D,$AG35)="","",INDEX(Feed!$D:$D,$AG35)),"")</f>
        <v/>
      </c>
      <c r="G35" s="7" t="str">
        <f>IFERROR(IF(INDEX(Feed!$E:$E,$AG35)="","",INDEX(Feed!$E:$E,$AG35)),"")</f>
        <v/>
      </c>
      <c r="H35" s="7" t="str">
        <f>IFERROR(IF(INDEX(Feed!$F:$F,$AG35)="","",INDEX(Feed!$F:$F,$AG35)),"")</f>
        <v/>
      </c>
      <c r="I35" s="8" t="str">
        <f>IF(AND(N(E35)&gt;0,N(F35)&gt;0),(F35-E35)/((F35+E35)/2)*10000,"")</f>
        <v/>
      </c>
      <c r="J35" s="9">
        <f>IF(N(D35)&gt;0,IFERROR(D35/INDEX(Feed!$G:$G,$AG35)-1,""),"")</f>
        <v>1.9218025182239806E-2</v>
      </c>
      <c r="K35" s="7">
        <f>IFERROR(IF(INDEX(Feed!$H:$H,$AG35)="","",INDEX(Feed!$H:$H,$AG35)),"")</f>
        <v>706522</v>
      </c>
      <c r="L35" s="7" t="str">
        <f>IFERROR(IF(INDEX(Feed!$I:$I,$AG35)="","",INDEX(Feed!$I:$I,$AG35)),"")</f>
        <v/>
      </c>
      <c r="M35" s="10" t="str">
        <f>IF(AND(N(K35)&gt;0,N(L35)&gt;0),K35/L35,"")</f>
        <v/>
      </c>
      <c r="N35" s="11">
        <f>IFERROR(IF(INDEX(Feed!$L:$L,$AG35)="","",INDEX(Feed!$L:$L,$AG35)),"")</f>
        <v>3.6577395213630494E-2</v>
      </c>
      <c r="O35" s="12">
        <f>IF(AND(ISNUMBER(J35),N(N35)&gt;0),J35/N35,"")</f>
        <v>0.52540715570359275</v>
      </c>
      <c r="P35" s="13">
        <f>IF(ISNUMBER(O35),IF(SessionLeft&lt;=0,--(ABS(O35)&gt;1),_xlfn.NORM.S.DIST((-1-O35)/SQRT(SessionLeft),TRUE)+1-_xlfn.NORM.S.DIST((1-O35)/SQRT(SessionLeft),TRUE)),"")</f>
        <v>0</v>
      </c>
      <c r="Q35" s="13">
        <f>IF(ISNUMBER(O35),IF(SessionLeft&lt;=0,--(ABS(O35)&gt;2),_xlfn.NORM.S.DIST((-2-O35)/SQRT(SessionLeft),TRUE)+1-_xlfn.NORM.S.DIST((2-O35)/SQRT(SessionLeft),TRUE)),"")</f>
        <v>0</v>
      </c>
      <c r="R35" s="13">
        <f>IF(ISNUMBER(O35),IF(SessionLeft&lt;=0,--(ABS(O35)&gt;3),_xlfn.NORM.S.DIST((-3-O35)/SQRT(SessionLeft),TRUE)+1-_xlfn.NORM.S.DIST((3-O35)/SQRT(SessionLeft),TRUE)),"")</f>
        <v>0</v>
      </c>
      <c r="S35" s="6">
        <f>IFERROR(IF(INDEX(Feed!$J:$J,$AG35)="","",INDEX(Feed!$J:$J,$AG35)),"")</f>
        <v>45.386000000000003</v>
      </c>
      <c r="T35" s="8">
        <f>IFERROR(IF(N(S35)&gt;0,(INDEX(Feed!$G:$G,$AG35)/S35-1)*10000,""),"")</f>
        <v>-25.558542281760577</v>
      </c>
      <c r="U35" s="9" t="str">
        <f>IFERROR(C35*$J$36,"")</f>
        <v/>
      </c>
      <c r="V35" s="14" t="str">
        <f>IF(ISNUMBER(U35),IF(AND(Anchor="NAV",N(S35)&gt;0),S35,INDEX(Feed!$G:$G,$AG35))*(1+U35),"")</f>
        <v/>
      </c>
      <c r="W35" s="8" t="str">
        <f>IF(ISNUMBER(V35),(IF(AND(N(E35)&gt;0,N(F35)&gt;0),(E35+F35)/2,D35)/V35-1)*10000,"")</f>
        <v/>
      </c>
      <c r="X35" s="8" t="str">
        <f>IF(ISNUMBER(V35),(IF(N(E35)&gt;0,E35,D35)/V35-1)*10000-IF($AF35="FI",CostFI,CostEq),"")</f>
        <v/>
      </c>
      <c r="Y35" s="8" t="str">
        <f>IF(ISNUMBER(V35),(1-IF(N(F35)&gt;0,F35,D35)/V35)*10000-IF($AF35="FI",CostFI,CostEq),"")</f>
        <v/>
      </c>
      <c r="Z35" s="12" t="str">
        <f>IFERROR((J35-U35-INDEX(Feed!$O:$O,$AG35))/INDEX(Feed!$P:$P,$AG35),"")</f>
        <v/>
      </c>
      <c r="AA35" s="11">
        <f>IFERROR(IF(INDEX(Feed!$K:$K,$AG35)="","",INDEX(Feed!$K:$K,$AG35)),"")</f>
        <v>1.8599999999999998E-2</v>
      </c>
      <c r="AB35" s="15">
        <f>IFERROR(IF(INDEX(Feed!$M:$M,$AG35)="","",INDEX(Feed!$M:$M,$AG35)),"")</f>
        <v>46287.671377314815</v>
      </c>
      <c r="AD35" t="s">
        <v>56</v>
      </c>
      <c r="AE35" t="s">
        <v>28</v>
      </c>
      <c r="AF35" t="s">
        <v>37</v>
      </c>
      <c r="AG35">
        <f>IFERROR(MATCH($AD35,Feed!$A:$A,0),"")</f>
        <v>9</v>
      </c>
    </row>
    <row r="36" spans="1:33" x14ac:dyDescent="0.15">
      <c r="A36" s="4" t="s">
        <v>57</v>
      </c>
      <c r="B36" s="4"/>
      <c r="C36" s="5"/>
      <c r="D36" s="6" t="str">
        <f>IFERROR(IF(INDEX(Feed!$B:$B,$AG36)="","",INDEX(Feed!$B:$B,$AG36)),"")</f>
        <v/>
      </c>
      <c r="E36" s="6" t="str">
        <f>IFERROR(IF(INDEX(Feed!$C:$C,$AG36)="","",INDEX(Feed!$C:$C,$AG36)),"")</f>
        <v/>
      </c>
      <c r="F36" s="6" t="str">
        <f>IFERROR(IF(INDEX(Feed!$D:$D,$AG36)="","",INDEX(Feed!$D:$D,$AG36)),"")</f>
        <v/>
      </c>
      <c r="G36" s="7" t="str">
        <f>IFERROR(IF(INDEX(Feed!$E:$E,$AG36)="","",INDEX(Feed!$E:$E,$AG36)),"")</f>
        <v/>
      </c>
      <c r="H36" s="7" t="str">
        <f>IFERROR(IF(INDEX(Feed!$F:$F,$AG36)="","",INDEX(Feed!$F:$F,$AG36)),"")</f>
        <v/>
      </c>
      <c r="I36" s="8" t="str">
        <f>IF(AND(N(E36)&gt;0,N(F36)&gt;0),(F36-E36)/((F36+E36)/2)*10000,"")</f>
        <v/>
      </c>
      <c r="J36" s="9" t="str">
        <f>IF(N(D36)&gt;0,IFERROR(D36/INDEX(Feed!$G:$G,$AG36)-1,""),"")</f>
        <v/>
      </c>
      <c r="K36" s="7" t="str">
        <f>IFERROR(IF(INDEX(Feed!$H:$H,$AG36)="","",INDEX(Feed!$H:$H,$AG36)),"")</f>
        <v/>
      </c>
      <c r="L36" s="7" t="str">
        <f>IFERROR(IF(INDEX(Feed!$I:$I,$AG36)="","",INDEX(Feed!$I:$I,$AG36)),"")</f>
        <v/>
      </c>
      <c r="M36" s="10" t="str">
        <f>IF(AND(N(K36)&gt;0,N(L36)&gt;0),K36/L36,"")</f>
        <v/>
      </c>
      <c r="N36" s="11">
        <f>IFERROR(IF(INDEX(Feed!$L:$L,$AG36)="","",INDEX(Feed!$L:$L,$AG36)),"")</f>
        <v>1.8439339103154519E-2</v>
      </c>
      <c r="O36" s="12" t="str">
        <f>IF(AND(ISNUMBER(J36),N(N36)&gt;0),J36/N36,"")</f>
        <v/>
      </c>
      <c r="P36" s="13" t="str">
        <f>IF(ISNUMBER(O36),IF(SessionLeft&lt;=0,--(ABS(O36)&gt;1),_xlfn.NORM.S.DIST((-1-O36)/SQRT(SessionLeft),TRUE)+1-_xlfn.NORM.S.DIST((1-O36)/SQRT(SessionLeft),TRUE)),"")</f>
        <v/>
      </c>
      <c r="Q36" s="13" t="str">
        <f>IF(ISNUMBER(O36),IF(SessionLeft&lt;=0,--(ABS(O36)&gt;2),_xlfn.NORM.S.DIST((-2-O36)/SQRT(SessionLeft),TRUE)+1-_xlfn.NORM.S.DIST((2-O36)/SQRT(SessionLeft),TRUE)),"")</f>
        <v/>
      </c>
      <c r="R36" s="13" t="str">
        <f>IF(ISNUMBER(O36),IF(SessionLeft&lt;=0,--(ABS(O36)&gt;3),_xlfn.NORM.S.DIST((-3-O36)/SQRT(SessionLeft),TRUE)+1-_xlfn.NORM.S.DIST((3-O36)/SQRT(SessionLeft),TRUE)),"")</f>
        <v/>
      </c>
      <c r="S36" s="6"/>
      <c r="T36" s="8"/>
      <c r="U36" s="9"/>
      <c r="V36" s="14"/>
      <c r="W36" s="8"/>
      <c r="X36" s="8"/>
      <c r="Y36" s="8"/>
      <c r="Z36" s="12"/>
      <c r="AA36" s="11"/>
      <c r="AB36" s="15" t="str">
        <f>IFERROR(IF(INDEX(Feed!$M:$M,$AG36)="","",INDEX(Feed!$M:$M,$AG36)),"")</f>
        <v/>
      </c>
      <c r="AD36" t="s">
        <v>57</v>
      </c>
      <c r="AE36" t="s">
        <v>31</v>
      </c>
      <c r="AF36" t="s">
        <v>37</v>
      </c>
      <c r="AG36">
        <f>IFERROR(MATCH($AD36,Feed!$A:$A,0),"")</f>
        <v>20</v>
      </c>
    </row>
    <row r="37" spans="1:33" x14ac:dyDescent="0.15">
      <c r="A37" s="4"/>
      <c r="B37" s="4"/>
      <c r="C37" s="5"/>
      <c r="D37" s="6"/>
      <c r="E37" s="6"/>
      <c r="F37" s="6"/>
      <c r="G37" s="7"/>
      <c r="H37" s="7"/>
      <c r="I37" s="8"/>
      <c r="J37" s="9"/>
      <c r="K37" s="7"/>
      <c r="L37" s="7"/>
      <c r="M37" s="10"/>
      <c r="N37" s="11"/>
      <c r="O37" s="12"/>
      <c r="P37" s="13"/>
      <c r="Q37" s="13"/>
      <c r="R37" s="13"/>
      <c r="S37" s="6"/>
      <c r="T37" s="8"/>
      <c r="U37" s="9"/>
      <c r="V37" s="14"/>
      <c r="W37" s="8"/>
      <c r="X37" s="8"/>
      <c r="Y37" s="8"/>
      <c r="Z37" s="12"/>
      <c r="AA37" s="11"/>
      <c r="AB37" s="15"/>
    </row>
    <row r="38" spans="1:33" x14ac:dyDescent="0.15">
      <c r="A38" s="4" t="s">
        <v>58</v>
      </c>
      <c r="B38" s="4" t="str">
        <f ca="1">IF(NOT(ISNUMBER(V38)),"",IF((NOW()-N(AB38))*1440&gt;StaleMin,"STALE",IF(AND($AF38="EQUITY",ABS(N(T38))&gt;ExDivFlag),"EX-DIV?",IF(X38&gt;IF($AF38="FI",EdgeFI,EdgeEq),"SELL ETF / BUY "&amp;UPPER($A$39),IF(Y38&gt;IF($AF38="FI",EdgeFI,EdgeEq),"BUY ETF / SELL "&amp;UPPER($A$39),"")))))</f>
        <v>STALE</v>
      </c>
      <c r="C38" s="5">
        <f>IFERROR(IF(INDEX(Feed!$N:$N,$AG38)="","",INDEX(Feed!$N:$N,$AG38)),"")</f>
        <v>1.0740028153889525</v>
      </c>
      <c r="D38" s="6">
        <f>IFERROR(IF(INDEX(Feed!$B:$B,$AG38)="","",INDEX(Feed!$B:$B,$AG38)),"")</f>
        <v>81.69</v>
      </c>
      <c r="E38" s="6">
        <f>IFERROR(IF(INDEX(Feed!$C:$C,$AG38)="","",INDEX(Feed!$C:$C,$AG38)),"")</f>
        <v>81.7</v>
      </c>
      <c r="F38" s="6">
        <f>IFERROR(IF(INDEX(Feed!$D:$D,$AG38)="","",INDEX(Feed!$D:$D,$AG38)),"")</f>
        <v>81.72</v>
      </c>
      <c r="G38" s="7">
        <f>IFERROR(IF(INDEX(Feed!$E:$E,$AG38)="","",INDEX(Feed!$E:$E,$AG38)),"")</f>
        <v>1600</v>
      </c>
      <c r="H38" s="7">
        <f>IFERROR(IF(INDEX(Feed!$F:$F,$AG38)="","",INDEX(Feed!$F:$F,$AG38)),"")</f>
        <v>1300</v>
      </c>
      <c r="I38" s="8">
        <f>IF(AND(N(E38)&gt;0,N(F38)&gt;0),(F38-E38)/((F38+E38)/2)*10000,"")</f>
        <v>2.4476808224202693</v>
      </c>
      <c r="J38" s="9">
        <f>IF(N(D38)&gt;0,IFERROR(D38/INDEX(Feed!$G:$G,$AG38)-1,""),"")</f>
        <v>5.4153846153845997E-3</v>
      </c>
      <c r="K38" s="7">
        <f>IFERROR(IF(INDEX(Feed!$H:$H,$AG38)="","",INDEX(Feed!$H:$H,$AG38)),"")</f>
        <v>26981681</v>
      </c>
      <c r="L38" s="7" t="str">
        <f>IFERROR(IF(INDEX(Feed!$I:$I,$AG38)="","",INDEX(Feed!$I:$I,$AG38)),"")</f>
        <v/>
      </c>
      <c r="M38" s="10" t="str">
        <f>IF(AND(N(K38)&gt;0,N(L38)&gt;0),K38/L38,"")</f>
        <v/>
      </c>
      <c r="N38" s="11">
        <f>IFERROR(IF(INDEX(Feed!$L:$L,$AG38)="","",INDEX(Feed!$L:$L,$AG38)),"")</f>
        <v>5.9716258893203105E-3</v>
      </c>
      <c r="O38" s="12">
        <f>IF(AND(ISNUMBER(J38),N(N38)&gt;0),J38/N38,"")</f>
        <v>0.906852625357778</v>
      </c>
      <c r="P38" s="13">
        <f>IF(ISNUMBER(O38),IF(SessionLeft&lt;=0,--(ABS(O38)&gt;1),_xlfn.NORM.S.DIST((-1-O38)/SQRT(SessionLeft),TRUE)+1-_xlfn.NORM.S.DIST((1-O38)/SQRT(SessionLeft),TRUE)),"")</f>
        <v>0</v>
      </c>
      <c r="Q38" s="13">
        <f>IF(ISNUMBER(O38),IF(SessionLeft&lt;=0,--(ABS(O38)&gt;2),_xlfn.NORM.S.DIST((-2-O38)/SQRT(SessionLeft),TRUE)+1-_xlfn.NORM.S.DIST((2-O38)/SQRT(SessionLeft),TRUE)),"")</f>
        <v>0</v>
      </c>
      <c r="R38" s="13">
        <f>IF(ISNUMBER(O38),IF(SessionLeft&lt;=0,--(ABS(O38)&gt;3),_xlfn.NORM.S.DIST((-3-O38)/SQRT(SessionLeft),TRUE)+1-_xlfn.NORM.S.DIST((3-O38)/SQRT(SessionLeft),TRUE)),"")</f>
        <v>0</v>
      </c>
      <c r="S38" s="6">
        <f>IFERROR(IF(INDEX(Feed!$J:$J,$AG38)="","",INDEX(Feed!$J:$J,$AG38)),"")</f>
        <v>81.155240000000006</v>
      </c>
      <c r="T38" s="8">
        <f>IFERROR(IF(N(S38)&gt;0,(INDEX(Feed!$G:$G,$AG38)/S38-1)*10000,""),"")</f>
        <v>11.676387131624999</v>
      </c>
      <c r="U38" s="9">
        <f>IFERROR(C38*$J$39,"")</f>
        <v>-2.0484666102802521E-4</v>
      </c>
      <c r="V38" s="14">
        <f>IF(ISNUMBER(U38),IF(AND(Anchor="NAV",N(S38)&gt;0),S38,INDEX(Feed!$G:$G,$AG38))*(1+U38),"")</f>
        <v>81.233356208791477</v>
      </c>
      <c r="W38" s="8">
        <f>IF(ISNUMBER(V38),(IF(AND(N(E38)&gt;0,N(F38)&gt;0),(E38+F38)/2,D38)/V38-1)*10000,"")</f>
        <v>58.67587078187686</v>
      </c>
      <c r="X38" s="8">
        <f>IF(ISNUMBER(V38),(IF(N(E38)&gt;0,E38,D38)/V38-1)*10000-IF($AF38="FI",CostFI,CostEq),"")</f>
        <v>49.444849380483554</v>
      </c>
      <c r="Y38" s="8">
        <f>IF(ISNUMBER(V38),(1-IF(N(F38)&gt;0,F38,D38)/V38)*10000-IF($AF38="FI",CostFI,CostEq),"")</f>
        <v>-67.906892183270173</v>
      </c>
      <c r="Z38" s="12">
        <f>IFERROR((J38-U38-INDEX(Feed!$O:$O,$AG38))/INDEX(Feed!$P:$P,$AG38),"")</f>
        <v>10.893027148091271</v>
      </c>
      <c r="AA38" s="11">
        <f>IFERROR(IF(INDEX(Feed!$K:$K,$AG38)="","",INDEX(Feed!$K:$K,$AG38)),"")</f>
        <v>4.7300000000000002E-2</v>
      </c>
      <c r="AB38" s="15">
        <f>IFERROR(IF(INDEX(Feed!$M:$M,$AG38)="","",INDEX(Feed!$M:$M,$AG38)),"")</f>
        <v>46287.67291666667</v>
      </c>
      <c r="AD38" t="s">
        <v>58</v>
      </c>
      <c r="AE38" t="s">
        <v>28</v>
      </c>
      <c r="AF38" t="s">
        <v>59</v>
      </c>
      <c r="AG38">
        <f>IFERROR(MATCH($AD38,Feed!$A:$A,0),"")</f>
        <v>10</v>
      </c>
    </row>
    <row r="39" spans="1:33" x14ac:dyDescent="0.15">
      <c r="A39" s="4" t="s">
        <v>60</v>
      </c>
      <c r="B39" s="4"/>
      <c r="C39" s="5"/>
      <c r="D39" s="6">
        <f>IFERROR(IF(INDEX(Feed!$B:$B,$AG39)="","",INDEX(Feed!$B:$B,$AG39)),"")</f>
        <v>52.41</v>
      </c>
      <c r="E39" s="6">
        <f>IFERROR(IF(INDEX(Feed!$C:$C,$AG39)="","",INDEX(Feed!$C:$C,$AG39)),"")</f>
        <v>52.4</v>
      </c>
      <c r="F39" s="6">
        <f>IFERROR(IF(INDEX(Feed!$D:$D,$AG39)="","",INDEX(Feed!$D:$D,$AG39)),"")</f>
        <v>52.42</v>
      </c>
      <c r="G39" s="7">
        <f>IFERROR(IF(INDEX(Feed!$E:$E,$AG39)="","",INDEX(Feed!$E:$E,$AG39)),"")</f>
        <v>5400</v>
      </c>
      <c r="H39" s="7">
        <f>IFERROR(IF(INDEX(Feed!$F:$F,$AG39)="","",INDEX(Feed!$F:$F,$AG39)),"")</f>
        <v>10300</v>
      </c>
      <c r="I39" s="8">
        <f>IF(AND(N(E39)&gt;0,N(F39)&gt;0),(F39-E39)/((F39+E39)/2)*10000,"")</f>
        <v>3.8160656363295415</v>
      </c>
      <c r="J39" s="9">
        <f>IF(N(D39)&gt;0,IFERROR(D39/INDEX(Feed!$G:$G,$AG39)-1,""),"")</f>
        <v>-1.9073195907204354E-4</v>
      </c>
      <c r="K39" s="7" t="str">
        <f>IFERROR(IF(INDEX(Feed!$H:$H,$AG39)="","",INDEX(Feed!$H:$H,$AG39)),"")</f>
        <v/>
      </c>
      <c r="L39" s="7" t="str">
        <f>IFERROR(IF(INDEX(Feed!$I:$I,$AG39)="","",INDEX(Feed!$I:$I,$AG39)),"")</f>
        <v/>
      </c>
      <c r="M39" s="10" t="str">
        <f>IF(AND(N(K39)&gt;0,N(L39)&gt;0),K39/L39,"")</f>
        <v/>
      </c>
      <c r="N39" s="11">
        <f>IFERROR(IF(INDEX(Feed!$L:$L,$AG39)="","",INDEX(Feed!$L:$L,$AG39)),"")</f>
        <v>5.5148539830318921E-3</v>
      </c>
      <c r="O39" s="12">
        <f>IF(AND(ISNUMBER(J39),N(N39)&gt;0),J39/N39,"")</f>
        <v>-3.4585133107583231E-2</v>
      </c>
      <c r="P39" s="13">
        <f>IF(ISNUMBER(O39),IF(SessionLeft&lt;=0,--(ABS(O39)&gt;1),_xlfn.NORM.S.DIST((-1-O39)/SQRT(SessionLeft),TRUE)+1-_xlfn.NORM.S.DIST((1-O39)/SQRT(SessionLeft),TRUE)),"")</f>
        <v>0</v>
      </c>
      <c r="Q39" s="13">
        <f>IF(ISNUMBER(O39),IF(SessionLeft&lt;=0,--(ABS(O39)&gt;2),_xlfn.NORM.S.DIST((-2-O39)/SQRT(SessionLeft),TRUE)+1-_xlfn.NORM.S.DIST((2-O39)/SQRT(SessionLeft),TRUE)),"")</f>
        <v>0</v>
      </c>
      <c r="R39" s="13">
        <f>IF(ISNUMBER(O39),IF(SessionLeft&lt;=0,--(ABS(O39)&gt;3),_xlfn.NORM.S.DIST((-3-O39)/SQRT(SessionLeft),TRUE)+1-_xlfn.NORM.S.DIST((3-O39)/SQRT(SessionLeft),TRUE)),"")</f>
        <v>0</v>
      </c>
      <c r="S39" s="6"/>
      <c r="T39" s="8"/>
      <c r="U39" s="9"/>
      <c r="V39" s="14"/>
      <c r="W39" s="8"/>
      <c r="X39" s="8"/>
      <c r="Y39" s="8"/>
      <c r="Z39" s="12"/>
      <c r="AA39" s="11"/>
      <c r="AB39" s="15">
        <f>IFERROR(IF(INDEX(Feed!$M:$M,$AG39)="","",INDEX(Feed!$M:$M,$AG39)),"")</f>
        <v>46287.683333333334</v>
      </c>
      <c r="AD39" t="s">
        <v>60</v>
      </c>
      <c r="AE39" t="s">
        <v>31</v>
      </c>
      <c r="AF39" t="s">
        <v>59</v>
      </c>
      <c r="AG39">
        <f>IFERROR(MATCH($AD39,Feed!$A:$A,0),"")</f>
        <v>514</v>
      </c>
    </row>
    <row r="40" spans="1:33" x14ac:dyDescent="0.15">
      <c r="A40" s="4" t="s">
        <v>62</v>
      </c>
      <c r="B40" s="4" t="str">
        <f ca="1">IF(NOT(ISNUMBER(V40)),"",IF((NOW()-N(AB40))*1440&gt;StaleMin,"STALE",IF(AND($AF40="EQUITY",ABS(N(T40))&gt;ExDivFlag),"EX-DIV?",IF(X40&gt;IF($AF40="FI",EdgeFI,EdgeEq),"SELL ETF / BUY "&amp;UPPER($A$41),IF(Y40&gt;IF($AF40="FI",EdgeFI,EdgeEq),"BUY ETF / SELL "&amp;UPPER($A$41),"")))))</f>
        <v>STALE</v>
      </c>
      <c r="C40" s="5">
        <f>IFERROR(IF(INDEX(Feed!$N:$N,$AG40)="","",INDEX(Feed!$N:$N,$AG40)),"")</f>
        <v>1.3887397591674899</v>
      </c>
      <c r="D40" s="6">
        <f>IFERROR(IF(INDEX(Feed!$B:$B,$AG40)="","",INDEX(Feed!$B:$B,$AG40)),"")</f>
        <v>91.14</v>
      </c>
      <c r="E40" s="6" t="str">
        <f>IFERROR(IF(INDEX(Feed!$C:$C,$AG40)="","",INDEX(Feed!$C:$C,$AG40)),"")</f>
        <v/>
      </c>
      <c r="F40" s="6" t="str">
        <f>IFERROR(IF(INDEX(Feed!$D:$D,$AG40)="","",INDEX(Feed!$D:$D,$AG40)),"")</f>
        <v/>
      </c>
      <c r="G40" s="7" t="str">
        <f>IFERROR(IF(INDEX(Feed!$E:$E,$AG40)="","",INDEX(Feed!$E:$E,$AG40)),"")</f>
        <v/>
      </c>
      <c r="H40" s="7" t="str">
        <f>IFERROR(IF(INDEX(Feed!$F:$F,$AG40)="","",INDEX(Feed!$F:$F,$AG40)),"")</f>
        <v/>
      </c>
      <c r="I40" s="8" t="str">
        <f>IF(AND(N(E40)&gt;0,N(F40)&gt;0),(F40-E40)/((F40+E40)/2)*10000,"")</f>
        <v/>
      </c>
      <c r="J40" s="9">
        <f>IF(N(D40)&gt;0,IFERROR(D40/INDEX(Feed!$G:$G,$AG40)-1,""),"")</f>
        <v>3.7444933920705026E-3</v>
      </c>
      <c r="K40" s="7">
        <f>IFERROR(IF(INDEX(Feed!$H:$H,$AG40)="","",INDEX(Feed!$H:$H,$AG40)),"")</f>
        <v>8833521</v>
      </c>
      <c r="L40" s="7" t="str">
        <f>IFERROR(IF(INDEX(Feed!$I:$I,$AG40)="","",INDEX(Feed!$I:$I,$AG40)),"")</f>
        <v/>
      </c>
      <c r="M40" s="10" t="str">
        <f>IF(AND(N(K40)&gt;0,N(L40)&gt;0),K40/L40,"")</f>
        <v/>
      </c>
      <c r="N40" s="11">
        <f>IFERROR(IF(INDEX(Feed!$L:$L,$AG40)="","",INDEX(Feed!$L:$L,$AG40)),"")</f>
        <v>2.9743916348182668E-3</v>
      </c>
      <c r="O40" s="12">
        <f>IF(AND(ISNUMBER(J40),N(N40)&gt;0),J40/N40,"")</f>
        <v>1.2589106788216504</v>
      </c>
      <c r="P40" s="13">
        <f>IF(ISNUMBER(O40),IF(SessionLeft&lt;=0,--(ABS(O40)&gt;1),_xlfn.NORM.S.DIST((-1-O40)/SQRT(SessionLeft),TRUE)+1-_xlfn.NORM.S.DIST((1-O40)/SQRT(SessionLeft),TRUE)),"")</f>
        <v>1</v>
      </c>
      <c r="Q40" s="13">
        <f>IF(ISNUMBER(O40),IF(SessionLeft&lt;=0,--(ABS(O40)&gt;2),_xlfn.NORM.S.DIST((-2-O40)/SQRT(SessionLeft),TRUE)+1-_xlfn.NORM.S.DIST((2-O40)/SQRT(SessionLeft),TRUE)),"")</f>
        <v>0</v>
      </c>
      <c r="R40" s="13">
        <f>IF(ISNUMBER(O40),IF(SessionLeft&lt;=0,--(ABS(O40)&gt;3),_xlfn.NORM.S.DIST((-3-O40)/SQRT(SessionLeft),TRUE)+1-_xlfn.NORM.S.DIST((3-O40)/SQRT(SessionLeft),TRUE)),"")</f>
        <v>0</v>
      </c>
      <c r="S40" s="6">
        <f>IFERROR(IF(INDEX(Feed!$J:$J,$AG40)="","",INDEX(Feed!$J:$J,$AG40)),"")</f>
        <v>90.759450000000001</v>
      </c>
      <c r="T40" s="8">
        <f>IFERROR(IF(N(S40)&gt;0,(INDEX(Feed!$G:$G,$AG40)/S40-1)*10000,""),"")</f>
        <v>4.4678543115894698</v>
      </c>
      <c r="U40" s="9">
        <f>IFERROR(C40*$J$41,"")</f>
        <v>2.4228738640912678E-4</v>
      </c>
      <c r="V40" s="14">
        <f>IF(ISNUMBER(U40),IF(AND(Anchor="NAV",N(S40)&gt;0),S40,INDEX(Feed!$G:$G,$AG40))*(1+U40),"")</f>
        <v>90.821999694685957</v>
      </c>
      <c r="W40" s="8">
        <f>IF(ISNUMBER(V40),(IF(AND(N(E40)&gt;0,N(F40)&gt;0),(E40+F40)/2,D40)/V40-1)*10000,"")</f>
        <v>35.013576708622374</v>
      </c>
      <c r="X40" s="8">
        <f>IF(ISNUMBER(V40),(IF(N(E40)&gt;0,E40,D40)/V40-1)*10000-IF($AF40="FI",CostFI,CostEq),"")</f>
        <v>27.013576708622374</v>
      </c>
      <c r="Y40" s="8">
        <f>IF(ISNUMBER(V40),(1-IF(N(F40)&gt;0,F40,D40)/V40)*10000-IF($AF40="FI",CostFI,CostEq),"")</f>
        <v>-43.013576708622374</v>
      </c>
      <c r="Z40" s="12">
        <f>IFERROR((J40-U40-INDEX(Feed!$O:$O,$AG40))/INDEX(Feed!$P:$P,$AG40),"")</f>
        <v>6.4941005332718307</v>
      </c>
      <c r="AA40" s="11">
        <f>IFERROR(IF(INDEX(Feed!$K:$K,$AG40)="","",INDEX(Feed!$K:$K,$AG40)),"")</f>
        <v>3.9699999999999999E-2</v>
      </c>
      <c r="AB40" s="15">
        <f>IFERROR(IF(INDEX(Feed!$M:$M,$AG40)="","",INDEX(Feed!$M:$M,$AG40)),"")</f>
        <v>46287.671377314815</v>
      </c>
      <c r="AD40" t="s">
        <v>62</v>
      </c>
      <c r="AE40" t="s">
        <v>28</v>
      </c>
      <c r="AF40" t="s">
        <v>59</v>
      </c>
      <c r="AG40">
        <f>IFERROR(MATCH($AD40,Feed!$A:$A,0),"")</f>
        <v>11</v>
      </c>
    </row>
    <row r="41" spans="1:33" x14ac:dyDescent="0.15">
      <c r="A41" s="4" t="s">
        <v>63</v>
      </c>
      <c r="B41" s="4"/>
      <c r="C41" s="5"/>
      <c r="D41" s="6">
        <f>IFERROR(IF(INDEX(Feed!$B:$B,$AG41)="","",INDEX(Feed!$B:$B,$AG41)),"")</f>
        <v>57.32</v>
      </c>
      <c r="E41" s="6">
        <f>IFERROR(IF(INDEX(Feed!$C:$C,$AG41)="","",INDEX(Feed!$C:$C,$AG41)),"")</f>
        <v>57.32</v>
      </c>
      <c r="F41" s="6">
        <f>IFERROR(IF(INDEX(Feed!$D:$D,$AG41)="","",INDEX(Feed!$D:$D,$AG41)),"")</f>
        <v>57.33</v>
      </c>
      <c r="G41" s="7">
        <f>IFERROR(IF(INDEX(Feed!$E:$E,$AG41)="","",INDEX(Feed!$E:$E,$AG41)),"")</f>
        <v>4200</v>
      </c>
      <c r="H41" s="7">
        <f>IFERROR(IF(INDEX(Feed!$F:$F,$AG41)="","",INDEX(Feed!$F:$F,$AG41)),"")</f>
        <v>29600</v>
      </c>
      <c r="I41" s="8">
        <f>IF(AND(N(E41)&gt;0,N(F41)&gt;0),(F41-E41)/((F41+E41)/2)*10000,"")</f>
        <v>1.744439598778545</v>
      </c>
      <c r="J41" s="9">
        <f>IF(N(D41)&gt;0,IFERROR(D41/INDEX(Feed!$G:$G,$AG41)-1,""),"")</f>
        <v>1.7446565118461876E-4</v>
      </c>
      <c r="K41" s="7" t="str">
        <f>IFERROR(IF(INDEX(Feed!$H:$H,$AG41)="","",INDEX(Feed!$H:$H,$AG41)),"")</f>
        <v/>
      </c>
      <c r="L41" s="7" t="str">
        <f>IFERROR(IF(INDEX(Feed!$I:$I,$AG41)="","",INDEX(Feed!$I:$I,$AG41)),"")</f>
        <v/>
      </c>
      <c r="M41" s="10" t="str">
        <f>IF(AND(N(K41)&gt;0,N(L41)&gt;0),K41/L41,"")</f>
        <v/>
      </c>
      <c r="N41" s="11">
        <f>IFERROR(IF(INDEX(Feed!$L:$L,$AG41)="","",INDEX(Feed!$L:$L,$AG41)),"")</f>
        <v>2.0782566366531418E-3</v>
      </c>
      <c r="O41" s="12">
        <f>IF(AND(ISNUMBER(J41),N(N41)&gt;0),J41/N41,"")</f>
        <v>8.3948078455594918E-2</v>
      </c>
      <c r="P41" s="13">
        <f>IF(ISNUMBER(O41),IF(SessionLeft&lt;=0,--(ABS(O41)&gt;1),_xlfn.NORM.S.DIST((-1-O41)/SQRT(SessionLeft),TRUE)+1-_xlfn.NORM.S.DIST((1-O41)/SQRT(SessionLeft),TRUE)),"")</f>
        <v>0</v>
      </c>
      <c r="Q41" s="13">
        <f>IF(ISNUMBER(O41),IF(SessionLeft&lt;=0,--(ABS(O41)&gt;2),_xlfn.NORM.S.DIST((-2-O41)/SQRT(SessionLeft),TRUE)+1-_xlfn.NORM.S.DIST((2-O41)/SQRT(SessionLeft),TRUE)),"")</f>
        <v>0</v>
      </c>
      <c r="R41" s="13">
        <f>IF(ISNUMBER(O41),IF(SessionLeft&lt;=0,--(ABS(O41)&gt;3),_xlfn.NORM.S.DIST((-3-O41)/SQRT(SessionLeft),TRUE)+1-_xlfn.NORM.S.DIST((3-O41)/SQRT(SessionLeft),TRUE)),"")</f>
        <v>0</v>
      </c>
      <c r="S41" s="6"/>
      <c r="T41" s="8"/>
      <c r="U41" s="9"/>
      <c r="V41" s="14"/>
      <c r="W41" s="8"/>
      <c r="X41" s="8"/>
      <c r="Y41" s="8"/>
      <c r="Z41" s="12"/>
      <c r="AA41" s="11"/>
      <c r="AB41" s="15">
        <f>IFERROR(IF(INDEX(Feed!$M:$M,$AG41)="","",INDEX(Feed!$M:$M,$AG41)),"")</f>
        <v>46287.683333333334</v>
      </c>
      <c r="AD41" t="s">
        <v>63</v>
      </c>
      <c r="AE41" t="s">
        <v>31</v>
      </c>
      <c r="AF41" t="s">
        <v>59</v>
      </c>
      <c r="AG41">
        <f>IFERROR(MATCH($AD41,Feed!$A:$A,0),"")</f>
        <v>513</v>
      </c>
    </row>
    <row r="42" spans="1:33" x14ac:dyDescent="0.15">
      <c r="A42" s="4" t="s">
        <v>65</v>
      </c>
      <c r="B42" s="4" t="str">
        <f ca="1">IF(NOT(ISNUMBER(V42)),"",IF((NOW()-N(AB42))*1440&gt;StaleMin,"STALE",IF(AND($AF42="EQUITY",ABS(N(T42))&gt;ExDivFlag),"EX-DIV?",IF(X42&gt;IF($AF42="FI",EdgeFI,EdgeEq),"SELL ETF / BUY "&amp;UPPER($A$43),IF(Y42&gt;IF($AF42="FI",EdgeFI,EdgeEq),"BUY ETF / SELL "&amp;UPPER($A$43),"")))))</f>
        <v>STALE</v>
      </c>
      <c r="C42" s="5">
        <f>IFERROR(IF(INDEX(Feed!$N:$N,$AG42)="","",INDEX(Feed!$N:$N,$AG42)),"")</f>
        <v>1.0304722319382673</v>
      </c>
      <c r="D42" s="6">
        <f>IFERROR(IF(INDEX(Feed!$B:$B,$AG42)="","",INDEX(Feed!$B:$B,$AG42)),"")</f>
        <v>81.301500000000004</v>
      </c>
      <c r="E42" s="6">
        <f>IFERROR(IF(INDEX(Feed!$C:$C,$AG42)="","",INDEX(Feed!$C:$C,$AG42)),"")</f>
        <v>81.3</v>
      </c>
      <c r="F42" s="6">
        <f>IFERROR(IF(INDEX(Feed!$D:$D,$AG42)="","",INDEX(Feed!$D:$D,$AG42)),"")</f>
        <v>81.31</v>
      </c>
      <c r="G42" s="7">
        <f>IFERROR(IF(INDEX(Feed!$E:$E,$AG42)="","",INDEX(Feed!$E:$E,$AG42)),"")</f>
        <v>116049</v>
      </c>
      <c r="H42" s="7">
        <f>IFERROR(IF(INDEX(Feed!$F:$F,$AG42)="","",INDEX(Feed!$F:$F,$AG42)),"")</f>
        <v>6100</v>
      </c>
      <c r="I42" s="8">
        <f>IF(AND(N(E42)&gt;0,N(F42)&gt;0),(F42-E42)/((F42+E42)/2)*10000,"")</f>
        <v>1.2299366582627287</v>
      </c>
      <c r="J42" s="9">
        <f>IF(N(D42)&gt;0,IFERROR(D42/INDEX(Feed!$G:$G,$AG42)-1,""),"")</f>
        <v>7.5701624815383006E-4</v>
      </c>
      <c r="K42" s="7">
        <f>IFERROR(IF(INDEX(Feed!$H:$H,$AG42)="","",INDEX(Feed!$H:$H,$AG42)),"")</f>
        <v>3973124</v>
      </c>
      <c r="L42" s="7" t="str">
        <f>IFERROR(IF(INDEX(Feed!$I:$I,$AG42)="","",INDEX(Feed!$I:$I,$AG42)),"")</f>
        <v/>
      </c>
      <c r="M42" s="10" t="str">
        <f>IF(AND(N(K42)&gt;0,N(L42)&gt;0),K42/L42,"")</f>
        <v/>
      </c>
      <c r="N42" s="11">
        <f>IFERROR(IF(INDEX(Feed!$L:$L,$AG42)="","",INDEX(Feed!$L:$L,$AG42)),"")</f>
        <v>8.6285564442329754E-4</v>
      </c>
      <c r="O42" s="12">
        <f>IF(AND(ISNUMBER(J42),N(N42)&gt;0),J42/N42,"")</f>
        <v>0.87733823501820307</v>
      </c>
      <c r="P42" s="13">
        <f>IF(ISNUMBER(O42),IF(SessionLeft&lt;=0,--(ABS(O42)&gt;1),_xlfn.NORM.S.DIST((-1-O42)/SQRT(SessionLeft),TRUE)+1-_xlfn.NORM.S.DIST((1-O42)/SQRT(SessionLeft),TRUE)),"")</f>
        <v>0</v>
      </c>
      <c r="Q42" s="13">
        <f>IF(ISNUMBER(O42),IF(SessionLeft&lt;=0,--(ABS(O42)&gt;2),_xlfn.NORM.S.DIST((-2-O42)/SQRT(SessionLeft),TRUE)+1-_xlfn.NORM.S.DIST((2-O42)/SQRT(SessionLeft),TRUE)),"")</f>
        <v>0</v>
      </c>
      <c r="R42" s="13">
        <f>IF(ISNUMBER(O42),IF(SessionLeft&lt;=0,--(ABS(O42)&gt;3),_xlfn.NORM.S.DIST((-3-O42)/SQRT(SessionLeft),TRUE)+1-_xlfn.NORM.S.DIST((3-O42)/SQRT(SessionLeft),TRUE)),"")</f>
        <v>0</v>
      </c>
      <c r="S42" s="6">
        <f>IFERROR(IF(INDEX(Feed!$J:$J,$AG42)="","",INDEX(Feed!$J:$J,$AG42)),"")</f>
        <v>81.223749999999995</v>
      </c>
      <c r="T42" s="8">
        <f>IFERROR(IF(N(S42)&gt;0,(INDEX(Feed!$G:$G,$AG42)/S42-1)*10000,""),"")</f>
        <v>2.0006463626720539</v>
      </c>
      <c r="U42" s="9">
        <f>IFERROR(C42*$J$43,"")</f>
        <v>3.5759749425148455E-4</v>
      </c>
      <c r="V42" s="14">
        <f>IF(ISNUMBER(U42),IF(AND(Anchor="NAV",N(S42)&gt;0),S42,INDEX(Feed!$G:$G,$AG42))*(1+U42),"")</f>
        <v>81.269051220432999</v>
      </c>
      <c r="W42" s="8">
        <f>IF(ISNUMBER(V42),(IF(AND(N(E42)&gt;0,N(F42)&gt;0),(E42+F42)/2,D42)/V42-1)*10000,"")</f>
        <v>4.423427987303441</v>
      </c>
      <c r="X42" s="8">
        <f>IF(ISNUMBER(V42),(IF(N(E42)&gt;0,E42,D42)/V42-1)*10000-IF($AF42="FI",CostFI,CostEq),"")</f>
        <v>-4.1918123686399618</v>
      </c>
      <c r="Y42" s="8">
        <f>IF(ISNUMBER(V42),(1-IF(N(F42)&gt;0,F42,D42)/V42)*10000-IF($AF42="FI",CostFI,CostEq),"")</f>
        <v>-13.038668343246844</v>
      </c>
      <c r="Z42" s="12">
        <f>IFERROR((J42-U42-INDEX(Feed!$O:$O,$AG42))/INDEX(Feed!$P:$P,$AG42),"")</f>
        <v>1.8783255515601958</v>
      </c>
      <c r="AA42" s="11">
        <f>IFERROR(IF(INDEX(Feed!$K:$K,$AG42)="","",INDEX(Feed!$K:$K,$AG42)),"")</f>
        <v>3.6299999999999999E-2</v>
      </c>
      <c r="AB42" s="15">
        <f>IFERROR(IF(INDEX(Feed!$M:$M,$AG42)="","",INDEX(Feed!$M:$M,$AG42)),"")</f>
        <v>46287.67291666667</v>
      </c>
      <c r="AD42" t="s">
        <v>65</v>
      </c>
      <c r="AE42" t="s">
        <v>28</v>
      </c>
      <c r="AF42" t="s">
        <v>59</v>
      </c>
      <c r="AG42">
        <f>IFERROR(MATCH($AD42,Feed!$A:$A,0),"")</f>
        <v>12</v>
      </c>
    </row>
    <row r="43" spans="1:33" x14ac:dyDescent="0.15">
      <c r="A43" s="4" t="s">
        <v>66</v>
      </c>
      <c r="B43" s="4"/>
      <c r="C43" s="5"/>
      <c r="D43" s="6">
        <f>IFERROR(IF(INDEX(Feed!$B:$B,$AG43)="","",INDEX(Feed!$B:$B,$AG43)),"")</f>
        <v>57.65</v>
      </c>
      <c r="E43" s="6">
        <f>IFERROR(IF(INDEX(Feed!$C:$C,$AG43)="","",INDEX(Feed!$C:$C,$AG43)),"")</f>
        <v>57.64</v>
      </c>
      <c r="F43" s="6">
        <f>IFERROR(IF(INDEX(Feed!$D:$D,$AG43)="","",INDEX(Feed!$D:$D,$AG43)),"")</f>
        <v>57.65</v>
      </c>
      <c r="G43" s="7">
        <f>IFERROR(IF(INDEX(Feed!$E:$E,$AG43)="","",INDEX(Feed!$E:$E,$AG43)),"")</f>
        <v>91916</v>
      </c>
      <c r="H43" s="7">
        <f>IFERROR(IF(INDEX(Feed!$F:$F,$AG43)="","",INDEX(Feed!$F:$F,$AG43)),"")</f>
        <v>70100</v>
      </c>
      <c r="I43" s="8">
        <f>IF(AND(N(E43)&gt;0,N(F43)&gt;0),(F43-E43)/((F43+E43)/2)*10000,"")</f>
        <v>1.7347558331161437</v>
      </c>
      <c r="J43" s="9">
        <f>IF(N(D43)&gt;0,IFERROR(D43/INDEX(Feed!$G:$G,$AG43)-1,""),"")</f>
        <v>3.4702293100985493E-4</v>
      </c>
      <c r="K43" s="7" t="str">
        <f>IFERROR(IF(INDEX(Feed!$H:$H,$AG43)="","",INDEX(Feed!$H:$H,$AG43)),"")</f>
        <v/>
      </c>
      <c r="L43" s="7" t="str">
        <f>IFERROR(IF(INDEX(Feed!$I:$I,$AG43)="","",INDEX(Feed!$I:$I,$AG43)),"")</f>
        <v/>
      </c>
      <c r="M43" s="10" t="str">
        <f>IF(AND(N(K43)&gt;0,N(L43)&gt;0),K43/L43,"")</f>
        <v/>
      </c>
      <c r="N43" s="11">
        <f>IFERROR(IF(INDEX(Feed!$L:$L,$AG43)="","",INDEX(Feed!$L:$L,$AG43)),"")</f>
        <v>8.081001337377075E-4</v>
      </c>
      <c r="O43" s="12">
        <f>IF(AND(ISNUMBER(J43),N(N43)&gt;0),J43/N43,"")</f>
        <v>0.42943060707683456</v>
      </c>
      <c r="P43" s="13">
        <f>IF(ISNUMBER(O43),IF(SessionLeft&lt;=0,--(ABS(O43)&gt;1),_xlfn.NORM.S.DIST((-1-O43)/SQRT(SessionLeft),TRUE)+1-_xlfn.NORM.S.DIST((1-O43)/SQRT(SessionLeft),TRUE)),"")</f>
        <v>0</v>
      </c>
      <c r="Q43" s="13">
        <f>IF(ISNUMBER(O43),IF(SessionLeft&lt;=0,--(ABS(O43)&gt;2),_xlfn.NORM.S.DIST((-2-O43)/SQRT(SessionLeft),TRUE)+1-_xlfn.NORM.S.DIST((2-O43)/SQRT(SessionLeft),TRUE)),"")</f>
        <v>0</v>
      </c>
      <c r="R43" s="13">
        <f>IF(ISNUMBER(O43),IF(SessionLeft&lt;=0,--(ABS(O43)&gt;3),_xlfn.NORM.S.DIST((-3-O43)/SQRT(SessionLeft),TRUE)+1-_xlfn.NORM.S.DIST((3-O43)/SQRT(SessionLeft),TRUE)),"")</f>
        <v>0</v>
      </c>
      <c r="S43" s="6"/>
      <c r="T43" s="8"/>
      <c r="U43" s="9"/>
      <c r="V43" s="14"/>
      <c r="W43" s="8"/>
      <c r="X43" s="8"/>
      <c r="Y43" s="8"/>
      <c r="Z43" s="12"/>
      <c r="AA43" s="11"/>
      <c r="AB43" s="15">
        <f>IFERROR(IF(INDEX(Feed!$M:$M,$AG43)="","",INDEX(Feed!$M:$M,$AG43)),"")</f>
        <v>46287.683333333334</v>
      </c>
      <c r="AD43" t="s">
        <v>66</v>
      </c>
      <c r="AE43" t="s">
        <v>31</v>
      </c>
      <c r="AF43" t="s">
        <v>59</v>
      </c>
      <c r="AG43">
        <f>IFERROR(MATCH($AD43,Feed!$A:$A,0),"")</f>
        <v>515</v>
      </c>
    </row>
    <row r="44" spans="1:33" x14ac:dyDescent="0.15">
      <c r="A44" s="4" t="s">
        <v>68</v>
      </c>
      <c r="B44" s="4" t="str">
        <f ca="1">IF(NOT(ISNUMBER(V44)),"",IF((NOW()-N(AB44))*1440&gt;StaleMin,"STALE",IF(AND($AF44="EQUITY",ABS(N(T44))&gt;ExDivFlag),"EX-DIV?",IF(X44&gt;IF($AF44="FI",EdgeFI,EdgeEq),"SELL ETF / BUY "&amp;UPPER($A$45),IF(Y44&gt;IF($AF44="FI",EdgeFI,EdgeEq),"BUY ETF / SELL "&amp;UPPER($A$45),"")))))</f>
        <v>STALE</v>
      </c>
      <c r="C44" s="5">
        <f>IFERROR(IF(INDEX(Feed!$N:$N,$AG44)="","",INDEX(Feed!$N:$N,$AG44)),"")</f>
        <v>1.0508314736063638</v>
      </c>
      <c r="D44" s="6">
        <f>IFERROR(IF(INDEX(Feed!$B:$B,$AG44)="","",INDEX(Feed!$B:$B,$AG44)),"")</f>
        <v>105.09</v>
      </c>
      <c r="E44" s="6" t="str">
        <f>IFERROR(IF(INDEX(Feed!$C:$C,$AG44)="","",INDEX(Feed!$C:$C,$AG44)),"")</f>
        <v/>
      </c>
      <c r="F44" s="6" t="str">
        <f>IFERROR(IF(INDEX(Feed!$D:$D,$AG44)="","",INDEX(Feed!$D:$D,$AG44)),"")</f>
        <v/>
      </c>
      <c r="G44" s="7" t="str">
        <f>IFERROR(IF(INDEX(Feed!$E:$E,$AG44)="","",INDEX(Feed!$E:$E,$AG44)),"")</f>
        <v/>
      </c>
      <c r="H44" s="7" t="str">
        <f>IFERROR(IF(INDEX(Feed!$F:$F,$AG44)="","",INDEX(Feed!$F:$F,$AG44)),"")</f>
        <v/>
      </c>
      <c r="I44" s="8" t="str">
        <f>IF(AND(N(E44)&gt;0,N(F44)&gt;0),(F44-E44)/((F44+E44)/2)*10000,"")</f>
        <v/>
      </c>
      <c r="J44" s="9">
        <f>IF(N(D44)&gt;0,IFERROR(D44/INDEX(Feed!$G:$G,$AG44)-1,""),"")</f>
        <v>3.7249283667621924E-3</v>
      </c>
      <c r="K44" s="7">
        <f>IFERROR(IF(INDEX(Feed!$H:$H,$AG44)="","",INDEX(Feed!$H:$H,$AG44)),"")</f>
        <v>23076568</v>
      </c>
      <c r="L44" s="7" t="str">
        <f>IFERROR(IF(INDEX(Feed!$I:$I,$AG44)="","",INDEX(Feed!$I:$I,$AG44)),"")</f>
        <v/>
      </c>
      <c r="M44" s="10" t="str">
        <f>IF(AND(N(K44)&gt;0,N(L44)&gt;0),K44/L44,"")</f>
        <v/>
      </c>
      <c r="N44" s="11">
        <f>IFERROR(IF(INDEX(Feed!$L:$L,$AG44)="","",INDEX(Feed!$L:$L,$AG44)),"")</f>
        <v>3.4482239640991627E-3</v>
      </c>
      <c r="O44" s="12">
        <f>IF(AND(ISNUMBER(J44),N(N44)&gt;0),J44/N44,"")</f>
        <v>1.0802454844998206</v>
      </c>
      <c r="P44" s="13">
        <f>IF(ISNUMBER(O44),IF(SessionLeft&lt;=0,--(ABS(O44)&gt;1),_xlfn.NORM.S.DIST((-1-O44)/SQRT(SessionLeft),TRUE)+1-_xlfn.NORM.S.DIST((1-O44)/SQRT(SessionLeft),TRUE)),"")</f>
        <v>1</v>
      </c>
      <c r="Q44" s="13">
        <f>IF(ISNUMBER(O44),IF(SessionLeft&lt;=0,--(ABS(O44)&gt;2),_xlfn.NORM.S.DIST((-2-O44)/SQRT(SessionLeft),TRUE)+1-_xlfn.NORM.S.DIST((2-O44)/SQRT(SessionLeft),TRUE)),"")</f>
        <v>0</v>
      </c>
      <c r="R44" s="13">
        <f>IF(ISNUMBER(O44),IF(SessionLeft&lt;=0,--(ABS(O44)&gt;3),_xlfn.NORM.S.DIST((-3-O44)/SQRT(SessionLeft),TRUE)+1-_xlfn.NORM.S.DIST((3-O44)/SQRT(SessionLeft),TRUE)),"")</f>
        <v>0</v>
      </c>
      <c r="S44" s="6">
        <f>IFERROR(IF(INDEX(Feed!$J:$J,$AG44)="","",INDEX(Feed!$J:$J,$AG44)),"")</f>
        <v>104.60595000000001</v>
      </c>
      <c r="T44" s="8">
        <f>IFERROR(IF(N(S44)&gt;0,(INDEX(Feed!$G:$G,$AG44)/S44-1)*10000,""),"")</f>
        <v>8.9908843617392264</v>
      </c>
      <c r="U44" s="9">
        <f>IFERROR(C44*$J$45,"")</f>
        <v>3.9348315090987377E-3</v>
      </c>
      <c r="V44" s="14">
        <f>IF(ISNUMBER(U44),IF(AND(Anchor="NAV",N(S44)&gt;0),S44,INDEX(Feed!$G:$G,$AG44))*(1+U44),"")</f>
        <v>105.11197685900265</v>
      </c>
      <c r="W44" s="8">
        <f>IF(ISNUMBER(V44),(IF(AND(N(E44)&gt;0,N(F44)&gt;0),(E44+F44)/2,D44)/V44-1)*10000,"")</f>
        <v>-2.0908044600975728</v>
      </c>
      <c r="X44" s="8">
        <f>IF(ISNUMBER(V44),(IF(N(E44)&gt;0,E44,D44)/V44-1)*10000-IF($AF44="FI",CostFI,CostEq),"")</f>
        <v>-10.090804460097573</v>
      </c>
      <c r="Y44" s="8">
        <f>IF(ISNUMBER(V44),(1-IF(N(F44)&gt;0,F44,D44)/V44)*10000-IF($AF44="FI",CostFI,CostEq),"")</f>
        <v>-5.9091955399024272</v>
      </c>
      <c r="Z44" s="12">
        <f>IFERROR((J44-U44-INDEX(Feed!$O:$O,$AG44))/INDEX(Feed!$P:$P,$AG44),"")</f>
        <v>-0.21096250242380368</v>
      </c>
      <c r="AA44" s="11">
        <f>IFERROR(IF(INDEX(Feed!$K:$K,$AG44)="","",INDEX(Feed!$K:$K,$AG44)),"")</f>
        <v>4.6699999999999998E-2</v>
      </c>
      <c r="AB44" s="15">
        <f>IFERROR(IF(INDEX(Feed!$M:$M,$AG44)="","",INDEX(Feed!$M:$M,$AG44)),"")</f>
        <v>46287.671377314815</v>
      </c>
      <c r="AD44" t="s">
        <v>68</v>
      </c>
      <c r="AE44" t="s">
        <v>28</v>
      </c>
      <c r="AF44" t="s">
        <v>59</v>
      </c>
      <c r="AG44">
        <f>IFERROR(MATCH($AD44,Feed!$A:$A,0),"")</f>
        <v>13</v>
      </c>
    </row>
    <row r="45" spans="1:33" x14ac:dyDescent="0.15">
      <c r="A45" s="4" t="s">
        <v>62</v>
      </c>
      <c r="B45" s="4"/>
      <c r="C45" s="5"/>
      <c r="D45" s="6">
        <f>IFERROR(IF(INDEX(Feed!$B:$B,$AG45)="","",INDEX(Feed!$B:$B,$AG45)),"")</f>
        <v>91.14</v>
      </c>
      <c r="E45" s="6" t="str">
        <f>IFERROR(IF(INDEX(Feed!$C:$C,$AG45)="","",INDEX(Feed!$C:$C,$AG45)),"")</f>
        <v/>
      </c>
      <c r="F45" s="6" t="str">
        <f>IFERROR(IF(INDEX(Feed!$D:$D,$AG45)="","",INDEX(Feed!$D:$D,$AG45)),"")</f>
        <v/>
      </c>
      <c r="G45" s="7" t="str">
        <f>IFERROR(IF(INDEX(Feed!$E:$E,$AG45)="","",INDEX(Feed!$E:$E,$AG45)),"")</f>
        <v/>
      </c>
      <c r="H45" s="7" t="str">
        <f>IFERROR(IF(INDEX(Feed!$F:$F,$AG45)="","",INDEX(Feed!$F:$F,$AG45)),"")</f>
        <v/>
      </c>
      <c r="I45" s="8" t="str">
        <f>IF(AND(N(E45)&gt;0,N(F45)&gt;0),(F45-E45)/((F45+E45)/2)*10000,"")</f>
        <v/>
      </c>
      <c r="J45" s="9">
        <f>IF(N(D45)&gt;0,IFERROR(D45/INDEX(Feed!$G:$G,$AG45)-1,""),"")</f>
        <v>3.7444933920705026E-3</v>
      </c>
      <c r="K45" s="7">
        <f>IFERROR(IF(INDEX(Feed!$H:$H,$AG45)="","",INDEX(Feed!$H:$H,$AG45)),"")</f>
        <v>8833521</v>
      </c>
      <c r="L45" s="7" t="str">
        <f>IFERROR(IF(INDEX(Feed!$I:$I,$AG45)="","",INDEX(Feed!$I:$I,$AG45)),"")</f>
        <v/>
      </c>
      <c r="M45" s="10" t="str">
        <f>IF(AND(N(K45)&gt;0,N(L45)&gt;0),K45/L45,"")</f>
        <v/>
      </c>
      <c r="N45" s="11">
        <f>IFERROR(IF(INDEX(Feed!$L:$L,$AG45)="","",INDEX(Feed!$L:$L,$AG45)),"")</f>
        <v>2.9743916348182668E-3</v>
      </c>
      <c r="O45" s="12">
        <f>IF(AND(ISNUMBER(J45),N(N45)&gt;0),J45/N45,"")</f>
        <v>1.2589106788216504</v>
      </c>
      <c r="P45" s="13">
        <f>IF(ISNUMBER(O45),IF(SessionLeft&lt;=0,--(ABS(O45)&gt;1),_xlfn.NORM.S.DIST((-1-O45)/SQRT(SessionLeft),TRUE)+1-_xlfn.NORM.S.DIST((1-O45)/SQRT(SessionLeft),TRUE)),"")</f>
        <v>1</v>
      </c>
      <c r="Q45" s="13">
        <f>IF(ISNUMBER(O45),IF(SessionLeft&lt;=0,--(ABS(O45)&gt;2),_xlfn.NORM.S.DIST((-2-O45)/SQRT(SessionLeft),TRUE)+1-_xlfn.NORM.S.DIST((2-O45)/SQRT(SessionLeft),TRUE)),"")</f>
        <v>0</v>
      </c>
      <c r="R45" s="13">
        <f>IF(ISNUMBER(O45),IF(SessionLeft&lt;=0,--(ABS(O45)&gt;3),_xlfn.NORM.S.DIST((-3-O45)/SQRT(SessionLeft),TRUE)+1-_xlfn.NORM.S.DIST((3-O45)/SQRT(SessionLeft),TRUE)),"")</f>
        <v>0</v>
      </c>
      <c r="S45" s="6"/>
      <c r="T45" s="8"/>
      <c r="U45" s="9"/>
      <c r="V45" s="14"/>
      <c r="W45" s="8"/>
      <c r="X45" s="8"/>
      <c r="Y45" s="8"/>
      <c r="Z45" s="12"/>
      <c r="AA45" s="11"/>
      <c r="AB45" s="15">
        <f>IFERROR(IF(INDEX(Feed!$M:$M,$AG45)="","",INDEX(Feed!$M:$M,$AG45)),"")</f>
        <v>46287.671377314815</v>
      </c>
      <c r="AD45" t="s">
        <v>62</v>
      </c>
      <c r="AE45" t="s">
        <v>31</v>
      </c>
      <c r="AF45" t="s">
        <v>59</v>
      </c>
      <c r="AG45">
        <f>IFERROR(MATCH($AD45,Feed!$A:$A,0),"")</f>
        <v>11</v>
      </c>
    </row>
    <row r="46" spans="1:33" x14ac:dyDescent="0.15">
      <c r="A46" s="4" t="s">
        <v>70</v>
      </c>
      <c r="B46" s="4" t="str">
        <f ca="1">IF(NOT(ISNUMBER(V46)),"",IF((NOW()-N(AB46))*1440&gt;StaleMin,"STALE",IF(AND($AF46="EQUITY",ABS(N(T46))&gt;ExDivFlag),"EX-DIV?",IF(X46&gt;IF($AF46="FI",EdgeFI,EdgeEq),"SELL ETF / BUY "&amp;UPPER($A$47),IF(Y46&gt;IF($AF46="FI",EdgeFI,EdgeEq),"BUY ETF / SELL "&amp;UPPER($A$47),"")))))</f>
        <v>STALE</v>
      </c>
      <c r="C46" s="5">
        <f>IFERROR(IF(INDEX(Feed!$N:$N,$AG46)="","",INDEX(Feed!$N:$N,$AG46)),"")</f>
        <v>0.87552298291957642</v>
      </c>
      <c r="D46" s="6">
        <f>IFERROR(IF(INDEX(Feed!$B:$B,$AG46)="","",INDEX(Feed!$B:$B,$AG46)),"")</f>
        <v>79.95</v>
      </c>
      <c r="E46" s="6">
        <f>IFERROR(IF(INDEX(Feed!$C:$C,$AG46)="","",INDEX(Feed!$C:$C,$AG46)),"")</f>
        <v>79.900000000000006</v>
      </c>
      <c r="F46" s="6">
        <f>IFERROR(IF(INDEX(Feed!$D:$D,$AG46)="","",INDEX(Feed!$D:$D,$AG46)),"")</f>
        <v>80.349999999999994</v>
      </c>
      <c r="G46" s="7">
        <f>IFERROR(IF(INDEX(Feed!$E:$E,$AG46)="","",INDEX(Feed!$E:$E,$AG46)),"")</f>
        <v>700</v>
      </c>
      <c r="H46" s="7">
        <f>IFERROR(IF(INDEX(Feed!$F:$F,$AG46)="","",INDEX(Feed!$F:$F,$AG46)),"")</f>
        <v>31</v>
      </c>
      <c r="I46" s="8">
        <f>IF(AND(N(E46)&gt;0,N(F46)&gt;0),(F46-E46)/((F46+E46)/2)*10000,"")</f>
        <v>56.162246489858177</v>
      </c>
      <c r="J46" s="9">
        <f>IF(N(D46)&gt;0,IFERROR(D46/INDEX(Feed!$G:$G,$AG46)-1,""),"")</f>
        <v>3.2626427406199365E-3</v>
      </c>
      <c r="K46" s="7">
        <f>IFERROR(IF(INDEX(Feed!$H:$H,$AG46)="","",INDEX(Feed!$H:$H,$AG46)),"")</f>
        <v>10353336</v>
      </c>
      <c r="L46" s="7" t="str">
        <f>IFERROR(IF(INDEX(Feed!$I:$I,$AG46)="","",INDEX(Feed!$I:$I,$AG46)),"")</f>
        <v/>
      </c>
      <c r="M46" s="10" t="str">
        <f>IF(AND(N(K46)&gt;0,N(L46)&gt;0),K46/L46,"")</f>
        <v/>
      </c>
      <c r="N46" s="11">
        <f>IFERROR(IF(INDEX(Feed!$L:$L,$AG46)="","",INDEX(Feed!$L:$L,$AG46)),"")</f>
        <v>2.7199828478861078E-3</v>
      </c>
      <c r="O46" s="12">
        <f>IF(AND(ISNUMBER(J46),N(N46)&gt;0),J46/N46,"")</f>
        <v>1.1995085715910188</v>
      </c>
      <c r="P46" s="13">
        <f>IF(ISNUMBER(O46),IF(SessionLeft&lt;=0,--(ABS(O46)&gt;1),_xlfn.NORM.S.DIST((-1-O46)/SQRT(SessionLeft),TRUE)+1-_xlfn.NORM.S.DIST((1-O46)/SQRT(SessionLeft),TRUE)),"")</f>
        <v>1</v>
      </c>
      <c r="Q46" s="13">
        <f>IF(ISNUMBER(O46),IF(SessionLeft&lt;=0,--(ABS(O46)&gt;2),_xlfn.NORM.S.DIST((-2-O46)/SQRT(SessionLeft),TRUE)+1-_xlfn.NORM.S.DIST((2-O46)/SQRT(SessionLeft),TRUE)),"")</f>
        <v>0</v>
      </c>
      <c r="R46" s="13">
        <f>IF(ISNUMBER(O46),IF(SessionLeft&lt;=0,--(ABS(O46)&gt;3),_xlfn.NORM.S.DIST((-3-O46)/SQRT(SessionLeft),TRUE)+1-_xlfn.NORM.S.DIST((3-O46)/SQRT(SessionLeft),TRUE)),"")</f>
        <v>0</v>
      </c>
      <c r="S46" s="6">
        <f>IFERROR(IF(INDEX(Feed!$J:$J,$AG46)="","",INDEX(Feed!$J:$J,$AG46)),"")</f>
        <v>79.64</v>
      </c>
      <c r="T46" s="8">
        <f>IFERROR(IF(N(S46)&gt;0,(INDEX(Feed!$G:$G,$AG46)/S46-1)*10000,""),"")</f>
        <v>6.2782521346060882</v>
      </c>
      <c r="U46" s="9">
        <f>IFERROR(C46*$J$47,"")</f>
        <v>3.2783900241482094E-3</v>
      </c>
      <c r="V46" s="14">
        <f>IF(ISNUMBER(U46),IF(AND(Anchor="NAV",N(S46)&gt;0),S46,INDEX(Feed!$G:$G,$AG46))*(1+U46),"")</f>
        <v>79.95125490102437</v>
      </c>
      <c r="W46" s="8">
        <f>IF(ISNUMBER(V46),(IF(AND(N(E46)&gt;0,N(F46)&gt;0),(E46+F46)/2,D46)/V46-1)*10000,"")</f>
        <v>21.73137859946328</v>
      </c>
      <c r="X46" s="8">
        <f>IF(ISNUMBER(V46),(IF(N(E46)&gt;0,E46,D46)/V46-1)*10000-IF($AF46="FI",CostFI,CostEq),"")</f>
        <v>-14.410768797540101</v>
      </c>
      <c r="Y46" s="8">
        <f>IF(ISNUMBER(V46),(1-IF(N(F46)&gt;0,F46,D46)/V46)*10000-IF($AF46="FI",CostFI,CostEq),"")</f>
        <v>-57.873525996464437</v>
      </c>
      <c r="Z46" s="12">
        <f>IFERROR((J46-U46-INDEX(Feed!$O:$O,$AG46))/INDEX(Feed!$P:$P,$AG46),"")</f>
        <v>-8.7755129445977659E-2</v>
      </c>
      <c r="AA46" s="11">
        <f>IFERROR(IF(INDEX(Feed!$K:$K,$AG46)="","",INDEX(Feed!$K:$K,$AG46)),"")</f>
        <v>4.8899997000000001E-2</v>
      </c>
      <c r="AB46" s="15">
        <f>IFERROR(IF(INDEX(Feed!$M:$M,$AG46)="","",INDEX(Feed!$M:$M,$AG46)),"")</f>
        <v>46287.67291666667</v>
      </c>
      <c r="AD46" t="s">
        <v>70</v>
      </c>
      <c r="AE46" t="s">
        <v>28</v>
      </c>
      <c r="AF46" t="s">
        <v>59</v>
      </c>
      <c r="AG46">
        <f>IFERROR(MATCH($AD46,Feed!$A:$A,0),"")</f>
        <v>14</v>
      </c>
    </row>
    <row r="47" spans="1:33" x14ac:dyDescent="0.15">
      <c r="A47" s="4" t="s">
        <v>62</v>
      </c>
      <c r="B47" s="4"/>
      <c r="C47" s="5"/>
      <c r="D47" s="6">
        <f>IFERROR(IF(INDEX(Feed!$B:$B,$AG47)="","",INDEX(Feed!$B:$B,$AG47)),"")</f>
        <v>91.14</v>
      </c>
      <c r="E47" s="6" t="str">
        <f>IFERROR(IF(INDEX(Feed!$C:$C,$AG47)="","",INDEX(Feed!$C:$C,$AG47)),"")</f>
        <v/>
      </c>
      <c r="F47" s="6" t="str">
        <f>IFERROR(IF(INDEX(Feed!$D:$D,$AG47)="","",INDEX(Feed!$D:$D,$AG47)),"")</f>
        <v/>
      </c>
      <c r="G47" s="7" t="str">
        <f>IFERROR(IF(INDEX(Feed!$E:$E,$AG47)="","",INDEX(Feed!$E:$E,$AG47)),"")</f>
        <v/>
      </c>
      <c r="H47" s="7" t="str">
        <f>IFERROR(IF(INDEX(Feed!$F:$F,$AG47)="","",INDEX(Feed!$F:$F,$AG47)),"")</f>
        <v/>
      </c>
      <c r="I47" s="8" t="str">
        <f>IF(AND(N(E47)&gt;0,N(F47)&gt;0),(F47-E47)/((F47+E47)/2)*10000,"")</f>
        <v/>
      </c>
      <c r="J47" s="9">
        <f>IF(N(D47)&gt;0,IFERROR(D47/INDEX(Feed!$G:$G,$AG47)-1,""),"")</f>
        <v>3.7444933920705026E-3</v>
      </c>
      <c r="K47" s="7">
        <f>IFERROR(IF(INDEX(Feed!$H:$H,$AG47)="","",INDEX(Feed!$H:$H,$AG47)),"")</f>
        <v>8833521</v>
      </c>
      <c r="L47" s="7" t="str">
        <f>IFERROR(IF(INDEX(Feed!$I:$I,$AG47)="","",INDEX(Feed!$I:$I,$AG47)),"")</f>
        <v/>
      </c>
      <c r="M47" s="10" t="str">
        <f>IF(AND(N(K47)&gt;0,N(L47)&gt;0),K47/L47,"")</f>
        <v/>
      </c>
      <c r="N47" s="11">
        <f>IFERROR(IF(INDEX(Feed!$L:$L,$AG47)="","",INDEX(Feed!$L:$L,$AG47)),"")</f>
        <v>2.9743916348182668E-3</v>
      </c>
      <c r="O47" s="12">
        <f>IF(AND(ISNUMBER(J47),N(N47)&gt;0),J47/N47,"")</f>
        <v>1.2589106788216504</v>
      </c>
      <c r="P47" s="13">
        <f>IF(ISNUMBER(O47),IF(SessionLeft&lt;=0,--(ABS(O47)&gt;1),_xlfn.NORM.S.DIST((-1-O47)/SQRT(SessionLeft),TRUE)+1-_xlfn.NORM.S.DIST((1-O47)/SQRT(SessionLeft),TRUE)),"")</f>
        <v>1</v>
      </c>
      <c r="Q47" s="13">
        <f>IF(ISNUMBER(O47),IF(SessionLeft&lt;=0,--(ABS(O47)&gt;2),_xlfn.NORM.S.DIST((-2-O47)/SQRT(SessionLeft),TRUE)+1-_xlfn.NORM.S.DIST((2-O47)/SQRT(SessionLeft),TRUE)),"")</f>
        <v>0</v>
      </c>
      <c r="R47" s="13">
        <f>IF(ISNUMBER(O47),IF(SessionLeft&lt;=0,--(ABS(O47)&gt;3),_xlfn.NORM.S.DIST((-3-O47)/SQRT(SessionLeft),TRUE)+1-_xlfn.NORM.S.DIST((3-O47)/SQRT(SessionLeft),TRUE)),"")</f>
        <v>0</v>
      </c>
      <c r="S47" s="6"/>
      <c r="T47" s="8"/>
      <c r="U47" s="9"/>
      <c r="V47" s="14"/>
      <c r="W47" s="8"/>
      <c r="X47" s="8"/>
      <c r="Y47" s="8"/>
      <c r="Z47" s="12"/>
      <c r="AA47" s="11"/>
      <c r="AB47" s="15">
        <f>IFERROR(IF(INDEX(Feed!$M:$M,$AG47)="","",INDEX(Feed!$M:$M,$AG47)),"")</f>
        <v>46287.671377314815</v>
      </c>
      <c r="AD47" t="s">
        <v>62</v>
      </c>
      <c r="AE47" t="s">
        <v>31</v>
      </c>
      <c r="AF47" t="s">
        <v>59</v>
      </c>
      <c r="AG47">
        <f>IFERROR(MATCH($AD47,Feed!$A:$A,0),"")</f>
        <v>11</v>
      </c>
    </row>
    <row r="48" spans="1:33" x14ac:dyDescent="0.15">
      <c r="A48" s="4" t="s">
        <v>72</v>
      </c>
      <c r="B48" s="4" t="str">
        <f ca="1">IF(NOT(ISNUMBER(V48)),"",IF((NOW()-N(AB48))*1440&gt;StaleMin,"STALE",IF(AND($AF48="EQUITY",ABS(N(T48))&gt;ExDivFlag),"EX-DIV?",IF(X48&gt;IF($AF48="FI",EdgeFI,EdgeEq),"SELL ETF / BUY "&amp;UPPER($A$49),IF(Y48&gt;IF($AF48="FI",EdgeFI,EdgeEq),"BUY ETF / SELL "&amp;UPPER($A$49),"")))))</f>
        <v>STALE</v>
      </c>
      <c r="C48" s="5">
        <f>IFERROR(IF(INDEX(Feed!$N:$N,$AG48)="","",INDEX(Feed!$N:$N,$AG48)),"")</f>
        <v>1.0145609842358256</v>
      </c>
      <c r="D48" s="6">
        <f>IFERROR(IF(INDEX(Feed!$B:$B,$AG48)="","",INDEX(Feed!$B:$B,$AG48)),"")</f>
        <v>78.67</v>
      </c>
      <c r="E48" s="6" t="str">
        <f>IFERROR(IF(INDEX(Feed!$C:$C,$AG48)="","",INDEX(Feed!$C:$C,$AG48)),"")</f>
        <v/>
      </c>
      <c r="F48" s="6" t="str">
        <f>IFERROR(IF(INDEX(Feed!$D:$D,$AG48)="","",INDEX(Feed!$D:$D,$AG48)),"")</f>
        <v/>
      </c>
      <c r="G48" s="7" t="str">
        <f>IFERROR(IF(INDEX(Feed!$E:$E,$AG48)="","",INDEX(Feed!$E:$E,$AG48)),"")</f>
        <v/>
      </c>
      <c r="H48" s="7" t="str">
        <f>IFERROR(IF(INDEX(Feed!$F:$F,$AG48)="","",INDEX(Feed!$F:$F,$AG48)),"")</f>
        <v/>
      </c>
      <c r="I48" s="8" t="str">
        <f>IF(AND(N(E48)&gt;0,N(F48)&gt;0),(F48-E48)/((F48+E48)/2)*10000,"")</f>
        <v/>
      </c>
      <c r="J48" s="9">
        <f>IF(N(D48)&gt;0,IFERROR(D48/INDEX(Feed!$G:$G,$AG48)-1,""),"")</f>
        <v>1.7827581815865745E-3</v>
      </c>
      <c r="K48" s="7">
        <f>IFERROR(IF(INDEX(Feed!$H:$H,$AG48)="","",INDEX(Feed!$H:$H,$AG48)),"")</f>
        <v>44495821</v>
      </c>
      <c r="L48" s="7" t="str">
        <f>IFERROR(IF(INDEX(Feed!$I:$I,$AG48)="","",INDEX(Feed!$I:$I,$AG48)),"")</f>
        <v/>
      </c>
      <c r="M48" s="10" t="str">
        <f>IF(AND(N(K48)&gt;0,N(L48)&gt;0),K48/L48,"")</f>
        <v/>
      </c>
      <c r="N48" s="11">
        <f>IFERROR(IF(INDEX(Feed!$L:$L,$AG48)="","",INDEX(Feed!$L:$L,$AG48)),"")</f>
        <v>1.7903913470799714E-3</v>
      </c>
      <c r="O48" s="12">
        <f>IF(AND(ISNUMBER(J48),N(N48)&gt;0),J48/N48,"")</f>
        <v>0.99573659384254387</v>
      </c>
      <c r="P48" s="13">
        <f>IF(ISNUMBER(O48),IF(SessionLeft&lt;=0,--(ABS(O48)&gt;1),_xlfn.NORM.S.DIST((-1-O48)/SQRT(SessionLeft),TRUE)+1-_xlfn.NORM.S.DIST((1-O48)/SQRT(SessionLeft),TRUE)),"")</f>
        <v>0</v>
      </c>
      <c r="Q48" s="13">
        <f>IF(ISNUMBER(O48),IF(SessionLeft&lt;=0,--(ABS(O48)&gt;2),_xlfn.NORM.S.DIST((-2-O48)/SQRT(SessionLeft),TRUE)+1-_xlfn.NORM.S.DIST((2-O48)/SQRT(SessionLeft),TRUE)),"")</f>
        <v>0</v>
      </c>
      <c r="R48" s="13">
        <f>IF(ISNUMBER(O48),IF(SessionLeft&lt;=0,--(ABS(O48)&gt;3),_xlfn.NORM.S.DIST((-3-O48)/SQRT(SessionLeft),TRUE)+1-_xlfn.NORM.S.DIST((3-O48)/SQRT(SessionLeft),TRUE)),"")</f>
        <v>0</v>
      </c>
      <c r="S48" s="6">
        <f>IFERROR(IF(INDEX(Feed!$J:$J,$AG48)="","",INDEX(Feed!$J:$J,$AG48)),"")</f>
        <v>78.425349999999995</v>
      </c>
      <c r="T48" s="8">
        <f>IFERROR(IF(N(S48)&gt;0,(INDEX(Feed!$G:$G,$AG48)/S48-1)*10000,""),"")</f>
        <v>13.343899644695512</v>
      </c>
      <c r="U48" s="9">
        <f>IFERROR(C48*$J$49,"")</f>
        <v>1.8241709922801721E-3</v>
      </c>
      <c r="V48" s="14">
        <f>IF(ISNUMBER(U48),IF(AND(Anchor="NAV",N(S48)&gt;0),S48,INDEX(Feed!$G:$G,$AG48))*(1+U48),"")</f>
        <v>78.673252148023764</v>
      </c>
      <c r="W48" s="8">
        <f>IF(ISNUMBER(V48),(IF(AND(N(E48)&gt;0,N(F48)&gt;0),(E48+F48)/2,D48)/V48-1)*10000,"")</f>
        <v>-0.4133740419987042</v>
      </c>
      <c r="X48" s="8">
        <f>IF(ISNUMBER(V48),(IF(N(E48)&gt;0,E48,D48)/V48-1)*10000-IF($AF48="FI",CostFI,CostEq),"")</f>
        <v>-8.4133740419987042</v>
      </c>
      <c r="Y48" s="8">
        <f>IF(ISNUMBER(V48),(1-IF(N(F48)&gt;0,F48,D48)/V48)*10000-IF($AF48="FI",CostFI,CostEq),"")</f>
        <v>-7.5866259580012958</v>
      </c>
      <c r="Z48" s="12">
        <f>IFERROR((J48-U48-INDEX(Feed!$O:$O,$AG48))/INDEX(Feed!$P:$P,$AG48),"")</f>
        <v>-0.12036607056612919</v>
      </c>
      <c r="AA48" s="11">
        <f>IFERROR(IF(INDEX(Feed!$K:$K,$AG48)="","",INDEX(Feed!$K:$K,$AG48)),"")</f>
        <v>5.8799999999999998E-2</v>
      </c>
      <c r="AB48" s="15">
        <f>IFERROR(IF(INDEX(Feed!$M:$M,$AG48)="","",INDEX(Feed!$M:$M,$AG48)),"")</f>
        <v>46287.671377314815</v>
      </c>
      <c r="AD48" t="s">
        <v>72</v>
      </c>
      <c r="AE48" t="s">
        <v>28</v>
      </c>
      <c r="AF48" t="s">
        <v>59</v>
      </c>
      <c r="AG48">
        <f>IFERROR(MATCH($AD48,Feed!$A:$A,0),"")</f>
        <v>15</v>
      </c>
    </row>
    <row r="49" spans="1:33" x14ac:dyDescent="0.15">
      <c r="A49" s="4" t="s">
        <v>73</v>
      </c>
      <c r="B49" s="4"/>
      <c r="C49" s="5"/>
      <c r="D49" s="6">
        <f>IFERROR(IF(INDEX(Feed!$B:$B,$AG49)="","",INDEX(Feed!$B:$B,$AG49)),"")</f>
        <v>94.72</v>
      </c>
      <c r="E49" s="6" t="str">
        <f>IFERROR(IF(INDEX(Feed!$C:$C,$AG49)="","",INDEX(Feed!$C:$C,$AG49)),"")</f>
        <v/>
      </c>
      <c r="F49" s="6" t="str">
        <f>IFERROR(IF(INDEX(Feed!$D:$D,$AG49)="","",INDEX(Feed!$D:$D,$AG49)),"")</f>
        <v/>
      </c>
      <c r="G49" s="7" t="str">
        <f>IFERROR(IF(INDEX(Feed!$E:$E,$AG49)="","",INDEX(Feed!$E:$E,$AG49)),"")</f>
        <v/>
      </c>
      <c r="H49" s="7" t="str">
        <f>IFERROR(IF(INDEX(Feed!$F:$F,$AG49)="","",INDEX(Feed!$F:$F,$AG49)),"")</f>
        <v/>
      </c>
      <c r="I49" s="8" t="str">
        <f>IF(AND(N(E49)&gt;0,N(F49)&gt;0),(F49-E49)/((F49+E49)/2)*10000,"")</f>
        <v/>
      </c>
      <c r="J49" s="9">
        <f>IF(N(D49)&gt;0,IFERROR(D49/INDEX(Feed!$G:$G,$AG49)-1,""),"")</f>
        <v>1.7979904812268632E-3</v>
      </c>
      <c r="K49" s="7">
        <f>IFERROR(IF(INDEX(Feed!$H:$H,$AG49)="","",INDEX(Feed!$H:$H,$AG49)),"")</f>
        <v>1305555</v>
      </c>
      <c r="L49" s="7" t="str">
        <f>IFERROR(IF(INDEX(Feed!$I:$I,$AG49)="","",INDEX(Feed!$I:$I,$AG49)),"")</f>
        <v/>
      </c>
      <c r="M49" s="10" t="str">
        <f>IF(AND(N(K49)&gt;0,N(L49)&gt;0),K49/L49,"")</f>
        <v/>
      </c>
      <c r="N49" s="11">
        <f>IFERROR(IF(INDEX(Feed!$L:$L,$AG49)="","",INDEX(Feed!$L:$L,$AG49)),"")</f>
        <v>1.7315538023517289E-3</v>
      </c>
      <c r="O49" s="12">
        <f>IF(AND(ISNUMBER(J49),N(N49)&gt;0),J49/N49,"")</f>
        <v>1.0383682440504607</v>
      </c>
      <c r="P49" s="13">
        <f>IF(ISNUMBER(O49),IF(SessionLeft&lt;=0,--(ABS(O49)&gt;1),_xlfn.NORM.S.DIST((-1-O49)/SQRT(SessionLeft),TRUE)+1-_xlfn.NORM.S.DIST((1-O49)/SQRT(SessionLeft),TRUE)),"")</f>
        <v>1</v>
      </c>
      <c r="Q49" s="13">
        <f>IF(ISNUMBER(O49),IF(SessionLeft&lt;=0,--(ABS(O49)&gt;2),_xlfn.NORM.S.DIST((-2-O49)/SQRT(SessionLeft),TRUE)+1-_xlfn.NORM.S.DIST((2-O49)/SQRT(SessionLeft),TRUE)),"")</f>
        <v>0</v>
      </c>
      <c r="R49" s="13">
        <f>IF(ISNUMBER(O49),IF(SessionLeft&lt;=0,--(ABS(O49)&gt;3),_xlfn.NORM.S.DIST((-3-O49)/SQRT(SessionLeft),TRUE)+1-_xlfn.NORM.S.DIST((3-O49)/SQRT(SessionLeft),TRUE)),"")</f>
        <v>0</v>
      </c>
      <c r="S49" s="6"/>
      <c r="T49" s="8"/>
      <c r="U49" s="9"/>
      <c r="V49" s="14"/>
      <c r="W49" s="8"/>
      <c r="X49" s="8"/>
      <c r="Y49" s="8"/>
      <c r="Z49" s="12"/>
      <c r="AA49" s="11"/>
      <c r="AB49" s="15">
        <f>IFERROR(IF(INDEX(Feed!$M:$M,$AG49)="","",INDEX(Feed!$M:$M,$AG49)),"")</f>
        <v>46287.671423611115</v>
      </c>
      <c r="AD49" t="s">
        <v>73</v>
      </c>
      <c r="AE49" t="s">
        <v>31</v>
      </c>
      <c r="AF49" t="s">
        <v>59</v>
      </c>
      <c r="AG49">
        <f>IFERROR(MATCH($AD49,Feed!$A:$A,0),"")</f>
        <v>291</v>
      </c>
    </row>
    <row r="50" spans="1:33" x14ac:dyDescent="0.15">
      <c r="A50" s="4" t="s">
        <v>75</v>
      </c>
      <c r="B50" s="4" t="str">
        <f ca="1">IF(NOT(ISNUMBER(V50)),"",IF((NOW()-N(AB50))*1440&gt;StaleMin,"STALE",IF(AND($AF50="EQUITY",ABS(N(T50))&gt;ExDivFlag),"EX-DIV?",IF(X50&gt;IF($AF50="FI",EdgeFI,EdgeEq),"SELL ETF / BUY "&amp;UPPER($A$51),IF(Y50&gt;IF($AF50="FI",EdgeFI,EdgeEq),"BUY ETF / SELL "&amp;UPPER($A$51),"")))))</f>
        <v>STALE</v>
      </c>
      <c r="C50" s="5">
        <f>IFERROR(IF(INDEX(Feed!$N:$N,$AG50)="","",INDEX(Feed!$N:$N,$AG50)),"")</f>
        <v>1.0340764585451576</v>
      </c>
      <c r="D50" s="6">
        <f>IFERROR(IF(INDEX(Feed!$B:$B,$AG50)="","",INDEX(Feed!$B:$B,$AG50)),"")</f>
        <v>96.25</v>
      </c>
      <c r="E50" s="6">
        <f>IFERROR(IF(INDEX(Feed!$C:$C,$AG50)="","",INDEX(Feed!$C:$C,$AG50)),"")</f>
        <v>96</v>
      </c>
      <c r="F50" s="6">
        <f>IFERROR(IF(INDEX(Feed!$D:$D,$AG50)="","",INDEX(Feed!$D:$D,$AG50)),"")</f>
        <v>97.26</v>
      </c>
      <c r="G50" s="7">
        <f>IFERROR(IF(INDEX(Feed!$E:$E,$AG50)="","",INDEX(Feed!$E:$E,$AG50)),"")</f>
        <v>100</v>
      </c>
      <c r="H50" s="7">
        <f>IFERROR(IF(INDEX(Feed!$F:$F,$AG50)="","",INDEX(Feed!$F:$F,$AG50)),"")</f>
        <v>50</v>
      </c>
      <c r="I50" s="8">
        <f>IF(AND(N(E50)&gt;0,N(F50)&gt;0),(F50-E50)/((F50+E50)/2)*10000,"")</f>
        <v>130.39428748835817</v>
      </c>
      <c r="J50" s="9">
        <f>IF(N(D50)&gt;0,IFERROR(D50/INDEX(Feed!$G:$G,$AG50)-1,""),"")</f>
        <v>3.0220925385577857E-3</v>
      </c>
      <c r="K50" s="7">
        <f>IFERROR(IF(INDEX(Feed!$H:$H,$AG50)="","",INDEX(Feed!$H:$H,$AG50)),"")</f>
        <v>9197633</v>
      </c>
      <c r="L50" s="7" t="str">
        <f>IFERROR(IF(INDEX(Feed!$I:$I,$AG50)="","",INDEX(Feed!$I:$I,$AG50)),"")</f>
        <v/>
      </c>
      <c r="M50" s="10" t="str">
        <f>IF(AND(N(K50)&gt;0,N(L50)&gt;0),K50/L50,"")</f>
        <v/>
      </c>
      <c r="N50" s="11">
        <f>IFERROR(IF(INDEX(Feed!$L:$L,$AG50)="","",INDEX(Feed!$L:$L,$AG50)),"")</f>
        <v>2.533895059848211E-3</v>
      </c>
      <c r="O50" s="12">
        <f>IF(AND(ISNUMBER(J50),N(N50)&gt;0),J50/N50,"")</f>
        <v>1.1926668102580458</v>
      </c>
      <c r="P50" s="13">
        <f>IF(ISNUMBER(O50),IF(SessionLeft&lt;=0,--(ABS(O50)&gt;1),_xlfn.NORM.S.DIST((-1-O50)/SQRT(SessionLeft),TRUE)+1-_xlfn.NORM.S.DIST((1-O50)/SQRT(SessionLeft),TRUE)),"")</f>
        <v>1</v>
      </c>
      <c r="Q50" s="13">
        <f>IF(ISNUMBER(O50),IF(SessionLeft&lt;=0,--(ABS(O50)&gt;2),_xlfn.NORM.S.DIST((-2-O50)/SQRT(SessionLeft),TRUE)+1-_xlfn.NORM.S.DIST((2-O50)/SQRT(SessionLeft),TRUE)),"")</f>
        <v>0</v>
      </c>
      <c r="R50" s="13">
        <f>IF(ISNUMBER(O50),IF(SessionLeft&lt;=0,--(ABS(O50)&gt;3),_xlfn.NORM.S.DIST((-3-O50)/SQRT(SessionLeft),TRUE)+1-_xlfn.NORM.S.DIST((3-O50)/SQRT(SessionLeft),TRUE)),"")</f>
        <v>0</v>
      </c>
      <c r="S50" s="6">
        <f>IFERROR(IF(INDEX(Feed!$J:$J,$AG50)="","",INDEX(Feed!$J:$J,$AG50)),"")</f>
        <v>95.904449999999997</v>
      </c>
      <c r="T50" s="8">
        <f>IFERROR(IF(N(S50)&gt;0,(INDEX(Feed!$G:$G,$AG50)/S50-1)*10000,""),"")</f>
        <v>5.7922234056917432</v>
      </c>
      <c r="U50" s="9">
        <f>IFERROR(C50*$J$51,"")</f>
        <v>3.0499446108773983E-3</v>
      </c>
      <c r="V50" s="14">
        <f>IF(ISNUMBER(U50),IF(AND(Anchor="NAV",N(S50)&gt;0),S50,INDEX(Feed!$G:$G,$AG50))*(1+U50),"")</f>
        <v>96.252672684859789</v>
      </c>
      <c r="W50" s="8">
        <f>IF(ISNUMBER(V50),(IF(AND(N(E50)&gt;0,N(F50)&gt;0),(E50+F50)/2,D50)/V50-1)*10000,"")</f>
        <v>39.201749376416295</v>
      </c>
      <c r="X50" s="8">
        <f>IF(ISNUMBER(V50),(IF(N(E50)&gt;0,E50,D50)/V50-1)*10000-IF($AF50="FI",CostFI,CostEq),"")</f>
        <v>-34.250978576674022</v>
      </c>
      <c r="Y50" s="8">
        <f>IF(ISNUMBER(V50),(1-IF(N(F50)&gt;0,F50,D50)/V50)*10000-IF($AF50="FI",CostFI,CostEq),"")</f>
        <v>-112.65447732950662</v>
      </c>
      <c r="Z50" s="12">
        <f>IFERROR((J50-U50-INDEX(Feed!$O:$O,$AG50))/INDEX(Feed!$P:$P,$AG50),"")</f>
        <v>-0.11823838241735796</v>
      </c>
      <c r="AA50" s="11">
        <f>IFERROR(IF(INDEX(Feed!$K:$K,$AG50)="","",INDEX(Feed!$K:$K,$AG50)),"")</f>
        <v>4.0500000000000001E-2</v>
      </c>
      <c r="AB50" s="15">
        <f>IFERROR(IF(INDEX(Feed!$M:$M,$AG50)="","",INDEX(Feed!$M:$M,$AG50)),"")</f>
        <v>46287.67291666667</v>
      </c>
      <c r="AD50" t="s">
        <v>75</v>
      </c>
      <c r="AE50" t="s">
        <v>28</v>
      </c>
      <c r="AF50" t="s">
        <v>59</v>
      </c>
      <c r="AG50">
        <f>IFERROR(MATCH($AD50,Feed!$A:$A,0),"")</f>
        <v>16</v>
      </c>
    </row>
    <row r="51" spans="1:33" x14ac:dyDescent="0.15">
      <c r="A51" s="4" t="s">
        <v>76</v>
      </c>
      <c r="B51" s="4"/>
      <c r="C51" s="5"/>
      <c r="D51" s="6">
        <f>IFERROR(IF(INDEX(Feed!$B:$B,$AG51)="","",INDEX(Feed!$B:$B,$AG51)),"")</f>
        <v>71.41</v>
      </c>
      <c r="E51" s="6" t="str">
        <f>IFERROR(IF(INDEX(Feed!$C:$C,$AG51)="","",INDEX(Feed!$C:$C,$AG51)),"")</f>
        <v/>
      </c>
      <c r="F51" s="6" t="str">
        <f>IFERROR(IF(INDEX(Feed!$D:$D,$AG51)="","",INDEX(Feed!$D:$D,$AG51)),"")</f>
        <v/>
      </c>
      <c r="G51" s="7" t="str">
        <f>IFERROR(IF(INDEX(Feed!$E:$E,$AG51)="","",INDEX(Feed!$E:$E,$AG51)),"")</f>
        <v/>
      </c>
      <c r="H51" s="7" t="str">
        <f>IFERROR(IF(INDEX(Feed!$F:$F,$AG51)="","",INDEX(Feed!$F:$F,$AG51)),"")</f>
        <v/>
      </c>
      <c r="I51" s="8" t="str">
        <f>IF(AND(N(E51)&gt;0,N(F51)&gt;0),(F51-E51)/((F51+E51)/2)*10000,"")</f>
        <v/>
      </c>
      <c r="J51" s="9">
        <f>IF(N(D51)&gt;0,IFERROR(D51/INDEX(Feed!$G:$G,$AG51)-1,""),"")</f>
        <v>2.9494382022470234E-3</v>
      </c>
      <c r="K51" s="7">
        <f>IFERROR(IF(INDEX(Feed!$H:$H,$AG51)="","",INDEX(Feed!$H:$H,$AG51)),"")</f>
        <v>7596009</v>
      </c>
      <c r="L51" s="7" t="str">
        <f>IFERROR(IF(INDEX(Feed!$I:$I,$AG51)="","",INDEX(Feed!$I:$I,$AG51)),"")</f>
        <v/>
      </c>
      <c r="M51" s="10" t="str">
        <f>IF(AND(N(K51)&gt;0,N(L51)&gt;0),K51/L51,"")</f>
        <v/>
      </c>
      <c r="N51" s="11">
        <f>IFERROR(IF(INDEX(Feed!$L:$L,$AG51)="","",INDEX(Feed!$L:$L,$AG51)),"")</f>
        <v>2.4393467181374178E-3</v>
      </c>
      <c r="O51" s="12">
        <f>IF(AND(ISNUMBER(J51),N(N51)&gt;0),J51/N51,"")</f>
        <v>1.2091098736874477</v>
      </c>
      <c r="P51" s="13">
        <f>IF(ISNUMBER(O51),IF(SessionLeft&lt;=0,--(ABS(O51)&gt;1),_xlfn.NORM.S.DIST((-1-O51)/SQRT(SessionLeft),TRUE)+1-_xlfn.NORM.S.DIST((1-O51)/SQRT(SessionLeft),TRUE)),"")</f>
        <v>1</v>
      </c>
      <c r="Q51" s="13">
        <f>IF(ISNUMBER(O51),IF(SessionLeft&lt;=0,--(ABS(O51)&gt;2),_xlfn.NORM.S.DIST((-2-O51)/SQRT(SessionLeft),TRUE)+1-_xlfn.NORM.S.DIST((2-O51)/SQRT(SessionLeft),TRUE)),"")</f>
        <v>0</v>
      </c>
      <c r="R51" s="13">
        <f>IF(ISNUMBER(O51),IF(SessionLeft&lt;=0,--(ABS(O51)&gt;3),_xlfn.NORM.S.DIST((-3-O51)/SQRT(SessionLeft),TRUE)+1-_xlfn.NORM.S.DIST((3-O51)/SQRT(SessionLeft),TRUE)),"")</f>
        <v>0</v>
      </c>
      <c r="S51" s="6"/>
      <c r="T51" s="8"/>
      <c r="U51" s="9"/>
      <c r="V51" s="14"/>
      <c r="W51" s="8"/>
      <c r="X51" s="8"/>
      <c r="Y51" s="8"/>
      <c r="Z51" s="12"/>
      <c r="AA51" s="11"/>
      <c r="AB51" s="15">
        <f>IFERROR(IF(INDEX(Feed!$M:$M,$AG51)="","",INDEX(Feed!$M:$M,$AG51)),"")</f>
        <v>46287.671400462961</v>
      </c>
      <c r="AD51" t="s">
        <v>76</v>
      </c>
      <c r="AE51" t="s">
        <v>31</v>
      </c>
      <c r="AF51" t="s">
        <v>59</v>
      </c>
      <c r="AG51">
        <f>IFERROR(MATCH($AD51,Feed!$A:$A,0),"")</f>
        <v>88</v>
      </c>
    </row>
    <row r="52" spans="1:33" x14ac:dyDescent="0.15">
      <c r="A52" s="4" t="s">
        <v>78</v>
      </c>
      <c r="B52" s="4" t="str">
        <f ca="1">IF(NOT(ISNUMBER(V52)),"",IF((NOW()-N(AB52))*1440&gt;StaleMin,"STALE",IF(AND($AF52="EQUITY",ABS(N(T52))&gt;ExDivFlag),"EX-DIV?",IF(X52&gt;IF($AF52="FI",EdgeFI,EdgeEq),"SELL ETF / BUY "&amp;UPPER($A$53),IF(Y52&gt;IF($AF52="FI",EdgeFI,EdgeEq),"BUY ETF / SELL "&amp;UPPER($A$53),"")))))</f>
        <v>STALE</v>
      </c>
      <c r="C52" s="5">
        <f>IFERROR(IF(INDEX(Feed!$N:$N,$AG52)="","",INDEX(Feed!$N:$N,$AG52)),"")</f>
        <v>0.99680541910261267</v>
      </c>
      <c r="D52" s="6">
        <f>IFERROR(IF(INDEX(Feed!$B:$B,$AG52)="","",INDEX(Feed!$B:$B,$AG52)),"")</f>
        <v>105.55</v>
      </c>
      <c r="E52" s="6">
        <f>IFERROR(IF(INDEX(Feed!$C:$C,$AG52)="","",INDEX(Feed!$C:$C,$AG52)),"")</f>
        <v>105.55</v>
      </c>
      <c r="F52" s="6">
        <f>IFERROR(IF(INDEX(Feed!$D:$D,$AG52)="","",INDEX(Feed!$D:$D,$AG52)),"")</f>
        <v>105.57</v>
      </c>
      <c r="G52" s="7">
        <f>IFERROR(IF(INDEX(Feed!$E:$E,$AG52)="","",INDEX(Feed!$E:$E,$AG52)),"")</f>
        <v>11506</v>
      </c>
      <c r="H52" s="7">
        <f>IFERROR(IF(INDEX(Feed!$F:$F,$AG52)="","",INDEX(Feed!$F:$F,$AG52)),"")</f>
        <v>400</v>
      </c>
      <c r="I52" s="8">
        <f>IF(AND(N(E52)&gt;0,N(F52)&gt;0),(F52-E52)/((F52+E52)/2)*10000,"")</f>
        <v>1.8946570670704832</v>
      </c>
      <c r="J52" s="9">
        <f>IF(N(D52)&gt;0,IFERROR(D52/INDEX(Feed!$G:$G,$AG52)-1,""),"")</f>
        <v>2.6598271112376892E-3</v>
      </c>
      <c r="K52" s="7">
        <f>IFERROR(IF(INDEX(Feed!$H:$H,$AG52)="","",INDEX(Feed!$H:$H,$AG52)),"")</f>
        <v>1757608</v>
      </c>
      <c r="L52" s="7" t="str">
        <f>IFERROR(IF(INDEX(Feed!$I:$I,$AG52)="","",INDEX(Feed!$I:$I,$AG52)),"")</f>
        <v/>
      </c>
      <c r="M52" s="10" t="str">
        <f>IF(AND(N(K52)&gt;0,N(L52)&gt;0),K52/L52,"")</f>
        <v/>
      </c>
      <c r="N52" s="11">
        <f>IFERROR(IF(INDEX(Feed!$L:$L,$AG52)="","",INDEX(Feed!$L:$L,$AG52)),"")</f>
        <v>2.1936612894987522E-3</v>
      </c>
      <c r="O52" s="12">
        <f>IF(AND(ISNUMBER(J52),N(N52)&gt;0),J52/N52,"")</f>
        <v>1.2125058339546371</v>
      </c>
      <c r="P52" s="13">
        <f>IF(ISNUMBER(O52),IF(SessionLeft&lt;=0,--(ABS(O52)&gt;1),_xlfn.NORM.S.DIST((-1-O52)/SQRT(SessionLeft),TRUE)+1-_xlfn.NORM.S.DIST((1-O52)/SQRT(SessionLeft),TRUE)),"")</f>
        <v>1</v>
      </c>
      <c r="Q52" s="13">
        <f>IF(ISNUMBER(O52),IF(SessionLeft&lt;=0,--(ABS(O52)&gt;2),_xlfn.NORM.S.DIST((-2-O52)/SQRT(SessionLeft),TRUE)+1-_xlfn.NORM.S.DIST((2-O52)/SQRT(SessionLeft),TRUE)),"")</f>
        <v>0</v>
      </c>
      <c r="R52" s="13">
        <f>IF(ISNUMBER(O52),IF(SessionLeft&lt;=0,--(ABS(O52)&gt;3),_xlfn.NORM.S.DIST((-3-O52)/SQRT(SessionLeft),TRUE)+1-_xlfn.NORM.S.DIST((3-O52)/SQRT(SessionLeft),TRUE)),"")</f>
        <v>0</v>
      </c>
      <c r="S52" s="6">
        <f>IFERROR(IF(INDEX(Feed!$J:$J,$AG52)="","",INDEX(Feed!$J:$J,$AG52)),"")</f>
        <v>105.26103999999999</v>
      </c>
      <c r="T52" s="8">
        <f>IFERROR(IF(N(S52)&gt;0,(INDEX(Feed!$G:$G,$AG52)/S52-1)*10000,""),"")</f>
        <v>0.85121712648961179</v>
      </c>
      <c r="U52" s="9">
        <f>IFERROR(C52*$J$53,"")</f>
        <v>3.1346082361716266E-3</v>
      </c>
      <c r="V52" s="14">
        <f>IF(ISNUMBER(U52),IF(AND(Anchor="NAV",N(S52)&gt;0),S52,INDEX(Feed!$G:$G,$AG52))*(1+U52),"")</f>
        <v>105.59998020902178</v>
      </c>
      <c r="W52" s="8">
        <f>IF(ISNUMBER(V52),(IF(AND(N(E52)&gt;0,N(F52)&gt;0),(E52+F52)/2,D52)/V52-1)*10000,"")</f>
        <v>-3.7860053517668746</v>
      </c>
      <c r="X52" s="8">
        <f>IF(ISNUMBER(V52),(IF(N(E52)&gt;0,E52,D52)/V52-1)*10000-IF($AF52="FI",CostFI,CostEq),"")</f>
        <v>-12.732975226212632</v>
      </c>
      <c r="Y52" s="8">
        <f>IF(ISNUMBER(V52),(1-IF(N(F52)&gt;0,F52,D52)/V52)*10000-IF($AF52="FI",CostFI,CostEq),"")</f>
        <v>-5.1609645226788832</v>
      </c>
      <c r="Z52" s="12">
        <f>IFERROR((J52-U52-INDEX(Feed!$O:$O,$AG52))/INDEX(Feed!$P:$P,$AG52),"")</f>
        <v>-1.2564040509526497</v>
      </c>
      <c r="AA52" s="11">
        <f>IFERROR(IF(INDEX(Feed!$K:$K,$AG52)="","",INDEX(Feed!$K:$K,$AG52)),"")</f>
        <v>4.9799999999999997E-2</v>
      </c>
      <c r="AB52" s="15">
        <f>IFERROR(IF(INDEX(Feed!$M:$M,$AG52)="","",INDEX(Feed!$M:$M,$AG52)),"")</f>
        <v>46287.672222222223</v>
      </c>
      <c r="AD52" t="s">
        <v>78</v>
      </c>
      <c r="AE52" t="s">
        <v>28</v>
      </c>
      <c r="AF52" t="s">
        <v>59</v>
      </c>
      <c r="AG52">
        <f>IFERROR(MATCH($AD52,Feed!$A:$A,0),"")</f>
        <v>17</v>
      </c>
    </row>
    <row r="53" spans="1:33" x14ac:dyDescent="0.15">
      <c r="A53" s="4" t="s">
        <v>79</v>
      </c>
      <c r="B53" s="4"/>
      <c r="C53" s="5"/>
      <c r="D53" s="6">
        <f>IFERROR(IF(INDEX(Feed!$B:$B,$AG53)="","",INDEX(Feed!$B:$B,$AG53)),"")</f>
        <v>25.52</v>
      </c>
      <c r="E53" s="6">
        <f>IFERROR(IF(INDEX(Feed!$C:$C,$AG53)="","",INDEX(Feed!$C:$C,$AG53)),"")</f>
        <v>25.51</v>
      </c>
      <c r="F53" s="6">
        <f>IFERROR(IF(INDEX(Feed!$D:$D,$AG53)="","",INDEX(Feed!$D:$D,$AG53)),"")</f>
        <v>25.52</v>
      </c>
      <c r="G53" s="7">
        <f>IFERROR(IF(INDEX(Feed!$E:$E,$AG53)="","",INDEX(Feed!$E:$E,$AG53)),"")</f>
        <v>1500</v>
      </c>
      <c r="H53" s="7">
        <f>IFERROR(IF(INDEX(Feed!$F:$F,$AG53)="","",INDEX(Feed!$F:$F,$AG53)),"")</f>
        <v>70385</v>
      </c>
      <c r="I53" s="8">
        <f>IF(AND(N(E53)&gt;0,N(F53)&gt;0),(F53-E53)/((F53+E53)/2)*10000,"")</f>
        <v>3.9192631785216578</v>
      </c>
      <c r="J53" s="9">
        <f>IF(N(D53)&gt;0,IFERROR(D53/INDEX(Feed!$G:$G,$AG53)-1,""),"")</f>
        <v>3.1446540880502027E-3</v>
      </c>
      <c r="K53" s="7">
        <f>IFERROR(IF(INDEX(Feed!$H:$H,$AG53)="","",INDEX(Feed!$H:$H,$AG53)),"")</f>
        <v>5560989</v>
      </c>
      <c r="L53" s="7" t="str">
        <f>IFERROR(IF(INDEX(Feed!$I:$I,$AG53)="","",INDEX(Feed!$I:$I,$AG53)),"")</f>
        <v/>
      </c>
      <c r="M53" s="10" t="str">
        <f>IF(AND(N(K53)&gt;0,N(L53)&gt;0),K53/L53,"")</f>
        <v/>
      </c>
      <c r="N53" s="11">
        <f>IFERROR(IF(INDEX(Feed!$L:$L,$AG53)="","",INDEX(Feed!$L:$L,$AG53)),"")</f>
        <v>2.1269904579473906E-3</v>
      </c>
      <c r="O53" s="12">
        <f>IF(AND(ISNUMBER(J53),N(N53)&gt;0),J53/N53,"")</f>
        <v>1.4784523721300038</v>
      </c>
      <c r="P53" s="13">
        <f>IF(ISNUMBER(O53),IF(SessionLeft&lt;=0,--(ABS(O53)&gt;1),_xlfn.NORM.S.DIST((-1-O53)/SQRT(SessionLeft),TRUE)+1-_xlfn.NORM.S.DIST((1-O53)/SQRT(SessionLeft),TRUE)),"")</f>
        <v>1</v>
      </c>
      <c r="Q53" s="13">
        <f>IF(ISNUMBER(O53),IF(SessionLeft&lt;=0,--(ABS(O53)&gt;2),_xlfn.NORM.S.DIST((-2-O53)/SQRT(SessionLeft),TRUE)+1-_xlfn.NORM.S.DIST((2-O53)/SQRT(SessionLeft),TRUE)),"")</f>
        <v>0</v>
      </c>
      <c r="R53" s="13">
        <f>IF(ISNUMBER(O53),IF(SessionLeft&lt;=0,--(ABS(O53)&gt;3),_xlfn.NORM.S.DIST((-3-O53)/SQRT(SessionLeft),TRUE)+1-_xlfn.NORM.S.DIST((3-O53)/SQRT(SessionLeft),TRUE)),"")</f>
        <v>0</v>
      </c>
      <c r="S53" s="6"/>
      <c r="T53" s="8"/>
      <c r="U53" s="9"/>
      <c r="V53" s="14"/>
      <c r="W53" s="8"/>
      <c r="X53" s="8"/>
      <c r="Y53" s="8"/>
      <c r="Z53" s="12"/>
      <c r="AA53" s="11"/>
      <c r="AB53" s="15">
        <f>IFERROR(IF(INDEX(Feed!$M:$M,$AG53)="","",INDEX(Feed!$M:$M,$AG53)),"")</f>
        <v>46287.683333333334</v>
      </c>
      <c r="AD53" t="s">
        <v>79</v>
      </c>
      <c r="AE53" t="s">
        <v>31</v>
      </c>
      <c r="AF53" t="s">
        <v>59</v>
      </c>
      <c r="AG53">
        <f>IFERROR(MATCH($AD53,Feed!$A:$A,0),"")</f>
        <v>440</v>
      </c>
    </row>
    <row r="54" spans="1:33" x14ac:dyDescent="0.15">
      <c r="A54" s="4" t="s">
        <v>81</v>
      </c>
      <c r="B54" s="4" t="str">
        <f ca="1">IF(NOT(ISNUMBER(V54)),"",IF((NOW()-N(AB54))*1440&gt;StaleMin,"STALE",IF(AND($AF54="EQUITY",ABS(N(T54))&gt;ExDivFlag),"EX-DIV?",IF(X54&gt;IF($AF54="FI",EdgeFI,EdgeEq),"SELL ETF / BUY "&amp;UPPER($A$55),IF(Y54&gt;IF($AF54="FI",EdgeFI,EdgeEq),"BUY ETF / SELL "&amp;UPPER($A$55),"")))))</f>
        <v>STALE</v>
      </c>
      <c r="C54" s="5">
        <f>IFERROR(IF(INDEX(Feed!$N:$N,$AG54)="","",INDEX(Feed!$N:$N,$AG54)),"")</f>
        <v>1.0208871449012338</v>
      </c>
      <c r="D54" s="6">
        <f>IFERROR(IF(INDEX(Feed!$B:$B,$AG54)="","",INDEX(Feed!$B:$B,$AG54)),"")</f>
        <v>102.75</v>
      </c>
      <c r="E54" s="6" t="str">
        <f>IFERROR(IF(INDEX(Feed!$C:$C,$AG54)="","",INDEX(Feed!$C:$C,$AG54)),"")</f>
        <v/>
      </c>
      <c r="F54" s="6" t="str">
        <f>IFERROR(IF(INDEX(Feed!$D:$D,$AG54)="","",INDEX(Feed!$D:$D,$AG54)),"")</f>
        <v/>
      </c>
      <c r="G54" s="7" t="str">
        <f>IFERROR(IF(INDEX(Feed!$E:$E,$AG54)="","",INDEX(Feed!$E:$E,$AG54)),"")</f>
        <v/>
      </c>
      <c r="H54" s="7" t="str">
        <f>IFERROR(IF(INDEX(Feed!$F:$F,$AG54)="","",INDEX(Feed!$F:$F,$AG54)),"")</f>
        <v/>
      </c>
      <c r="I54" s="8" t="str">
        <f>IF(AND(N(E54)&gt;0,N(F54)&gt;0),(F54-E54)/((F54+E54)/2)*10000,"")</f>
        <v/>
      </c>
      <c r="J54" s="9">
        <f>IF(N(D54)&gt;0,IFERROR(D54/INDEX(Feed!$G:$G,$AG54)-1,""),"")</f>
        <v>-1.2636080870916944E-3</v>
      </c>
      <c r="K54" s="7">
        <f>IFERROR(IF(INDEX(Feed!$H:$H,$AG54)="","",INDEX(Feed!$H:$H,$AG54)),"")</f>
        <v>8743685</v>
      </c>
      <c r="L54" s="7" t="str">
        <f>IFERROR(IF(INDEX(Feed!$I:$I,$AG54)="","",INDEX(Feed!$I:$I,$AG54)),"")</f>
        <v/>
      </c>
      <c r="M54" s="10" t="str">
        <f>IF(AND(N(K54)&gt;0,N(L54)&gt;0),K54/L54,"")</f>
        <v/>
      </c>
      <c r="N54" s="11">
        <f>IFERROR(IF(INDEX(Feed!$L:$L,$AG54)="","",INDEX(Feed!$L:$L,$AG54)),"")</f>
        <v>2.2422134099837703E-3</v>
      </c>
      <c r="O54" s="12">
        <f>IF(AND(ISNUMBER(J54),N(N54)&gt;0),J54/N54,"")</f>
        <v>-0.56355388896761649</v>
      </c>
      <c r="P54" s="13">
        <f>IF(ISNUMBER(O54),IF(SessionLeft&lt;=0,--(ABS(O54)&gt;1),_xlfn.NORM.S.DIST((-1-O54)/SQRT(SessionLeft),TRUE)+1-_xlfn.NORM.S.DIST((1-O54)/SQRT(SessionLeft),TRUE)),"")</f>
        <v>0</v>
      </c>
      <c r="Q54" s="13">
        <f>IF(ISNUMBER(O54),IF(SessionLeft&lt;=0,--(ABS(O54)&gt;2),_xlfn.NORM.S.DIST((-2-O54)/SQRT(SessionLeft),TRUE)+1-_xlfn.NORM.S.DIST((2-O54)/SQRT(SessionLeft),TRUE)),"")</f>
        <v>0</v>
      </c>
      <c r="R54" s="13">
        <f>IF(ISNUMBER(O54),IF(SessionLeft&lt;=0,--(ABS(O54)&gt;3),_xlfn.NORM.S.DIST((-3-O54)/SQRT(SessionLeft),TRUE)+1-_xlfn.NORM.S.DIST((3-O54)/SQRT(SessionLeft),TRUE)),"")</f>
        <v>0</v>
      </c>
      <c r="S54" s="6">
        <f>IFERROR(IF(INDEX(Feed!$J:$J,$AG54)="","",INDEX(Feed!$J:$J,$AG54)),"")</f>
        <v>102.63043</v>
      </c>
      <c r="T54" s="8">
        <f>IFERROR(IF(N(S54)&gt;0,(INDEX(Feed!$G:$G,$AG54)/S54-1)*10000,""),"")</f>
        <v>24.317349152682688</v>
      </c>
      <c r="U54" s="9">
        <f>IFERROR(C54*$J$55,"")</f>
        <v>5.0769713390593383E-3</v>
      </c>
      <c r="V54" s="14">
        <f>IF(ISNUMBER(U54),IF(AND(Anchor="NAV",N(S54)&gt;0),S54,INDEX(Feed!$G:$G,$AG54))*(1+U54),"")</f>
        <v>103.40231881136241</v>
      </c>
      <c r="W54" s="8">
        <f>IF(ISNUMBER(V54),(IF(AND(N(E54)&gt;0,N(F54)&gt;0),(E54+F54)/2,D54)/V54-1)*10000,"")</f>
        <v>-63.085510930604997</v>
      </c>
      <c r="X54" s="8">
        <f>IF(ISNUMBER(V54),(IF(N(E54)&gt;0,E54,D54)/V54-1)*10000-IF($AF54="FI",CostFI,CostEq),"")</f>
        <v>-71.085510930604997</v>
      </c>
      <c r="Y54" s="8">
        <f>IF(ISNUMBER(V54),(1-IF(N(F54)&gt;0,F54,D54)/V54)*10000-IF($AF54="FI",CostFI,CostEq),"")</f>
        <v>55.085510930604997</v>
      </c>
      <c r="Z54" s="12">
        <f>IFERROR((J54-U54-INDEX(Feed!$O:$O,$AG54))/INDEX(Feed!$P:$P,$AG54),"")</f>
        <v>-13.475061623070046</v>
      </c>
      <c r="AA54" s="11">
        <f>IFERROR(IF(INDEX(Feed!$K:$K,$AG54)="","",INDEX(Feed!$K:$K,$AG54)),"")</f>
        <v>3.2500000000000001E-2</v>
      </c>
      <c r="AB54" s="15">
        <f>IFERROR(IF(INDEX(Feed!$M:$M,$AG54)="","",INDEX(Feed!$M:$M,$AG54)),"")</f>
        <v>46287.671377314815</v>
      </c>
      <c r="AD54" t="s">
        <v>81</v>
      </c>
      <c r="AE54" t="s">
        <v>28</v>
      </c>
      <c r="AF54" t="s">
        <v>59</v>
      </c>
      <c r="AG54">
        <f>IFERROR(MATCH($AD54,Feed!$A:$A,0),"")</f>
        <v>18</v>
      </c>
    </row>
    <row r="55" spans="1:33" x14ac:dyDescent="0.15">
      <c r="A55" s="4" t="s">
        <v>82</v>
      </c>
      <c r="B55" s="4"/>
      <c r="C55" s="5"/>
      <c r="D55" s="6">
        <f>IFERROR(IF(INDEX(Feed!$B:$B,$AG55)="","",INDEX(Feed!$B:$B,$AG55)),"")</f>
        <v>48.5</v>
      </c>
      <c r="E55" s="6">
        <f>IFERROR(IF(INDEX(Feed!$C:$C,$AG55)="","",INDEX(Feed!$C:$C,$AG55)),"")</f>
        <v>48.18</v>
      </c>
      <c r="F55" s="6">
        <f>IFERROR(IF(INDEX(Feed!$D:$D,$AG55)="","",INDEX(Feed!$D:$D,$AG55)),"")</f>
        <v>52.64</v>
      </c>
      <c r="G55" s="7">
        <f>IFERROR(IF(INDEX(Feed!$E:$E,$AG55)="","",INDEX(Feed!$E:$E,$AG55)),"")</f>
        <v>2</v>
      </c>
      <c r="H55" s="7">
        <f>IFERROR(IF(INDEX(Feed!$F:$F,$AG55)="","",INDEX(Feed!$F:$F,$AG55)),"")</f>
        <v>100</v>
      </c>
      <c r="I55" s="8">
        <f>IF(AND(N(E55)&gt;0,N(F55)&gt;0),(F55-E55)/((F55+E55)/2)*10000,"")</f>
        <v>884.74509025986924</v>
      </c>
      <c r="J55" s="9">
        <f>IF(N(D55)&gt;0,IFERROR(D55/INDEX(Feed!$G:$G,$AG55)-1,""),"")</f>
        <v>4.9730975303352576E-3</v>
      </c>
      <c r="K55" s="7" t="str">
        <f>IFERROR(IF(INDEX(Feed!$H:$H,$AG55)="","",INDEX(Feed!$H:$H,$AG55)),"")</f>
        <v/>
      </c>
      <c r="L55" s="7" t="str">
        <f>IFERROR(IF(INDEX(Feed!$I:$I,$AG55)="","",INDEX(Feed!$I:$I,$AG55)),"")</f>
        <v/>
      </c>
      <c r="M55" s="10" t="str">
        <f>IF(AND(N(K55)&gt;0,N(L55)&gt;0),K55/L55,"")</f>
        <v/>
      </c>
      <c r="N55" s="11">
        <f>IFERROR(IF(INDEX(Feed!$L:$L,$AG55)="","",INDEX(Feed!$L:$L,$AG55)),"")</f>
        <v>2.1741426501989394E-3</v>
      </c>
      <c r="O55" s="12">
        <f>IF(AND(ISNUMBER(J55),N(N55)&gt;0),J55/N55,"")</f>
        <v>2.2873832726110255</v>
      </c>
      <c r="P55" s="13">
        <f>IF(ISNUMBER(O55),IF(SessionLeft&lt;=0,--(ABS(O55)&gt;1),_xlfn.NORM.S.DIST((-1-O55)/SQRT(SessionLeft),TRUE)+1-_xlfn.NORM.S.DIST((1-O55)/SQRT(SessionLeft),TRUE)),"")</f>
        <v>1</v>
      </c>
      <c r="Q55" s="13">
        <f>IF(ISNUMBER(O55),IF(SessionLeft&lt;=0,--(ABS(O55)&gt;2),_xlfn.NORM.S.DIST((-2-O55)/SQRT(SessionLeft),TRUE)+1-_xlfn.NORM.S.DIST((2-O55)/SQRT(SessionLeft),TRUE)),"")</f>
        <v>1</v>
      </c>
      <c r="R55" s="13">
        <f>IF(ISNUMBER(O55),IF(SessionLeft&lt;=0,--(ABS(O55)&gt;3),_xlfn.NORM.S.DIST((-3-O55)/SQRT(SessionLeft),TRUE)+1-_xlfn.NORM.S.DIST((3-O55)/SQRT(SessionLeft),TRUE)),"")</f>
        <v>0</v>
      </c>
      <c r="S55" s="6"/>
      <c r="T55" s="8"/>
      <c r="U55" s="9"/>
      <c r="V55" s="14"/>
      <c r="W55" s="8"/>
      <c r="X55" s="8"/>
      <c r="Y55" s="8"/>
      <c r="Z55" s="12"/>
      <c r="AA55" s="11"/>
      <c r="AB55" s="15">
        <f>IFERROR(IF(INDEX(Feed!$M:$M,$AG55)="","",INDEX(Feed!$M:$M,$AG55)),"")</f>
        <v>46287.683333333334</v>
      </c>
      <c r="AD55" t="s">
        <v>82</v>
      </c>
      <c r="AE55" t="s">
        <v>31</v>
      </c>
      <c r="AF55" t="s">
        <v>59</v>
      </c>
      <c r="AG55">
        <f>IFERROR(MATCH($AD55,Feed!$A:$A,0),"")</f>
        <v>529</v>
      </c>
    </row>
    <row r="56" spans="1:33" x14ac:dyDescent="0.15">
      <c r="A56" s="4"/>
      <c r="B56" s="4"/>
      <c r="C56" s="5"/>
      <c r="D56" s="6"/>
      <c r="E56" s="6"/>
      <c r="F56" s="6"/>
      <c r="G56" s="7"/>
      <c r="H56" s="7"/>
      <c r="I56" s="8"/>
      <c r="J56" s="9"/>
      <c r="K56" s="7"/>
      <c r="L56" s="7"/>
      <c r="M56" s="10"/>
      <c r="N56" s="11"/>
      <c r="O56" s="12"/>
      <c r="P56" s="13"/>
      <c r="Q56" s="13"/>
      <c r="R56" s="13"/>
      <c r="S56" s="6"/>
      <c r="T56" s="8"/>
      <c r="U56" s="9"/>
      <c r="V56" s="14"/>
      <c r="W56" s="8"/>
      <c r="X56" s="8"/>
      <c r="Y56" s="8"/>
      <c r="Z56" s="12"/>
      <c r="AA56" s="11"/>
      <c r="AB56" s="15"/>
    </row>
    <row r="57" spans="1:33" x14ac:dyDescent="0.15">
      <c r="A57" s="4"/>
      <c r="B57" s="4"/>
      <c r="C57" s="5"/>
      <c r="D57" s="6"/>
      <c r="E57" s="6"/>
      <c r="F57" s="6"/>
      <c r="G57" s="7"/>
      <c r="H57" s="7"/>
      <c r="I57" s="8"/>
      <c r="J57" s="9"/>
      <c r="K57" s="7"/>
      <c r="L57" s="7"/>
      <c r="M57" s="10"/>
      <c r="N57" s="11"/>
      <c r="O57" s="12"/>
      <c r="P57" s="13"/>
      <c r="Q57" s="13"/>
      <c r="R57" s="13"/>
      <c r="S57" s="6"/>
      <c r="T57" s="8"/>
      <c r="U57" s="9"/>
      <c r="V57" s="14"/>
      <c r="W57" s="8"/>
      <c r="X57" s="8"/>
      <c r="Y57" s="8"/>
      <c r="Z57" s="12"/>
      <c r="AA57" s="11"/>
      <c r="AB57" s="15"/>
    </row>
    <row r="58" spans="1:33" x14ac:dyDescent="0.15">
      <c r="A58" s="4"/>
      <c r="B58" s="4"/>
      <c r="C58" s="5"/>
      <c r="D58" s="6"/>
      <c r="E58" s="6"/>
      <c r="F58" s="6"/>
      <c r="G58" s="7"/>
      <c r="H58" s="7"/>
      <c r="I58" s="8"/>
      <c r="J58" s="9"/>
      <c r="K58" s="7"/>
      <c r="L58" s="7"/>
      <c r="M58" s="10"/>
      <c r="N58" s="11"/>
      <c r="O58" s="12"/>
      <c r="P58" s="13"/>
      <c r="Q58" s="13"/>
      <c r="R58" s="13"/>
      <c r="S58" s="6"/>
      <c r="T58" s="8"/>
      <c r="U58" s="9"/>
      <c r="V58" s="14"/>
      <c r="W58" s="8"/>
      <c r="X58" s="8"/>
      <c r="Y58" s="8"/>
      <c r="Z58" s="12"/>
      <c r="AA58" s="11"/>
      <c r="AB58" s="15"/>
    </row>
    <row r="59" spans="1:33" x14ac:dyDescent="0.15">
      <c r="A59" s="4"/>
      <c r="B59" s="4"/>
      <c r="C59" s="5"/>
      <c r="D59" s="6"/>
      <c r="E59" s="6"/>
      <c r="F59" s="6"/>
      <c r="G59" s="7"/>
      <c r="H59" s="7"/>
      <c r="I59" s="8"/>
      <c r="J59" s="9"/>
      <c r="K59" s="7"/>
      <c r="L59" s="7"/>
      <c r="M59" s="10"/>
      <c r="N59" s="11"/>
      <c r="O59" s="12"/>
      <c r="P59" s="13"/>
      <c r="Q59" s="13"/>
      <c r="R59" s="13"/>
      <c r="S59" s="6"/>
      <c r="T59" s="8"/>
      <c r="U59" s="9"/>
      <c r="V59" s="14"/>
      <c r="W59" s="8"/>
      <c r="X59" s="8"/>
      <c r="Y59" s="8"/>
      <c r="Z59" s="12"/>
      <c r="AA59" s="11"/>
      <c r="AB59" s="15"/>
    </row>
    <row r="60" spans="1:33" x14ac:dyDescent="0.15">
      <c r="A60" s="4"/>
      <c r="B60" s="4"/>
      <c r="C60" s="5"/>
      <c r="D60" s="6"/>
      <c r="E60" s="6"/>
      <c r="F60" s="6"/>
      <c r="G60" s="7"/>
      <c r="H60" s="7"/>
      <c r="I60" s="8"/>
      <c r="J60" s="9"/>
      <c r="K60" s="7"/>
      <c r="L60" s="7"/>
      <c r="M60" s="10"/>
      <c r="N60" s="11"/>
      <c r="O60" s="12"/>
      <c r="P60" s="13"/>
      <c r="Q60" s="13"/>
      <c r="R60" s="13"/>
      <c r="S60" s="6"/>
      <c r="T60" s="8"/>
      <c r="U60" s="9"/>
      <c r="V60" s="14"/>
      <c r="W60" s="8"/>
      <c r="X60" s="8"/>
      <c r="Y60" s="8"/>
      <c r="Z60" s="12"/>
      <c r="AA60" s="11"/>
      <c r="AB60" s="15"/>
    </row>
    <row r="61" spans="1:33" x14ac:dyDescent="0.15">
      <c r="A61" s="4"/>
      <c r="B61" s="4"/>
      <c r="C61" s="5"/>
      <c r="D61" s="6"/>
      <c r="E61" s="6"/>
      <c r="F61" s="6"/>
      <c r="G61" s="7"/>
      <c r="H61" s="7"/>
      <c r="I61" s="8"/>
      <c r="J61" s="9"/>
      <c r="K61" s="7"/>
      <c r="L61" s="7"/>
      <c r="M61" s="10"/>
      <c r="N61" s="11"/>
      <c r="O61" s="12"/>
      <c r="P61" s="13"/>
      <c r="Q61" s="13"/>
      <c r="R61" s="13"/>
      <c r="S61" s="6"/>
      <c r="T61" s="8"/>
      <c r="U61" s="9"/>
      <c r="V61" s="14"/>
      <c r="W61" s="8"/>
      <c r="X61" s="8"/>
      <c r="Y61" s="8"/>
      <c r="Z61" s="12"/>
      <c r="AA61" s="11"/>
      <c r="AB61" s="15"/>
    </row>
    <row r="62" spans="1:33" x14ac:dyDescent="0.15">
      <c r="A62" s="4"/>
      <c r="B62" s="4"/>
      <c r="C62" s="5"/>
      <c r="D62" s="6"/>
      <c r="E62" s="6"/>
      <c r="F62" s="6"/>
      <c r="G62" s="7"/>
      <c r="H62" s="7"/>
      <c r="I62" s="8"/>
      <c r="J62" s="9"/>
      <c r="K62" s="7"/>
      <c r="L62" s="7"/>
      <c r="M62" s="10"/>
      <c r="N62" s="11"/>
      <c r="O62" s="12"/>
      <c r="P62" s="13"/>
      <c r="Q62" s="13"/>
      <c r="R62" s="13"/>
      <c r="S62" s="6"/>
      <c r="T62" s="8"/>
      <c r="U62" s="9"/>
      <c r="V62" s="14"/>
      <c r="W62" s="8"/>
      <c r="X62" s="8"/>
      <c r="Y62" s="8"/>
      <c r="Z62" s="12"/>
      <c r="AA62" s="11"/>
      <c r="AB62" s="15"/>
    </row>
    <row r="63" spans="1:33" x14ac:dyDescent="0.15">
      <c r="A63" s="4"/>
      <c r="B63" s="4"/>
      <c r="C63" s="5"/>
      <c r="D63" s="6"/>
      <c r="E63" s="6"/>
      <c r="F63" s="6"/>
      <c r="G63" s="7"/>
      <c r="H63" s="7"/>
      <c r="I63" s="8"/>
      <c r="J63" s="9"/>
      <c r="K63" s="7"/>
      <c r="L63" s="7"/>
      <c r="M63" s="10"/>
      <c r="N63" s="11"/>
      <c r="O63" s="12"/>
      <c r="P63" s="13"/>
      <c r="Q63" s="13"/>
      <c r="R63" s="13"/>
      <c r="S63" s="6"/>
      <c r="T63" s="8"/>
      <c r="U63" s="9"/>
      <c r="V63" s="14"/>
      <c r="W63" s="8"/>
      <c r="X63" s="8"/>
      <c r="Y63" s="8"/>
      <c r="Z63" s="12"/>
      <c r="AA63" s="11"/>
      <c r="AB63" s="15"/>
    </row>
    <row r="64" spans="1:33" x14ac:dyDescent="0.15">
      <c r="A64" s="4"/>
      <c r="B64" s="4"/>
      <c r="C64" s="5"/>
      <c r="D64" s="6"/>
      <c r="E64" s="6"/>
      <c r="F64" s="6"/>
      <c r="G64" s="7"/>
      <c r="H64" s="7"/>
      <c r="I64" s="8"/>
      <c r="J64" s="9"/>
      <c r="K64" s="7"/>
      <c r="L64" s="7"/>
      <c r="M64" s="10"/>
      <c r="N64" s="11"/>
      <c r="O64" s="12"/>
      <c r="P64" s="13"/>
      <c r="Q64" s="13"/>
      <c r="R64" s="13"/>
      <c r="S64" s="6"/>
      <c r="T64" s="8"/>
      <c r="U64" s="9"/>
      <c r="V64" s="14"/>
      <c r="W64" s="8"/>
      <c r="X64" s="8"/>
      <c r="Y64" s="8"/>
      <c r="Z64" s="12"/>
      <c r="AA64" s="11"/>
      <c r="AB64" s="15"/>
    </row>
    <row r="65" spans="1:28" x14ac:dyDescent="0.15">
      <c r="A65" s="4"/>
      <c r="B65" s="4"/>
      <c r="C65" s="5"/>
      <c r="D65" s="6"/>
      <c r="E65" s="6"/>
      <c r="F65" s="6"/>
      <c r="G65" s="7"/>
      <c r="H65" s="7"/>
      <c r="I65" s="8"/>
      <c r="J65" s="9"/>
      <c r="K65" s="7"/>
      <c r="L65" s="7"/>
      <c r="M65" s="10"/>
      <c r="N65" s="11"/>
      <c r="O65" s="12"/>
      <c r="P65" s="13"/>
      <c r="Q65" s="13"/>
      <c r="R65" s="13"/>
      <c r="S65" s="6"/>
      <c r="T65" s="8"/>
      <c r="U65" s="9"/>
      <c r="V65" s="14"/>
      <c r="W65" s="8"/>
      <c r="X65" s="8"/>
      <c r="Y65" s="8"/>
      <c r="Z65" s="12"/>
      <c r="AA65" s="11"/>
      <c r="AB65" s="15"/>
    </row>
    <row r="66" spans="1:28" x14ac:dyDescent="0.15">
      <c r="A66" s="4"/>
      <c r="B66" s="4"/>
      <c r="C66" s="5"/>
      <c r="D66" s="6"/>
      <c r="E66" s="6"/>
      <c r="F66" s="6"/>
      <c r="G66" s="7"/>
      <c r="H66" s="7"/>
      <c r="I66" s="8"/>
      <c r="J66" s="9"/>
      <c r="K66" s="7"/>
      <c r="L66" s="7"/>
      <c r="M66" s="10"/>
      <c r="N66" s="11"/>
      <c r="O66" s="12"/>
      <c r="P66" s="13"/>
      <c r="Q66" s="13"/>
      <c r="R66" s="13"/>
      <c r="S66" s="6"/>
      <c r="T66" s="8"/>
      <c r="U66" s="9"/>
      <c r="V66" s="14"/>
      <c r="W66" s="8"/>
      <c r="X66" s="8"/>
      <c r="Y66" s="8"/>
      <c r="Z66" s="12"/>
      <c r="AA66" s="11"/>
      <c r="AB66" s="15"/>
    </row>
    <row r="67" spans="1:28" x14ac:dyDescent="0.15">
      <c r="A67" s="4"/>
      <c r="B67" s="4"/>
      <c r="C67" s="5"/>
      <c r="D67" s="6"/>
      <c r="E67" s="6"/>
      <c r="F67" s="6"/>
      <c r="G67" s="7"/>
      <c r="H67" s="7"/>
      <c r="I67" s="8"/>
      <c r="J67" s="9"/>
      <c r="K67" s="7"/>
      <c r="L67" s="7"/>
      <c r="M67" s="10"/>
      <c r="N67" s="11"/>
      <c r="O67" s="12"/>
      <c r="P67" s="13"/>
      <c r="Q67" s="13"/>
      <c r="R67" s="13"/>
      <c r="S67" s="6"/>
      <c r="T67" s="8"/>
      <c r="U67" s="9"/>
      <c r="V67" s="14"/>
      <c r="W67" s="8"/>
      <c r="X67" s="8"/>
      <c r="Y67" s="8"/>
      <c r="Z67" s="12"/>
      <c r="AA67" s="11"/>
      <c r="AB67" s="15"/>
    </row>
    <row r="68" spans="1:28" x14ac:dyDescent="0.15">
      <c r="A68" s="4"/>
      <c r="B68" s="4"/>
      <c r="C68" s="5"/>
      <c r="D68" s="6"/>
      <c r="E68" s="6"/>
      <c r="F68" s="6"/>
      <c r="G68" s="7"/>
      <c r="H68" s="7"/>
      <c r="I68" s="8"/>
      <c r="J68" s="9"/>
      <c r="K68" s="7"/>
      <c r="L68" s="7"/>
      <c r="M68" s="10"/>
      <c r="N68" s="11"/>
      <c r="O68" s="12"/>
      <c r="P68" s="13"/>
      <c r="Q68" s="13"/>
      <c r="R68" s="13"/>
      <c r="S68" s="6"/>
      <c r="T68" s="8"/>
      <c r="U68" s="9"/>
      <c r="V68" s="14"/>
      <c r="W68" s="8"/>
      <c r="X68" s="8"/>
      <c r="Y68" s="8"/>
      <c r="Z68" s="12"/>
      <c r="AA68" s="11"/>
      <c r="AB68" s="15"/>
    </row>
    <row r="69" spans="1:28" x14ac:dyDescent="0.15">
      <c r="A69" s="4"/>
      <c r="B69" s="4"/>
      <c r="C69" s="5"/>
      <c r="D69" s="6"/>
      <c r="E69" s="6"/>
      <c r="F69" s="6"/>
      <c r="G69" s="7"/>
      <c r="H69" s="7"/>
      <c r="I69" s="8"/>
      <c r="J69" s="9"/>
      <c r="K69" s="7"/>
      <c r="L69" s="7"/>
      <c r="M69" s="10"/>
      <c r="N69" s="11"/>
      <c r="O69" s="12"/>
      <c r="P69" s="13"/>
      <c r="Q69" s="13"/>
      <c r="R69" s="13"/>
      <c r="S69" s="6"/>
      <c r="T69" s="8"/>
      <c r="U69" s="9"/>
      <c r="V69" s="14"/>
      <c r="W69" s="8"/>
      <c r="X69" s="8"/>
      <c r="Y69" s="8"/>
      <c r="Z69" s="12"/>
      <c r="AA69" s="11"/>
      <c r="AB69" s="15"/>
    </row>
    <row r="70" spans="1:28" x14ac:dyDescent="0.15">
      <c r="A70" s="4"/>
      <c r="B70" s="4"/>
      <c r="C70" s="5"/>
      <c r="D70" s="6"/>
      <c r="E70" s="6"/>
      <c r="F70" s="6"/>
      <c r="G70" s="7"/>
      <c r="H70" s="7"/>
      <c r="I70" s="8"/>
      <c r="J70" s="9"/>
      <c r="K70" s="7"/>
      <c r="L70" s="7"/>
      <c r="M70" s="10"/>
      <c r="N70" s="11"/>
      <c r="O70" s="12"/>
      <c r="P70" s="13"/>
      <c r="Q70" s="13"/>
      <c r="R70" s="13"/>
      <c r="S70" s="6"/>
      <c r="T70" s="8"/>
      <c r="U70" s="9"/>
      <c r="V70" s="14"/>
      <c r="W70" s="8"/>
      <c r="X70" s="8"/>
      <c r="Y70" s="8"/>
      <c r="Z70" s="12"/>
      <c r="AA70" s="11"/>
      <c r="AB70" s="15"/>
    </row>
    <row r="71" spans="1:28" x14ac:dyDescent="0.15">
      <c r="A71" s="4"/>
      <c r="B71" s="4"/>
      <c r="C71" s="5"/>
      <c r="D71" s="6"/>
      <c r="E71" s="6"/>
      <c r="F71" s="6"/>
      <c r="G71" s="7"/>
      <c r="H71" s="7"/>
      <c r="I71" s="8"/>
      <c r="J71" s="9"/>
      <c r="K71" s="7"/>
      <c r="L71" s="7"/>
      <c r="M71" s="10"/>
      <c r="N71" s="11"/>
      <c r="O71" s="12"/>
      <c r="P71" s="13"/>
      <c r="Q71" s="13"/>
      <c r="R71" s="13"/>
      <c r="S71" s="6"/>
      <c r="T71" s="8"/>
      <c r="U71" s="9"/>
      <c r="V71" s="14"/>
      <c r="W71" s="8"/>
      <c r="X71" s="8"/>
      <c r="Y71" s="8"/>
      <c r="Z71" s="12"/>
      <c r="AA71" s="11"/>
      <c r="AB71" s="15"/>
    </row>
    <row r="72" spans="1:28" x14ac:dyDescent="0.15">
      <c r="A72" s="4"/>
      <c r="B72" s="4"/>
      <c r="C72" s="5"/>
      <c r="D72" s="6"/>
      <c r="E72" s="6"/>
      <c r="F72" s="6"/>
      <c r="G72" s="7"/>
      <c r="H72" s="7"/>
      <c r="I72" s="8"/>
      <c r="J72" s="9"/>
      <c r="K72" s="7"/>
      <c r="L72" s="7"/>
      <c r="M72" s="10"/>
      <c r="N72" s="11"/>
      <c r="O72" s="12"/>
      <c r="P72" s="13"/>
      <c r="Q72" s="13"/>
      <c r="R72" s="13"/>
      <c r="S72" s="6"/>
      <c r="T72" s="8"/>
      <c r="U72" s="9"/>
      <c r="V72" s="14"/>
      <c r="W72" s="8"/>
      <c r="X72" s="8"/>
      <c r="Y72" s="8"/>
      <c r="Z72" s="12"/>
      <c r="AA72" s="11"/>
      <c r="AB72" s="15"/>
    </row>
    <row r="73" spans="1:28" x14ac:dyDescent="0.15">
      <c r="A73" s="4"/>
      <c r="B73" s="4"/>
      <c r="C73" s="5"/>
      <c r="D73" s="6"/>
      <c r="E73" s="6"/>
      <c r="F73" s="6"/>
      <c r="G73" s="7"/>
      <c r="H73" s="7"/>
      <c r="I73" s="8"/>
      <c r="J73" s="9"/>
      <c r="K73" s="7"/>
      <c r="L73" s="7"/>
      <c r="M73" s="10"/>
      <c r="N73" s="11"/>
      <c r="O73" s="12"/>
      <c r="P73" s="13"/>
      <c r="Q73" s="13"/>
      <c r="R73" s="13"/>
      <c r="S73" s="6"/>
      <c r="T73" s="8"/>
      <c r="U73" s="9"/>
      <c r="V73" s="14"/>
      <c r="W73" s="8"/>
      <c r="X73" s="8"/>
      <c r="Y73" s="8"/>
      <c r="Z73" s="12"/>
      <c r="AA73" s="11"/>
      <c r="AB73" s="15"/>
    </row>
    <row r="74" spans="1:28" x14ac:dyDescent="0.15">
      <c r="A74" s="4"/>
      <c r="B74" s="4"/>
      <c r="C74" s="5"/>
      <c r="D74" s="6"/>
      <c r="E74" s="6"/>
      <c r="F74" s="6"/>
      <c r="G74" s="7"/>
      <c r="H74" s="7"/>
      <c r="I74" s="8"/>
      <c r="J74" s="9"/>
      <c r="K74" s="7"/>
      <c r="L74" s="7"/>
      <c r="M74" s="10"/>
      <c r="N74" s="11"/>
      <c r="O74" s="12"/>
      <c r="P74" s="13"/>
      <c r="Q74" s="13"/>
      <c r="R74" s="13"/>
      <c r="S74" s="6"/>
      <c r="T74" s="8"/>
      <c r="U74" s="9"/>
      <c r="V74" s="14"/>
      <c r="W74" s="8"/>
      <c r="X74" s="8"/>
      <c r="Y74" s="8"/>
      <c r="Z74" s="12"/>
      <c r="AA74" s="11"/>
      <c r="AB74" s="15"/>
    </row>
    <row r="75" spans="1:28" x14ac:dyDescent="0.15">
      <c r="A75" s="4"/>
      <c r="B75" s="4"/>
      <c r="C75" s="5"/>
      <c r="D75" s="6"/>
      <c r="E75" s="6"/>
      <c r="F75" s="6"/>
      <c r="G75" s="7"/>
      <c r="H75" s="7"/>
      <c r="I75" s="8"/>
      <c r="J75" s="9"/>
      <c r="K75" s="7"/>
      <c r="L75" s="7"/>
      <c r="M75" s="10"/>
      <c r="N75" s="11"/>
      <c r="O75" s="12"/>
      <c r="P75" s="13"/>
      <c r="Q75" s="13"/>
      <c r="R75" s="13"/>
      <c r="S75" s="6"/>
      <c r="T75" s="8"/>
      <c r="U75" s="9"/>
      <c r="V75" s="14"/>
      <c r="W75" s="8"/>
      <c r="X75" s="8"/>
      <c r="Y75" s="8"/>
      <c r="Z75" s="12"/>
      <c r="AA75" s="11"/>
      <c r="AB75" s="15"/>
    </row>
    <row r="76" spans="1:28" x14ac:dyDescent="0.15">
      <c r="A76" s="4"/>
      <c r="B76" s="4"/>
      <c r="C76" s="5"/>
      <c r="D76" s="6"/>
      <c r="E76" s="6"/>
      <c r="F76" s="6"/>
      <c r="G76" s="7"/>
      <c r="H76" s="7"/>
      <c r="I76" s="8"/>
      <c r="J76" s="9"/>
      <c r="K76" s="7"/>
      <c r="L76" s="7"/>
      <c r="M76" s="10"/>
      <c r="N76" s="11"/>
      <c r="O76" s="12"/>
      <c r="P76" s="13"/>
      <c r="Q76" s="13"/>
      <c r="R76" s="13"/>
      <c r="S76" s="6"/>
      <c r="T76" s="8"/>
      <c r="U76" s="9"/>
      <c r="V76" s="14"/>
      <c r="W76" s="8"/>
      <c r="X76" s="8"/>
      <c r="Y76" s="8"/>
      <c r="Z76" s="12"/>
      <c r="AA76" s="11"/>
      <c r="AB76" s="15"/>
    </row>
    <row r="77" spans="1:28" x14ac:dyDescent="0.15">
      <c r="A77" s="4"/>
      <c r="B77" s="4"/>
      <c r="C77" s="5"/>
      <c r="D77" s="6"/>
      <c r="E77" s="6"/>
      <c r="F77" s="6"/>
      <c r="G77" s="7"/>
      <c r="H77" s="7"/>
      <c r="I77" s="8"/>
      <c r="J77" s="9"/>
      <c r="K77" s="7"/>
      <c r="L77" s="7"/>
      <c r="M77" s="10"/>
      <c r="N77" s="11"/>
      <c r="O77" s="12"/>
      <c r="P77" s="13"/>
      <c r="Q77" s="13"/>
      <c r="R77" s="13"/>
      <c r="S77" s="6"/>
      <c r="T77" s="8"/>
      <c r="U77" s="9"/>
      <c r="V77" s="14"/>
      <c r="W77" s="8"/>
      <c r="X77" s="8"/>
      <c r="Y77" s="8"/>
      <c r="Z77" s="12"/>
      <c r="AA77" s="11"/>
      <c r="AB77" s="15"/>
    </row>
    <row r="78" spans="1:28" x14ac:dyDescent="0.15">
      <c r="A78" s="4"/>
      <c r="B78" s="4"/>
      <c r="C78" s="5"/>
      <c r="D78" s="6"/>
      <c r="E78" s="6"/>
      <c r="F78" s="6"/>
      <c r="G78" s="7"/>
      <c r="H78" s="7"/>
      <c r="I78" s="8"/>
      <c r="J78" s="9"/>
      <c r="K78" s="7"/>
      <c r="L78" s="7"/>
      <c r="M78" s="10"/>
      <c r="N78" s="11"/>
      <c r="O78" s="12"/>
      <c r="P78" s="13"/>
      <c r="Q78" s="13"/>
      <c r="R78" s="13"/>
      <c r="S78" s="6"/>
      <c r="T78" s="8"/>
      <c r="U78" s="9"/>
      <c r="V78" s="14"/>
      <c r="W78" s="8"/>
      <c r="X78" s="8"/>
      <c r="Y78" s="8"/>
      <c r="Z78" s="12"/>
      <c r="AA78" s="11"/>
      <c r="AB78" s="15"/>
    </row>
    <row r="79" spans="1:28" x14ac:dyDescent="0.15">
      <c r="A79" s="4"/>
      <c r="B79" s="4"/>
      <c r="C79" s="5"/>
      <c r="D79" s="6"/>
      <c r="E79" s="6"/>
      <c r="F79" s="6"/>
      <c r="G79" s="7"/>
      <c r="H79" s="7"/>
      <c r="I79" s="8"/>
      <c r="J79" s="9"/>
      <c r="K79" s="7"/>
      <c r="L79" s="7"/>
      <c r="M79" s="10"/>
      <c r="N79" s="11"/>
      <c r="O79" s="12"/>
      <c r="P79" s="13"/>
      <c r="Q79" s="13"/>
      <c r="R79" s="13"/>
      <c r="S79" s="6"/>
      <c r="T79" s="8"/>
      <c r="U79" s="9"/>
      <c r="V79" s="14"/>
      <c r="W79" s="8"/>
      <c r="X79" s="8"/>
      <c r="Y79" s="8"/>
      <c r="Z79" s="12"/>
      <c r="AA79" s="11"/>
      <c r="AB79" s="15"/>
    </row>
    <row r="80" spans="1:28" x14ac:dyDescent="0.15">
      <c r="A80" s="4"/>
      <c r="B80" s="4"/>
      <c r="C80" s="5"/>
      <c r="D80" s="6"/>
      <c r="E80" s="6"/>
      <c r="F80" s="6"/>
      <c r="G80" s="7"/>
      <c r="H80" s="7"/>
      <c r="I80" s="8"/>
      <c r="J80" s="9"/>
      <c r="K80" s="7"/>
      <c r="L80" s="7"/>
      <c r="M80" s="10"/>
      <c r="N80" s="11"/>
      <c r="O80" s="12"/>
      <c r="P80" s="13"/>
      <c r="Q80" s="13"/>
      <c r="R80" s="13"/>
      <c r="S80" s="6"/>
      <c r="T80" s="8"/>
      <c r="U80" s="9"/>
      <c r="V80" s="14"/>
      <c r="W80" s="8"/>
      <c r="X80" s="8"/>
      <c r="Y80" s="8"/>
      <c r="Z80" s="12"/>
      <c r="AA80" s="11"/>
      <c r="AB80" s="15"/>
    </row>
    <row r="81" spans="1:28" x14ac:dyDescent="0.15">
      <c r="A81" s="4"/>
      <c r="B81" s="4"/>
      <c r="C81" s="5"/>
      <c r="D81" s="6"/>
      <c r="E81" s="6"/>
      <c r="F81" s="6"/>
      <c r="G81" s="7"/>
      <c r="H81" s="7"/>
      <c r="I81" s="8"/>
      <c r="J81" s="9"/>
      <c r="K81" s="7"/>
      <c r="L81" s="7"/>
      <c r="M81" s="10"/>
      <c r="N81" s="11"/>
      <c r="O81" s="12"/>
      <c r="P81" s="13"/>
      <c r="Q81" s="13"/>
      <c r="R81" s="13"/>
      <c r="S81" s="6"/>
      <c r="T81" s="8"/>
      <c r="U81" s="9"/>
      <c r="V81" s="14"/>
      <c r="W81" s="8"/>
      <c r="X81" s="8"/>
      <c r="Y81" s="8"/>
      <c r="Z81" s="12"/>
      <c r="AA81" s="11"/>
      <c r="AB81" s="15"/>
    </row>
    <row r="82" spans="1:28" x14ac:dyDescent="0.15">
      <c r="A82" s="4"/>
      <c r="B82" s="4"/>
      <c r="C82" s="5"/>
      <c r="D82" s="6"/>
      <c r="E82" s="6"/>
      <c r="F82" s="6"/>
      <c r="G82" s="7"/>
      <c r="H82" s="7"/>
      <c r="I82" s="8"/>
      <c r="J82" s="9"/>
      <c r="K82" s="7"/>
      <c r="L82" s="7"/>
      <c r="M82" s="10"/>
      <c r="N82" s="11"/>
      <c r="O82" s="12"/>
      <c r="P82" s="13"/>
      <c r="Q82" s="13"/>
      <c r="R82" s="13"/>
      <c r="S82" s="6"/>
      <c r="T82" s="8"/>
      <c r="U82" s="9"/>
      <c r="V82" s="14"/>
      <c r="W82" s="8"/>
      <c r="X82" s="8"/>
      <c r="Y82" s="8"/>
      <c r="Z82" s="12"/>
      <c r="AA82" s="11"/>
      <c r="AB82" s="15"/>
    </row>
    <row r="83" spans="1:28" x14ac:dyDescent="0.15">
      <c r="A83" s="4"/>
      <c r="B83" s="4"/>
      <c r="C83" s="5"/>
      <c r="D83" s="6"/>
      <c r="E83" s="6"/>
      <c r="F83" s="6"/>
      <c r="G83" s="7"/>
      <c r="H83" s="7"/>
      <c r="I83" s="8"/>
      <c r="J83" s="9"/>
      <c r="K83" s="7"/>
      <c r="L83" s="7"/>
      <c r="M83" s="10"/>
      <c r="N83" s="11"/>
      <c r="O83" s="12"/>
      <c r="P83" s="13"/>
      <c r="Q83" s="13"/>
      <c r="R83" s="13"/>
      <c r="S83" s="6"/>
      <c r="T83" s="8"/>
      <c r="U83" s="9"/>
      <c r="V83" s="14"/>
      <c r="W83" s="8"/>
      <c r="X83" s="8"/>
      <c r="Y83" s="8"/>
      <c r="Z83" s="12"/>
      <c r="AA83" s="11"/>
      <c r="AB83" s="15"/>
    </row>
    <row r="84" spans="1:28" x14ac:dyDescent="0.15">
      <c r="A84" s="4"/>
      <c r="B84" s="4"/>
      <c r="C84" s="5"/>
      <c r="D84" s="6"/>
      <c r="E84" s="6"/>
      <c r="F84" s="6"/>
      <c r="G84" s="7"/>
      <c r="H84" s="7"/>
      <c r="I84" s="8"/>
      <c r="J84" s="9"/>
      <c r="K84" s="7"/>
      <c r="L84" s="7"/>
      <c r="M84" s="10"/>
      <c r="N84" s="11"/>
      <c r="O84" s="12"/>
      <c r="P84" s="13"/>
      <c r="Q84" s="13"/>
      <c r="R84" s="13"/>
      <c r="S84" s="6"/>
      <c r="T84" s="8"/>
      <c r="U84" s="9"/>
      <c r="V84" s="14"/>
      <c r="W84" s="8"/>
      <c r="X84" s="8"/>
      <c r="Y84" s="8"/>
      <c r="Z84" s="12"/>
      <c r="AA84" s="11"/>
      <c r="AB84" s="15"/>
    </row>
    <row r="85" spans="1:28" x14ac:dyDescent="0.15">
      <c r="A85" s="4"/>
      <c r="B85" s="4"/>
      <c r="C85" s="5"/>
      <c r="D85" s="6"/>
      <c r="E85" s="6"/>
      <c r="F85" s="6"/>
      <c r="G85" s="7"/>
      <c r="H85" s="7"/>
      <c r="I85" s="8"/>
      <c r="J85" s="9"/>
      <c r="K85" s="7"/>
      <c r="L85" s="7"/>
      <c r="M85" s="10"/>
      <c r="N85" s="11"/>
      <c r="O85" s="12"/>
      <c r="P85" s="13"/>
      <c r="Q85" s="13"/>
      <c r="R85" s="13"/>
      <c r="S85" s="6"/>
      <c r="T85" s="8"/>
      <c r="U85" s="9"/>
      <c r="V85" s="14"/>
      <c r="W85" s="8"/>
      <c r="X85" s="8"/>
      <c r="Y85" s="8"/>
      <c r="Z85" s="12"/>
      <c r="AA85" s="11"/>
      <c r="AB85" s="15"/>
    </row>
    <row r="86" spans="1:28" x14ac:dyDescent="0.15">
      <c r="A86" s="4"/>
      <c r="B86" s="4"/>
      <c r="C86" s="5"/>
      <c r="D86" s="6"/>
      <c r="E86" s="6"/>
      <c r="F86" s="6"/>
      <c r="G86" s="7"/>
      <c r="H86" s="7"/>
      <c r="I86" s="8"/>
      <c r="J86" s="9"/>
      <c r="K86" s="7"/>
      <c r="L86" s="7"/>
      <c r="M86" s="10"/>
      <c r="N86" s="11"/>
      <c r="O86" s="12"/>
      <c r="P86" s="13"/>
      <c r="Q86" s="13"/>
      <c r="R86" s="13"/>
      <c r="S86" s="6"/>
      <c r="T86" s="8"/>
      <c r="U86" s="9"/>
      <c r="V86" s="14"/>
      <c r="W86" s="8"/>
      <c r="X86" s="8"/>
      <c r="Y86" s="8"/>
      <c r="Z86" s="12"/>
      <c r="AA86" s="11"/>
      <c r="AB86" s="15"/>
    </row>
    <row r="87" spans="1:28" x14ac:dyDescent="0.15">
      <c r="A87" s="4"/>
      <c r="B87" s="4"/>
      <c r="C87" s="5"/>
      <c r="D87" s="6"/>
      <c r="E87" s="6"/>
      <c r="F87" s="6"/>
      <c r="G87" s="7"/>
      <c r="H87" s="7"/>
      <c r="I87" s="8"/>
      <c r="J87" s="9"/>
      <c r="K87" s="7"/>
      <c r="L87" s="7"/>
      <c r="M87" s="10"/>
      <c r="N87" s="11"/>
      <c r="O87" s="12"/>
      <c r="P87" s="13"/>
      <c r="Q87" s="13"/>
      <c r="R87" s="13"/>
      <c r="S87" s="6"/>
      <c r="T87" s="8"/>
      <c r="U87" s="9"/>
      <c r="V87" s="14"/>
      <c r="W87" s="8"/>
      <c r="X87" s="8"/>
      <c r="Y87" s="8"/>
      <c r="Z87" s="12"/>
      <c r="AA87" s="11"/>
      <c r="AB87" s="15"/>
    </row>
    <row r="88" spans="1:28" x14ac:dyDescent="0.15">
      <c r="A88" s="4"/>
      <c r="B88" s="4"/>
      <c r="C88" s="5"/>
      <c r="D88" s="6"/>
      <c r="E88" s="6"/>
      <c r="F88" s="6"/>
      <c r="G88" s="7"/>
      <c r="H88" s="7"/>
      <c r="I88" s="8"/>
      <c r="J88" s="9"/>
      <c r="K88" s="7"/>
      <c r="L88" s="7"/>
      <c r="M88" s="10"/>
      <c r="N88" s="11"/>
      <c r="O88" s="12"/>
      <c r="P88" s="13"/>
      <c r="Q88" s="13"/>
      <c r="R88" s="13"/>
      <c r="S88" s="6"/>
      <c r="T88" s="8"/>
      <c r="U88" s="9"/>
      <c r="V88" s="14"/>
      <c r="W88" s="8"/>
      <c r="X88" s="8"/>
      <c r="Y88" s="8"/>
      <c r="Z88" s="12"/>
      <c r="AA88" s="11"/>
      <c r="AB88" s="15"/>
    </row>
    <row r="89" spans="1:28" x14ac:dyDescent="0.15">
      <c r="A89" s="4"/>
      <c r="B89" s="4"/>
      <c r="C89" s="5"/>
      <c r="D89" s="6"/>
      <c r="E89" s="6"/>
      <c r="F89" s="6"/>
      <c r="G89" s="7"/>
      <c r="H89" s="7"/>
      <c r="I89" s="8"/>
      <c r="J89" s="9"/>
      <c r="K89" s="7"/>
      <c r="L89" s="7"/>
      <c r="M89" s="10"/>
      <c r="N89" s="11"/>
      <c r="O89" s="12"/>
      <c r="P89" s="13"/>
      <c r="Q89" s="13"/>
      <c r="R89" s="13"/>
      <c r="S89" s="6"/>
      <c r="T89" s="8"/>
      <c r="U89" s="9"/>
      <c r="V89" s="14"/>
      <c r="W89" s="8"/>
      <c r="X89" s="8"/>
      <c r="Y89" s="8"/>
      <c r="Z89" s="12"/>
      <c r="AA89" s="11"/>
      <c r="AB89" s="15"/>
    </row>
    <row r="90" spans="1:28" x14ac:dyDescent="0.15">
      <c r="A90" s="4"/>
      <c r="B90" s="4"/>
      <c r="C90" s="5"/>
      <c r="D90" s="6"/>
      <c r="E90" s="6"/>
      <c r="F90" s="6"/>
      <c r="G90" s="7"/>
      <c r="H90" s="7"/>
      <c r="I90" s="8"/>
      <c r="J90" s="9"/>
      <c r="K90" s="7"/>
      <c r="L90" s="7"/>
      <c r="M90" s="10"/>
      <c r="N90" s="11"/>
      <c r="O90" s="12"/>
      <c r="P90" s="13"/>
      <c r="Q90" s="13"/>
      <c r="R90" s="13"/>
      <c r="S90" s="6"/>
      <c r="T90" s="8"/>
      <c r="U90" s="9"/>
      <c r="V90" s="14"/>
      <c r="W90" s="8"/>
      <c r="X90" s="8"/>
      <c r="Y90" s="8"/>
      <c r="Z90" s="12"/>
      <c r="AA90" s="11"/>
      <c r="AB90" s="15"/>
    </row>
    <row r="91" spans="1:28" x14ac:dyDescent="0.15">
      <c r="A91" s="4"/>
      <c r="B91" s="4"/>
      <c r="C91" s="5"/>
      <c r="D91" s="6"/>
      <c r="E91" s="6"/>
      <c r="F91" s="6"/>
      <c r="G91" s="7"/>
      <c r="H91" s="7"/>
      <c r="I91" s="8"/>
      <c r="J91" s="9"/>
      <c r="K91" s="7"/>
      <c r="L91" s="7"/>
      <c r="M91" s="10"/>
      <c r="N91" s="11"/>
      <c r="O91" s="12"/>
      <c r="P91" s="13"/>
      <c r="Q91" s="13"/>
      <c r="R91" s="13"/>
      <c r="S91" s="6"/>
      <c r="T91" s="8"/>
      <c r="U91" s="9"/>
      <c r="V91" s="14"/>
      <c r="W91" s="8"/>
      <c r="X91" s="8"/>
      <c r="Y91" s="8"/>
      <c r="Z91" s="12"/>
      <c r="AA91" s="11"/>
      <c r="AB91" s="15"/>
    </row>
    <row r="92" spans="1:28" x14ac:dyDescent="0.15">
      <c r="A92" s="4"/>
      <c r="B92" s="4"/>
      <c r="C92" s="5"/>
      <c r="D92" s="6"/>
      <c r="E92" s="6"/>
      <c r="F92" s="6"/>
      <c r="G92" s="7"/>
      <c r="H92" s="7"/>
      <c r="I92" s="8"/>
      <c r="J92" s="9"/>
      <c r="K92" s="7"/>
      <c r="L92" s="7"/>
      <c r="M92" s="10"/>
      <c r="N92" s="11"/>
      <c r="O92" s="12"/>
      <c r="P92" s="13"/>
      <c r="Q92" s="13"/>
      <c r="R92" s="13"/>
      <c r="S92" s="6"/>
      <c r="T92" s="8"/>
      <c r="U92" s="9"/>
      <c r="V92" s="14"/>
      <c r="W92" s="8"/>
      <c r="X92" s="8"/>
      <c r="Y92" s="8"/>
      <c r="Z92" s="12"/>
      <c r="AA92" s="11"/>
      <c r="AB92" s="15"/>
    </row>
    <row r="93" spans="1:28" x14ac:dyDescent="0.15">
      <c r="A93" s="4"/>
      <c r="B93" s="4"/>
      <c r="C93" s="5"/>
      <c r="D93" s="6"/>
      <c r="E93" s="6"/>
      <c r="F93" s="6"/>
      <c r="G93" s="7"/>
      <c r="H93" s="7"/>
      <c r="I93" s="8"/>
      <c r="J93" s="9"/>
      <c r="K93" s="7"/>
      <c r="L93" s="7"/>
      <c r="M93" s="10"/>
      <c r="N93" s="11"/>
      <c r="O93" s="12"/>
      <c r="P93" s="13"/>
      <c r="Q93" s="13"/>
      <c r="R93" s="13"/>
      <c r="S93" s="6"/>
      <c r="T93" s="8"/>
      <c r="U93" s="9"/>
      <c r="V93" s="14"/>
      <c r="W93" s="8"/>
      <c r="X93" s="8"/>
      <c r="Y93" s="8"/>
      <c r="Z93" s="12"/>
      <c r="AA93" s="11"/>
      <c r="AB93" s="15"/>
    </row>
    <row r="94" spans="1:28" x14ac:dyDescent="0.15">
      <c r="A94" s="4"/>
      <c r="B94" s="4"/>
      <c r="C94" s="5"/>
      <c r="D94" s="6"/>
      <c r="E94" s="6"/>
      <c r="F94" s="6"/>
      <c r="G94" s="7"/>
      <c r="H94" s="7"/>
      <c r="I94" s="8"/>
      <c r="J94" s="9"/>
      <c r="K94" s="7"/>
      <c r="L94" s="7"/>
      <c r="M94" s="10"/>
      <c r="N94" s="11"/>
      <c r="O94" s="12"/>
      <c r="P94" s="13"/>
      <c r="Q94" s="13"/>
      <c r="R94" s="13"/>
      <c r="S94" s="6"/>
      <c r="T94" s="8"/>
      <c r="U94" s="9"/>
      <c r="V94" s="14"/>
      <c r="W94" s="8"/>
      <c r="X94" s="8"/>
      <c r="Y94" s="8"/>
      <c r="Z94" s="12"/>
      <c r="AA94" s="11"/>
      <c r="AB94" s="15"/>
    </row>
    <row r="95" spans="1:28" x14ac:dyDescent="0.15">
      <c r="A95" s="4"/>
      <c r="B95" s="4"/>
      <c r="C95" s="5"/>
      <c r="D95" s="6"/>
      <c r="E95" s="6"/>
      <c r="F95" s="6"/>
      <c r="G95" s="7"/>
      <c r="H95" s="7"/>
      <c r="I95" s="8"/>
      <c r="J95" s="9"/>
      <c r="K95" s="7"/>
      <c r="L95" s="7"/>
      <c r="M95" s="10"/>
      <c r="N95" s="11"/>
      <c r="O95" s="12"/>
      <c r="P95" s="13"/>
      <c r="Q95" s="13"/>
      <c r="R95" s="13"/>
      <c r="S95" s="6"/>
      <c r="T95" s="8"/>
      <c r="U95" s="9"/>
      <c r="V95" s="14"/>
      <c r="W95" s="8"/>
      <c r="X95" s="8"/>
      <c r="Y95" s="8"/>
      <c r="Z95" s="12"/>
      <c r="AA95" s="11"/>
      <c r="AB95" s="15"/>
    </row>
    <row r="96" spans="1:28" x14ac:dyDescent="0.15">
      <c r="A96" s="4"/>
      <c r="B96" s="4"/>
      <c r="C96" s="5"/>
      <c r="D96" s="6"/>
      <c r="E96" s="6"/>
      <c r="F96" s="6"/>
      <c r="G96" s="7"/>
      <c r="H96" s="7"/>
      <c r="I96" s="8"/>
      <c r="J96" s="9"/>
      <c r="K96" s="7"/>
      <c r="L96" s="7"/>
      <c r="M96" s="10"/>
      <c r="N96" s="11"/>
      <c r="O96" s="12"/>
      <c r="P96" s="13"/>
      <c r="Q96" s="13"/>
      <c r="R96" s="13"/>
      <c r="S96" s="6"/>
      <c r="T96" s="8"/>
      <c r="U96" s="9"/>
      <c r="V96" s="14"/>
      <c r="W96" s="8"/>
      <c r="X96" s="8"/>
      <c r="Y96" s="8"/>
      <c r="Z96" s="12"/>
      <c r="AA96" s="11"/>
      <c r="AB96" s="15"/>
    </row>
    <row r="97" spans="1:28" x14ac:dyDescent="0.15">
      <c r="A97" s="4"/>
      <c r="B97" s="4"/>
      <c r="C97" s="5"/>
      <c r="D97" s="6"/>
      <c r="E97" s="6"/>
      <c r="F97" s="6"/>
      <c r="G97" s="7"/>
      <c r="H97" s="7"/>
      <c r="I97" s="8"/>
      <c r="J97" s="9"/>
      <c r="K97" s="7"/>
      <c r="L97" s="7"/>
      <c r="M97" s="10"/>
      <c r="N97" s="11"/>
      <c r="O97" s="12"/>
      <c r="P97" s="13"/>
      <c r="Q97" s="13"/>
      <c r="R97" s="13"/>
      <c r="S97" s="6"/>
      <c r="T97" s="8"/>
      <c r="U97" s="9"/>
      <c r="V97" s="14"/>
      <c r="W97" s="8"/>
      <c r="X97" s="8"/>
      <c r="Y97" s="8"/>
      <c r="Z97" s="12"/>
      <c r="AA97" s="11"/>
      <c r="AB97" s="15"/>
    </row>
    <row r="98" spans="1:28" x14ac:dyDescent="0.15">
      <c r="A98" s="4"/>
      <c r="B98" s="4"/>
      <c r="C98" s="5"/>
      <c r="D98" s="6"/>
      <c r="E98" s="6"/>
      <c r="F98" s="6"/>
      <c r="G98" s="7"/>
      <c r="H98" s="7"/>
      <c r="I98" s="8"/>
      <c r="J98" s="9"/>
      <c r="K98" s="7"/>
      <c r="L98" s="7"/>
      <c r="M98" s="10"/>
      <c r="N98" s="11"/>
      <c r="O98" s="12"/>
      <c r="P98" s="13"/>
      <c r="Q98" s="13"/>
      <c r="R98" s="13"/>
      <c r="S98" s="6"/>
      <c r="T98" s="8"/>
      <c r="U98" s="9"/>
      <c r="V98" s="14"/>
      <c r="W98" s="8"/>
      <c r="X98" s="8"/>
      <c r="Y98" s="8"/>
      <c r="Z98" s="12"/>
      <c r="AA98" s="11"/>
      <c r="AB98" s="15"/>
    </row>
    <row r="99" spans="1:28" x14ac:dyDescent="0.15">
      <c r="A99" s="4"/>
      <c r="B99" s="4"/>
      <c r="C99" s="5"/>
      <c r="D99" s="6"/>
      <c r="E99" s="6"/>
      <c r="F99" s="6"/>
      <c r="G99" s="7"/>
      <c r="H99" s="7"/>
      <c r="I99" s="8"/>
      <c r="J99" s="9"/>
      <c r="K99" s="7"/>
      <c r="L99" s="7"/>
      <c r="M99" s="10"/>
      <c r="N99" s="11"/>
      <c r="O99" s="12"/>
      <c r="P99" s="13"/>
      <c r="Q99" s="13"/>
      <c r="R99" s="13"/>
      <c r="S99" s="6"/>
      <c r="T99" s="8"/>
      <c r="U99" s="9"/>
      <c r="V99" s="14"/>
      <c r="W99" s="8"/>
      <c r="X99" s="8"/>
      <c r="Y99" s="8"/>
      <c r="Z99" s="12"/>
      <c r="AA99" s="11"/>
      <c r="AB99" s="15"/>
    </row>
    <row r="100" spans="1:28" x14ac:dyDescent="0.15">
      <c r="A100" s="4"/>
      <c r="B100" s="4"/>
      <c r="C100" s="5"/>
      <c r="D100" s="6"/>
      <c r="E100" s="6"/>
      <c r="F100" s="6"/>
      <c r="G100" s="7"/>
      <c r="H100" s="7"/>
      <c r="I100" s="8"/>
      <c r="J100" s="9"/>
      <c r="K100" s="7"/>
      <c r="L100" s="7"/>
      <c r="M100" s="10"/>
      <c r="N100" s="11"/>
      <c r="O100" s="12"/>
      <c r="P100" s="13"/>
      <c r="Q100" s="13"/>
      <c r="R100" s="13"/>
      <c r="S100" s="6"/>
      <c r="T100" s="8"/>
      <c r="U100" s="9"/>
      <c r="V100" s="14"/>
      <c r="W100" s="8"/>
      <c r="X100" s="8"/>
      <c r="Y100" s="8"/>
      <c r="Z100" s="12"/>
      <c r="AA100" s="11"/>
      <c r="AB100" s="15"/>
    </row>
    <row r="101" spans="1:28" x14ac:dyDescent="0.15">
      <c r="A101" s="4"/>
      <c r="B101" s="4"/>
      <c r="C101" s="5"/>
      <c r="D101" s="6"/>
      <c r="E101" s="6"/>
      <c r="F101" s="6"/>
      <c r="G101" s="7"/>
      <c r="H101" s="7"/>
      <c r="I101" s="8"/>
      <c r="J101" s="9"/>
      <c r="K101" s="7"/>
      <c r="L101" s="7"/>
      <c r="M101" s="10"/>
      <c r="N101" s="11"/>
      <c r="O101" s="12"/>
      <c r="P101" s="13"/>
      <c r="Q101" s="13"/>
      <c r="R101" s="13"/>
      <c r="S101" s="6"/>
      <c r="T101" s="8"/>
      <c r="U101" s="9"/>
      <c r="V101" s="14"/>
      <c r="W101" s="8"/>
      <c r="X101" s="8"/>
      <c r="Y101" s="8"/>
      <c r="Z101" s="12"/>
      <c r="AA101" s="11"/>
      <c r="AB101" s="15"/>
    </row>
    <row r="102" spans="1:28" x14ac:dyDescent="0.15">
      <c r="A102" s="4"/>
      <c r="B102" s="4"/>
      <c r="C102" s="5"/>
      <c r="D102" s="6"/>
      <c r="E102" s="6"/>
      <c r="F102" s="6"/>
      <c r="G102" s="7"/>
      <c r="H102" s="7"/>
      <c r="I102" s="8"/>
      <c r="J102" s="9"/>
      <c r="K102" s="7"/>
      <c r="L102" s="7"/>
      <c r="M102" s="10"/>
      <c r="N102" s="11"/>
      <c r="O102" s="12"/>
      <c r="P102" s="13"/>
      <c r="Q102" s="13"/>
      <c r="R102" s="13"/>
      <c r="S102" s="6"/>
      <c r="T102" s="8"/>
      <c r="U102" s="9"/>
      <c r="V102" s="14"/>
      <c r="W102" s="8"/>
      <c r="X102" s="8"/>
      <c r="Y102" s="8"/>
      <c r="Z102" s="12"/>
      <c r="AA102" s="11"/>
      <c r="AB102" s="15"/>
    </row>
    <row r="103" spans="1:28" x14ac:dyDescent="0.15">
      <c r="A103" s="4"/>
      <c r="B103" s="4"/>
      <c r="C103" s="5"/>
      <c r="D103" s="6"/>
      <c r="E103" s="6"/>
      <c r="F103" s="6"/>
      <c r="G103" s="7"/>
      <c r="H103" s="7"/>
      <c r="I103" s="8"/>
      <c r="J103" s="9"/>
      <c r="K103" s="7"/>
      <c r="L103" s="7"/>
      <c r="M103" s="10"/>
      <c r="N103" s="11"/>
      <c r="O103" s="12"/>
      <c r="P103" s="13"/>
      <c r="Q103" s="13"/>
      <c r="R103" s="13"/>
      <c r="S103" s="6"/>
      <c r="T103" s="8"/>
      <c r="U103" s="9"/>
      <c r="V103" s="14"/>
      <c r="W103" s="8"/>
      <c r="X103" s="8"/>
      <c r="Y103" s="8"/>
      <c r="Z103" s="12"/>
      <c r="AA103" s="11"/>
      <c r="AB103" s="15"/>
    </row>
    <row r="104" spans="1:28" x14ac:dyDescent="0.15">
      <c r="A104" s="4"/>
      <c r="B104" s="4"/>
      <c r="C104" s="5"/>
      <c r="D104" s="6"/>
      <c r="E104" s="6"/>
      <c r="F104" s="6"/>
      <c r="G104" s="7"/>
      <c r="H104" s="7"/>
      <c r="I104" s="8"/>
      <c r="J104" s="9"/>
      <c r="K104" s="7"/>
      <c r="L104" s="7"/>
      <c r="M104" s="10"/>
      <c r="N104" s="11"/>
      <c r="O104" s="12"/>
      <c r="P104" s="13"/>
      <c r="Q104" s="13"/>
      <c r="R104" s="13"/>
      <c r="S104" s="6"/>
      <c r="T104" s="8"/>
      <c r="U104" s="9"/>
      <c r="V104" s="14"/>
      <c r="W104" s="8"/>
      <c r="X104" s="8"/>
      <c r="Y104" s="8"/>
      <c r="Z104" s="12"/>
      <c r="AA104" s="11"/>
      <c r="AB104" s="15"/>
    </row>
    <row r="105" spans="1:28" x14ac:dyDescent="0.15">
      <c r="A105" s="4"/>
      <c r="B105" s="4"/>
      <c r="C105" s="5"/>
      <c r="D105" s="6"/>
      <c r="E105" s="6"/>
      <c r="F105" s="6"/>
      <c r="G105" s="7"/>
      <c r="H105" s="7"/>
      <c r="I105" s="8"/>
      <c r="J105" s="9"/>
      <c r="K105" s="7"/>
      <c r="L105" s="7"/>
      <c r="M105" s="10"/>
      <c r="N105" s="11"/>
      <c r="O105" s="12"/>
      <c r="P105" s="13"/>
      <c r="Q105" s="13"/>
      <c r="R105" s="13"/>
      <c r="S105" s="6"/>
      <c r="T105" s="8"/>
      <c r="U105" s="9"/>
      <c r="V105" s="14"/>
      <c r="W105" s="8"/>
      <c r="X105" s="8"/>
      <c r="Y105" s="8"/>
      <c r="Z105" s="12"/>
      <c r="AA105" s="11"/>
      <c r="AB105" s="15"/>
    </row>
    <row r="106" spans="1:28" x14ac:dyDescent="0.15">
      <c r="A106" s="4"/>
      <c r="B106" s="4"/>
      <c r="C106" s="5"/>
      <c r="D106" s="6"/>
      <c r="E106" s="6"/>
      <c r="F106" s="6"/>
      <c r="G106" s="7"/>
      <c r="H106" s="7"/>
      <c r="I106" s="8"/>
      <c r="J106" s="9"/>
      <c r="K106" s="7"/>
      <c r="L106" s="7"/>
      <c r="M106" s="10"/>
      <c r="N106" s="11"/>
      <c r="O106" s="12"/>
      <c r="P106" s="13"/>
      <c r="Q106" s="13"/>
      <c r="R106" s="13"/>
      <c r="S106" s="6"/>
      <c r="T106" s="8"/>
      <c r="U106" s="9"/>
      <c r="V106" s="14"/>
      <c r="W106" s="8"/>
      <c r="X106" s="8"/>
      <c r="Y106" s="8"/>
      <c r="Z106" s="12"/>
      <c r="AA106" s="11"/>
      <c r="AB106" s="15"/>
    </row>
    <row r="107" spans="1:28" x14ac:dyDescent="0.15">
      <c r="A107" s="4"/>
      <c r="B107" s="4"/>
      <c r="C107" s="5"/>
      <c r="D107" s="6"/>
      <c r="E107" s="6"/>
      <c r="F107" s="6"/>
      <c r="G107" s="7"/>
      <c r="H107" s="7"/>
      <c r="I107" s="8"/>
      <c r="J107" s="9"/>
      <c r="K107" s="7"/>
      <c r="L107" s="7"/>
      <c r="M107" s="10"/>
      <c r="N107" s="11"/>
      <c r="O107" s="12"/>
      <c r="P107" s="13"/>
      <c r="Q107" s="13"/>
      <c r="R107" s="13"/>
      <c r="S107" s="6"/>
      <c r="T107" s="8"/>
      <c r="U107" s="9"/>
      <c r="V107" s="14"/>
      <c r="W107" s="8"/>
      <c r="X107" s="8"/>
      <c r="Y107" s="8"/>
      <c r="Z107" s="12"/>
      <c r="AA107" s="11"/>
      <c r="AB107" s="15"/>
    </row>
    <row r="108" spans="1:28" x14ac:dyDescent="0.15">
      <c r="A108" s="4"/>
      <c r="B108" s="4"/>
      <c r="C108" s="5"/>
      <c r="D108" s="6"/>
      <c r="E108" s="6"/>
      <c r="F108" s="6"/>
      <c r="G108" s="7"/>
      <c r="H108" s="7"/>
      <c r="I108" s="8"/>
      <c r="J108" s="9"/>
      <c r="K108" s="7"/>
      <c r="L108" s="7"/>
      <c r="M108" s="10"/>
      <c r="N108" s="11"/>
      <c r="O108" s="12"/>
      <c r="P108" s="13"/>
      <c r="Q108" s="13"/>
      <c r="R108" s="13"/>
      <c r="S108" s="6"/>
      <c r="T108" s="8"/>
      <c r="U108" s="9"/>
      <c r="V108" s="14"/>
      <c r="W108" s="8"/>
      <c r="X108" s="8"/>
      <c r="Y108" s="8"/>
      <c r="Z108" s="12"/>
      <c r="AA108" s="11"/>
      <c r="AB108" s="15"/>
    </row>
    <row r="109" spans="1:28" x14ac:dyDescent="0.15">
      <c r="A109" s="4"/>
      <c r="B109" s="4"/>
      <c r="C109" s="5"/>
      <c r="D109" s="6"/>
      <c r="E109" s="6"/>
      <c r="F109" s="6"/>
      <c r="G109" s="7"/>
      <c r="H109" s="7"/>
      <c r="I109" s="8"/>
      <c r="J109" s="9"/>
      <c r="K109" s="7"/>
      <c r="L109" s="7"/>
      <c r="M109" s="10"/>
      <c r="N109" s="11"/>
      <c r="O109" s="12"/>
      <c r="P109" s="13"/>
      <c r="Q109" s="13"/>
      <c r="R109" s="13"/>
      <c r="S109" s="6"/>
      <c r="T109" s="8"/>
      <c r="U109" s="9"/>
      <c r="V109" s="14"/>
      <c r="W109" s="8"/>
      <c r="X109" s="8"/>
      <c r="Y109" s="8"/>
      <c r="Z109" s="12"/>
      <c r="AA109" s="11"/>
      <c r="AB109" s="15"/>
    </row>
    <row r="110" spans="1:28" x14ac:dyDescent="0.15">
      <c r="A110" s="4"/>
      <c r="B110" s="4"/>
      <c r="C110" s="5"/>
      <c r="D110" s="6"/>
      <c r="E110" s="6"/>
      <c r="F110" s="6"/>
      <c r="G110" s="7"/>
      <c r="H110" s="7"/>
      <c r="I110" s="8"/>
      <c r="J110" s="9"/>
      <c r="K110" s="7"/>
      <c r="L110" s="7"/>
      <c r="M110" s="10"/>
      <c r="N110" s="11"/>
      <c r="O110" s="12"/>
      <c r="P110" s="13"/>
      <c r="Q110" s="13"/>
      <c r="R110" s="13"/>
      <c r="S110" s="6"/>
      <c r="T110" s="8"/>
      <c r="U110" s="9"/>
      <c r="V110" s="14"/>
      <c r="W110" s="8"/>
      <c r="X110" s="8"/>
      <c r="Y110" s="8"/>
      <c r="Z110" s="12"/>
      <c r="AA110" s="11"/>
      <c r="AB110" s="15"/>
    </row>
    <row r="111" spans="1:28" x14ac:dyDescent="0.15">
      <c r="A111" s="4"/>
      <c r="B111" s="4"/>
      <c r="C111" s="5"/>
      <c r="D111" s="6"/>
      <c r="E111" s="6"/>
      <c r="F111" s="6"/>
      <c r="G111" s="7"/>
      <c r="H111" s="7"/>
      <c r="I111" s="8"/>
      <c r="J111" s="9"/>
      <c r="K111" s="7"/>
      <c r="L111" s="7"/>
      <c r="M111" s="10"/>
      <c r="N111" s="11"/>
      <c r="O111" s="12"/>
      <c r="P111" s="13"/>
      <c r="Q111" s="13"/>
      <c r="R111" s="13"/>
      <c r="S111" s="6"/>
      <c r="T111" s="8"/>
      <c r="U111" s="9"/>
      <c r="V111" s="14"/>
      <c r="W111" s="8"/>
      <c r="X111" s="8"/>
      <c r="Y111" s="8"/>
      <c r="Z111" s="12"/>
      <c r="AA111" s="11"/>
      <c r="AB111" s="15"/>
    </row>
    <row r="112" spans="1:28" x14ac:dyDescent="0.15">
      <c r="A112" s="4"/>
      <c r="B112" s="4"/>
      <c r="C112" s="5"/>
      <c r="D112" s="6"/>
      <c r="E112" s="6"/>
      <c r="F112" s="6"/>
      <c r="G112" s="7"/>
      <c r="H112" s="7"/>
      <c r="I112" s="8"/>
      <c r="J112" s="9"/>
      <c r="K112" s="7"/>
      <c r="L112" s="7"/>
      <c r="M112" s="10"/>
      <c r="N112" s="11"/>
      <c r="O112" s="12"/>
      <c r="P112" s="13"/>
      <c r="Q112" s="13"/>
      <c r="R112" s="13"/>
      <c r="S112" s="6"/>
      <c r="T112" s="8"/>
      <c r="U112" s="9"/>
      <c r="V112" s="14"/>
      <c r="W112" s="8"/>
      <c r="X112" s="8"/>
      <c r="Y112" s="8"/>
      <c r="Z112" s="12"/>
      <c r="AA112" s="11"/>
      <c r="AB112" s="15"/>
    </row>
    <row r="113" spans="1:28" x14ac:dyDescent="0.15">
      <c r="A113" s="4"/>
      <c r="B113" s="4"/>
      <c r="C113" s="5"/>
      <c r="D113" s="6"/>
      <c r="E113" s="6"/>
      <c r="F113" s="6"/>
      <c r="G113" s="7"/>
      <c r="H113" s="7"/>
      <c r="I113" s="8"/>
      <c r="J113" s="9"/>
      <c r="K113" s="7"/>
      <c r="L113" s="7"/>
      <c r="M113" s="10"/>
      <c r="N113" s="11"/>
      <c r="O113" s="12"/>
      <c r="P113" s="13"/>
      <c r="Q113" s="13"/>
      <c r="R113" s="13"/>
      <c r="S113" s="6"/>
      <c r="T113" s="8"/>
      <c r="U113" s="9"/>
      <c r="V113" s="14"/>
      <c r="W113" s="8"/>
      <c r="X113" s="8"/>
      <c r="Y113" s="8"/>
      <c r="Z113" s="12"/>
      <c r="AA113" s="11"/>
      <c r="AB113" s="15"/>
    </row>
    <row r="114" spans="1:28" x14ac:dyDescent="0.15">
      <c r="A114" s="4"/>
      <c r="B114" s="4"/>
      <c r="C114" s="5"/>
      <c r="D114" s="6"/>
      <c r="E114" s="6"/>
      <c r="F114" s="6"/>
      <c r="G114" s="7"/>
      <c r="H114" s="7"/>
      <c r="I114" s="8"/>
      <c r="J114" s="9"/>
      <c r="K114" s="7"/>
      <c r="L114" s="7"/>
      <c r="M114" s="10"/>
      <c r="N114" s="11"/>
      <c r="O114" s="12"/>
      <c r="P114" s="13"/>
      <c r="Q114" s="13"/>
      <c r="R114" s="13"/>
      <c r="S114" s="6"/>
      <c r="T114" s="8"/>
      <c r="U114" s="9"/>
      <c r="V114" s="14"/>
      <c r="W114" s="8"/>
      <c r="X114" s="8"/>
      <c r="Y114" s="8"/>
      <c r="Z114" s="12"/>
      <c r="AA114" s="11"/>
      <c r="AB114" s="15"/>
    </row>
    <row r="115" spans="1:28" x14ac:dyDescent="0.15">
      <c r="A115" s="4"/>
      <c r="B115" s="4"/>
      <c r="C115" s="5"/>
      <c r="D115" s="6"/>
      <c r="E115" s="6"/>
      <c r="F115" s="6"/>
      <c r="G115" s="7"/>
      <c r="H115" s="7"/>
      <c r="I115" s="8"/>
      <c r="J115" s="9"/>
      <c r="K115" s="7"/>
      <c r="L115" s="7"/>
      <c r="M115" s="10"/>
      <c r="N115" s="11"/>
      <c r="O115" s="12"/>
      <c r="P115" s="13"/>
      <c r="Q115" s="13"/>
      <c r="R115" s="13"/>
      <c r="S115" s="6"/>
      <c r="T115" s="8"/>
      <c r="U115" s="9"/>
      <c r="V115" s="14"/>
      <c r="W115" s="8"/>
      <c r="X115" s="8"/>
      <c r="Y115" s="8"/>
      <c r="Z115" s="12"/>
      <c r="AA115" s="11"/>
      <c r="AB115" s="15"/>
    </row>
    <row r="116" spans="1:28" x14ac:dyDescent="0.15">
      <c r="A116" s="4"/>
      <c r="B116" s="4"/>
      <c r="C116" s="5"/>
      <c r="D116" s="6"/>
      <c r="E116" s="6"/>
      <c r="F116" s="6"/>
      <c r="G116" s="7"/>
      <c r="H116" s="7"/>
      <c r="I116" s="8"/>
      <c r="J116" s="9"/>
      <c r="K116" s="7"/>
      <c r="L116" s="7"/>
      <c r="M116" s="10"/>
      <c r="N116" s="11"/>
      <c r="O116" s="12"/>
      <c r="P116" s="13"/>
      <c r="Q116" s="13"/>
      <c r="R116" s="13"/>
      <c r="S116" s="6"/>
      <c r="T116" s="8"/>
      <c r="U116" s="9"/>
      <c r="V116" s="14"/>
      <c r="W116" s="8"/>
      <c r="X116" s="8"/>
      <c r="Y116" s="8"/>
      <c r="Z116" s="12"/>
      <c r="AA116" s="11"/>
      <c r="AB116" s="15"/>
    </row>
    <row r="117" spans="1:28" x14ac:dyDescent="0.15">
      <c r="A117" s="4"/>
      <c r="B117" s="4"/>
      <c r="C117" s="5"/>
      <c r="D117" s="6"/>
      <c r="E117" s="6"/>
      <c r="F117" s="6"/>
      <c r="G117" s="7"/>
      <c r="H117" s="7"/>
      <c r="I117" s="8"/>
      <c r="J117" s="9"/>
      <c r="K117" s="7"/>
      <c r="L117" s="7"/>
      <c r="M117" s="10"/>
      <c r="N117" s="11"/>
      <c r="O117" s="12"/>
      <c r="P117" s="13"/>
      <c r="Q117" s="13"/>
      <c r="R117" s="13"/>
      <c r="S117" s="6"/>
      <c r="T117" s="8"/>
      <c r="U117" s="9"/>
      <c r="V117" s="14"/>
      <c r="W117" s="8"/>
      <c r="X117" s="8"/>
      <c r="Y117" s="8"/>
      <c r="Z117" s="12"/>
      <c r="AA117" s="11"/>
      <c r="AB117" s="15"/>
    </row>
    <row r="118" spans="1:28" x14ac:dyDescent="0.15">
      <c r="A118" s="4"/>
      <c r="B118" s="4"/>
      <c r="C118" s="5"/>
      <c r="D118" s="6"/>
      <c r="E118" s="6"/>
      <c r="F118" s="6"/>
      <c r="G118" s="7"/>
      <c r="H118" s="7"/>
      <c r="I118" s="8"/>
      <c r="J118" s="9"/>
      <c r="K118" s="7"/>
      <c r="L118" s="7"/>
      <c r="M118" s="10"/>
      <c r="N118" s="11"/>
      <c r="O118" s="12"/>
      <c r="P118" s="13"/>
      <c r="Q118" s="13"/>
      <c r="R118" s="13"/>
      <c r="S118" s="6"/>
      <c r="T118" s="8"/>
      <c r="U118" s="9"/>
      <c r="V118" s="14"/>
      <c r="W118" s="8"/>
      <c r="X118" s="8"/>
      <c r="Y118" s="8"/>
      <c r="Z118" s="12"/>
      <c r="AA118" s="11"/>
      <c r="AB118" s="15"/>
    </row>
    <row r="119" spans="1:28" x14ac:dyDescent="0.15">
      <c r="A119" s="4"/>
      <c r="B119" s="4"/>
      <c r="C119" s="5"/>
      <c r="D119" s="6"/>
      <c r="E119" s="6"/>
      <c r="F119" s="6"/>
      <c r="G119" s="7"/>
      <c r="H119" s="7"/>
      <c r="I119" s="8"/>
      <c r="J119" s="9"/>
      <c r="K119" s="7"/>
      <c r="L119" s="7"/>
      <c r="M119" s="10"/>
      <c r="N119" s="11"/>
      <c r="O119" s="12"/>
      <c r="P119" s="13"/>
      <c r="Q119" s="13"/>
      <c r="R119" s="13"/>
      <c r="S119" s="6"/>
      <c r="T119" s="8"/>
      <c r="U119" s="9"/>
      <c r="V119" s="14"/>
      <c r="W119" s="8"/>
      <c r="X119" s="8"/>
      <c r="Y119" s="8"/>
      <c r="Z119" s="12"/>
      <c r="AA119" s="11"/>
      <c r="AB119" s="15"/>
    </row>
    <row r="120" spans="1:28" x14ac:dyDescent="0.15">
      <c r="A120" s="4"/>
      <c r="B120" s="4"/>
      <c r="C120" s="5"/>
      <c r="D120" s="6"/>
      <c r="E120" s="6"/>
      <c r="F120" s="6"/>
      <c r="G120" s="7"/>
      <c r="H120" s="7"/>
      <c r="I120" s="8"/>
      <c r="J120" s="9"/>
      <c r="K120" s="7"/>
      <c r="L120" s="7"/>
      <c r="M120" s="10"/>
      <c r="N120" s="11"/>
      <c r="O120" s="12"/>
      <c r="P120" s="13"/>
      <c r="Q120" s="13"/>
      <c r="R120" s="13"/>
      <c r="S120" s="6"/>
      <c r="T120" s="8"/>
      <c r="U120" s="9"/>
      <c r="V120" s="14"/>
      <c r="W120" s="8"/>
      <c r="X120" s="8"/>
      <c r="Y120" s="8"/>
      <c r="Z120" s="12"/>
      <c r="AA120" s="11"/>
      <c r="AB120" s="15"/>
    </row>
    <row r="121" spans="1:28" x14ac:dyDescent="0.15">
      <c r="A121" s="4"/>
      <c r="B121" s="4"/>
      <c r="C121" s="5"/>
      <c r="D121" s="6"/>
      <c r="E121" s="6"/>
      <c r="F121" s="6"/>
      <c r="G121" s="7"/>
      <c r="H121" s="7"/>
      <c r="I121" s="8"/>
      <c r="J121" s="9"/>
      <c r="K121" s="7"/>
      <c r="L121" s="7"/>
      <c r="M121" s="10"/>
      <c r="N121" s="11"/>
      <c r="O121" s="12"/>
      <c r="P121" s="13"/>
      <c r="Q121" s="13"/>
      <c r="R121" s="13"/>
      <c r="S121" s="6"/>
      <c r="T121" s="8"/>
      <c r="U121" s="9"/>
      <c r="V121" s="14"/>
      <c r="W121" s="8"/>
      <c r="X121" s="8"/>
      <c r="Y121" s="8"/>
      <c r="Z121" s="12"/>
      <c r="AA121" s="11"/>
      <c r="AB121" s="15"/>
    </row>
    <row r="122" spans="1:28" x14ac:dyDescent="0.15">
      <c r="A122" s="4"/>
      <c r="B122" s="4"/>
      <c r="C122" s="5"/>
      <c r="D122" s="6"/>
      <c r="E122" s="6"/>
      <c r="F122" s="6"/>
      <c r="G122" s="7"/>
      <c r="H122" s="7"/>
      <c r="I122" s="8"/>
      <c r="J122" s="9"/>
      <c r="K122" s="7"/>
      <c r="L122" s="7"/>
      <c r="M122" s="10"/>
      <c r="N122" s="11"/>
      <c r="O122" s="12"/>
      <c r="P122" s="13"/>
      <c r="Q122" s="13"/>
      <c r="R122" s="13"/>
      <c r="S122" s="6"/>
      <c r="T122" s="8"/>
      <c r="U122" s="9"/>
      <c r="V122" s="14"/>
      <c r="W122" s="8"/>
      <c r="X122" s="8"/>
      <c r="Y122" s="8"/>
      <c r="Z122" s="12"/>
      <c r="AA122" s="11"/>
      <c r="AB122" s="15"/>
    </row>
    <row r="123" spans="1:28" x14ac:dyDescent="0.15">
      <c r="A123" s="4"/>
      <c r="B123" s="4"/>
      <c r="C123" s="5"/>
      <c r="D123" s="6"/>
      <c r="E123" s="6"/>
      <c r="F123" s="6"/>
      <c r="G123" s="7"/>
      <c r="H123" s="7"/>
      <c r="I123" s="8"/>
      <c r="J123" s="9"/>
      <c r="K123" s="7"/>
      <c r="L123" s="7"/>
      <c r="M123" s="10"/>
      <c r="N123" s="11"/>
      <c r="O123" s="12"/>
      <c r="P123" s="13"/>
      <c r="Q123" s="13"/>
      <c r="R123" s="13"/>
      <c r="S123" s="6"/>
      <c r="T123" s="8"/>
      <c r="U123" s="9"/>
      <c r="V123" s="14"/>
      <c r="W123" s="8"/>
      <c r="X123" s="8"/>
      <c r="Y123" s="8"/>
      <c r="Z123" s="12"/>
      <c r="AA123" s="11"/>
      <c r="AB123" s="15"/>
    </row>
    <row r="124" spans="1:28" x14ac:dyDescent="0.15">
      <c r="A124" s="4"/>
      <c r="B124" s="4"/>
      <c r="C124" s="5"/>
      <c r="D124" s="6"/>
      <c r="E124" s="6"/>
      <c r="F124" s="6"/>
      <c r="G124" s="7"/>
      <c r="H124" s="7"/>
      <c r="I124" s="8"/>
      <c r="J124" s="9"/>
      <c r="K124" s="7"/>
      <c r="L124" s="7"/>
      <c r="M124" s="10"/>
      <c r="N124" s="11"/>
      <c r="O124" s="12"/>
      <c r="P124" s="13"/>
      <c r="Q124" s="13"/>
      <c r="R124" s="13"/>
      <c r="S124" s="6"/>
      <c r="T124" s="8"/>
      <c r="U124" s="9"/>
      <c r="V124" s="14"/>
      <c r="W124" s="8"/>
      <c r="X124" s="8"/>
      <c r="Y124" s="8"/>
      <c r="Z124" s="12"/>
      <c r="AA124" s="11"/>
      <c r="AB124" s="15"/>
    </row>
    <row r="125" spans="1:28" x14ac:dyDescent="0.15">
      <c r="A125" s="4"/>
      <c r="B125" s="4"/>
      <c r="C125" s="5"/>
      <c r="D125" s="6"/>
      <c r="E125" s="6"/>
      <c r="F125" s="6"/>
      <c r="G125" s="7"/>
      <c r="H125" s="7"/>
      <c r="I125" s="8"/>
      <c r="J125" s="9"/>
      <c r="K125" s="7"/>
      <c r="L125" s="7"/>
      <c r="M125" s="10"/>
      <c r="N125" s="11"/>
      <c r="O125" s="12"/>
      <c r="P125" s="13"/>
      <c r="Q125" s="13"/>
      <c r="R125" s="13"/>
      <c r="S125" s="6"/>
      <c r="T125" s="8"/>
      <c r="U125" s="9"/>
      <c r="V125" s="14"/>
      <c r="W125" s="8"/>
      <c r="X125" s="8"/>
      <c r="Y125" s="8"/>
      <c r="Z125" s="12"/>
      <c r="AA125" s="11"/>
      <c r="AB125" s="15"/>
    </row>
    <row r="126" spans="1:28" x14ac:dyDescent="0.15">
      <c r="A126" s="4"/>
      <c r="B126" s="4"/>
      <c r="C126" s="5"/>
      <c r="D126" s="6"/>
      <c r="E126" s="6"/>
      <c r="F126" s="6"/>
      <c r="G126" s="7"/>
      <c r="H126" s="7"/>
      <c r="I126" s="8"/>
      <c r="J126" s="9"/>
      <c r="K126" s="7"/>
      <c r="L126" s="7"/>
      <c r="M126" s="10"/>
      <c r="N126" s="11"/>
      <c r="O126" s="12"/>
      <c r="P126" s="13"/>
      <c r="Q126" s="13"/>
      <c r="R126" s="13"/>
      <c r="S126" s="6"/>
      <c r="T126" s="8"/>
      <c r="U126" s="9"/>
      <c r="V126" s="14"/>
      <c r="W126" s="8"/>
      <c r="X126" s="8"/>
      <c r="Y126" s="8"/>
      <c r="Z126" s="12"/>
      <c r="AA126" s="11"/>
      <c r="AB126" s="15"/>
    </row>
    <row r="127" spans="1:28" x14ac:dyDescent="0.15">
      <c r="A127" s="4"/>
      <c r="B127" s="4"/>
      <c r="C127" s="5"/>
      <c r="D127" s="6"/>
      <c r="E127" s="6"/>
      <c r="F127" s="6"/>
      <c r="G127" s="7"/>
      <c r="H127" s="7"/>
      <c r="I127" s="8"/>
      <c r="J127" s="9"/>
      <c r="K127" s="7"/>
      <c r="L127" s="7"/>
      <c r="M127" s="10"/>
      <c r="N127" s="11"/>
      <c r="O127" s="12"/>
      <c r="P127" s="13"/>
      <c r="Q127" s="13"/>
      <c r="R127" s="13"/>
      <c r="S127" s="6"/>
      <c r="T127" s="8"/>
      <c r="U127" s="9"/>
      <c r="V127" s="14"/>
      <c r="W127" s="8"/>
      <c r="X127" s="8"/>
      <c r="Y127" s="8"/>
      <c r="Z127" s="12"/>
      <c r="AA127" s="11"/>
      <c r="AB127" s="15"/>
    </row>
    <row r="128" spans="1:28" x14ac:dyDescent="0.15">
      <c r="A128" s="4"/>
      <c r="B128" s="4"/>
      <c r="C128" s="5"/>
      <c r="D128" s="6"/>
      <c r="E128" s="6"/>
      <c r="F128" s="6"/>
      <c r="G128" s="7"/>
      <c r="H128" s="7"/>
      <c r="I128" s="8"/>
      <c r="J128" s="9"/>
      <c r="K128" s="7"/>
      <c r="L128" s="7"/>
      <c r="M128" s="10"/>
      <c r="N128" s="11"/>
      <c r="O128" s="12"/>
      <c r="P128" s="13"/>
      <c r="Q128" s="13"/>
      <c r="R128" s="13"/>
      <c r="S128" s="6"/>
      <c r="T128" s="8"/>
      <c r="U128" s="9"/>
      <c r="V128" s="14"/>
      <c r="W128" s="8"/>
      <c r="X128" s="8"/>
      <c r="Y128" s="8"/>
      <c r="Z128" s="12"/>
      <c r="AA128" s="11"/>
      <c r="AB128" s="15"/>
    </row>
    <row r="129" spans="1:28" x14ac:dyDescent="0.15">
      <c r="A129" s="4"/>
      <c r="B129" s="4"/>
      <c r="C129" s="5"/>
      <c r="D129" s="6"/>
      <c r="E129" s="6"/>
      <c r="F129" s="6"/>
      <c r="G129" s="7"/>
      <c r="H129" s="7"/>
      <c r="I129" s="8"/>
      <c r="J129" s="9"/>
      <c r="K129" s="7"/>
      <c r="L129" s="7"/>
      <c r="M129" s="10"/>
      <c r="N129" s="11"/>
      <c r="O129" s="12"/>
      <c r="P129" s="13"/>
      <c r="Q129" s="13"/>
      <c r="R129" s="13"/>
      <c r="S129" s="6"/>
      <c r="T129" s="8"/>
      <c r="U129" s="9"/>
      <c r="V129" s="14"/>
      <c r="W129" s="8"/>
      <c r="X129" s="8"/>
      <c r="Y129" s="8"/>
      <c r="Z129" s="12"/>
      <c r="AA129" s="11"/>
      <c r="AB129" s="15"/>
    </row>
    <row r="130" spans="1:28" x14ac:dyDescent="0.15">
      <c r="A130" s="4"/>
      <c r="B130" s="4"/>
      <c r="C130" s="5"/>
      <c r="D130" s="6"/>
      <c r="E130" s="6"/>
      <c r="F130" s="6"/>
      <c r="G130" s="7"/>
      <c r="H130" s="7"/>
      <c r="I130" s="8"/>
      <c r="J130" s="9"/>
      <c r="K130" s="7"/>
      <c r="L130" s="7"/>
      <c r="M130" s="10"/>
      <c r="N130" s="11"/>
      <c r="O130" s="12"/>
      <c r="P130" s="13"/>
      <c r="Q130" s="13"/>
      <c r="R130" s="13"/>
      <c r="S130" s="6"/>
      <c r="T130" s="8"/>
      <c r="U130" s="9"/>
      <c r="V130" s="14"/>
      <c r="W130" s="8"/>
      <c r="X130" s="8"/>
      <c r="Y130" s="8"/>
      <c r="Z130" s="12"/>
      <c r="AA130" s="11"/>
      <c r="AB130" s="15"/>
    </row>
    <row r="131" spans="1:28" x14ac:dyDescent="0.15">
      <c r="A131" s="4"/>
      <c r="B131" s="4"/>
      <c r="C131" s="5"/>
      <c r="D131" s="6"/>
      <c r="E131" s="6"/>
      <c r="F131" s="6"/>
      <c r="G131" s="7"/>
      <c r="H131" s="7"/>
      <c r="I131" s="8"/>
      <c r="J131" s="9"/>
      <c r="K131" s="7"/>
      <c r="L131" s="7"/>
      <c r="M131" s="10"/>
      <c r="N131" s="11"/>
      <c r="O131" s="12"/>
      <c r="P131" s="13"/>
      <c r="Q131" s="13"/>
      <c r="R131" s="13"/>
      <c r="S131" s="6"/>
      <c r="T131" s="8"/>
      <c r="U131" s="9"/>
      <c r="V131" s="14"/>
      <c r="W131" s="8"/>
      <c r="X131" s="8"/>
      <c r="Y131" s="8"/>
      <c r="Z131" s="12"/>
      <c r="AA131" s="11"/>
      <c r="AB131" s="15"/>
    </row>
    <row r="132" spans="1:28" x14ac:dyDescent="0.15">
      <c r="A132" s="4"/>
      <c r="B132" s="4"/>
      <c r="C132" s="5"/>
      <c r="D132" s="6"/>
      <c r="E132" s="6"/>
      <c r="F132" s="6"/>
      <c r="G132" s="7"/>
      <c r="H132" s="7"/>
      <c r="I132" s="8"/>
      <c r="J132" s="9"/>
      <c r="K132" s="7"/>
      <c r="L132" s="7"/>
      <c r="M132" s="10"/>
      <c r="N132" s="11"/>
      <c r="O132" s="12"/>
      <c r="P132" s="13"/>
      <c r="Q132" s="13"/>
      <c r="R132" s="13"/>
      <c r="S132" s="6"/>
      <c r="T132" s="8"/>
      <c r="U132" s="9"/>
      <c r="V132" s="14"/>
      <c r="W132" s="8"/>
      <c r="X132" s="8"/>
      <c r="Y132" s="8"/>
      <c r="Z132" s="12"/>
      <c r="AA132" s="11"/>
      <c r="AB132" s="15"/>
    </row>
    <row r="133" spans="1:28" x14ac:dyDescent="0.15">
      <c r="A133" s="4"/>
      <c r="B133" s="4"/>
      <c r="C133" s="5"/>
      <c r="D133" s="6"/>
      <c r="E133" s="6"/>
      <c r="F133" s="6"/>
      <c r="G133" s="7"/>
      <c r="H133" s="7"/>
      <c r="I133" s="8"/>
      <c r="J133" s="9"/>
      <c r="K133" s="7"/>
      <c r="L133" s="7"/>
      <c r="M133" s="10"/>
      <c r="N133" s="11"/>
      <c r="O133" s="12"/>
      <c r="P133" s="13"/>
      <c r="Q133" s="13"/>
      <c r="R133" s="13"/>
      <c r="S133" s="6"/>
      <c r="T133" s="8"/>
      <c r="U133" s="9"/>
      <c r="V133" s="14"/>
      <c r="W133" s="8"/>
      <c r="X133" s="8"/>
      <c r="Y133" s="8"/>
      <c r="Z133" s="12"/>
      <c r="AA133" s="11"/>
      <c r="AB133" s="15"/>
    </row>
    <row r="134" spans="1:28" x14ac:dyDescent="0.15">
      <c r="A134" s="4"/>
      <c r="B134" s="4"/>
      <c r="C134" s="5"/>
      <c r="D134" s="6"/>
      <c r="E134" s="6"/>
      <c r="F134" s="6"/>
      <c r="G134" s="7"/>
      <c r="H134" s="7"/>
      <c r="I134" s="8"/>
      <c r="J134" s="9"/>
      <c r="K134" s="7"/>
      <c r="L134" s="7"/>
      <c r="M134" s="10"/>
      <c r="N134" s="11"/>
      <c r="O134" s="12"/>
      <c r="P134" s="13"/>
      <c r="Q134" s="13"/>
      <c r="R134" s="13"/>
      <c r="S134" s="6"/>
      <c r="T134" s="8"/>
      <c r="U134" s="9"/>
      <c r="V134" s="14"/>
      <c r="W134" s="8"/>
      <c r="X134" s="8"/>
      <c r="Y134" s="8"/>
      <c r="Z134" s="12"/>
      <c r="AA134" s="11"/>
      <c r="AB134" s="15"/>
    </row>
    <row r="135" spans="1:28" x14ac:dyDescent="0.15">
      <c r="A135" s="4"/>
      <c r="B135" s="4"/>
      <c r="C135" s="5"/>
      <c r="D135" s="6"/>
      <c r="E135" s="6"/>
      <c r="F135" s="6"/>
      <c r="G135" s="7"/>
      <c r="H135" s="7"/>
      <c r="I135" s="8"/>
      <c r="J135" s="9"/>
      <c r="K135" s="7"/>
      <c r="L135" s="7"/>
      <c r="M135" s="10"/>
      <c r="N135" s="11"/>
      <c r="O135" s="12"/>
      <c r="P135" s="13"/>
      <c r="Q135" s="13"/>
      <c r="R135" s="13"/>
      <c r="S135" s="6"/>
      <c r="T135" s="8"/>
      <c r="U135" s="9"/>
      <c r="V135" s="14"/>
      <c r="W135" s="8"/>
      <c r="X135" s="8"/>
      <c r="Y135" s="8"/>
      <c r="Z135" s="12"/>
      <c r="AA135" s="11"/>
      <c r="AB135" s="15"/>
    </row>
    <row r="136" spans="1:28" x14ac:dyDescent="0.15">
      <c r="A136" s="4"/>
      <c r="B136" s="4"/>
      <c r="C136" s="5"/>
      <c r="D136" s="6"/>
      <c r="E136" s="6"/>
      <c r="F136" s="6"/>
      <c r="G136" s="7"/>
      <c r="H136" s="7"/>
      <c r="I136" s="8"/>
      <c r="J136" s="9"/>
      <c r="K136" s="7"/>
      <c r="L136" s="7"/>
      <c r="M136" s="10"/>
      <c r="N136" s="11"/>
      <c r="O136" s="12"/>
      <c r="P136" s="13"/>
      <c r="Q136" s="13"/>
      <c r="R136" s="13"/>
      <c r="S136" s="6"/>
      <c r="T136" s="8"/>
      <c r="U136" s="9"/>
      <c r="V136" s="14"/>
      <c r="W136" s="8"/>
      <c r="X136" s="8"/>
      <c r="Y136" s="8"/>
      <c r="Z136" s="12"/>
      <c r="AA136" s="11"/>
      <c r="AB136" s="15"/>
    </row>
    <row r="137" spans="1:28" x14ac:dyDescent="0.15">
      <c r="A137" s="4"/>
      <c r="B137" s="4"/>
      <c r="C137" s="5"/>
      <c r="D137" s="6"/>
      <c r="E137" s="6"/>
      <c r="F137" s="6"/>
      <c r="G137" s="7"/>
      <c r="H137" s="7"/>
      <c r="I137" s="8"/>
      <c r="J137" s="9"/>
      <c r="K137" s="7"/>
      <c r="L137" s="7"/>
      <c r="M137" s="10"/>
      <c r="N137" s="11"/>
      <c r="O137" s="12"/>
      <c r="P137" s="13"/>
      <c r="Q137" s="13"/>
      <c r="R137" s="13"/>
      <c r="S137" s="6"/>
      <c r="T137" s="8"/>
      <c r="U137" s="9"/>
      <c r="V137" s="14"/>
      <c r="W137" s="8"/>
      <c r="X137" s="8"/>
      <c r="Y137" s="8"/>
      <c r="Z137" s="12"/>
      <c r="AA137" s="11"/>
      <c r="AB137" s="15"/>
    </row>
    <row r="138" spans="1:28" x14ac:dyDescent="0.15">
      <c r="A138" s="4"/>
      <c r="B138" s="4"/>
      <c r="C138" s="5"/>
      <c r="D138" s="6"/>
      <c r="E138" s="6"/>
      <c r="F138" s="6"/>
      <c r="G138" s="7"/>
      <c r="H138" s="7"/>
      <c r="I138" s="8"/>
      <c r="J138" s="9"/>
      <c r="K138" s="7"/>
      <c r="L138" s="7"/>
      <c r="M138" s="10"/>
      <c r="N138" s="11"/>
      <c r="O138" s="12"/>
      <c r="P138" s="13"/>
      <c r="Q138" s="13"/>
      <c r="R138" s="13"/>
      <c r="S138" s="6"/>
      <c r="T138" s="8"/>
      <c r="U138" s="9"/>
      <c r="V138" s="14"/>
      <c r="W138" s="8"/>
      <c r="X138" s="8"/>
      <c r="Y138" s="8"/>
      <c r="Z138" s="12"/>
      <c r="AA138" s="11"/>
      <c r="AB138" s="15"/>
    </row>
    <row r="139" spans="1:28" x14ac:dyDescent="0.15">
      <c r="A139" s="4"/>
      <c r="B139" s="4"/>
      <c r="C139" s="5"/>
      <c r="D139" s="6"/>
      <c r="E139" s="6"/>
      <c r="F139" s="6"/>
      <c r="G139" s="7"/>
      <c r="H139" s="7"/>
      <c r="I139" s="8"/>
      <c r="J139" s="9"/>
      <c r="K139" s="7"/>
      <c r="L139" s="7"/>
      <c r="M139" s="10"/>
      <c r="N139" s="11"/>
      <c r="O139" s="12"/>
      <c r="P139" s="13"/>
      <c r="Q139" s="13"/>
      <c r="R139" s="13"/>
      <c r="S139" s="6"/>
      <c r="T139" s="8"/>
      <c r="U139" s="9"/>
      <c r="V139" s="14"/>
      <c r="W139" s="8"/>
      <c r="X139" s="8"/>
      <c r="Y139" s="8"/>
      <c r="Z139" s="12"/>
      <c r="AA139" s="11"/>
      <c r="AB139" s="15"/>
    </row>
    <row r="140" spans="1:28" x14ac:dyDescent="0.15">
      <c r="A140" s="4"/>
      <c r="B140" s="4"/>
      <c r="C140" s="5"/>
      <c r="D140" s="6"/>
      <c r="E140" s="6"/>
      <c r="F140" s="6"/>
      <c r="G140" s="7"/>
      <c r="H140" s="7"/>
      <c r="I140" s="8"/>
      <c r="J140" s="9"/>
      <c r="K140" s="7"/>
      <c r="L140" s="7"/>
      <c r="M140" s="10"/>
      <c r="N140" s="11"/>
      <c r="O140" s="12"/>
      <c r="P140" s="13"/>
      <c r="Q140" s="13"/>
      <c r="R140" s="13"/>
      <c r="S140" s="6"/>
      <c r="T140" s="8"/>
      <c r="U140" s="9"/>
      <c r="V140" s="14"/>
      <c r="W140" s="8"/>
      <c r="X140" s="8"/>
      <c r="Y140" s="8"/>
      <c r="Z140" s="12"/>
      <c r="AA140" s="11"/>
      <c r="AB140" s="15"/>
    </row>
    <row r="141" spans="1:28" x14ac:dyDescent="0.15">
      <c r="A141" s="4"/>
      <c r="B141" s="4"/>
      <c r="C141" s="5"/>
      <c r="D141" s="6"/>
      <c r="E141" s="6"/>
      <c r="F141" s="6"/>
      <c r="G141" s="7"/>
      <c r="H141" s="7"/>
      <c r="I141" s="8"/>
      <c r="J141" s="9"/>
      <c r="K141" s="7"/>
      <c r="L141" s="7"/>
      <c r="M141" s="10"/>
      <c r="N141" s="11"/>
      <c r="O141" s="12"/>
      <c r="P141" s="13"/>
      <c r="Q141" s="13"/>
      <c r="R141" s="13"/>
      <c r="S141" s="6"/>
      <c r="T141" s="8"/>
      <c r="U141" s="9"/>
      <c r="V141" s="14"/>
      <c r="W141" s="8"/>
      <c r="X141" s="8"/>
      <c r="Y141" s="8"/>
      <c r="Z141" s="12"/>
      <c r="AA141" s="11"/>
      <c r="AB141" s="15"/>
    </row>
    <row r="142" spans="1:28" x14ac:dyDescent="0.15">
      <c r="A142" s="4"/>
      <c r="B142" s="4"/>
      <c r="C142" s="5"/>
      <c r="D142" s="6"/>
      <c r="E142" s="6"/>
      <c r="F142" s="6"/>
      <c r="G142" s="7"/>
      <c r="H142" s="7"/>
      <c r="I142" s="8"/>
      <c r="J142" s="9"/>
      <c r="K142" s="7"/>
      <c r="L142" s="7"/>
      <c r="M142" s="10"/>
      <c r="N142" s="11"/>
      <c r="O142" s="12"/>
      <c r="P142" s="13"/>
      <c r="Q142" s="13"/>
      <c r="R142" s="13"/>
      <c r="S142" s="6"/>
      <c r="T142" s="8"/>
      <c r="U142" s="9"/>
      <c r="V142" s="14"/>
      <c r="W142" s="8"/>
      <c r="X142" s="8"/>
      <c r="Y142" s="8"/>
      <c r="Z142" s="12"/>
      <c r="AA142" s="11"/>
      <c r="AB142" s="15"/>
    </row>
    <row r="143" spans="1:28" x14ac:dyDescent="0.15">
      <c r="A143" s="4"/>
      <c r="B143" s="4"/>
      <c r="C143" s="5"/>
      <c r="D143" s="6"/>
      <c r="E143" s="6"/>
      <c r="F143" s="6"/>
      <c r="G143" s="7"/>
      <c r="H143" s="7"/>
      <c r="I143" s="8"/>
      <c r="J143" s="9"/>
      <c r="K143" s="7"/>
      <c r="L143" s="7"/>
      <c r="M143" s="10"/>
      <c r="N143" s="11"/>
      <c r="O143" s="12"/>
      <c r="P143" s="13"/>
      <c r="Q143" s="13"/>
      <c r="R143" s="13"/>
      <c r="S143" s="6"/>
      <c r="T143" s="8"/>
      <c r="U143" s="9"/>
      <c r="V143" s="14"/>
      <c r="W143" s="8"/>
      <c r="X143" s="8"/>
      <c r="Y143" s="8"/>
      <c r="Z143" s="12"/>
      <c r="AA143" s="11"/>
      <c r="AB143" s="15"/>
    </row>
    <row r="144" spans="1:28" x14ac:dyDescent="0.15">
      <c r="A144" s="4"/>
      <c r="B144" s="4"/>
      <c r="C144" s="5"/>
      <c r="D144" s="6"/>
      <c r="E144" s="6"/>
      <c r="F144" s="6"/>
      <c r="G144" s="7"/>
      <c r="H144" s="7"/>
      <c r="I144" s="8"/>
      <c r="J144" s="9"/>
      <c r="K144" s="7"/>
      <c r="L144" s="7"/>
      <c r="M144" s="10"/>
      <c r="N144" s="11"/>
      <c r="O144" s="12"/>
      <c r="P144" s="13"/>
      <c r="Q144" s="13"/>
      <c r="R144" s="13"/>
      <c r="S144" s="6"/>
      <c r="T144" s="8"/>
      <c r="U144" s="9"/>
      <c r="V144" s="14"/>
      <c r="W144" s="8"/>
      <c r="X144" s="8"/>
      <c r="Y144" s="8"/>
      <c r="Z144" s="12"/>
      <c r="AA144" s="11"/>
      <c r="AB144" s="15"/>
    </row>
    <row r="145" spans="1:28" x14ac:dyDescent="0.15">
      <c r="A145" s="4"/>
      <c r="B145" s="4"/>
      <c r="C145" s="5"/>
      <c r="D145" s="6"/>
      <c r="E145" s="6"/>
      <c r="F145" s="6"/>
      <c r="G145" s="7"/>
      <c r="H145" s="7"/>
      <c r="I145" s="8"/>
      <c r="J145" s="9"/>
      <c r="K145" s="7"/>
      <c r="L145" s="7"/>
      <c r="M145" s="10"/>
      <c r="N145" s="11"/>
      <c r="O145" s="12"/>
      <c r="P145" s="13"/>
      <c r="Q145" s="13"/>
      <c r="R145" s="13"/>
      <c r="S145" s="6"/>
      <c r="T145" s="8"/>
      <c r="U145" s="9"/>
      <c r="V145" s="14"/>
      <c r="W145" s="8"/>
      <c r="X145" s="8"/>
      <c r="Y145" s="8"/>
      <c r="Z145" s="12"/>
      <c r="AA145" s="11"/>
      <c r="AB145" s="15"/>
    </row>
    <row r="146" spans="1:28" x14ac:dyDescent="0.15">
      <c r="A146" s="4"/>
      <c r="B146" s="4"/>
      <c r="C146" s="5"/>
      <c r="D146" s="6"/>
      <c r="E146" s="6"/>
      <c r="F146" s="6"/>
      <c r="G146" s="7"/>
      <c r="H146" s="7"/>
      <c r="I146" s="8"/>
      <c r="J146" s="9"/>
      <c r="K146" s="7"/>
      <c r="L146" s="7"/>
      <c r="M146" s="10"/>
      <c r="N146" s="11"/>
      <c r="O146" s="12"/>
      <c r="P146" s="13"/>
      <c r="Q146" s="13"/>
      <c r="R146" s="13"/>
      <c r="S146" s="6"/>
      <c r="T146" s="8"/>
      <c r="U146" s="9"/>
      <c r="V146" s="14"/>
      <c r="W146" s="8"/>
      <c r="X146" s="8"/>
      <c r="Y146" s="8"/>
      <c r="Z146" s="12"/>
      <c r="AA146" s="11"/>
      <c r="AB146" s="15"/>
    </row>
    <row r="147" spans="1:28" x14ac:dyDescent="0.15">
      <c r="A147" s="4"/>
      <c r="B147" s="4"/>
      <c r="C147" s="5"/>
      <c r="D147" s="6"/>
      <c r="E147" s="6"/>
      <c r="F147" s="6"/>
      <c r="G147" s="7"/>
      <c r="H147" s="7"/>
      <c r="I147" s="8"/>
      <c r="J147" s="9"/>
      <c r="K147" s="7"/>
      <c r="L147" s="7"/>
      <c r="M147" s="10"/>
      <c r="N147" s="11"/>
      <c r="O147" s="12"/>
      <c r="P147" s="13"/>
      <c r="Q147" s="13"/>
      <c r="R147" s="13"/>
      <c r="S147" s="6"/>
      <c r="T147" s="8"/>
      <c r="U147" s="9"/>
      <c r="V147" s="14"/>
      <c r="W147" s="8"/>
      <c r="X147" s="8"/>
      <c r="Y147" s="8"/>
      <c r="Z147" s="12"/>
      <c r="AA147" s="11"/>
      <c r="AB147" s="15"/>
    </row>
    <row r="148" spans="1:28" x14ac:dyDescent="0.15">
      <c r="A148" s="4"/>
      <c r="B148" s="4"/>
      <c r="C148" s="5"/>
      <c r="D148" s="6"/>
      <c r="E148" s="6"/>
      <c r="F148" s="6"/>
      <c r="G148" s="7"/>
      <c r="H148" s="7"/>
      <c r="I148" s="8"/>
      <c r="J148" s="9"/>
      <c r="K148" s="7"/>
      <c r="L148" s="7"/>
      <c r="M148" s="10"/>
      <c r="N148" s="11"/>
      <c r="O148" s="12"/>
      <c r="P148" s="13"/>
      <c r="Q148" s="13"/>
      <c r="R148" s="13"/>
      <c r="S148" s="6"/>
      <c r="T148" s="8"/>
      <c r="U148" s="9"/>
      <c r="V148" s="14"/>
      <c r="W148" s="8"/>
      <c r="X148" s="8"/>
      <c r="Y148" s="8"/>
      <c r="Z148" s="12"/>
      <c r="AA148" s="11"/>
      <c r="AB148" s="15"/>
    </row>
    <row r="149" spans="1:28" x14ac:dyDescent="0.15">
      <c r="A149" s="4"/>
      <c r="B149" s="4"/>
      <c r="C149" s="5"/>
      <c r="D149" s="6"/>
      <c r="E149" s="6"/>
      <c r="F149" s="6"/>
      <c r="G149" s="7"/>
      <c r="H149" s="7"/>
      <c r="I149" s="8"/>
      <c r="J149" s="9"/>
      <c r="K149" s="7"/>
      <c r="L149" s="7"/>
      <c r="M149" s="10"/>
      <c r="N149" s="11"/>
      <c r="O149" s="12"/>
      <c r="P149" s="13"/>
      <c r="Q149" s="13"/>
      <c r="R149" s="13"/>
      <c r="S149" s="6"/>
      <c r="T149" s="8"/>
      <c r="U149" s="9"/>
      <c r="V149" s="14"/>
      <c r="W149" s="8"/>
      <c r="X149" s="8"/>
      <c r="Y149" s="8"/>
      <c r="Z149" s="12"/>
      <c r="AA149" s="11"/>
      <c r="AB149" s="15"/>
    </row>
    <row r="150" spans="1:28" x14ac:dyDescent="0.15">
      <c r="A150" s="4"/>
      <c r="B150" s="4"/>
      <c r="C150" s="5"/>
      <c r="D150" s="6"/>
      <c r="E150" s="6"/>
      <c r="F150" s="6"/>
      <c r="G150" s="7"/>
      <c r="H150" s="7"/>
      <c r="I150" s="8"/>
      <c r="J150" s="9"/>
      <c r="K150" s="7"/>
      <c r="L150" s="7"/>
      <c r="M150" s="10"/>
      <c r="N150" s="11"/>
      <c r="O150" s="12"/>
      <c r="P150" s="13"/>
      <c r="Q150" s="13"/>
      <c r="R150" s="13"/>
      <c r="S150" s="6"/>
      <c r="T150" s="8"/>
      <c r="U150" s="9"/>
      <c r="V150" s="14"/>
      <c r="W150" s="8"/>
      <c r="X150" s="8"/>
      <c r="Y150" s="8"/>
      <c r="Z150" s="12"/>
      <c r="AA150" s="11"/>
      <c r="AB150" s="15"/>
    </row>
    <row r="151" spans="1:28" x14ac:dyDescent="0.15">
      <c r="A151" s="4"/>
      <c r="B151" s="4"/>
      <c r="C151" s="5"/>
      <c r="D151" s="6"/>
      <c r="E151" s="6"/>
      <c r="F151" s="6"/>
      <c r="G151" s="7"/>
      <c r="H151" s="7"/>
      <c r="I151" s="8"/>
      <c r="J151" s="9"/>
      <c r="K151" s="7"/>
      <c r="L151" s="7"/>
      <c r="M151" s="10"/>
      <c r="N151" s="11"/>
      <c r="O151" s="12"/>
      <c r="P151" s="13"/>
      <c r="Q151" s="13"/>
      <c r="R151" s="13"/>
      <c r="S151" s="6"/>
      <c r="T151" s="8"/>
      <c r="U151" s="9"/>
      <c r="V151" s="14"/>
      <c r="W151" s="8"/>
      <c r="X151" s="8"/>
      <c r="Y151" s="8"/>
      <c r="Z151" s="12"/>
      <c r="AA151" s="11"/>
      <c r="AB151" s="15"/>
    </row>
    <row r="152" spans="1:28" x14ac:dyDescent="0.15">
      <c r="A152" s="4"/>
      <c r="B152" s="4"/>
      <c r="C152" s="5"/>
      <c r="D152" s="6"/>
      <c r="E152" s="6"/>
      <c r="F152" s="6"/>
      <c r="G152" s="7"/>
      <c r="H152" s="7"/>
      <c r="I152" s="8"/>
      <c r="J152" s="9"/>
      <c r="K152" s="7"/>
      <c r="L152" s="7"/>
      <c r="M152" s="10"/>
      <c r="N152" s="11"/>
      <c r="O152" s="12"/>
      <c r="P152" s="13"/>
      <c r="Q152" s="13"/>
      <c r="R152" s="13"/>
      <c r="S152" s="6"/>
      <c r="T152" s="8"/>
      <c r="U152" s="9"/>
      <c r="V152" s="14"/>
      <c r="W152" s="8"/>
      <c r="X152" s="8"/>
      <c r="Y152" s="8"/>
      <c r="Z152" s="12"/>
      <c r="AA152" s="11"/>
      <c r="AB152" s="15"/>
    </row>
    <row r="153" spans="1:28" x14ac:dyDescent="0.15">
      <c r="A153" s="4"/>
      <c r="B153" s="4"/>
      <c r="C153" s="5"/>
      <c r="D153" s="6"/>
      <c r="E153" s="6"/>
      <c r="F153" s="6"/>
      <c r="G153" s="7"/>
      <c r="H153" s="7"/>
      <c r="I153" s="8"/>
      <c r="J153" s="9"/>
      <c r="K153" s="7"/>
      <c r="L153" s="7"/>
      <c r="M153" s="10"/>
      <c r="N153" s="11"/>
      <c r="O153" s="12"/>
      <c r="P153" s="13"/>
      <c r="Q153" s="13"/>
      <c r="R153" s="13"/>
      <c r="S153" s="6"/>
      <c r="T153" s="8"/>
      <c r="U153" s="9"/>
      <c r="V153" s="14"/>
      <c r="W153" s="8"/>
      <c r="X153" s="8"/>
      <c r="Y153" s="8"/>
      <c r="Z153" s="12"/>
      <c r="AA153" s="11"/>
      <c r="AB153" s="15"/>
    </row>
    <row r="154" spans="1:28" x14ac:dyDescent="0.15">
      <c r="A154" s="4"/>
      <c r="B154" s="4"/>
      <c r="C154" s="5"/>
      <c r="D154" s="6"/>
      <c r="E154" s="6"/>
      <c r="F154" s="6"/>
      <c r="G154" s="7"/>
      <c r="H154" s="7"/>
      <c r="I154" s="8"/>
      <c r="J154" s="9"/>
      <c r="K154" s="7"/>
      <c r="L154" s="7"/>
      <c r="M154" s="10"/>
      <c r="N154" s="11"/>
      <c r="O154" s="12"/>
      <c r="P154" s="13"/>
      <c r="Q154" s="13"/>
      <c r="R154" s="13"/>
      <c r="S154" s="6"/>
      <c r="T154" s="8"/>
      <c r="U154" s="9"/>
      <c r="V154" s="14"/>
      <c r="W154" s="8"/>
      <c r="X154" s="8"/>
      <c r="Y154" s="8"/>
      <c r="Z154" s="12"/>
      <c r="AA154" s="11"/>
      <c r="AB154" s="15"/>
    </row>
    <row r="155" spans="1:28" x14ac:dyDescent="0.15">
      <c r="A155" s="4"/>
      <c r="B155" s="4"/>
      <c r="C155" s="5"/>
      <c r="D155" s="6"/>
      <c r="E155" s="6"/>
      <c r="F155" s="6"/>
      <c r="G155" s="7"/>
      <c r="H155" s="7"/>
      <c r="I155" s="8"/>
      <c r="J155" s="9"/>
      <c r="K155" s="7"/>
      <c r="L155" s="7"/>
      <c r="M155" s="10"/>
      <c r="N155" s="11"/>
      <c r="O155" s="12"/>
      <c r="P155" s="13"/>
      <c r="Q155" s="13"/>
      <c r="R155" s="13"/>
      <c r="S155" s="6"/>
      <c r="T155" s="8"/>
      <c r="U155" s="9"/>
      <c r="V155" s="14"/>
      <c r="W155" s="8"/>
      <c r="X155" s="8"/>
      <c r="Y155" s="8"/>
      <c r="Z155" s="12"/>
      <c r="AA155" s="11"/>
      <c r="AB155" s="15"/>
    </row>
    <row r="156" spans="1:28" x14ac:dyDescent="0.15">
      <c r="A156" s="4"/>
      <c r="B156" s="4"/>
      <c r="C156" s="5"/>
      <c r="D156" s="6"/>
      <c r="E156" s="6"/>
      <c r="F156" s="6"/>
      <c r="G156" s="7"/>
      <c r="H156" s="7"/>
      <c r="I156" s="8"/>
      <c r="J156" s="9"/>
      <c r="K156" s="7"/>
      <c r="L156" s="7"/>
      <c r="M156" s="10"/>
      <c r="N156" s="11"/>
      <c r="O156" s="12"/>
      <c r="P156" s="13"/>
      <c r="Q156" s="13"/>
      <c r="R156" s="13"/>
      <c r="S156" s="6"/>
      <c r="T156" s="8"/>
      <c r="U156" s="9"/>
      <c r="V156" s="14"/>
      <c r="W156" s="8"/>
      <c r="X156" s="8"/>
      <c r="Y156" s="8"/>
      <c r="Z156" s="12"/>
      <c r="AA156" s="11"/>
      <c r="AB156" s="15"/>
    </row>
    <row r="157" spans="1:28" x14ac:dyDescent="0.15">
      <c r="A157" s="4"/>
      <c r="B157" s="4"/>
      <c r="C157" s="5"/>
      <c r="D157" s="6"/>
      <c r="E157" s="6"/>
      <c r="F157" s="6"/>
      <c r="G157" s="7"/>
      <c r="H157" s="7"/>
      <c r="I157" s="8"/>
      <c r="J157" s="9"/>
      <c r="K157" s="7"/>
      <c r="L157" s="7"/>
      <c r="M157" s="10"/>
      <c r="N157" s="11"/>
      <c r="O157" s="12"/>
      <c r="P157" s="13"/>
      <c r="Q157" s="13"/>
      <c r="R157" s="13"/>
      <c r="S157" s="6"/>
      <c r="T157" s="8"/>
      <c r="U157" s="9"/>
      <c r="V157" s="14"/>
      <c r="W157" s="8"/>
      <c r="X157" s="8"/>
      <c r="Y157" s="8"/>
      <c r="Z157" s="12"/>
      <c r="AA157" s="11"/>
      <c r="AB157" s="15"/>
    </row>
    <row r="158" spans="1:28" x14ac:dyDescent="0.15">
      <c r="A158" s="4"/>
      <c r="B158" s="4"/>
      <c r="C158" s="5"/>
      <c r="D158" s="6"/>
      <c r="E158" s="6"/>
      <c r="F158" s="6"/>
      <c r="G158" s="7"/>
      <c r="H158" s="7"/>
      <c r="I158" s="8"/>
      <c r="J158" s="9"/>
      <c r="K158" s="7"/>
      <c r="L158" s="7"/>
      <c r="M158" s="10"/>
      <c r="N158" s="11"/>
      <c r="O158" s="12"/>
      <c r="P158" s="13"/>
      <c r="Q158" s="13"/>
      <c r="R158" s="13"/>
      <c r="S158" s="6"/>
      <c r="T158" s="8"/>
      <c r="U158" s="9"/>
      <c r="V158" s="14"/>
      <c r="W158" s="8"/>
      <c r="X158" s="8"/>
      <c r="Y158" s="8"/>
      <c r="Z158" s="12"/>
      <c r="AA158" s="11"/>
      <c r="AB158" s="15"/>
    </row>
    <row r="159" spans="1:28" x14ac:dyDescent="0.15">
      <c r="A159" s="4"/>
      <c r="B159" s="4"/>
      <c r="C159" s="5"/>
      <c r="D159" s="6"/>
      <c r="E159" s="6"/>
      <c r="F159" s="6"/>
      <c r="G159" s="7"/>
      <c r="H159" s="7"/>
      <c r="I159" s="8"/>
      <c r="J159" s="9"/>
      <c r="K159" s="7"/>
      <c r="L159" s="7"/>
      <c r="M159" s="10"/>
      <c r="N159" s="11"/>
      <c r="O159" s="12"/>
      <c r="P159" s="13"/>
      <c r="Q159" s="13"/>
      <c r="R159" s="13"/>
      <c r="S159" s="6"/>
      <c r="T159" s="8"/>
      <c r="U159" s="9"/>
      <c r="V159" s="14"/>
      <c r="W159" s="8"/>
      <c r="X159" s="8"/>
      <c r="Y159" s="8"/>
      <c r="Z159" s="12"/>
      <c r="AA159" s="11"/>
      <c r="AB159" s="15"/>
    </row>
    <row r="160" spans="1:28" x14ac:dyDescent="0.15">
      <c r="A160" s="4"/>
      <c r="B160" s="4"/>
      <c r="C160" s="5"/>
      <c r="D160" s="6"/>
      <c r="E160" s="6"/>
      <c r="F160" s="6"/>
      <c r="G160" s="7"/>
      <c r="H160" s="7"/>
      <c r="I160" s="8"/>
      <c r="J160" s="9"/>
      <c r="K160" s="7"/>
      <c r="L160" s="7"/>
      <c r="M160" s="10"/>
      <c r="N160" s="11"/>
      <c r="O160" s="12"/>
      <c r="P160" s="13"/>
      <c r="Q160" s="13"/>
      <c r="R160" s="13"/>
      <c r="S160" s="6"/>
      <c r="T160" s="8"/>
      <c r="U160" s="9"/>
      <c r="V160" s="14"/>
      <c r="W160" s="8"/>
      <c r="X160" s="8"/>
      <c r="Y160" s="8"/>
      <c r="Z160" s="12"/>
      <c r="AA160" s="11"/>
      <c r="AB160" s="15"/>
    </row>
    <row r="161" spans="1:28" x14ac:dyDescent="0.15">
      <c r="A161" s="4"/>
      <c r="B161" s="4"/>
      <c r="C161" s="5"/>
      <c r="D161" s="6"/>
      <c r="E161" s="6"/>
      <c r="F161" s="6"/>
      <c r="G161" s="7"/>
      <c r="H161" s="7"/>
      <c r="I161" s="8"/>
      <c r="J161" s="9"/>
      <c r="K161" s="7"/>
      <c r="L161" s="7"/>
      <c r="M161" s="10"/>
      <c r="N161" s="11"/>
      <c r="O161" s="12"/>
      <c r="P161" s="13"/>
      <c r="Q161" s="13"/>
      <c r="R161" s="13"/>
      <c r="S161" s="6"/>
      <c r="T161" s="8"/>
      <c r="U161" s="9"/>
      <c r="V161" s="14"/>
      <c r="W161" s="8"/>
      <c r="X161" s="8"/>
      <c r="Y161" s="8"/>
      <c r="Z161" s="12"/>
      <c r="AA161" s="11"/>
      <c r="AB161" s="15"/>
    </row>
    <row r="162" spans="1:28" x14ac:dyDescent="0.15">
      <c r="A162" s="4"/>
      <c r="B162" s="4"/>
      <c r="C162" s="5"/>
      <c r="D162" s="6"/>
      <c r="E162" s="6"/>
      <c r="F162" s="6"/>
      <c r="G162" s="7"/>
      <c r="H162" s="7"/>
      <c r="I162" s="8"/>
      <c r="J162" s="9"/>
      <c r="K162" s="7"/>
      <c r="L162" s="7"/>
      <c r="M162" s="10"/>
      <c r="N162" s="11"/>
      <c r="O162" s="12"/>
      <c r="P162" s="13"/>
      <c r="Q162" s="13"/>
      <c r="R162" s="13"/>
      <c r="S162" s="6"/>
      <c r="T162" s="8"/>
      <c r="U162" s="9"/>
      <c r="V162" s="14"/>
      <c r="W162" s="8"/>
      <c r="X162" s="8"/>
      <c r="Y162" s="8"/>
      <c r="Z162" s="12"/>
      <c r="AA162" s="11"/>
      <c r="AB162" s="15"/>
    </row>
    <row r="163" spans="1:28" x14ac:dyDescent="0.15">
      <c r="A163" s="4"/>
      <c r="B163" s="4"/>
      <c r="C163" s="5"/>
      <c r="D163" s="6"/>
      <c r="E163" s="6"/>
      <c r="F163" s="6"/>
      <c r="G163" s="7"/>
      <c r="H163" s="7"/>
      <c r="I163" s="8"/>
      <c r="J163" s="9"/>
      <c r="K163" s="7"/>
      <c r="L163" s="7"/>
      <c r="M163" s="10"/>
      <c r="N163" s="11"/>
      <c r="O163" s="12"/>
      <c r="P163" s="13"/>
      <c r="Q163" s="13"/>
      <c r="R163" s="13"/>
      <c r="S163" s="6"/>
      <c r="T163" s="8"/>
      <c r="U163" s="9"/>
      <c r="V163" s="14"/>
      <c r="W163" s="8"/>
      <c r="X163" s="8"/>
      <c r="Y163" s="8"/>
      <c r="Z163" s="12"/>
      <c r="AA163" s="11"/>
      <c r="AB163" s="15"/>
    </row>
    <row r="164" spans="1:28" x14ac:dyDescent="0.15">
      <c r="A164" s="4"/>
      <c r="B164" s="4"/>
      <c r="C164" s="5"/>
      <c r="D164" s="6"/>
      <c r="E164" s="6"/>
      <c r="F164" s="6"/>
      <c r="G164" s="7"/>
      <c r="H164" s="7"/>
      <c r="I164" s="8"/>
      <c r="J164" s="9"/>
      <c r="K164" s="7"/>
      <c r="L164" s="7"/>
      <c r="M164" s="10"/>
      <c r="N164" s="11"/>
      <c r="O164" s="12"/>
      <c r="P164" s="13"/>
      <c r="Q164" s="13"/>
      <c r="R164" s="13"/>
      <c r="S164" s="6"/>
      <c r="T164" s="8"/>
      <c r="U164" s="9"/>
      <c r="V164" s="14"/>
      <c r="W164" s="8"/>
      <c r="X164" s="8"/>
      <c r="Y164" s="8"/>
      <c r="Z164" s="12"/>
      <c r="AA164" s="11"/>
      <c r="AB164" s="15"/>
    </row>
    <row r="165" spans="1:28" x14ac:dyDescent="0.15">
      <c r="A165" s="4"/>
      <c r="B165" s="4"/>
      <c r="C165" s="5"/>
      <c r="D165" s="6"/>
      <c r="E165" s="6"/>
      <c r="F165" s="6"/>
      <c r="G165" s="7"/>
      <c r="H165" s="7"/>
      <c r="I165" s="8"/>
      <c r="J165" s="9"/>
      <c r="K165" s="7"/>
      <c r="L165" s="7"/>
      <c r="M165" s="10"/>
      <c r="N165" s="11"/>
      <c r="O165" s="12"/>
      <c r="P165" s="13"/>
      <c r="Q165" s="13"/>
      <c r="R165" s="13"/>
      <c r="S165" s="6"/>
      <c r="T165" s="8"/>
      <c r="U165" s="9"/>
      <c r="V165" s="14"/>
      <c r="W165" s="8"/>
      <c r="X165" s="8"/>
      <c r="Y165" s="8"/>
      <c r="Z165" s="12"/>
      <c r="AA165" s="11"/>
      <c r="AB165" s="15"/>
    </row>
    <row r="166" spans="1:28" x14ac:dyDescent="0.15">
      <c r="A166" s="4"/>
      <c r="B166" s="4"/>
      <c r="C166" s="5"/>
      <c r="D166" s="6"/>
      <c r="E166" s="6"/>
      <c r="F166" s="6"/>
      <c r="G166" s="7"/>
      <c r="H166" s="7"/>
      <c r="I166" s="8"/>
      <c r="J166" s="9"/>
      <c r="K166" s="7"/>
      <c r="L166" s="7"/>
      <c r="M166" s="10"/>
      <c r="N166" s="11"/>
      <c r="O166" s="12"/>
      <c r="P166" s="13"/>
      <c r="Q166" s="13"/>
      <c r="R166" s="13"/>
      <c r="S166" s="6"/>
      <c r="T166" s="8"/>
      <c r="U166" s="9"/>
      <c r="V166" s="14"/>
      <c r="W166" s="8"/>
      <c r="X166" s="8"/>
      <c r="Y166" s="8"/>
      <c r="Z166" s="12"/>
      <c r="AA166" s="11"/>
      <c r="AB166" s="15"/>
    </row>
    <row r="167" spans="1:28" x14ac:dyDescent="0.15">
      <c r="A167" s="4"/>
      <c r="B167" s="4"/>
      <c r="C167" s="5"/>
      <c r="D167" s="6"/>
      <c r="E167" s="6"/>
      <c r="F167" s="6"/>
      <c r="G167" s="7"/>
      <c r="H167" s="7"/>
      <c r="I167" s="8"/>
      <c r="J167" s="9"/>
      <c r="K167" s="7"/>
      <c r="L167" s="7"/>
      <c r="M167" s="10"/>
      <c r="N167" s="11"/>
      <c r="O167" s="12"/>
      <c r="P167" s="13"/>
      <c r="Q167" s="13"/>
      <c r="R167" s="13"/>
      <c r="S167" s="6"/>
      <c r="T167" s="8"/>
      <c r="U167" s="9"/>
      <c r="V167" s="14"/>
      <c r="W167" s="8"/>
      <c r="X167" s="8"/>
      <c r="Y167" s="8"/>
      <c r="Z167" s="12"/>
      <c r="AA167" s="11"/>
      <c r="AB167" s="15"/>
    </row>
    <row r="168" spans="1:28" x14ac:dyDescent="0.15">
      <c r="A168" s="4"/>
      <c r="B168" s="4"/>
      <c r="C168" s="5"/>
      <c r="D168" s="6"/>
      <c r="E168" s="6"/>
      <c r="F168" s="6"/>
      <c r="G168" s="7"/>
      <c r="H168" s="7"/>
      <c r="I168" s="8"/>
      <c r="J168" s="9"/>
      <c r="K168" s="7"/>
      <c r="L168" s="7"/>
      <c r="M168" s="10"/>
      <c r="N168" s="11"/>
      <c r="O168" s="12"/>
      <c r="P168" s="13"/>
      <c r="Q168" s="13"/>
      <c r="R168" s="13"/>
      <c r="S168" s="6"/>
      <c r="T168" s="8"/>
      <c r="U168" s="9"/>
      <c r="V168" s="14"/>
      <c r="W168" s="8"/>
      <c r="X168" s="8"/>
      <c r="Y168" s="8"/>
      <c r="Z168" s="12"/>
      <c r="AA168" s="11"/>
      <c r="AB168" s="15"/>
    </row>
    <row r="169" spans="1:28" x14ac:dyDescent="0.15">
      <c r="A169" s="4"/>
      <c r="B169" s="4"/>
      <c r="C169" s="5"/>
      <c r="D169" s="6"/>
      <c r="E169" s="6"/>
      <c r="F169" s="6"/>
      <c r="G169" s="7"/>
      <c r="H169" s="7"/>
      <c r="I169" s="8"/>
      <c r="J169" s="9"/>
      <c r="K169" s="7"/>
      <c r="L169" s="7"/>
      <c r="M169" s="10"/>
      <c r="N169" s="11"/>
      <c r="O169" s="12"/>
      <c r="P169" s="13"/>
      <c r="Q169" s="13"/>
      <c r="R169" s="13"/>
      <c r="S169" s="6"/>
      <c r="T169" s="8"/>
      <c r="U169" s="9"/>
      <c r="V169" s="14"/>
      <c r="W169" s="8"/>
      <c r="X169" s="8"/>
      <c r="Y169" s="8"/>
      <c r="Z169" s="12"/>
      <c r="AA169" s="11"/>
      <c r="AB169" s="15"/>
    </row>
    <row r="170" spans="1:28" x14ac:dyDescent="0.15">
      <c r="A170" s="4"/>
      <c r="B170" s="4"/>
      <c r="C170" s="5"/>
      <c r="D170" s="6"/>
      <c r="E170" s="6"/>
      <c r="F170" s="6"/>
      <c r="G170" s="7"/>
      <c r="H170" s="7"/>
      <c r="I170" s="8"/>
      <c r="J170" s="9"/>
      <c r="K170" s="7"/>
      <c r="L170" s="7"/>
      <c r="M170" s="10"/>
      <c r="N170" s="11"/>
      <c r="O170" s="12"/>
      <c r="P170" s="13"/>
      <c r="Q170" s="13"/>
      <c r="R170" s="13"/>
      <c r="S170" s="6"/>
      <c r="T170" s="8"/>
      <c r="U170" s="9"/>
      <c r="V170" s="14"/>
      <c r="W170" s="8"/>
      <c r="X170" s="8"/>
      <c r="Y170" s="8"/>
      <c r="Z170" s="12"/>
      <c r="AA170" s="11"/>
      <c r="AB170" s="15"/>
    </row>
    <row r="171" spans="1:28" x14ac:dyDescent="0.15">
      <c r="A171" s="4"/>
      <c r="B171" s="4"/>
      <c r="C171" s="5"/>
      <c r="D171" s="6"/>
      <c r="E171" s="6"/>
      <c r="F171" s="6"/>
      <c r="G171" s="7"/>
      <c r="H171" s="7"/>
      <c r="I171" s="8"/>
      <c r="J171" s="9"/>
      <c r="K171" s="7"/>
      <c r="L171" s="7"/>
      <c r="M171" s="10"/>
      <c r="N171" s="11"/>
      <c r="O171" s="12"/>
      <c r="P171" s="13"/>
      <c r="Q171" s="13"/>
      <c r="R171" s="13"/>
      <c r="S171" s="6"/>
      <c r="T171" s="8"/>
      <c r="U171" s="9"/>
      <c r="V171" s="14"/>
      <c r="W171" s="8"/>
      <c r="X171" s="8"/>
      <c r="Y171" s="8"/>
      <c r="Z171" s="12"/>
      <c r="AA171" s="11"/>
      <c r="AB171" s="15"/>
    </row>
    <row r="172" spans="1:28" x14ac:dyDescent="0.15">
      <c r="A172" s="4"/>
      <c r="B172" s="4"/>
      <c r="C172" s="5"/>
      <c r="D172" s="6"/>
      <c r="E172" s="6"/>
      <c r="F172" s="6"/>
      <c r="G172" s="7"/>
      <c r="H172" s="7"/>
      <c r="I172" s="8"/>
      <c r="J172" s="9"/>
      <c r="K172" s="7"/>
      <c r="L172" s="7"/>
      <c r="M172" s="10"/>
      <c r="N172" s="11"/>
      <c r="O172" s="12"/>
      <c r="P172" s="13"/>
      <c r="Q172" s="13"/>
      <c r="R172" s="13"/>
      <c r="S172" s="6"/>
      <c r="T172" s="8"/>
      <c r="U172" s="9"/>
      <c r="V172" s="14"/>
      <c r="W172" s="8"/>
      <c r="X172" s="8"/>
      <c r="Y172" s="8"/>
      <c r="Z172" s="12"/>
      <c r="AA172" s="11"/>
      <c r="AB172" s="15"/>
    </row>
    <row r="173" spans="1:28" x14ac:dyDescent="0.15">
      <c r="A173" s="4"/>
      <c r="B173" s="4"/>
      <c r="C173" s="5"/>
      <c r="D173" s="6"/>
      <c r="E173" s="6"/>
      <c r="F173" s="6"/>
      <c r="G173" s="7"/>
      <c r="H173" s="7"/>
      <c r="I173" s="8"/>
      <c r="J173" s="9"/>
      <c r="K173" s="7"/>
      <c r="L173" s="7"/>
      <c r="M173" s="10"/>
      <c r="N173" s="11"/>
      <c r="O173" s="12"/>
      <c r="P173" s="13"/>
      <c r="Q173" s="13"/>
      <c r="R173" s="13"/>
      <c r="S173" s="6"/>
      <c r="T173" s="8"/>
      <c r="U173" s="9"/>
      <c r="V173" s="14"/>
      <c r="W173" s="8"/>
      <c r="X173" s="8"/>
      <c r="Y173" s="8"/>
      <c r="Z173" s="12"/>
      <c r="AA173" s="11"/>
      <c r="AB173" s="15"/>
    </row>
    <row r="174" spans="1:28" x14ac:dyDescent="0.15">
      <c r="A174" s="4"/>
      <c r="B174" s="4"/>
      <c r="C174" s="5"/>
      <c r="D174" s="6"/>
      <c r="E174" s="6"/>
      <c r="F174" s="6"/>
      <c r="G174" s="7"/>
      <c r="H174" s="7"/>
      <c r="I174" s="8"/>
      <c r="J174" s="9"/>
      <c r="K174" s="7"/>
      <c r="L174" s="7"/>
      <c r="M174" s="10"/>
      <c r="N174" s="11"/>
      <c r="O174" s="12"/>
      <c r="P174" s="13"/>
      <c r="Q174" s="13"/>
      <c r="R174" s="13"/>
      <c r="S174" s="6"/>
      <c r="T174" s="8"/>
      <c r="U174" s="9"/>
      <c r="V174" s="14"/>
      <c r="W174" s="8"/>
      <c r="X174" s="8"/>
      <c r="Y174" s="8"/>
      <c r="Z174" s="12"/>
      <c r="AA174" s="11"/>
      <c r="AB174" s="15"/>
    </row>
    <row r="175" spans="1:28" x14ac:dyDescent="0.15">
      <c r="A175" s="4"/>
      <c r="B175" s="4"/>
      <c r="C175" s="5"/>
      <c r="D175" s="6"/>
      <c r="E175" s="6"/>
      <c r="F175" s="6"/>
      <c r="G175" s="7"/>
      <c r="H175" s="7"/>
      <c r="I175" s="8"/>
      <c r="J175" s="9"/>
      <c r="K175" s="7"/>
      <c r="L175" s="7"/>
      <c r="M175" s="10"/>
      <c r="N175" s="11"/>
      <c r="O175" s="12"/>
      <c r="P175" s="13"/>
      <c r="Q175" s="13"/>
      <c r="R175" s="13"/>
      <c r="S175" s="6"/>
      <c r="T175" s="8"/>
      <c r="U175" s="9"/>
      <c r="V175" s="14"/>
      <c r="W175" s="8"/>
      <c r="X175" s="8"/>
      <c r="Y175" s="8"/>
      <c r="Z175" s="12"/>
      <c r="AA175" s="11"/>
      <c r="AB175" s="15"/>
    </row>
    <row r="176" spans="1:28" x14ac:dyDescent="0.15">
      <c r="A176" s="4"/>
      <c r="B176" s="4"/>
      <c r="C176" s="5"/>
      <c r="D176" s="6"/>
      <c r="E176" s="6"/>
      <c r="F176" s="6"/>
      <c r="G176" s="7"/>
      <c r="H176" s="7"/>
      <c r="I176" s="8"/>
      <c r="J176" s="9"/>
      <c r="K176" s="7"/>
      <c r="L176" s="7"/>
      <c r="M176" s="10"/>
      <c r="N176" s="11"/>
      <c r="O176" s="12"/>
      <c r="P176" s="13"/>
      <c r="Q176" s="13"/>
      <c r="R176" s="13"/>
      <c r="S176" s="6"/>
      <c r="T176" s="8"/>
      <c r="U176" s="9"/>
      <c r="V176" s="14"/>
      <c r="W176" s="8"/>
      <c r="X176" s="8"/>
      <c r="Y176" s="8"/>
      <c r="Z176" s="12"/>
      <c r="AA176" s="11"/>
      <c r="AB176" s="15"/>
    </row>
    <row r="177" spans="1:28" x14ac:dyDescent="0.15">
      <c r="A177" s="4"/>
      <c r="B177" s="4"/>
      <c r="C177" s="5"/>
      <c r="D177" s="6"/>
      <c r="E177" s="6"/>
      <c r="F177" s="6"/>
      <c r="G177" s="7"/>
      <c r="H177" s="7"/>
      <c r="I177" s="8"/>
      <c r="J177" s="9"/>
      <c r="K177" s="7"/>
      <c r="L177" s="7"/>
      <c r="M177" s="10"/>
      <c r="N177" s="11"/>
      <c r="O177" s="12"/>
      <c r="P177" s="13"/>
      <c r="Q177" s="13"/>
      <c r="R177" s="13"/>
      <c r="S177" s="6"/>
      <c r="T177" s="8"/>
      <c r="U177" s="9"/>
      <c r="V177" s="14"/>
      <c r="W177" s="8"/>
      <c r="X177" s="8"/>
      <c r="Y177" s="8"/>
      <c r="Z177" s="12"/>
      <c r="AA177" s="11"/>
      <c r="AB177" s="15"/>
    </row>
    <row r="178" spans="1:28" x14ac:dyDescent="0.15">
      <c r="A178" s="4"/>
      <c r="B178" s="4"/>
      <c r="C178" s="5"/>
      <c r="D178" s="6"/>
      <c r="E178" s="6"/>
      <c r="F178" s="6"/>
      <c r="G178" s="7"/>
      <c r="H178" s="7"/>
      <c r="I178" s="8"/>
      <c r="J178" s="9"/>
      <c r="K178" s="7"/>
      <c r="L178" s="7"/>
      <c r="M178" s="10"/>
      <c r="N178" s="11"/>
      <c r="O178" s="12"/>
      <c r="P178" s="13"/>
      <c r="Q178" s="13"/>
      <c r="R178" s="13"/>
      <c r="S178" s="6"/>
      <c r="T178" s="8"/>
      <c r="U178" s="9"/>
      <c r="V178" s="14"/>
      <c r="W178" s="8"/>
      <c r="X178" s="8"/>
      <c r="Y178" s="8"/>
      <c r="Z178" s="12"/>
      <c r="AA178" s="11"/>
      <c r="AB178" s="15"/>
    </row>
    <row r="179" spans="1:28" x14ac:dyDescent="0.15">
      <c r="A179" s="4"/>
      <c r="B179" s="4"/>
      <c r="C179" s="5"/>
      <c r="D179" s="6"/>
      <c r="E179" s="6"/>
      <c r="F179" s="6"/>
      <c r="G179" s="7"/>
      <c r="H179" s="7"/>
      <c r="I179" s="8"/>
      <c r="J179" s="9"/>
      <c r="K179" s="7"/>
      <c r="L179" s="7"/>
      <c r="M179" s="10"/>
      <c r="N179" s="11"/>
      <c r="O179" s="12"/>
      <c r="P179" s="13"/>
      <c r="Q179" s="13"/>
      <c r="R179" s="13"/>
      <c r="S179" s="6"/>
      <c r="T179" s="8"/>
      <c r="U179" s="9"/>
      <c r="V179" s="14"/>
      <c r="W179" s="8"/>
      <c r="X179" s="8"/>
      <c r="Y179" s="8"/>
      <c r="Z179" s="12"/>
      <c r="AA179" s="11"/>
      <c r="AB179" s="15"/>
    </row>
    <row r="180" spans="1:28" x14ac:dyDescent="0.15">
      <c r="A180" s="4"/>
      <c r="B180" s="4"/>
      <c r="C180" s="5"/>
      <c r="D180" s="6"/>
      <c r="E180" s="6"/>
      <c r="F180" s="6"/>
      <c r="G180" s="7"/>
      <c r="H180" s="7"/>
      <c r="I180" s="8"/>
      <c r="J180" s="9"/>
      <c r="K180" s="7"/>
      <c r="L180" s="7"/>
      <c r="M180" s="10"/>
      <c r="N180" s="11"/>
      <c r="O180" s="12"/>
      <c r="P180" s="13"/>
      <c r="Q180" s="13"/>
      <c r="R180" s="13"/>
      <c r="S180" s="6"/>
      <c r="T180" s="8"/>
      <c r="U180" s="9"/>
      <c r="V180" s="14"/>
      <c r="W180" s="8"/>
      <c r="X180" s="8"/>
      <c r="Y180" s="8"/>
      <c r="Z180" s="12"/>
      <c r="AA180" s="11"/>
      <c r="AB180" s="15"/>
    </row>
    <row r="181" spans="1:28" x14ac:dyDescent="0.15">
      <c r="A181" s="4"/>
      <c r="B181" s="4"/>
      <c r="C181" s="5"/>
      <c r="D181" s="6"/>
      <c r="E181" s="6"/>
      <c r="F181" s="6"/>
      <c r="G181" s="7"/>
      <c r="H181" s="7"/>
      <c r="I181" s="8"/>
      <c r="J181" s="9"/>
      <c r="K181" s="7"/>
      <c r="L181" s="7"/>
      <c r="M181" s="10"/>
      <c r="N181" s="11"/>
      <c r="O181" s="12"/>
      <c r="P181" s="13"/>
      <c r="Q181" s="13"/>
      <c r="R181" s="13"/>
      <c r="S181" s="6"/>
      <c r="T181" s="8"/>
      <c r="U181" s="9"/>
      <c r="V181" s="14"/>
      <c r="W181" s="8"/>
      <c r="X181" s="8"/>
      <c r="Y181" s="8"/>
      <c r="Z181" s="12"/>
      <c r="AA181" s="11"/>
      <c r="AB181" s="15"/>
    </row>
    <row r="182" spans="1:28" x14ac:dyDescent="0.15">
      <c r="A182" s="4"/>
      <c r="B182" s="4"/>
      <c r="C182" s="5"/>
      <c r="D182" s="6"/>
      <c r="E182" s="6"/>
      <c r="F182" s="6"/>
      <c r="G182" s="7"/>
      <c r="H182" s="7"/>
      <c r="I182" s="8"/>
      <c r="J182" s="9"/>
      <c r="K182" s="7"/>
      <c r="L182" s="7"/>
      <c r="M182" s="10"/>
      <c r="N182" s="11"/>
      <c r="O182" s="12"/>
      <c r="P182" s="13"/>
      <c r="Q182" s="13"/>
      <c r="R182" s="13"/>
      <c r="S182" s="6"/>
      <c r="T182" s="8"/>
      <c r="U182" s="9"/>
      <c r="V182" s="14"/>
      <c r="W182" s="8"/>
      <c r="X182" s="8"/>
      <c r="Y182" s="8"/>
      <c r="Z182" s="12"/>
      <c r="AA182" s="11"/>
      <c r="AB182" s="15"/>
    </row>
    <row r="183" spans="1:28" x14ac:dyDescent="0.15">
      <c r="A183" s="4"/>
      <c r="B183" s="4"/>
      <c r="C183" s="5"/>
      <c r="D183" s="6"/>
      <c r="E183" s="6"/>
      <c r="F183" s="6"/>
      <c r="G183" s="7"/>
      <c r="H183" s="7"/>
      <c r="I183" s="8"/>
      <c r="J183" s="9"/>
      <c r="K183" s="7"/>
      <c r="L183" s="7"/>
      <c r="M183" s="10"/>
      <c r="N183" s="11"/>
      <c r="O183" s="12"/>
      <c r="P183" s="13"/>
      <c r="Q183" s="13"/>
      <c r="R183" s="13"/>
      <c r="S183" s="6"/>
      <c r="T183" s="8"/>
      <c r="U183" s="9"/>
      <c r="V183" s="14"/>
      <c r="W183" s="8"/>
      <c r="X183" s="8"/>
      <c r="Y183" s="8"/>
      <c r="Z183" s="12"/>
      <c r="AA183" s="11"/>
      <c r="AB183" s="15"/>
    </row>
    <row r="184" spans="1:28" x14ac:dyDescent="0.15">
      <c r="A184" s="4"/>
      <c r="B184" s="4"/>
      <c r="C184" s="5"/>
      <c r="D184" s="6"/>
      <c r="E184" s="6"/>
      <c r="F184" s="6"/>
      <c r="G184" s="7"/>
      <c r="H184" s="7"/>
      <c r="I184" s="8"/>
      <c r="J184" s="9"/>
      <c r="K184" s="7"/>
      <c r="L184" s="7"/>
      <c r="M184" s="10"/>
      <c r="N184" s="11"/>
      <c r="O184" s="12"/>
      <c r="P184" s="13"/>
      <c r="Q184" s="13"/>
      <c r="R184" s="13"/>
      <c r="S184" s="6"/>
      <c r="T184" s="8"/>
      <c r="U184" s="9"/>
      <c r="V184" s="14"/>
      <c r="W184" s="8"/>
      <c r="X184" s="8"/>
      <c r="Y184" s="8"/>
      <c r="Z184" s="12"/>
      <c r="AA184" s="11"/>
      <c r="AB184" s="15"/>
    </row>
    <row r="185" spans="1:28" x14ac:dyDescent="0.15">
      <c r="A185" s="4"/>
      <c r="B185" s="4"/>
      <c r="C185" s="5"/>
      <c r="D185" s="6"/>
      <c r="E185" s="6"/>
      <c r="F185" s="6"/>
      <c r="G185" s="7"/>
      <c r="H185" s="7"/>
      <c r="I185" s="8"/>
      <c r="J185" s="9"/>
      <c r="K185" s="7"/>
      <c r="L185" s="7"/>
      <c r="M185" s="10"/>
      <c r="N185" s="11"/>
      <c r="O185" s="12"/>
      <c r="P185" s="13"/>
      <c r="Q185" s="13"/>
      <c r="R185" s="13"/>
      <c r="S185" s="6"/>
      <c r="T185" s="8"/>
      <c r="U185" s="9"/>
      <c r="V185" s="14"/>
      <c r="W185" s="8"/>
      <c r="X185" s="8"/>
      <c r="Y185" s="8"/>
      <c r="Z185" s="12"/>
      <c r="AA185" s="11"/>
      <c r="AB185" s="15"/>
    </row>
    <row r="186" spans="1:28" x14ac:dyDescent="0.15">
      <c r="A186" s="4"/>
      <c r="B186" s="4"/>
      <c r="C186" s="5"/>
      <c r="D186" s="6"/>
      <c r="E186" s="6"/>
      <c r="F186" s="6"/>
      <c r="G186" s="7"/>
      <c r="H186" s="7"/>
      <c r="I186" s="8"/>
      <c r="J186" s="9"/>
      <c r="K186" s="7"/>
      <c r="L186" s="7"/>
      <c r="M186" s="10"/>
      <c r="N186" s="11"/>
      <c r="O186" s="12"/>
      <c r="P186" s="13"/>
      <c r="Q186" s="13"/>
      <c r="R186" s="13"/>
      <c r="S186" s="6"/>
      <c r="T186" s="8"/>
      <c r="U186" s="9"/>
      <c r="V186" s="14"/>
      <c r="W186" s="8"/>
      <c r="X186" s="8"/>
      <c r="Y186" s="8"/>
      <c r="Z186" s="12"/>
      <c r="AA186" s="11"/>
      <c r="AB186" s="15"/>
    </row>
    <row r="187" spans="1:28" x14ac:dyDescent="0.15">
      <c r="A187" s="4"/>
      <c r="B187" s="4"/>
      <c r="C187" s="5"/>
      <c r="D187" s="6"/>
      <c r="E187" s="6"/>
      <c r="F187" s="6"/>
      <c r="G187" s="7"/>
      <c r="H187" s="7"/>
      <c r="I187" s="8"/>
      <c r="J187" s="9"/>
      <c r="K187" s="7"/>
      <c r="L187" s="7"/>
      <c r="M187" s="10"/>
      <c r="N187" s="11"/>
      <c r="O187" s="12"/>
      <c r="P187" s="13"/>
      <c r="Q187" s="13"/>
      <c r="R187" s="13"/>
      <c r="S187" s="6"/>
      <c r="T187" s="8"/>
      <c r="U187" s="9"/>
      <c r="V187" s="14"/>
      <c r="W187" s="8"/>
      <c r="X187" s="8"/>
      <c r="Y187" s="8"/>
      <c r="Z187" s="12"/>
      <c r="AA187" s="11"/>
      <c r="AB187" s="15"/>
    </row>
    <row r="188" spans="1:28" x14ac:dyDescent="0.15">
      <c r="A188" s="4"/>
      <c r="B188" s="4"/>
      <c r="C188" s="5"/>
      <c r="D188" s="6"/>
      <c r="E188" s="6"/>
      <c r="F188" s="6"/>
      <c r="G188" s="7"/>
      <c r="H188" s="7"/>
      <c r="I188" s="8"/>
      <c r="J188" s="9"/>
      <c r="K188" s="7"/>
      <c r="L188" s="7"/>
      <c r="M188" s="10"/>
      <c r="N188" s="11"/>
      <c r="O188" s="12"/>
      <c r="P188" s="13"/>
      <c r="Q188" s="13"/>
      <c r="R188" s="13"/>
      <c r="S188" s="6"/>
      <c r="T188" s="8"/>
      <c r="U188" s="9"/>
      <c r="V188" s="14"/>
      <c r="W188" s="8"/>
      <c r="X188" s="8"/>
      <c r="Y188" s="8"/>
      <c r="Z188" s="12"/>
      <c r="AA188" s="11"/>
      <c r="AB188" s="15"/>
    </row>
    <row r="189" spans="1:28" x14ac:dyDescent="0.15">
      <c r="A189" s="4"/>
      <c r="B189" s="4"/>
      <c r="C189" s="5"/>
      <c r="D189" s="6"/>
      <c r="E189" s="6"/>
      <c r="F189" s="6"/>
      <c r="G189" s="7"/>
      <c r="H189" s="7"/>
      <c r="I189" s="8"/>
      <c r="J189" s="9"/>
      <c r="K189" s="7"/>
      <c r="L189" s="7"/>
      <c r="M189" s="10"/>
      <c r="N189" s="11"/>
      <c r="O189" s="12"/>
      <c r="P189" s="13"/>
      <c r="Q189" s="13"/>
      <c r="R189" s="13"/>
      <c r="S189" s="6"/>
      <c r="T189" s="8"/>
      <c r="U189" s="9"/>
      <c r="V189" s="14"/>
      <c r="W189" s="8"/>
      <c r="X189" s="8"/>
      <c r="Y189" s="8"/>
      <c r="Z189" s="12"/>
      <c r="AA189" s="11"/>
      <c r="AB189" s="15"/>
    </row>
    <row r="190" spans="1:28" x14ac:dyDescent="0.15">
      <c r="A190" s="4"/>
      <c r="B190" s="4"/>
      <c r="C190" s="5"/>
      <c r="D190" s="6"/>
      <c r="E190" s="6"/>
      <c r="F190" s="6"/>
      <c r="G190" s="7"/>
      <c r="H190" s="7"/>
      <c r="I190" s="8"/>
      <c r="J190" s="9"/>
      <c r="K190" s="7"/>
      <c r="L190" s="7"/>
      <c r="M190" s="10"/>
      <c r="N190" s="11"/>
      <c r="O190" s="12"/>
      <c r="P190" s="13"/>
      <c r="Q190" s="13"/>
      <c r="R190" s="13"/>
      <c r="S190" s="6"/>
      <c r="T190" s="8"/>
      <c r="U190" s="9"/>
      <c r="V190" s="14"/>
      <c r="W190" s="8"/>
      <c r="X190" s="8"/>
      <c r="Y190" s="8"/>
      <c r="Z190" s="12"/>
      <c r="AA190" s="11"/>
      <c r="AB190" s="15"/>
    </row>
    <row r="191" spans="1:28" x14ac:dyDescent="0.15">
      <c r="A191" s="4"/>
      <c r="B191" s="4"/>
      <c r="C191" s="5"/>
      <c r="D191" s="6"/>
      <c r="E191" s="6"/>
      <c r="F191" s="6"/>
      <c r="G191" s="7"/>
      <c r="H191" s="7"/>
      <c r="I191" s="8"/>
      <c r="J191" s="9"/>
      <c r="K191" s="7"/>
      <c r="L191" s="7"/>
      <c r="M191" s="10"/>
      <c r="N191" s="11"/>
      <c r="O191" s="12"/>
      <c r="P191" s="13"/>
      <c r="Q191" s="13"/>
      <c r="R191" s="13"/>
      <c r="S191" s="6"/>
      <c r="T191" s="8"/>
      <c r="U191" s="9"/>
      <c r="V191" s="14"/>
      <c r="W191" s="8"/>
      <c r="X191" s="8"/>
      <c r="Y191" s="8"/>
      <c r="Z191" s="12"/>
      <c r="AA191" s="11"/>
      <c r="AB191" s="15"/>
    </row>
    <row r="192" spans="1:28" x14ac:dyDescent="0.15">
      <c r="A192" s="4"/>
      <c r="B192" s="4"/>
      <c r="C192" s="5"/>
      <c r="D192" s="6"/>
      <c r="E192" s="6"/>
      <c r="F192" s="6"/>
      <c r="G192" s="7"/>
      <c r="H192" s="7"/>
      <c r="I192" s="8"/>
      <c r="J192" s="9"/>
      <c r="K192" s="7"/>
      <c r="L192" s="7"/>
      <c r="M192" s="10"/>
      <c r="N192" s="11"/>
      <c r="O192" s="12"/>
      <c r="P192" s="13"/>
      <c r="Q192" s="13"/>
      <c r="R192" s="13"/>
      <c r="S192" s="6"/>
      <c r="T192" s="8"/>
      <c r="U192" s="9"/>
      <c r="V192" s="14"/>
      <c r="W192" s="8"/>
      <c r="X192" s="8"/>
      <c r="Y192" s="8"/>
      <c r="Z192" s="12"/>
      <c r="AA192" s="11"/>
      <c r="AB192" s="15"/>
    </row>
    <row r="193" spans="1:28" x14ac:dyDescent="0.15">
      <c r="A193" s="4"/>
      <c r="B193" s="4"/>
      <c r="C193" s="5"/>
      <c r="D193" s="6"/>
      <c r="E193" s="6"/>
      <c r="F193" s="6"/>
      <c r="G193" s="7"/>
      <c r="H193" s="7"/>
      <c r="I193" s="8"/>
      <c r="J193" s="9"/>
      <c r="K193" s="7"/>
      <c r="L193" s="7"/>
      <c r="M193" s="10"/>
      <c r="N193" s="11"/>
      <c r="O193" s="12"/>
      <c r="P193" s="13"/>
      <c r="Q193" s="13"/>
      <c r="R193" s="13"/>
      <c r="S193" s="6"/>
      <c r="T193" s="8"/>
      <c r="U193" s="9"/>
      <c r="V193" s="14"/>
      <c r="W193" s="8"/>
      <c r="X193" s="8"/>
      <c r="Y193" s="8"/>
      <c r="Z193" s="12"/>
      <c r="AA193" s="11"/>
      <c r="AB193" s="15"/>
    </row>
    <row r="194" spans="1:28" x14ac:dyDescent="0.15">
      <c r="A194" s="4"/>
      <c r="B194" s="4"/>
      <c r="C194" s="5"/>
      <c r="D194" s="6"/>
      <c r="E194" s="6"/>
      <c r="F194" s="6"/>
      <c r="G194" s="7"/>
      <c r="H194" s="7"/>
      <c r="I194" s="8"/>
      <c r="J194" s="9"/>
      <c r="K194" s="7"/>
      <c r="L194" s="7"/>
      <c r="M194" s="10"/>
      <c r="N194" s="11"/>
      <c r="O194" s="12"/>
      <c r="P194" s="13"/>
      <c r="Q194" s="13"/>
      <c r="R194" s="13"/>
      <c r="S194" s="6"/>
      <c r="T194" s="8"/>
      <c r="U194" s="9"/>
      <c r="V194" s="14"/>
      <c r="W194" s="8"/>
      <c r="X194" s="8"/>
      <c r="Y194" s="8"/>
      <c r="Z194" s="12"/>
      <c r="AA194" s="11"/>
      <c r="AB194" s="15"/>
    </row>
    <row r="195" spans="1:28" x14ac:dyDescent="0.15">
      <c r="A195" s="4"/>
      <c r="B195" s="4"/>
      <c r="C195" s="5"/>
      <c r="D195" s="6"/>
      <c r="E195" s="6"/>
      <c r="F195" s="6"/>
      <c r="G195" s="7"/>
      <c r="H195" s="7"/>
      <c r="I195" s="8"/>
      <c r="J195" s="9"/>
      <c r="K195" s="7"/>
      <c r="L195" s="7"/>
      <c r="M195" s="10"/>
      <c r="N195" s="11"/>
      <c r="O195" s="12"/>
      <c r="P195" s="13"/>
      <c r="Q195" s="13"/>
      <c r="R195" s="13"/>
      <c r="S195" s="6"/>
      <c r="T195" s="8"/>
      <c r="U195" s="9"/>
      <c r="V195" s="14"/>
      <c r="W195" s="8"/>
      <c r="X195" s="8"/>
      <c r="Y195" s="8"/>
      <c r="Z195" s="12"/>
      <c r="AA195" s="11"/>
      <c r="AB195" s="15"/>
    </row>
    <row r="196" spans="1:28" x14ac:dyDescent="0.15">
      <c r="A196" s="4"/>
      <c r="B196" s="4"/>
      <c r="C196" s="5"/>
      <c r="D196" s="6"/>
      <c r="E196" s="6"/>
      <c r="F196" s="6"/>
      <c r="G196" s="7"/>
      <c r="H196" s="7"/>
      <c r="I196" s="8"/>
      <c r="J196" s="9"/>
      <c r="K196" s="7"/>
      <c r="L196" s="7"/>
      <c r="M196" s="10"/>
      <c r="N196" s="11"/>
      <c r="O196" s="12"/>
      <c r="P196" s="13"/>
      <c r="Q196" s="13"/>
      <c r="R196" s="13"/>
      <c r="S196" s="6"/>
      <c r="T196" s="8"/>
      <c r="U196" s="9"/>
      <c r="V196" s="14"/>
      <c r="W196" s="8"/>
      <c r="X196" s="8"/>
      <c r="Y196" s="8"/>
      <c r="Z196" s="12"/>
      <c r="AA196" s="11"/>
      <c r="AB196" s="15"/>
    </row>
    <row r="197" spans="1:28" x14ac:dyDescent="0.15">
      <c r="A197" s="4"/>
      <c r="B197" s="4"/>
      <c r="C197" s="5"/>
      <c r="D197" s="6"/>
      <c r="E197" s="6"/>
      <c r="F197" s="6"/>
      <c r="G197" s="7"/>
      <c r="H197" s="7"/>
      <c r="I197" s="8"/>
      <c r="J197" s="9"/>
      <c r="K197" s="7"/>
      <c r="L197" s="7"/>
      <c r="M197" s="10"/>
      <c r="N197" s="11"/>
      <c r="O197" s="12"/>
      <c r="P197" s="13"/>
      <c r="Q197" s="13"/>
      <c r="R197" s="13"/>
      <c r="S197" s="6"/>
      <c r="T197" s="8"/>
      <c r="U197" s="9"/>
      <c r="V197" s="14"/>
      <c r="W197" s="8"/>
      <c r="X197" s="8"/>
      <c r="Y197" s="8"/>
      <c r="Z197" s="12"/>
      <c r="AA197" s="11"/>
      <c r="AB197" s="15"/>
    </row>
    <row r="198" spans="1:28" x14ac:dyDescent="0.15">
      <c r="A198" s="4"/>
      <c r="B198" s="4"/>
      <c r="C198" s="5"/>
      <c r="D198" s="6"/>
      <c r="E198" s="6"/>
      <c r="F198" s="6"/>
      <c r="G198" s="7"/>
      <c r="H198" s="7"/>
      <c r="I198" s="8"/>
      <c r="J198" s="9"/>
      <c r="K198" s="7"/>
      <c r="L198" s="7"/>
      <c r="M198" s="10"/>
      <c r="N198" s="11"/>
      <c r="O198" s="12"/>
      <c r="P198" s="13"/>
      <c r="Q198" s="13"/>
      <c r="R198" s="13"/>
      <c r="S198" s="6"/>
      <c r="T198" s="8"/>
      <c r="U198" s="9"/>
      <c r="V198" s="14"/>
      <c r="W198" s="8"/>
      <c r="X198" s="8"/>
      <c r="Y198" s="8"/>
      <c r="Z198" s="12"/>
      <c r="AA198" s="11"/>
      <c r="AB198" s="15"/>
    </row>
    <row r="199" spans="1:28" x14ac:dyDescent="0.15">
      <c r="A199" s="4"/>
      <c r="B199" s="4"/>
      <c r="C199" s="5"/>
      <c r="D199" s="6"/>
      <c r="E199" s="6"/>
      <c r="F199" s="6"/>
      <c r="G199" s="7"/>
      <c r="H199" s="7"/>
      <c r="I199" s="8"/>
      <c r="J199" s="9"/>
      <c r="K199" s="7"/>
      <c r="L199" s="7"/>
      <c r="M199" s="10"/>
      <c r="N199" s="11"/>
      <c r="O199" s="12"/>
      <c r="P199" s="13"/>
      <c r="Q199" s="13"/>
      <c r="R199" s="13"/>
      <c r="S199" s="6"/>
      <c r="T199" s="8"/>
      <c r="U199" s="9"/>
      <c r="V199" s="14"/>
      <c r="W199" s="8"/>
      <c r="X199" s="8"/>
      <c r="Y199" s="8"/>
      <c r="Z199" s="12"/>
      <c r="AA199" s="11"/>
      <c r="AB199" s="15"/>
    </row>
    <row r="200" spans="1:28" x14ac:dyDescent="0.15">
      <c r="A200" s="4"/>
      <c r="B200" s="4"/>
      <c r="C200" s="5"/>
      <c r="D200" s="6"/>
      <c r="E200" s="6"/>
      <c r="F200" s="6"/>
      <c r="G200" s="7"/>
      <c r="H200" s="7"/>
      <c r="I200" s="8"/>
      <c r="J200" s="9"/>
      <c r="K200" s="7"/>
      <c r="L200" s="7"/>
      <c r="M200" s="10"/>
      <c r="N200" s="11"/>
      <c r="O200" s="12"/>
      <c r="P200" s="13"/>
      <c r="Q200" s="13"/>
      <c r="R200" s="13"/>
      <c r="S200" s="6"/>
      <c r="T200" s="8"/>
      <c r="U200" s="9"/>
      <c r="V200" s="14"/>
      <c r="W200" s="8"/>
      <c r="X200" s="8"/>
      <c r="Y200" s="8"/>
      <c r="Z200" s="12"/>
      <c r="AA200" s="11"/>
      <c r="AB200" s="15"/>
    </row>
    <row r="201" spans="1:28" x14ac:dyDescent="0.15">
      <c r="A201" s="4"/>
      <c r="B201" s="4"/>
      <c r="C201" s="5"/>
      <c r="D201" s="6"/>
      <c r="E201" s="6"/>
      <c r="F201" s="6"/>
      <c r="G201" s="7"/>
      <c r="H201" s="7"/>
      <c r="I201" s="8"/>
      <c r="J201" s="9"/>
      <c r="K201" s="7"/>
      <c r="L201" s="7"/>
      <c r="M201" s="10"/>
      <c r="N201" s="11"/>
      <c r="O201" s="12"/>
      <c r="P201" s="13"/>
      <c r="Q201" s="13"/>
      <c r="R201" s="13"/>
      <c r="S201" s="6"/>
      <c r="T201" s="8"/>
      <c r="U201" s="9"/>
      <c r="V201" s="14"/>
      <c r="W201" s="8"/>
      <c r="X201" s="8"/>
      <c r="Y201" s="8"/>
      <c r="Z201" s="12"/>
      <c r="AA201" s="11"/>
      <c r="AB201" s="15"/>
    </row>
    <row r="202" spans="1:28" x14ac:dyDescent="0.15">
      <c r="A202" s="4"/>
      <c r="B202" s="4"/>
      <c r="C202" s="5"/>
      <c r="D202" s="6"/>
      <c r="E202" s="6"/>
      <c r="F202" s="6"/>
      <c r="G202" s="7"/>
      <c r="H202" s="7"/>
      <c r="I202" s="8"/>
      <c r="J202" s="9"/>
      <c r="K202" s="7"/>
      <c r="L202" s="7"/>
      <c r="M202" s="10"/>
      <c r="N202" s="11"/>
      <c r="O202" s="12"/>
      <c r="P202" s="13"/>
      <c r="Q202" s="13"/>
      <c r="R202" s="13"/>
      <c r="S202" s="6"/>
      <c r="T202" s="8"/>
      <c r="U202" s="9"/>
      <c r="V202" s="14"/>
      <c r="W202" s="8"/>
      <c r="X202" s="8"/>
      <c r="Y202" s="8"/>
      <c r="Z202" s="12"/>
      <c r="AA202" s="11"/>
      <c r="AB202" s="15"/>
    </row>
    <row r="203" spans="1:28" x14ac:dyDescent="0.15">
      <c r="A203" s="4"/>
      <c r="B203" s="4"/>
      <c r="C203" s="5"/>
      <c r="D203" s="6"/>
      <c r="E203" s="6"/>
      <c r="F203" s="6"/>
      <c r="G203" s="7"/>
      <c r="H203" s="7"/>
      <c r="I203" s="8"/>
      <c r="J203" s="9"/>
      <c r="K203" s="7"/>
      <c r="L203" s="7"/>
      <c r="M203" s="10"/>
      <c r="N203" s="11"/>
      <c r="O203" s="12"/>
      <c r="P203" s="13"/>
      <c r="Q203" s="13"/>
      <c r="R203" s="13"/>
      <c r="S203" s="6"/>
      <c r="T203" s="8"/>
      <c r="U203" s="9"/>
      <c r="V203" s="14"/>
      <c r="W203" s="8"/>
      <c r="X203" s="8"/>
      <c r="Y203" s="8"/>
      <c r="Z203" s="12"/>
      <c r="AA203" s="11"/>
      <c r="AB203" s="15"/>
    </row>
    <row r="204" spans="1:28" x14ac:dyDescent="0.15">
      <c r="A204" s="4"/>
      <c r="B204" s="4"/>
      <c r="C204" s="5"/>
      <c r="D204" s="6"/>
      <c r="E204" s="6"/>
      <c r="F204" s="6"/>
      <c r="G204" s="7"/>
      <c r="H204" s="7"/>
      <c r="I204" s="8"/>
      <c r="J204" s="9"/>
      <c r="K204" s="7"/>
      <c r="L204" s="7"/>
      <c r="M204" s="10"/>
      <c r="N204" s="11"/>
      <c r="O204" s="12"/>
      <c r="P204" s="13"/>
      <c r="Q204" s="13"/>
      <c r="R204" s="13"/>
      <c r="S204" s="6"/>
      <c r="T204" s="8"/>
      <c r="U204" s="9"/>
      <c r="V204" s="14"/>
      <c r="W204" s="8"/>
      <c r="X204" s="8"/>
      <c r="Y204" s="8"/>
      <c r="Z204" s="12"/>
      <c r="AA204" s="11"/>
      <c r="AB204" s="15"/>
    </row>
    <row r="205" spans="1:28" x14ac:dyDescent="0.15">
      <c r="A205" s="4"/>
      <c r="B205" s="4"/>
      <c r="C205" s="5"/>
      <c r="D205" s="6"/>
      <c r="E205" s="6"/>
      <c r="F205" s="6"/>
      <c r="G205" s="7"/>
      <c r="H205" s="7"/>
      <c r="I205" s="8"/>
      <c r="J205" s="9"/>
      <c r="K205" s="7"/>
      <c r="L205" s="7"/>
      <c r="M205" s="10"/>
      <c r="N205" s="11"/>
      <c r="O205" s="12"/>
      <c r="P205" s="13"/>
      <c r="Q205" s="13"/>
      <c r="R205" s="13"/>
      <c r="S205" s="6"/>
      <c r="T205" s="8"/>
      <c r="U205" s="9"/>
      <c r="V205" s="14"/>
      <c r="W205" s="8"/>
      <c r="X205" s="8"/>
      <c r="Y205" s="8"/>
      <c r="Z205" s="12"/>
      <c r="AA205" s="11"/>
      <c r="AB205" s="15"/>
    </row>
    <row r="206" spans="1:28" x14ac:dyDescent="0.15">
      <c r="A206" s="4"/>
      <c r="B206" s="4"/>
      <c r="C206" s="5"/>
      <c r="D206" s="6"/>
      <c r="E206" s="6"/>
      <c r="F206" s="6"/>
      <c r="G206" s="7"/>
      <c r="H206" s="7"/>
      <c r="I206" s="8"/>
      <c r="J206" s="9"/>
      <c r="K206" s="7"/>
      <c r="L206" s="7"/>
      <c r="M206" s="10"/>
      <c r="N206" s="11"/>
      <c r="O206" s="12"/>
      <c r="P206" s="13"/>
      <c r="Q206" s="13"/>
      <c r="R206" s="13"/>
      <c r="S206" s="6"/>
      <c r="T206" s="8"/>
      <c r="U206" s="9"/>
      <c r="V206" s="14"/>
      <c r="W206" s="8"/>
      <c r="X206" s="8"/>
      <c r="Y206" s="8"/>
      <c r="Z206" s="12"/>
      <c r="AA206" s="11"/>
      <c r="AB206" s="15"/>
    </row>
    <row r="207" spans="1:28" x14ac:dyDescent="0.15">
      <c r="A207" s="4"/>
      <c r="B207" s="4"/>
      <c r="C207" s="5"/>
      <c r="D207" s="6"/>
      <c r="E207" s="6"/>
      <c r="F207" s="6"/>
      <c r="G207" s="7"/>
      <c r="H207" s="7"/>
      <c r="I207" s="8"/>
      <c r="J207" s="9"/>
      <c r="K207" s="7"/>
      <c r="L207" s="7"/>
      <c r="M207" s="10"/>
      <c r="N207" s="11"/>
      <c r="O207" s="12"/>
      <c r="P207" s="13"/>
      <c r="Q207" s="13"/>
      <c r="R207" s="13"/>
      <c r="S207" s="6"/>
      <c r="T207" s="8"/>
      <c r="U207" s="9"/>
      <c r="V207" s="14"/>
      <c r="W207" s="8"/>
      <c r="X207" s="8"/>
      <c r="Y207" s="8"/>
      <c r="Z207" s="12"/>
      <c r="AA207" s="11"/>
      <c r="AB207" s="15"/>
    </row>
    <row r="208" spans="1:28" x14ac:dyDescent="0.15">
      <c r="A208" s="4"/>
      <c r="B208" s="4"/>
      <c r="C208" s="5"/>
      <c r="D208" s="6"/>
      <c r="E208" s="6"/>
      <c r="F208" s="6"/>
      <c r="G208" s="7"/>
      <c r="H208" s="7"/>
      <c r="I208" s="8"/>
      <c r="J208" s="9"/>
      <c r="K208" s="7"/>
      <c r="L208" s="7"/>
      <c r="M208" s="10"/>
      <c r="N208" s="11"/>
      <c r="O208" s="12"/>
      <c r="P208" s="13"/>
      <c r="Q208" s="13"/>
      <c r="R208" s="13"/>
      <c r="S208" s="6"/>
      <c r="T208" s="8"/>
      <c r="U208" s="9"/>
      <c r="V208" s="14"/>
      <c r="W208" s="8"/>
      <c r="X208" s="8"/>
      <c r="Y208" s="8"/>
      <c r="Z208" s="12"/>
      <c r="AA208" s="11"/>
      <c r="AB208" s="15"/>
    </row>
    <row r="209" spans="1:28" x14ac:dyDescent="0.15">
      <c r="A209" s="4"/>
      <c r="B209" s="4"/>
      <c r="C209" s="5"/>
      <c r="D209" s="6"/>
      <c r="E209" s="6"/>
      <c r="F209" s="6"/>
      <c r="G209" s="7"/>
      <c r="H209" s="7"/>
      <c r="I209" s="8"/>
      <c r="J209" s="9"/>
      <c r="K209" s="7"/>
      <c r="L209" s="7"/>
      <c r="M209" s="10"/>
      <c r="N209" s="11"/>
      <c r="O209" s="12"/>
      <c r="P209" s="13"/>
      <c r="Q209" s="13"/>
      <c r="R209" s="13"/>
      <c r="S209" s="6"/>
      <c r="T209" s="8"/>
      <c r="U209" s="9"/>
      <c r="V209" s="14"/>
      <c r="W209" s="8"/>
      <c r="X209" s="8"/>
      <c r="Y209" s="8"/>
      <c r="Z209" s="12"/>
      <c r="AA209" s="11"/>
      <c r="AB209" s="15"/>
    </row>
    <row r="210" spans="1:28" x14ac:dyDescent="0.15">
      <c r="A210" s="4"/>
      <c r="B210" s="4"/>
      <c r="C210" s="5"/>
      <c r="D210" s="6"/>
      <c r="E210" s="6"/>
      <c r="F210" s="6"/>
      <c r="G210" s="7"/>
      <c r="H210" s="7"/>
      <c r="I210" s="8"/>
      <c r="J210" s="9"/>
      <c r="K210" s="7"/>
      <c r="L210" s="7"/>
      <c r="M210" s="10"/>
      <c r="N210" s="11"/>
      <c r="O210" s="12"/>
      <c r="P210" s="13"/>
      <c r="Q210" s="13"/>
      <c r="R210" s="13"/>
      <c r="S210" s="6"/>
      <c r="T210" s="8"/>
      <c r="U210" s="9"/>
      <c r="V210" s="14"/>
      <c r="W210" s="8"/>
      <c r="X210" s="8"/>
      <c r="Y210" s="8"/>
      <c r="Z210" s="12"/>
      <c r="AA210" s="11"/>
      <c r="AB210" s="15"/>
    </row>
    <row r="211" spans="1:28" x14ac:dyDescent="0.15">
      <c r="A211" s="4"/>
      <c r="B211" s="4"/>
      <c r="C211" s="5"/>
      <c r="D211" s="6"/>
      <c r="E211" s="6"/>
      <c r="F211" s="6"/>
      <c r="G211" s="7"/>
      <c r="H211" s="7"/>
      <c r="I211" s="8"/>
      <c r="J211" s="9"/>
      <c r="K211" s="7"/>
      <c r="L211" s="7"/>
      <c r="M211" s="10"/>
      <c r="N211" s="11"/>
      <c r="O211" s="12"/>
      <c r="P211" s="13"/>
      <c r="Q211" s="13"/>
      <c r="R211" s="13"/>
      <c r="S211" s="6"/>
      <c r="T211" s="8"/>
      <c r="U211" s="9"/>
      <c r="V211" s="14"/>
      <c r="W211" s="8"/>
      <c r="X211" s="8"/>
      <c r="Y211" s="8"/>
      <c r="Z211" s="12"/>
      <c r="AA211" s="11"/>
      <c r="AB211" s="15"/>
    </row>
    <row r="212" spans="1:28" x14ac:dyDescent="0.15">
      <c r="A212" s="4"/>
      <c r="B212" s="4"/>
      <c r="C212" s="5"/>
      <c r="D212" s="6"/>
      <c r="E212" s="6"/>
      <c r="F212" s="6"/>
      <c r="G212" s="7"/>
      <c r="H212" s="7"/>
      <c r="I212" s="8"/>
      <c r="J212" s="9"/>
      <c r="K212" s="7"/>
      <c r="L212" s="7"/>
      <c r="M212" s="10"/>
      <c r="N212" s="11"/>
      <c r="O212" s="12"/>
      <c r="P212" s="13"/>
      <c r="Q212" s="13"/>
      <c r="R212" s="13"/>
      <c r="S212" s="6"/>
      <c r="T212" s="8"/>
      <c r="U212" s="9"/>
      <c r="V212" s="14"/>
      <c r="W212" s="8"/>
      <c r="X212" s="8"/>
      <c r="Y212" s="8"/>
      <c r="Z212" s="12"/>
      <c r="AA212" s="11"/>
      <c r="AB212" s="15"/>
    </row>
    <row r="213" spans="1:28" x14ac:dyDescent="0.15">
      <c r="A213" s="4"/>
      <c r="B213" s="4"/>
      <c r="C213" s="5"/>
      <c r="D213" s="6"/>
      <c r="E213" s="6"/>
      <c r="F213" s="6"/>
      <c r="G213" s="7"/>
      <c r="H213" s="7"/>
      <c r="I213" s="8"/>
      <c r="J213" s="9"/>
      <c r="K213" s="7"/>
      <c r="L213" s="7"/>
      <c r="M213" s="10"/>
      <c r="N213" s="11"/>
      <c r="O213" s="12"/>
      <c r="P213" s="13"/>
      <c r="Q213" s="13"/>
      <c r="R213" s="13"/>
      <c r="S213" s="6"/>
      <c r="T213" s="8"/>
      <c r="U213" s="9"/>
      <c r="V213" s="14"/>
      <c r="W213" s="8"/>
      <c r="X213" s="8"/>
      <c r="Y213" s="8"/>
      <c r="Z213" s="12"/>
      <c r="AA213" s="11"/>
      <c r="AB213" s="15"/>
    </row>
    <row r="214" spans="1:28" x14ac:dyDescent="0.15">
      <c r="A214" s="4"/>
      <c r="B214" s="4"/>
      <c r="C214" s="5"/>
      <c r="D214" s="6"/>
      <c r="E214" s="6"/>
      <c r="F214" s="6"/>
      <c r="G214" s="7"/>
      <c r="H214" s="7"/>
      <c r="I214" s="8"/>
      <c r="J214" s="9"/>
      <c r="K214" s="7"/>
      <c r="L214" s="7"/>
      <c r="M214" s="10"/>
      <c r="N214" s="11"/>
      <c r="O214" s="12"/>
      <c r="P214" s="13"/>
      <c r="Q214" s="13"/>
      <c r="R214" s="13"/>
      <c r="S214" s="6"/>
      <c r="T214" s="8"/>
      <c r="U214" s="9"/>
      <c r="V214" s="14"/>
      <c r="W214" s="8"/>
      <c r="X214" s="8"/>
      <c r="Y214" s="8"/>
      <c r="Z214" s="12"/>
      <c r="AA214" s="11"/>
      <c r="AB214" s="15"/>
    </row>
    <row r="215" spans="1:28" x14ac:dyDescent="0.15">
      <c r="A215" s="4"/>
      <c r="B215" s="4"/>
      <c r="C215" s="5"/>
      <c r="D215" s="6"/>
      <c r="E215" s="6"/>
      <c r="F215" s="6"/>
      <c r="G215" s="7"/>
      <c r="H215" s="7"/>
      <c r="I215" s="8"/>
      <c r="J215" s="9"/>
      <c r="K215" s="7"/>
      <c r="L215" s="7"/>
      <c r="M215" s="10"/>
      <c r="N215" s="11"/>
      <c r="O215" s="12"/>
      <c r="P215" s="13"/>
      <c r="Q215" s="13"/>
      <c r="R215" s="13"/>
      <c r="S215" s="6"/>
      <c r="T215" s="8"/>
      <c r="U215" s="9"/>
      <c r="V215" s="14"/>
      <c r="W215" s="8"/>
      <c r="X215" s="8"/>
      <c r="Y215" s="8"/>
      <c r="Z215" s="12"/>
      <c r="AA215" s="11"/>
      <c r="AB215" s="15"/>
    </row>
    <row r="216" spans="1:28" x14ac:dyDescent="0.15">
      <c r="A216" s="4"/>
      <c r="B216" s="4"/>
      <c r="C216" s="5"/>
      <c r="D216" s="6"/>
      <c r="E216" s="6"/>
      <c r="F216" s="6"/>
      <c r="G216" s="7"/>
      <c r="H216" s="7"/>
      <c r="I216" s="8"/>
      <c r="J216" s="9"/>
      <c r="K216" s="7"/>
      <c r="L216" s="7"/>
      <c r="M216" s="10"/>
      <c r="N216" s="11"/>
      <c r="O216" s="12"/>
      <c r="P216" s="13"/>
      <c r="Q216" s="13"/>
      <c r="R216" s="13"/>
      <c r="S216" s="6"/>
      <c r="T216" s="8"/>
      <c r="U216" s="9"/>
      <c r="V216" s="14"/>
      <c r="W216" s="8"/>
      <c r="X216" s="8"/>
      <c r="Y216" s="8"/>
      <c r="Z216" s="12"/>
      <c r="AA216" s="11"/>
      <c r="AB216" s="15"/>
    </row>
    <row r="217" spans="1:28" x14ac:dyDescent="0.15">
      <c r="A217" s="4"/>
      <c r="B217" s="4"/>
      <c r="C217" s="5"/>
      <c r="D217" s="6"/>
      <c r="E217" s="6"/>
      <c r="F217" s="6"/>
      <c r="G217" s="7"/>
      <c r="H217" s="7"/>
      <c r="I217" s="8"/>
      <c r="J217" s="9"/>
      <c r="K217" s="7"/>
      <c r="L217" s="7"/>
      <c r="M217" s="10"/>
      <c r="N217" s="11"/>
      <c r="O217" s="12"/>
      <c r="P217" s="13"/>
      <c r="Q217" s="13"/>
      <c r="R217" s="13"/>
      <c r="S217" s="6"/>
      <c r="T217" s="8"/>
      <c r="U217" s="9"/>
      <c r="V217" s="14"/>
      <c r="W217" s="8"/>
      <c r="X217" s="8"/>
      <c r="Y217" s="8"/>
      <c r="Z217" s="12"/>
      <c r="AA217" s="11"/>
      <c r="AB217" s="15"/>
    </row>
    <row r="218" spans="1:28" x14ac:dyDescent="0.15">
      <c r="A218" s="4"/>
      <c r="B218" s="4"/>
      <c r="C218" s="5"/>
      <c r="D218" s="6"/>
      <c r="E218" s="6"/>
      <c r="F218" s="6"/>
      <c r="G218" s="7"/>
      <c r="H218" s="7"/>
      <c r="I218" s="8"/>
      <c r="J218" s="9"/>
      <c r="K218" s="7"/>
      <c r="L218" s="7"/>
      <c r="M218" s="10"/>
      <c r="N218" s="11"/>
      <c r="O218" s="12"/>
      <c r="P218" s="13"/>
      <c r="Q218" s="13"/>
      <c r="R218" s="13"/>
      <c r="S218" s="6"/>
      <c r="T218" s="8"/>
      <c r="U218" s="9"/>
      <c r="V218" s="14"/>
      <c r="W218" s="8"/>
      <c r="X218" s="8"/>
      <c r="Y218" s="8"/>
      <c r="Z218" s="12"/>
      <c r="AA218" s="11"/>
      <c r="AB218" s="15"/>
    </row>
    <row r="219" spans="1:28" x14ac:dyDescent="0.15">
      <c r="A219" s="4"/>
      <c r="B219" s="4"/>
      <c r="C219" s="5"/>
      <c r="D219" s="6"/>
      <c r="E219" s="6"/>
      <c r="F219" s="6"/>
      <c r="G219" s="7"/>
      <c r="H219" s="7"/>
      <c r="I219" s="8"/>
      <c r="J219" s="9"/>
      <c r="K219" s="7"/>
      <c r="L219" s="7"/>
      <c r="M219" s="10"/>
      <c r="N219" s="11"/>
      <c r="O219" s="12"/>
      <c r="P219" s="13"/>
      <c r="Q219" s="13"/>
      <c r="R219" s="13"/>
      <c r="S219" s="6"/>
      <c r="T219" s="8"/>
      <c r="U219" s="9"/>
      <c r="V219" s="14"/>
      <c r="W219" s="8"/>
      <c r="X219" s="8"/>
      <c r="Y219" s="8"/>
      <c r="Z219" s="12"/>
      <c r="AA219" s="11"/>
      <c r="AB219" s="15"/>
    </row>
    <row r="220" spans="1:28" x14ac:dyDescent="0.15">
      <c r="A220" s="4"/>
      <c r="B220" s="4"/>
      <c r="C220" s="5"/>
      <c r="D220" s="6"/>
      <c r="E220" s="6"/>
      <c r="F220" s="6"/>
      <c r="G220" s="7"/>
      <c r="H220" s="7"/>
      <c r="I220" s="8"/>
      <c r="J220" s="9"/>
      <c r="K220" s="7"/>
      <c r="L220" s="7"/>
      <c r="M220" s="10"/>
      <c r="N220" s="11"/>
      <c r="O220" s="12"/>
      <c r="P220" s="13"/>
      <c r="Q220" s="13"/>
      <c r="R220" s="13"/>
      <c r="S220" s="6"/>
      <c r="T220" s="8"/>
      <c r="U220" s="9"/>
      <c r="V220" s="14"/>
      <c r="W220" s="8"/>
      <c r="X220" s="8"/>
      <c r="Y220" s="8"/>
      <c r="Z220" s="12"/>
      <c r="AA220" s="11"/>
      <c r="AB220" s="15"/>
    </row>
    <row r="221" spans="1:28" x14ac:dyDescent="0.15">
      <c r="A221" s="4"/>
      <c r="B221" s="4"/>
      <c r="C221" s="5"/>
      <c r="D221" s="6"/>
      <c r="E221" s="6"/>
      <c r="F221" s="6"/>
      <c r="G221" s="7"/>
      <c r="H221" s="7"/>
      <c r="I221" s="8"/>
      <c r="J221" s="9"/>
      <c r="K221" s="7"/>
      <c r="L221" s="7"/>
      <c r="M221" s="10"/>
      <c r="N221" s="11"/>
      <c r="O221" s="12"/>
      <c r="P221" s="13"/>
      <c r="Q221" s="13"/>
      <c r="R221" s="13"/>
      <c r="S221" s="6"/>
      <c r="T221" s="8"/>
      <c r="U221" s="9"/>
      <c r="V221" s="14"/>
      <c r="W221" s="8"/>
      <c r="X221" s="8"/>
      <c r="Y221" s="8"/>
      <c r="Z221" s="12"/>
      <c r="AA221" s="11"/>
      <c r="AB221" s="15"/>
    </row>
    <row r="222" spans="1:28" x14ac:dyDescent="0.15">
      <c r="A222" s="4"/>
      <c r="B222" s="4"/>
      <c r="C222" s="5"/>
      <c r="D222" s="6"/>
      <c r="E222" s="6"/>
      <c r="F222" s="6"/>
      <c r="G222" s="7"/>
      <c r="H222" s="7"/>
      <c r="I222" s="8"/>
      <c r="J222" s="9"/>
      <c r="K222" s="7"/>
      <c r="L222" s="7"/>
      <c r="M222" s="10"/>
      <c r="N222" s="11"/>
      <c r="O222" s="12"/>
      <c r="P222" s="13"/>
      <c r="Q222" s="13"/>
      <c r="R222" s="13"/>
      <c r="S222" s="6"/>
      <c r="T222" s="8"/>
      <c r="U222" s="9"/>
      <c r="V222" s="14"/>
      <c r="W222" s="8"/>
      <c r="X222" s="8"/>
      <c r="Y222" s="8"/>
      <c r="Z222" s="12"/>
      <c r="AA222" s="11"/>
      <c r="AB222" s="15"/>
    </row>
    <row r="223" spans="1:28" x14ac:dyDescent="0.15">
      <c r="A223" s="4"/>
      <c r="B223" s="4"/>
      <c r="C223" s="5"/>
      <c r="D223" s="6"/>
      <c r="E223" s="6"/>
      <c r="F223" s="6"/>
      <c r="G223" s="7"/>
      <c r="H223" s="7"/>
      <c r="I223" s="8"/>
      <c r="J223" s="9"/>
      <c r="K223" s="7"/>
      <c r="L223" s="7"/>
      <c r="M223" s="10"/>
      <c r="N223" s="11"/>
      <c r="O223" s="12"/>
      <c r="P223" s="13"/>
      <c r="Q223" s="13"/>
      <c r="R223" s="13"/>
      <c r="S223" s="6"/>
      <c r="T223" s="8"/>
      <c r="U223" s="9"/>
      <c r="V223" s="14"/>
      <c r="W223" s="8"/>
      <c r="X223" s="8"/>
      <c r="Y223" s="8"/>
      <c r="Z223" s="12"/>
      <c r="AA223" s="11"/>
      <c r="AB223" s="15"/>
    </row>
    <row r="224" spans="1:28" x14ac:dyDescent="0.15">
      <c r="A224" s="4"/>
      <c r="B224" s="4"/>
      <c r="C224" s="5"/>
      <c r="D224" s="6"/>
      <c r="E224" s="6"/>
      <c r="F224" s="6"/>
      <c r="G224" s="7"/>
      <c r="H224" s="7"/>
      <c r="I224" s="8"/>
      <c r="J224" s="9"/>
      <c r="K224" s="7"/>
      <c r="L224" s="7"/>
      <c r="M224" s="10"/>
      <c r="N224" s="11"/>
      <c r="O224" s="12"/>
      <c r="P224" s="13"/>
      <c r="Q224" s="13"/>
      <c r="R224" s="13"/>
      <c r="S224" s="6"/>
      <c r="T224" s="8"/>
      <c r="U224" s="9"/>
      <c r="V224" s="14"/>
      <c r="W224" s="8"/>
      <c r="X224" s="8"/>
      <c r="Y224" s="8"/>
      <c r="Z224" s="12"/>
      <c r="AA224" s="11"/>
      <c r="AB224" s="15"/>
    </row>
    <row r="225" spans="1:28" x14ac:dyDescent="0.15">
      <c r="A225" s="4"/>
      <c r="B225" s="4"/>
      <c r="C225" s="5"/>
      <c r="D225" s="6"/>
      <c r="E225" s="6"/>
      <c r="F225" s="6"/>
      <c r="G225" s="7"/>
      <c r="H225" s="7"/>
      <c r="I225" s="8"/>
      <c r="J225" s="9"/>
      <c r="K225" s="7"/>
      <c r="L225" s="7"/>
      <c r="M225" s="10"/>
      <c r="N225" s="11"/>
      <c r="O225" s="12"/>
      <c r="P225" s="13"/>
      <c r="Q225" s="13"/>
      <c r="R225" s="13"/>
      <c r="S225" s="6"/>
      <c r="T225" s="8"/>
      <c r="U225" s="9"/>
      <c r="V225" s="14"/>
      <c r="W225" s="8"/>
      <c r="X225" s="8"/>
      <c r="Y225" s="8"/>
      <c r="Z225" s="12"/>
      <c r="AA225" s="11"/>
      <c r="AB225" s="15"/>
    </row>
    <row r="226" spans="1:28" x14ac:dyDescent="0.15">
      <c r="A226" s="4"/>
      <c r="B226" s="4"/>
      <c r="C226" s="5"/>
      <c r="D226" s="6"/>
      <c r="E226" s="6"/>
      <c r="F226" s="6"/>
      <c r="G226" s="7"/>
      <c r="H226" s="7"/>
      <c r="I226" s="8"/>
      <c r="J226" s="9"/>
      <c r="K226" s="7"/>
      <c r="L226" s="7"/>
      <c r="M226" s="10"/>
      <c r="N226" s="11"/>
      <c r="O226" s="12"/>
      <c r="P226" s="13"/>
      <c r="Q226" s="13"/>
      <c r="R226" s="13"/>
      <c r="S226" s="6"/>
      <c r="T226" s="8"/>
      <c r="U226" s="9"/>
      <c r="V226" s="14"/>
      <c r="W226" s="8"/>
      <c r="X226" s="8"/>
      <c r="Y226" s="8"/>
      <c r="Z226" s="12"/>
      <c r="AA226" s="11"/>
      <c r="AB226" s="15"/>
    </row>
    <row r="227" spans="1:28" x14ac:dyDescent="0.15">
      <c r="A227" s="4"/>
      <c r="B227" s="4"/>
      <c r="C227" s="5"/>
      <c r="D227" s="6"/>
      <c r="E227" s="6"/>
      <c r="F227" s="6"/>
      <c r="G227" s="7"/>
      <c r="H227" s="7"/>
      <c r="I227" s="8"/>
      <c r="J227" s="9"/>
      <c r="K227" s="7"/>
      <c r="L227" s="7"/>
      <c r="M227" s="10"/>
      <c r="N227" s="11"/>
      <c r="O227" s="12"/>
      <c r="P227" s="13"/>
      <c r="Q227" s="13"/>
      <c r="R227" s="13"/>
      <c r="S227" s="6"/>
      <c r="T227" s="8"/>
      <c r="U227" s="9"/>
      <c r="V227" s="14"/>
      <c r="W227" s="8"/>
      <c r="X227" s="8"/>
      <c r="Y227" s="8"/>
      <c r="Z227" s="12"/>
      <c r="AA227" s="11"/>
      <c r="AB227" s="15"/>
    </row>
    <row r="228" spans="1:28" x14ac:dyDescent="0.15">
      <c r="A228" s="4"/>
      <c r="B228" s="4"/>
      <c r="C228" s="5"/>
      <c r="D228" s="6"/>
      <c r="E228" s="6"/>
      <c r="F228" s="6"/>
      <c r="G228" s="7"/>
      <c r="H228" s="7"/>
      <c r="I228" s="8"/>
      <c r="J228" s="9"/>
      <c r="K228" s="7"/>
      <c r="L228" s="7"/>
      <c r="M228" s="10"/>
      <c r="N228" s="11"/>
      <c r="O228" s="12"/>
      <c r="P228" s="13"/>
      <c r="Q228" s="13"/>
      <c r="R228" s="13"/>
      <c r="S228" s="6"/>
      <c r="T228" s="8"/>
      <c r="U228" s="9"/>
      <c r="V228" s="14"/>
      <c r="W228" s="8"/>
      <c r="X228" s="8"/>
      <c r="Y228" s="8"/>
      <c r="Z228" s="12"/>
      <c r="AA228" s="11"/>
      <c r="AB228" s="15"/>
    </row>
    <row r="229" spans="1:28" x14ac:dyDescent="0.15">
      <c r="A229" s="4"/>
      <c r="B229" s="4"/>
      <c r="C229" s="5"/>
      <c r="D229" s="6"/>
      <c r="E229" s="6"/>
      <c r="F229" s="6"/>
      <c r="G229" s="7"/>
      <c r="H229" s="7"/>
      <c r="I229" s="8"/>
      <c r="J229" s="9"/>
      <c r="K229" s="7"/>
      <c r="L229" s="7"/>
      <c r="M229" s="10"/>
      <c r="N229" s="11"/>
      <c r="O229" s="12"/>
      <c r="P229" s="13"/>
      <c r="Q229" s="13"/>
      <c r="R229" s="13"/>
      <c r="S229" s="6"/>
      <c r="T229" s="8"/>
      <c r="U229" s="9"/>
      <c r="V229" s="14"/>
      <c r="W229" s="8"/>
      <c r="X229" s="8"/>
      <c r="Y229" s="8"/>
      <c r="Z229" s="12"/>
      <c r="AA229" s="11"/>
      <c r="AB229" s="15"/>
    </row>
    <row r="230" spans="1:28" x14ac:dyDescent="0.15">
      <c r="A230" s="4"/>
      <c r="B230" s="4"/>
      <c r="C230" s="5"/>
      <c r="D230" s="6"/>
      <c r="E230" s="6"/>
      <c r="F230" s="6"/>
      <c r="G230" s="7"/>
      <c r="H230" s="7"/>
      <c r="I230" s="8"/>
      <c r="J230" s="9"/>
      <c r="K230" s="7"/>
      <c r="L230" s="7"/>
      <c r="M230" s="10"/>
      <c r="N230" s="11"/>
      <c r="O230" s="12"/>
      <c r="P230" s="13"/>
      <c r="Q230" s="13"/>
      <c r="R230" s="13"/>
      <c r="S230" s="6"/>
      <c r="T230" s="8"/>
      <c r="U230" s="9"/>
      <c r="V230" s="14"/>
      <c r="W230" s="8"/>
      <c r="X230" s="8"/>
      <c r="Y230" s="8"/>
      <c r="Z230" s="12"/>
      <c r="AA230" s="11"/>
      <c r="AB230" s="15"/>
    </row>
    <row r="231" spans="1:28" x14ac:dyDescent="0.15">
      <c r="A231" s="4"/>
      <c r="B231" s="4"/>
      <c r="C231" s="5"/>
      <c r="D231" s="6"/>
      <c r="E231" s="6"/>
      <c r="F231" s="6"/>
      <c r="G231" s="7"/>
      <c r="H231" s="7"/>
      <c r="I231" s="8"/>
      <c r="J231" s="9"/>
      <c r="K231" s="7"/>
      <c r="L231" s="7"/>
      <c r="M231" s="10"/>
      <c r="N231" s="11"/>
      <c r="O231" s="12"/>
      <c r="P231" s="13"/>
      <c r="Q231" s="13"/>
      <c r="R231" s="13"/>
      <c r="S231" s="6"/>
      <c r="T231" s="8"/>
      <c r="U231" s="9"/>
      <c r="V231" s="14"/>
      <c r="W231" s="8"/>
      <c r="X231" s="8"/>
      <c r="Y231" s="8"/>
      <c r="Z231" s="12"/>
      <c r="AA231" s="11"/>
      <c r="AB231" s="15"/>
    </row>
    <row r="232" spans="1:28" x14ac:dyDescent="0.15">
      <c r="A232" s="4"/>
      <c r="B232" s="4"/>
      <c r="C232" s="5"/>
      <c r="D232" s="6"/>
      <c r="E232" s="6"/>
      <c r="F232" s="6"/>
      <c r="G232" s="7"/>
      <c r="H232" s="7"/>
      <c r="I232" s="8"/>
      <c r="J232" s="9"/>
      <c r="K232" s="7"/>
      <c r="L232" s="7"/>
      <c r="M232" s="10"/>
      <c r="N232" s="11"/>
      <c r="O232" s="12"/>
      <c r="P232" s="13"/>
      <c r="Q232" s="13"/>
      <c r="R232" s="13"/>
      <c r="S232" s="6"/>
      <c r="T232" s="8"/>
      <c r="U232" s="9"/>
      <c r="V232" s="14"/>
      <c r="W232" s="8"/>
      <c r="X232" s="8"/>
      <c r="Y232" s="8"/>
      <c r="Z232" s="12"/>
      <c r="AA232" s="11"/>
      <c r="AB232" s="15"/>
    </row>
    <row r="233" spans="1:28" x14ac:dyDescent="0.15">
      <c r="A233" s="4"/>
      <c r="B233" s="4"/>
      <c r="C233" s="5"/>
      <c r="D233" s="6"/>
      <c r="E233" s="6"/>
      <c r="F233" s="6"/>
      <c r="G233" s="7"/>
      <c r="H233" s="7"/>
      <c r="I233" s="8"/>
      <c r="J233" s="9"/>
      <c r="K233" s="7"/>
      <c r="L233" s="7"/>
      <c r="M233" s="10"/>
      <c r="N233" s="11"/>
      <c r="O233" s="12"/>
      <c r="P233" s="13"/>
      <c r="Q233" s="13"/>
      <c r="R233" s="13"/>
      <c r="S233" s="6"/>
      <c r="T233" s="8"/>
      <c r="U233" s="9"/>
      <c r="V233" s="14"/>
      <c r="W233" s="8"/>
      <c r="X233" s="8"/>
      <c r="Y233" s="8"/>
      <c r="Z233" s="12"/>
      <c r="AA233" s="11"/>
      <c r="AB233" s="15"/>
    </row>
    <row r="234" spans="1:28" x14ac:dyDescent="0.15">
      <c r="A234" s="4"/>
      <c r="B234" s="4"/>
      <c r="C234" s="5"/>
      <c r="D234" s="6"/>
      <c r="E234" s="6"/>
      <c r="F234" s="6"/>
      <c r="G234" s="7"/>
      <c r="H234" s="7"/>
      <c r="I234" s="8"/>
      <c r="J234" s="9"/>
      <c r="K234" s="7"/>
      <c r="L234" s="7"/>
      <c r="M234" s="10"/>
      <c r="N234" s="11"/>
      <c r="O234" s="12"/>
      <c r="P234" s="13"/>
      <c r="Q234" s="13"/>
      <c r="R234" s="13"/>
      <c r="S234" s="6"/>
      <c r="T234" s="8"/>
      <c r="U234" s="9"/>
      <c r="V234" s="14"/>
      <c r="W234" s="8"/>
      <c r="X234" s="8"/>
      <c r="Y234" s="8"/>
      <c r="Z234" s="12"/>
      <c r="AA234" s="11"/>
      <c r="AB234" s="15"/>
    </row>
    <row r="235" spans="1:28" x14ac:dyDescent="0.15">
      <c r="A235" s="4"/>
      <c r="B235" s="4"/>
      <c r="C235" s="5"/>
      <c r="D235" s="6"/>
      <c r="E235" s="6"/>
      <c r="F235" s="6"/>
      <c r="G235" s="7"/>
      <c r="H235" s="7"/>
      <c r="I235" s="8"/>
      <c r="J235" s="9"/>
      <c r="K235" s="7"/>
      <c r="L235" s="7"/>
      <c r="M235" s="10"/>
      <c r="N235" s="11"/>
      <c r="O235" s="12"/>
      <c r="P235" s="13"/>
      <c r="Q235" s="13"/>
      <c r="R235" s="13"/>
      <c r="S235" s="6"/>
      <c r="T235" s="8"/>
      <c r="U235" s="9"/>
      <c r="V235" s="14"/>
      <c r="W235" s="8"/>
      <c r="X235" s="8"/>
      <c r="Y235" s="8"/>
      <c r="Z235" s="12"/>
      <c r="AA235" s="11"/>
      <c r="AB235" s="15"/>
    </row>
    <row r="236" spans="1:28" x14ac:dyDescent="0.15">
      <c r="A236" s="4"/>
      <c r="B236" s="4"/>
      <c r="C236" s="5"/>
      <c r="D236" s="6"/>
      <c r="E236" s="6"/>
      <c r="F236" s="6"/>
      <c r="G236" s="7"/>
      <c r="H236" s="7"/>
      <c r="I236" s="8"/>
      <c r="J236" s="9"/>
      <c r="K236" s="7"/>
      <c r="L236" s="7"/>
      <c r="M236" s="10"/>
      <c r="N236" s="11"/>
      <c r="O236" s="12"/>
      <c r="P236" s="13"/>
      <c r="Q236" s="13"/>
      <c r="R236" s="13"/>
      <c r="S236" s="6"/>
      <c r="T236" s="8"/>
      <c r="U236" s="9"/>
      <c r="V236" s="14"/>
      <c r="W236" s="8"/>
      <c r="X236" s="8"/>
      <c r="Y236" s="8"/>
      <c r="Z236" s="12"/>
      <c r="AA236" s="11"/>
      <c r="AB236" s="15"/>
    </row>
    <row r="237" spans="1:28" x14ac:dyDescent="0.15">
      <c r="A237" s="4"/>
      <c r="B237" s="4"/>
      <c r="C237" s="5"/>
      <c r="D237" s="6"/>
      <c r="E237" s="6"/>
      <c r="F237" s="6"/>
      <c r="G237" s="7"/>
      <c r="H237" s="7"/>
      <c r="I237" s="8"/>
      <c r="J237" s="9"/>
      <c r="K237" s="7"/>
      <c r="L237" s="7"/>
      <c r="M237" s="10"/>
      <c r="N237" s="11"/>
      <c r="O237" s="12"/>
      <c r="P237" s="13"/>
      <c r="Q237" s="13"/>
      <c r="R237" s="13"/>
      <c r="S237" s="6"/>
      <c r="T237" s="8"/>
      <c r="U237" s="9"/>
      <c r="V237" s="14"/>
      <c r="W237" s="8"/>
      <c r="X237" s="8"/>
      <c r="Y237" s="8"/>
      <c r="Z237" s="12"/>
      <c r="AA237" s="11"/>
      <c r="AB237" s="15"/>
    </row>
    <row r="238" spans="1:28" x14ac:dyDescent="0.15">
      <c r="A238" s="4"/>
      <c r="B238" s="4"/>
      <c r="C238" s="5"/>
      <c r="D238" s="6"/>
      <c r="E238" s="6"/>
      <c r="F238" s="6"/>
      <c r="G238" s="7"/>
      <c r="H238" s="7"/>
      <c r="I238" s="8"/>
      <c r="J238" s="9"/>
      <c r="K238" s="7"/>
      <c r="L238" s="7"/>
      <c r="M238" s="10"/>
      <c r="N238" s="11"/>
      <c r="O238" s="12"/>
      <c r="P238" s="13"/>
      <c r="Q238" s="13"/>
      <c r="R238" s="13"/>
      <c r="S238" s="6"/>
      <c r="T238" s="8"/>
      <c r="U238" s="9"/>
      <c r="V238" s="14"/>
      <c r="W238" s="8"/>
      <c r="X238" s="8"/>
      <c r="Y238" s="8"/>
      <c r="Z238" s="12"/>
      <c r="AA238" s="11"/>
      <c r="AB238" s="15"/>
    </row>
    <row r="239" spans="1:28" x14ac:dyDescent="0.15">
      <c r="A239" s="4"/>
      <c r="B239" s="4"/>
      <c r="C239" s="5"/>
      <c r="D239" s="6"/>
      <c r="E239" s="6"/>
      <c r="F239" s="6"/>
      <c r="G239" s="7"/>
      <c r="H239" s="7"/>
      <c r="I239" s="8"/>
      <c r="J239" s="9"/>
      <c r="K239" s="7"/>
      <c r="L239" s="7"/>
      <c r="M239" s="10"/>
      <c r="N239" s="11"/>
      <c r="O239" s="12"/>
      <c r="P239" s="13"/>
      <c r="Q239" s="13"/>
      <c r="R239" s="13"/>
      <c r="S239" s="6"/>
      <c r="T239" s="8"/>
      <c r="U239" s="9"/>
      <c r="V239" s="14"/>
      <c r="W239" s="8"/>
      <c r="X239" s="8"/>
      <c r="Y239" s="8"/>
      <c r="Z239" s="12"/>
      <c r="AA239" s="11"/>
      <c r="AB239" s="15"/>
    </row>
    <row r="240" spans="1:28" x14ac:dyDescent="0.15">
      <c r="A240" s="4"/>
      <c r="B240" s="4"/>
      <c r="C240" s="5"/>
      <c r="D240" s="6"/>
      <c r="E240" s="6"/>
      <c r="F240" s="6"/>
      <c r="G240" s="7"/>
      <c r="H240" s="7"/>
      <c r="I240" s="8"/>
      <c r="J240" s="9"/>
      <c r="K240" s="7"/>
      <c r="L240" s="7"/>
      <c r="M240" s="10"/>
      <c r="N240" s="11"/>
      <c r="O240" s="12"/>
      <c r="P240" s="13"/>
      <c r="Q240" s="13"/>
      <c r="R240" s="13"/>
      <c r="S240" s="6"/>
      <c r="T240" s="8"/>
      <c r="U240" s="9"/>
      <c r="V240" s="14"/>
      <c r="W240" s="8"/>
      <c r="X240" s="8"/>
      <c r="Y240" s="8"/>
      <c r="Z240" s="12"/>
      <c r="AA240" s="11"/>
      <c r="AB240" s="15"/>
    </row>
    <row r="241" spans="1:28" x14ac:dyDescent="0.15">
      <c r="A241" s="4"/>
      <c r="B241" s="4"/>
      <c r="C241" s="5"/>
      <c r="D241" s="6"/>
      <c r="E241" s="6"/>
      <c r="F241" s="6"/>
      <c r="G241" s="7"/>
      <c r="H241" s="7"/>
      <c r="I241" s="8"/>
      <c r="J241" s="9"/>
      <c r="K241" s="7"/>
      <c r="L241" s="7"/>
      <c r="M241" s="10"/>
      <c r="N241" s="11"/>
      <c r="O241" s="12"/>
      <c r="P241" s="13"/>
      <c r="Q241" s="13"/>
      <c r="R241" s="13"/>
      <c r="S241" s="6"/>
      <c r="T241" s="8"/>
      <c r="U241" s="9"/>
      <c r="V241" s="14"/>
      <c r="W241" s="8"/>
      <c r="X241" s="8"/>
      <c r="Y241" s="8"/>
      <c r="Z241" s="12"/>
      <c r="AA241" s="11"/>
      <c r="AB241" s="15"/>
    </row>
    <row r="242" spans="1:28" x14ac:dyDescent="0.15">
      <c r="A242" s="4"/>
      <c r="B242" s="4"/>
      <c r="C242" s="5"/>
      <c r="D242" s="6"/>
      <c r="E242" s="6"/>
      <c r="F242" s="6"/>
      <c r="G242" s="7"/>
      <c r="H242" s="7"/>
      <c r="I242" s="8"/>
      <c r="J242" s="9"/>
      <c r="K242" s="7"/>
      <c r="L242" s="7"/>
      <c r="M242" s="10"/>
      <c r="N242" s="11"/>
      <c r="O242" s="12"/>
      <c r="P242" s="13"/>
      <c r="Q242" s="13"/>
      <c r="R242" s="13"/>
      <c r="S242" s="6"/>
      <c r="T242" s="8"/>
      <c r="U242" s="9"/>
      <c r="V242" s="14"/>
      <c r="W242" s="8"/>
      <c r="X242" s="8"/>
      <c r="Y242" s="8"/>
      <c r="Z242" s="12"/>
      <c r="AA242" s="11"/>
      <c r="AB242" s="15"/>
    </row>
    <row r="243" spans="1:28" x14ac:dyDescent="0.15">
      <c r="A243" s="4"/>
      <c r="B243" s="4"/>
      <c r="C243" s="5"/>
      <c r="D243" s="6"/>
      <c r="E243" s="6"/>
      <c r="F243" s="6"/>
      <c r="G243" s="7"/>
      <c r="H243" s="7"/>
      <c r="I243" s="8"/>
      <c r="J243" s="9"/>
      <c r="K243" s="7"/>
      <c r="L243" s="7"/>
      <c r="M243" s="10"/>
      <c r="N243" s="11"/>
      <c r="O243" s="12"/>
      <c r="P243" s="13"/>
      <c r="Q243" s="13"/>
      <c r="R243" s="13"/>
      <c r="S243" s="6"/>
      <c r="T243" s="8"/>
      <c r="U243" s="9"/>
      <c r="V243" s="14"/>
      <c r="W243" s="8"/>
      <c r="X243" s="8"/>
      <c r="Y243" s="8"/>
      <c r="Z243" s="12"/>
      <c r="AA243" s="11"/>
      <c r="AB243" s="15"/>
    </row>
    <row r="244" spans="1:28" x14ac:dyDescent="0.15">
      <c r="A244" s="4"/>
      <c r="B244" s="4"/>
      <c r="C244" s="5"/>
      <c r="D244" s="6"/>
      <c r="E244" s="6"/>
      <c r="F244" s="6"/>
      <c r="G244" s="7"/>
      <c r="H244" s="7"/>
      <c r="I244" s="8"/>
      <c r="J244" s="9"/>
      <c r="K244" s="7"/>
      <c r="L244" s="7"/>
      <c r="M244" s="10"/>
      <c r="N244" s="11"/>
      <c r="O244" s="12"/>
      <c r="P244" s="13"/>
      <c r="Q244" s="13"/>
      <c r="R244" s="13"/>
      <c r="S244" s="6"/>
      <c r="T244" s="8"/>
      <c r="U244" s="9"/>
      <c r="V244" s="14"/>
      <c r="W244" s="8"/>
      <c r="X244" s="8"/>
      <c r="Y244" s="8"/>
      <c r="Z244" s="12"/>
      <c r="AA244" s="11"/>
      <c r="AB244" s="15"/>
    </row>
    <row r="245" spans="1:28" x14ac:dyDescent="0.15">
      <c r="A245" s="4"/>
      <c r="B245" s="4"/>
      <c r="C245" s="5"/>
      <c r="D245" s="6"/>
      <c r="E245" s="6"/>
      <c r="F245" s="6"/>
      <c r="G245" s="7"/>
      <c r="H245" s="7"/>
      <c r="I245" s="8"/>
      <c r="J245" s="9"/>
      <c r="K245" s="7"/>
      <c r="L245" s="7"/>
      <c r="M245" s="10"/>
      <c r="N245" s="11"/>
      <c r="O245" s="12"/>
      <c r="P245" s="13"/>
      <c r="Q245" s="13"/>
      <c r="R245" s="13"/>
      <c r="S245" s="6"/>
      <c r="T245" s="8"/>
      <c r="U245" s="9"/>
      <c r="V245" s="14"/>
      <c r="W245" s="8"/>
      <c r="X245" s="8"/>
      <c r="Y245" s="8"/>
      <c r="Z245" s="12"/>
      <c r="AA245" s="11"/>
      <c r="AB245" s="15"/>
    </row>
    <row r="246" spans="1:28" x14ac:dyDescent="0.15">
      <c r="A246" s="4"/>
      <c r="B246" s="4"/>
      <c r="C246" s="5"/>
      <c r="D246" s="6"/>
      <c r="E246" s="6"/>
      <c r="F246" s="6"/>
      <c r="G246" s="7"/>
      <c r="H246" s="7"/>
      <c r="I246" s="8"/>
      <c r="J246" s="9"/>
      <c r="K246" s="7"/>
      <c r="L246" s="7"/>
      <c r="M246" s="10"/>
      <c r="N246" s="11"/>
      <c r="O246" s="12"/>
      <c r="P246" s="13"/>
      <c r="Q246" s="13"/>
      <c r="R246" s="13"/>
      <c r="S246" s="6"/>
      <c r="T246" s="8"/>
      <c r="U246" s="9"/>
      <c r="V246" s="14"/>
      <c r="W246" s="8"/>
      <c r="X246" s="8"/>
      <c r="Y246" s="8"/>
      <c r="Z246" s="12"/>
      <c r="AA246" s="11"/>
      <c r="AB246" s="15"/>
    </row>
    <row r="247" spans="1:28" x14ac:dyDescent="0.15">
      <c r="A247" s="4"/>
      <c r="B247" s="4"/>
      <c r="C247" s="5"/>
      <c r="D247" s="6"/>
      <c r="E247" s="6"/>
      <c r="F247" s="6"/>
      <c r="G247" s="7"/>
      <c r="H247" s="7"/>
      <c r="I247" s="8"/>
      <c r="J247" s="9"/>
      <c r="K247" s="7"/>
      <c r="L247" s="7"/>
      <c r="M247" s="10"/>
      <c r="N247" s="11"/>
      <c r="O247" s="12"/>
      <c r="P247" s="13"/>
      <c r="Q247" s="13"/>
      <c r="R247" s="13"/>
      <c r="S247" s="6"/>
      <c r="T247" s="8"/>
      <c r="U247" s="9"/>
      <c r="V247" s="14"/>
      <c r="W247" s="8"/>
      <c r="X247" s="8"/>
      <c r="Y247" s="8"/>
      <c r="Z247" s="12"/>
      <c r="AA247" s="11"/>
      <c r="AB247" s="15"/>
    </row>
    <row r="248" spans="1:28" x14ac:dyDescent="0.15">
      <c r="A248" s="4"/>
      <c r="B248" s="4"/>
      <c r="C248" s="5"/>
      <c r="D248" s="6"/>
      <c r="E248" s="6"/>
      <c r="F248" s="6"/>
      <c r="G248" s="7"/>
      <c r="H248" s="7"/>
      <c r="I248" s="8"/>
      <c r="J248" s="9"/>
      <c r="K248" s="7"/>
      <c r="L248" s="7"/>
      <c r="M248" s="10"/>
      <c r="N248" s="11"/>
      <c r="O248" s="12"/>
      <c r="P248" s="13"/>
      <c r="Q248" s="13"/>
      <c r="R248" s="13"/>
      <c r="S248" s="6"/>
      <c r="T248" s="8"/>
      <c r="U248" s="9"/>
      <c r="V248" s="14"/>
      <c r="W248" s="8"/>
      <c r="X248" s="8"/>
      <c r="Y248" s="8"/>
      <c r="Z248" s="12"/>
      <c r="AA248" s="11"/>
      <c r="AB248" s="15"/>
    </row>
    <row r="249" spans="1:28" x14ac:dyDescent="0.15">
      <c r="A249" s="4"/>
      <c r="B249" s="4"/>
      <c r="C249" s="5"/>
      <c r="D249" s="6"/>
      <c r="E249" s="6"/>
      <c r="F249" s="6"/>
      <c r="G249" s="7"/>
      <c r="H249" s="7"/>
      <c r="I249" s="8"/>
      <c r="J249" s="9"/>
      <c r="K249" s="7"/>
      <c r="L249" s="7"/>
      <c r="M249" s="10"/>
      <c r="N249" s="11"/>
      <c r="O249" s="12"/>
      <c r="P249" s="13"/>
      <c r="Q249" s="13"/>
      <c r="R249" s="13"/>
      <c r="S249" s="6"/>
      <c r="T249" s="8"/>
      <c r="U249" s="9"/>
      <c r="V249" s="14"/>
      <c r="W249" s="8"/>
      <c r="X249" s="8"/>
      <c r="Y249" s="8"/>
      <c r="Z249" s="12"/>
      <c r="AA249" s="11"/>
      <c r="AB249" s="15"/>
    </row>
    <row r="250" spans="1:28" x14ac:dyDescent="0.15">
      <c r="A250" s="4"/>
      <c r="B250" s="4"/>
      <c r="C250" s="5"/>
      <c r="D250" s="6"/>
      <c r="E250" s="6"/>
      <c r="F250" s="6"/>
      <c r="G250" s="7"/>
      <c r="H250" s="7"/>
      <c r="I250" s="8"/>
      <c r="J250" s="9"/>
      <c r="K250" s="7"/>
      <c r="L250" s="7"/>
      <c r="M250" s="10"/>
      <c r="N250" s="11"/>
      <c r="O250" s="12"/>
      <c r="P250" s="13"/>
      <c r="Q250" s="13"/>
      <c r="R250" s="13"/>
      <c r="S250" s="6"/>
      <c r="T250" s="8"/>
      <c r="U250" s="9"/>
      <c r="V250" s="14"/>
      <c r="W250" s="8"/>
      <c r="X250" s="8"/>
      <c r="Y250" s="8"/>
      <c r="Z250" s="12"/>
      <c r="AA250" s="11"/>
      <c r="AB250" s="15"/>
    </row>
    <row r="251" spans="1:28" x14ac:dyDescent="0.15">
      <c r="A251" s="4"/>
      <c r="B251" s="4"/>
      <c r="C251" s="5"/>
      <c r="D251" s="6"/>
      <c r="E251" s="6"/>
      <c r="F251" s="6"/>
      <c r="G251" s="7"/>
      <c r="H251" s="7"/>
      <c r="I251" s="8"/>
      <c r="J251" s="9"/>
      <c r="K251" s="7"/>
      <c r="L251" s="7"/>
      <c r="M251" s="10"/>
      <c r="N251" s="11"/>
      <c r="O251" s="12"/>
      <c r="P251" s="13"/>
      <c r="Q251" s="13"/>
      <c r="R251" s="13"/>
      <c r="S251" s="6"/>
      <c r="T251" s="8"/>
      <c r="U251" s="9"/>
      <c r="V251" s="14"/>
      <c r="W251" s="8"/>
      <c r="X251" s="8"/>
      <c r="Y251" s="8"/>
      <c r="Z251" s="12"/>
      <c r="AA251" s="11"/>
      <c r="AB251" s="15"/>
    </row>
    <row r="252" spans="1:28" x14ac:dyDescent="0.15">
      <c r="A252" s="4"/>
      <c r="B252" s="4"/>
      <c r="C252" s="5"/>
      <c r="D252" s="6"/>
      <c r="E252" s="6"/>
      <c r="F252" s="6"/>
      <c r="G252" s="7"/>
      <c r="H252" s="7"/>
      <c r="I252" s="8"/>
      <c r="J252" s="9"/>
      <c r="K252" s="7"/>
      <c r="L252" s="7"/>
      <c r="M252" s="10"/>
      <c r="N252" s="11"/>
      <c r="O252" s="12"/>
      <c r="P252" s="13"/>
      <c r="Q252" s="13"/>
      <c r="R252" s="13"/>
      <c r="S252" s="6"/>
      <c r="T252" s="8"/>
      <c r="U252" s="9"/>
      <c r="V252" s="14"/>
      <c r="W252" s="8"/>
      <c r="X252" s="8"/>
      <c r="Y252" s="8"/>
      <c r="Z252" s="12"/>
      <c r="AA252" s="11"/>
      <c r="AB252" s="15"/>
    </row>
    <row r="253" spans="1:28" x14ac:dyDescent="0.15">
      <c r="A253" s="4"/>
      <c r="B253" s="4"/>
      <c r="C253" s="5"/>
      <c r="D253" s="6"/>
      <c r="E253" s="6"/>
      <c r="F253" s="6"/>
      <c r="G253" s="7"/>
      <c r="H253" s="7"/>
      <c r="I253" s="8"/>
      <c r="J253" s="9"/>
      <c r="K253" s="7"/>
      <c r="L253" s="7"/>
      <c r="M253" s="10"/>
      <c r="N253" s="11"/>
      <c r="O253" s="12"/>
      <c r="P253" s="13"/>
      <c r="Q253" s="13"/>
      <c r="R253" s="13"/>
      <c r="S253" s="6"/>
      <c r="T253" s="8"/>
      <c r="U253" s="9"/>
      <c r="V253" s="14"/>
      <c r="W253" s="8"/>
      <c r="X253" s="8"/>
      <c r="Y253" s="8"/>
      <c r="Z253" s="12"/>
      <c r="AA253" s="11"/>
      <c r="AB253" s="15"/>
    </row>
    <row r="254" spans="1:28" x14ac:dyDescent="0.15">
      <c r="A254" s="4"/>
      <c r="B254" s="4"/>
      <c r="C254" s="5"/>
      <c r="D254" s="6"/>
      <c r="E254" s="6"/>
      <c r="F254" s="6"/>
      <c r="G254" s="7"/>
      <c r="H254" s="7"/>
      <c r="I254" s="8"/>
      <c r="J254" s="9"/>
      <c r="K254" s="7"/>
      <c r="L254" s="7"/>
      <c r="M254" s="10"/>
      <c r="N254" s="11"/>
      <c r="O254" s="12"/>
      <c r="P254" s="13"/>
      <c r="Q254" s="13"/>
      <c r="R254" s="13"/>
      <c r="S254" s="6"/>
      <c r="T254" s="8"/>
      <c r="U254" s="9"/>
      <c r="V254" s="14"/>
      <c r="W254" s="8"/>
      <c r="X254" s="8"/>
      <c r="Y254" s="8"/>
      <c r="Z254" s="12"/>
      <c r="AA254" s="11"/>
      <c r="AB254" s="15"/>
    </row>
    <row r="255" spans="1:28" x14ac:dyDescent="0.15">
      <c r="A255" s="4"/>
      <c r="B255" s="4"/>
      <c r="C255" s="5"/>
      <c r="D255" s="6"/>
      <c r="E255" s="6"/>
      <c r="F255" s="6"/>
      <c r="G255" s="7"/>
      <c r="H255" s="7"/>
      <c r="I255" s="8"/>
      <c r="J255" s="9"/>
      <c r="K255" s="7"/>
      <c r="L255" s="7"/>
      <c r="M255" s="10"/>
      <c r="N255" s="11"/>
      <c r="O255" s="12"/>
      <c r="P255" s="13"/>
      <c r="Q255" s="13"/>
      <c r="R255" s="13"/>
      <c r="S255" s="6"/>
      <c r="T255" s="8"/>
      <c r="U255" s="9"/>
      <c r="V255" s="14"/>
      <c r="W255" s="8"/>
      <c r="X255" s="8"/>
      <c r="Y255" s="8"/>
      <c r="Z255" s="12"/>
      <c r="AA255" s="11"/>
      <c r="AB255" s="15"/>
    </row>
    <row r="256" spans="1:28" x14ac:dyDescent="0.15">
      <c r="A256" s="4"/>
      <c r="B256" s="4"/>
      <c r="C256" s="5"/>
      <c r="D256" s="6"/>
      <c r="E256" s="6"/>
      <c r="F256" s="6"/>
      <c r="G256" s="7"/>
      <c r="H256" s="7"/>
      <c r="I256" s="8"/>
      <c r="J256" s="9"/>
      <c r="K256" s="7"/>
      <c r="L256" s="7"/>
      <c r="M256" s="10"/>
      <c r="N256" s="11"/>
      <c r="O256" s="12"/>
      <c r="P256" s="13"/>
      <c r="Q256" s="13"/>
      <c r="R256" s="13"/>
      <c r="S256" s="6"/>
      <c r="T256" s="8"/>
      <c r="U256" s="9"/>
      <c r="V256" s="14"/>
      <c r="W256" s="8"/>
      <c r="X256" s="8"/>
      <c r="Y256" s="8"/>
      <c r="Z256" s="12"/>
      <c r="AA256" s="11"/>
      <c r="AB256" s="15"/>
    </row>
    <row r="257" spans="1:28" x14ac:dyDescent="0.15">
      <c r="A257" s="4"/>
      <c r="B257" s="4"/>
      <c r="C257" s="5"/>
      <c r="D257" s="6"/>
      <c r="E257" s="6"/>
      <c r="F257" s="6"/>
      <c r="G257" s="7"/>
      <c r="H257" s="7"/>
      <c r="I257" s="8"/>
      <c r="J257" s="9"/>
      <c r="K257" s="7"/>
      <c r="L257" s="7"/>
      <c r="M257" s="10"/>
      <c r="N257" s="11"/>
      <c r="O257" s="12"/>
      <c r="P257" s="13"/>
      <c r="Q257" s="13"/>
      <c r="R257" s="13"/>
      <c r="S257" s="6"/>
      <c r="T257" s="8"/>
      <c r="U257" s="9"/>
      <c r="V257" s="14"/>
      <c r="W257" s="8"/>
      <c r="X257" s="8"/>
      <c r="Y257" s="8"/>
      <c r="Z257" s="12"/>
      <c r="AA257" s="11"/>
      <c r="AB257" s="15"/>
    </row>
    <row r="258" spans="1:28" x14ac:dyDescent="0.15">
      <c r="A258" s="4"/>
      <c r="B258" s="4"/>
      <c r="C258" s="5"/>
      <c r="D258" s="6"/>
      <c r="E258" s="6"/>
      <c r="F258" s="6"/>
      <c r="G258" s="7"/>
      <c r="H258" s="7"/>
      <c r="I258" s="8"/>
      <c r="J258" s="9"/>
      <c r="K258" s="7"/>
      <c r="L258" s="7"/>
      <c r="M258" s="10"/>
      <c r="N258" s="11"/>
      <c r="O258" s="12"/>
      <c r="P258" s="13"/>
      <c r="Q258" s="13"/>
      <c r="R258" s="13"/>
      <c r="S258" s="6"/>
      <c r="T258" s="8"/>
      <c r="U258" s="9"/>
      <c r="V258" s="14"/>
      <c r="W258" s="8"/>
      <c r="X258" s="8"/>
      <c r="Y258" s="8"/>
      <c r="Z258" s="12"/>
      <c r="AA258" s="11"/>
      <c r="AB258" s="15"/>
    </row>
    <row r="259" spans="1:28" x14ac:dyDescent="0.15">
      <c r="A259" s="4"/>
      <c r="B259" s="4"/>
      <c r="C259" s="5"/>
      <c r="D259" s="6"/>
      <c r="E259" s="6"/>
      <c r="F259" s="6"/>
      <c r="G259" s="7"/>
      <c r="H259" s="7"/>
      <c r="I259" s="8"/>
      <c r="J259" s="9"/>
      <c r="K259" s="7"/>
      <c r="L259" s="7"/>
      <c r="M259" s="10"/>
      <c r="N259" s="11"/>
      <c r="O259" s="12"/>
      <c r="P259" s="13"/>
      <c r="Q259" s="13"/>
      <c r="R259" s="13"/>
      <c r="S259" s="6"/>
      <c r="T259" s="8"/>
      <c r="U259" s="9"/>
      <c r="V259" s="14"/>
      <c r="W259" s="8"/>
      <c r="X259" s="8"/>
      <c r="Y259" s="8"/>
      <c r="Z259" s="12"/>
      <c r="AA259" s="11"/>
      <c r="AB259" s="15"/>
    </row>
    <row r="260" spans="1:28" x14ac:dyDescent="0.15">
      <c r="A260" s="4"/>
      <c r="B260" s="4"/>
      <c r="C260" s="5"/>
      <c r="D260" s="6"/>
      <c r="E260" s="6"/>
      <c r="F260" s="6"/>
      <c r="G260" s="7"/>
      <c r="H260" s="7"/>
      <c r="I260" s="8"/>
      <c r="J260" s="9"/>
      <c r="K260" s="7"/>
      <c r="L260" s="7"/>
      <c r="M260" s="10"/>
      <c r="N260" s="11"/>
      <c r="O260" s="12"/>
      <c r="P260" s="13"/>
      <c r="Q260" s="13"/>
      <c r="R260" s="13"/>
      <c r="S260" s="6"/>
      <c r="T260" s="8"/>
      <c r="U260" s="9"/>
      <c r="V260" s="14"/>
      <c r="W260" s="8"/>
      <c r="X260" s="8"/>
      <c r="Y260" s="8"/>
      <c r="Z260" s="12"/>
      <c r="AA260" s="11"/>
      <c r="AB260" s="15"/>
    </row>
    <row r="261" spans="1:28" x14ac:dyDescent="0.15">
      <c r="A261" s="4"/>
      <c r="B261" s="4"/>
      <c r="C261" s="5"/>
      <c r="D261" s="6"/>
      <c r="E261" s="6"/>
      <c r="F261" s="6"/>
      <c r="G261" s="7"/>
      <c r="H261" s="7"/>
      <c r="I261" s="8"/>
      <c r="J261" s="9"/>
      <c r="K261" s="7"/>
      <c r="L261" s="7"/>
      <c r="M261" s="10"/>
      <c r="N261" s="11"/>
      <c r="O261" s="12"/>
      <c r="P261" s="13"/>
      <c r="Q261" s="13"/>
      <c r="R261" s="13"/>
      <c r="S261" s="6"/>
      <c r="T261" s="8"/>
      <c r="U261" s="9"/>
      <c r="V261" s="14"/>
      <c r="W261" s="8"/>
      <c r="X261" s="8"/>
      <c r="Y261" s="8"/>
      <c r="Z261" s="12"/>
      <c r="AA261" s="11"/>
      <c r="AB261" s="15"/>
    </row>
    <row r="262" spans="1:28" x14ac:dyDescent="0.15">
      <c r="A262" s="4"/>
      <c r="B262" s="4"/>
      <c r="C262" s="5"/>
      <c r="D262" s="6"/>
      <c r="E262" s="6"/>
      <c r="F262" s="6"/>
      <c r="G262" s="7"/>
      <c r="H262" s="7"/>
      <c r="I262" s="8"/>
      <c r="J262" s="9"/>
      <c r="K262" s="7"/>
      <c r="L262" s="7"/>
      <c r="M262" s="10"/>
      <c r="N262" s="11"/>
      <c r="O262" s="12"/>
      <c r="P262" s="13"/>
      <c r="Q262" s="13"/>
      <c r="R262" s="13"/>
      <c r="S262" s="6"/>
      <c r="T262" s="8"/>
      <c r="U262" s="9"/>
      <c r="V262" s="14"/>
      <c r="W262" s="8"/>
      <c r="X262" s="8"/>
      <c r="Y262" s="8"/>
      <c r="Z262" s="12"/>
      <c r="AA262" s="11"/>
      <c r="AB262" s="15"/>
    </row>
    <row r="263" spans="1:28" x14ac:dyDescent="0.15">
      <c r="A263" s="4"/>
      <c r="B263" s="4"/>
      <c r="C263" s="5"/>
      <c r="D263" s="6"/>
      <c r="E263" s="6"/>
      <c r="F263" s="6"/>
      <c r="G263" s="7"/>
      <c r="H263" s="7"/>
      <c r="I263" s="8"/>
      <c r="J263" s="9"/>
      <c r="K263" s="7"/>
      <c r="L263" s="7"/>
      <c r="M263" s="10"/>
      <c r="N263" s="11"/>
      <c r="O263" s="12"/>
      <c r="P263" s="13"/>
      <c r="Q263" s="13"/>
      <c r="R263" s="13"/>
      <c r="S263" s="6"/>
      <c r="T263" s="8"/>
      <c r="U263" s="9"/>
      <c r="V263" s="14"/>
      <c r="W263" s="8"/>
      <c r="X263" s="8"/>
      <c r="Y263" s="8"/>
      <c r="Z263" s="12"/>
      <c r="AA263" s="11"/>
      <c r="AB263" s="15"/>
    </row>
    <row r="264" spans="1:28" x14ac:dyDescent="0.15">
      <c r="A264" s="4"/>
      <c r="B264" s="4"/>
      <c r="C264" s="5"/>
      <c r="D264" s="6"/>
      <c r="E264" s="6"/>
      <c r="F264" s="6"/>
      <c r="G264" s="7"/>
      <c r="H264" s="7"/>
      <c r="I264" s="8"/>
      <c r="J264" s="9"/>
      <c r="K264" s="7"/>
      <c r="L264" s="7"/>
      <c r="M264" s="10"/>
      <c r="N264" s="11"/>
      <c r="O264" s="12"/>
      <c r="P264" s="13"/>
      <c r="Q264" s="13"/>
      <c r="R264" s="13"/>
      <c r="S264" s="6"/>
      <c r="T264" s="8"/>
      <c r="U264" s="9"/>
      <c r="V264" s="14"/>
      <c r="W264" s="8"/>
      <c r="X264" s="8"/>
      <c r="Y264" s="8"/>
      <c r="Z264" s="12"/>
      <c r="AA264" s="11"/>
      <c r="AB264" s="15"/>
    </row>
    <row r="265" spans="1:28" x14ac:dyDescent="0.15">
      <c r="A265" s="4"/>
      <c r="B265" s="4"/>
      <c r="C265" s="5"/>
      <c r="D265" s="6"/>
      <c r="E265" s="6"/>
      <c r="F265" s="6"/>
      <c r="G265" s="7"/>
      <c r="H265" s="7"/>
      <c r="I265" s="8"/>
      <c r="J265" s="9"/>
      <c r="K265" s="7"/>
      <c r="L265" s="7"/>
      <c r="M265" s="10"/>
      <c r="N265" s="11"/>
      <c r="O265" s="12"/>
      <c r="P265" s="13"/>
      <c r="Q265" s="13"/>
      <c r="R265" s="13"/>
      <c r="S265" s="6"/>
      <c r="T265" s="8"/>
      <c r="U265" s="9"/>
      <c r="V265" s="14"/>
      <c r="W265" s="8"/>
      <c r="X265" s="8"/>
      <c r="Y265" s="8"/>
      <c r="Z265" s="12"/>
      <c r="AA265" s="11"/>
      <c r="AB265" s="15"/>
    </row>
    <row r="266" spans="1:28" x14ac:dyDescent="0.15">
      <c r="A266" s="4"/>
      <c r="B266" s="4"/>
      <c r="C266" s="5"/>
      <c r="D266" s="6"/>
      <c r="E266" s="6"/>
      <c r="F266" s="6"/>
      <c r="G266" s="7"/>
      <c r="H266" s="7"/>
      <c r="I266" s="8"/>
      <c r="J266" s="9"/>
      <c r="K266" s="7"/>
      <c r="L266" s="7"/>
      <c r="M266" s="10"/>
      <c r="N266" s="11"/>
      <c r="O266" s="12"/>
      <c r="P266" s="13"/>
      <c r="Q266" s="13"/>
      <c r="R266" s="13"/>
      <c r="S266" s="6"/>
      <c r="T266" s="8"/>
      <c r="U266" s="9"/>
      <c r="V266" s="14"/>
      <c r="W266" s="8"/>
      <c r="X266" s="8"/>
      <c r="Y266" s="8"/>
      <c r="Z266" s="12"/>
      <c r="AA266" s="11"/>
      <c r="AB266" s="15"/>
    </row>
    <row r="267" spans="1:28" x14ac:dyDescent="0.15">
      <c r="A267" s="4"/>
      <c r="B267" s="4"/>
      <c r="C267" s="5"/>
      <c r="D267" s="6"/>
      <c r="E267" s="6"/>
      <c r="F267" s="6"/>
      <c r="G267" s="7"/>
      <c r="H267" s="7"/>
      <c r="I267" s="8"/>
      <c r="J267" s="9"/>
      <c r="K267" s="7"/>
      <c r="L267" s="7"/>
      <c r="M267" s="10"/>
      <c r="N267" s="11"/>
      <c r="O267" s="12"/>
      <c r="P267" s="13"/>
      <c r="Q267" s="13"/>
      <c r="R267" s="13"/>
      <c r="S267" s="6"/>
      <c r="T267" s="8"/>
      <c r="U267" s="9"/>
      <c r="V267" s="14"/>
      <c r="W267" s="8"/>
      <c r="X267" s="8"/>
      <c r="Y267" s="8"/>
      <c r="Z267" s="12"/>
      <c r="AA267" s="11"/>
      <c r="AB267" s="15"/>
    </row>
    <row r="268" spans="1:28" x14ac:dyDescent="0.15">
      <c r="A268" s="4"/>
      <c r="B268" s="4"/>
      <c r="C268" s="5"/>
      <c r="D268" s="6"/>
      <c r="E268" s="6"/>
      <c r="F268" s="6"/>
      <c r="G268" s="7"/>
      <c r="H268" s="7"/>
      <c r="I268" s="8"/>
      <c r="J268" s="9"/>
      <c r="K268" s="7"/>
      <c r="L268" s="7"/>
      <c r="M268" s="10"/>
      <c r="N268" s="11"/>
      <c r="O268" s="12"/>
      <c r="P268" s="13"/>
      <c r="Q268" s="13"/>
      <c r="R268" s="13"/>
      <c r="S268" s="6"/>
      <c r="T268" s="8"/>
      <c r="U268" s="9"/>
      <c r="V268" s="14"/>
      <c r="W268" s="8"/>
      <c r="X268" s="8"/>
      <c r="Y268" s="8"/>
      <c r="Z268" s="12"/>
      <c r="AA268" s="11"/>
      <c r="AB268" s="15"/>
    </row>
    <row r="269" spans="1:28" x14ac:dyDescent="0.15">
      <c r="A269" s="4"/>
      <c r="B269" s="4"/>
      <c r="C269" s="5"/>
      <c r="D269" s="6"/>
      <c r="E269" s="6"/>
      <c r="F269" s="6"/>
      <c r="G269" s="7"/>
      <c r="H269" s="7"/>
      <c r="I269" s="8"/>
      <c r="J269" s="9"/>
      <c r="K269" s="7"/>
      <c r="L269" s="7"/>
      <c r="M269" s="10"/>
      <c r="N269" s="11"/>
      <c r="O269" s="12"/>
      <c r="P269" s="13"/>
      <c r="Q269" s="13"/>
      <c r="R269" s="13"/>
      <c r="S269" s="6"/>
      <c r="T269" s="8"/>
      <c r="U269" s="9"/>
      <c r="V269" s="14"/>
      <c r="W269" s="8"/>
      <c r="X269" s="8"/>
      <c r="Y269" s="8"/>
      <c r="Z269" s="12"/>
      <c r="AA269" s="11"/>
      <c r="AB269" s="15"/>
    </row>
    <row r="270" spans="1:28" x14ac:dyDescent="0.15">
      <c r="A270" s="4"/>
      <c r="B270" s="4"/>
      <c r="C270" s="5"/>
      <c r="D270" s="6"/>
      <c r="E270" s="6"/>
      <c r="F270" s="6"/>
      <c r="G270" s="7"/>
      <c r="H270" s="7"/>
      <c r="I270" s="8"/>
      <c r="J270" s="9"/>
      <c r="K270" s="7"/>
      <c r="L270" s="7"/>
      <c r="M270" s="10"/>
      <c r="N270" s="11"/>
      <c r="O270" s="12"/>
      <c r="P270" s="13"/>
      <c r="Q270" s="13"/>
      <c r="R270" s="13"/>
      <c r="S270" s="6"/>
      <c r="T270" s="8"/>
      <c r="U270" s="9"/>
      <c r="V270" s="14"/>
      <c r="W270" s="8"/>
      <c r="X270" s="8"/>
      <c r="Y270" s="8"/>
      <c r="Z270" s="12"/>
      <c r="AA270" s="11"/>
      <c r="AB270" s="15"/>
    </row>
    <row r="271" spans="1:28" x14ac:dyDescent="0.15">
      <c r="A271" s="4"/>
      <c r="B271" s="4"/>
      <c r="C271" s="5"/>
      <c r="D271" s="6"/>
      <c r="E271" s="6"/>
      <c r="F271" s="6"/>
      <c r="G271" s="7"/>
      <c r="H271" s="7"/>
      <c r="I271" s="8"/>
      <c r="J271" s="9"/>
      <c r="K271" s="7"/>
      <c r="L271" s="7"/>
      <c r="M271" s="10"/>
      <c r="N271" s="11"/>
      <c r="O271" s="12"/>
      <c r="P271" s="13"/>
      <c r="Q271" s="13"/>
      <c r="R271" s="13"/>
      <c r="S271" s="6"/>
      <c r="T271" s="8"/>
      <c r="U271" s="9"/>
      <c r="V271" s="14"/>
      <c r="W271" s="8"/>
      <c r="X271" s="8"/>
      <c r="Y271" s="8"/>
      <c r="Z271" s="12"/>
      <c r="AA271" s="11"/>
      <c r="AB271" s="15"/>
    </row>
    <row r="272" spans="1:28" x14ac:dyDescent="0.15">
      <c r="A272" s="4"/>
      <c r="B272" s="4"/>
      <c r="C272" s="5"/>
      <c r="D272" s="6"/>
      <c r="E272" s="6"/>
      <c r="F272" s="6"/>
      <c r="G272" s="7"/>
      <c r="H272" s="7"/>
      <c r="I272" s="8"/>
      <c r="J272" s="9"/>
      <c r="K272" s="7"/>
      <c r="L272" s="7"/>
      <c r="M272" s="10"/>
      <c r="N272" s="11"/>
      <c r="O272" s="12"/>
      <c r="P272" s="13"/>
      <c r="Q272" s="13"/>
      <c r="R272" s="13"/>
      <c r="S272" s="6"/>
      <c r="T272" s="8"/>
      <c r="U272" s="9"/>
      <c r="V272" s="14"/>
      <c r="W272" s="8"/>
      <c r="X272" s="8"/>
      <c r="Y272" s="8"/>
      <c r="Z272" s="12"/>
      <c r="AA272" s="11"/>
      <c r="AB272" s="15"/>
    </row>
    <row r="273" spans="1:28" x14ac:dyDescent="0.15">
      <c r="A273" s="4"/>
      <c r="B273" s="4"/>
      <c r="C273" s="5"/>
      <c r="D273" s="6"/>
      <c r="E273" s="6"/>
      <c r="F273" s="6"/>
      <c r="G273" s="7"/>
      <c r="H273" s="7"/>
      <c r="I273" s="8"/>
      <c r="J273" s="9"/>
      <c r="K273" s="7"/>
      <c r="L273" s="7"/>
      <c r="M273" s="10"/>
      <c r="N273" s="11"/>
      <c r="O273" s="12"/>
      <c r="P273" s="13"/>
      <c r="Q273" s="13"/>
      <c r="R273" s="13"/>
      <c r="S273" s="6"/>
      <c r="T273" s="8"/>
      <c r="U273" s="9"/>
      <c r="V273" s="14"/>
      <c r="W273" s="8"/>
      <c r="X273" s="8"/>
      <c r="Y273" s="8"/>
      <c r="Z273" s="12"/>
      <c r="AA273" s="11"/>
      <c r="AB273" s="15"/>
    </row>
    <row r="274" spans="1:28" x14ac:dyDescent="0.15">
      <c r="A274" s="4"/>
      <c r="B274" s="4"/>
      <c r="C274" s="5"/>
      <c r="D274" s="6"/>
      <c r="E274" s="6"/>
      <c r="F274" s="6"/>
      <c r="G274" s="7"/>
      <c r="H274" s="7"/>
      <c r="I274" s="8"/>
      <c r="J274" s="9"/>
      <c r="K274" s="7"/>
      <c r="L274" s="7"/>
      <c r="M274" s="10"/>
      <c r="N274" s="11"/>
      <c r="O274" s="12"/>
      <c r="P274" s="13"/>
      <c r="Q274" s="13"/>
      <c r="R274" s="13"/>
      <c r="S274" s="6"/>
      <c r="T274" s="8"/>
      <c r="U274" s="9"/>
      <c r="V274" s="14"/>
      <c r="W274" s="8"/>
      <c r="X274" s="8"/>
      <c r="Y274" s="8"/>
      <c r="Z274" s="12"/>
      <c r="AA274" s="11"/>
      <c r="AB274" s="15"/>
    </row>
    <row r="275" spans="1:28" x14ac:dyDescent="0.15">
      <c r="A275" s="4"/>
      <c r="B275" s="4"/>
      <c r="C275" s="5"/>
      <c r="D275" s="6"/>
      <c r="E275" s="6"/>
      <c r="F275" s="6"/>
      <c r="G275" s="7"/>
      <c r="H275" s="7"/>
      <c r="I275" s="8"/>
      <c r="J275" s="9"/>
      <c r="K275" s="7"/>
      <c r="L275" s="7"/>
      <c r="M275" s="10"/>
      <c r="N275" s="11"/>
      <c r="O275" s="12"/>
      <c r="P275" s="13"/>
      <c r="Q275" s="13"/>
      <c r="R275" s="13"/>
      <c r="S275" s="6"/>
      <c r="T275" s="8"/>
      <c r="U275" s="9"/>
      <c r="V275" s="14"/>
      <c r="W275" s="8"/>
      <c r="X275" s="8"/>
      <c r="Y275" s="8"/>
      <c r="Z275" s="12"/>
      <c r="AA275" s="11"/>
      <c r="AB275" s="15"/>
    </row>
    <row r="276" spans="1:28" x14ac:dyDescent="0.15">
      <c r="A276" s="4"/>
      <c r="B276" s="4"/>
      <c r="C276" s="5"/>
      <c r="D276" s="6"/>
      <c r="E276" s="6"/>
      <c r="F276" s="6"/>
      <c r="G276" s="7"/>
      <c r="H276" s="7"/>
      <c r="I276" s="8"/>
      <c r="J276" s="9"/>
      <c r="K276" s="7"/>
      <c r="L276" s="7"/>
      <c r="M276" s="10"/>
      <c r="N276" s="11"/>
      <c r="O276" s="12"/>
      <c r="P276" s="13"/>
      <c r="Q276" s="13"/>
      <c r="R276" s="13"/>
      <c r="S276" s="6"/>
      <c r="T276" s="8"/>
      <c r="U276" s="9"/>
      <c r="V276" s="14"/>
      <c r="W276" s="8"/>
      <c r="X276" s="8"/>
      <c r="Y276" s="8"/>
      <c r="Z276" s="12"/>
      <c r="AA276" s="11"/>
      <c r="AB276" s="15"/>
    </row>
    <row r="277" spans="1:28" x14ac:dyDescent="0.15">
      <c r="A277" s="4"/>
      <c r="B277" s="4"/>
      <c r="C277" s="5"/>
      <c r="D277" s="6"/>
      <c r="E277" s="6"/>
      <c r="F277" s="6"/>
      <c r="G277" s="7"/>
      <c r="H277" s="7"/>
      <c r="I277" s="8"/>
      <c r="J277" s="9"/>
      <c r="K277" s="7"/>
      <c r="L277" s="7"/>
      <c r="M277" s="10"/>
      <c r="N277" s="11"/>
      <c r="O277" s="12"/>
      <c r="P277" s="13"/>
      <c r="Q277" s="13"/>
      <c r="R277" s="13"/>
      <c r="S277" s="6"/>
      <c r="T277" s="8"/>
      <c r="U277" s="9"/>
      <c r="V277" s="14"/>
      <c r="W277" s="8"/>
      <c r="X277" s="8"/>
      <c r="Y277" s="8"/>
      <c r="Z277" s="12"/>
      <c r="AA277" s="11"/>
      <c r="AB277" s="15"/>
    </row>
    <row r="278" spans="1:28" x14ac:dyDescent="0.15">
      <c r="A278" s="4"/>
      <c r="B278" s="4"/>
      <c r="C278" s="5"/>
      <c r="D278" s="6"/>
      <c r="E278" s="6"/>
      <c r="F278" s="6"/>
      <c r="G278" s="7"/>
      <c r="H278" s="7"/>
      <c r="I278" s="8"/>
      <c r="J278" s="9"/>
      <c r="K278" s="7"/>
      <c r="L278" s="7"/>
      <c r="M278" s="10"/>
      <c r="N278" s="11"/>
      <c r="O278" s="12"/>
      <c r="P278" s="13"/>
      <c r="Q278" s="13"/>
      <c r="R278" s="13"/>
      <c r="S278" s="6"/>
      <c r="T278" s="8"/>
      <c r="U278" s="9"/>
      <c r="V278" s="14"/>
      <c r="W278" s="8"/>
      <c r="X278" s="8"/>
      <c r="Y278" s="8"/>
      <c r="Z278" s="12"/>
      <c r="AA278" s="11"/>
      <c r="AB278" s="15"/>
    </row>
    <row r="279" spans="1:28" x14ac:dyDescent="0.15">
      <c r="A279" s="4"/>
      <c r="B279" s="4"/>
      <c r="C279" s="5"/>
      <c r="D279" s="6"/>
      <c r="E279" s="6"/>
      <c r="F279" s="6"/>
      <c r="G279" s="7"/>
      <c r="H279" s="7"/>
      <c r="I279" s="8"/>
      <c r="J279" s="9"/>
      <c r="K279" s="7"/>
      <c r="L279" s="7"/>
      <c r="M279" s="10"/>
      <c r="N279" s="11"/>
      <c r="O279" s="12"/>
      <c r="P279" s="13"/>
      <c r="Q279" s="13"/>
      <c r="R279" s="13"/>
      <c r="S279" s="6"/>
      <c r="T279" s="8"/>
      <c r="U279" s="9"/>
      <c r="V279" s="14"/>
      <c r="W279" s="8"/>
      <c r="X279" s="8"/>
      <c r="Y279" s="8"/>
      <c r="Z279" s="12"/>
      <c r="AA279" s="11"/>
      <c r="AB279" s="15"/>
    </row>
    <row r="280" spans="1:28" x14ac:dyDescent="0.15">
      <c r="A280" s="4"/>
      <c r="B280" s="4"/>
      <c r="C280" s="5"/>
      <c r="D280" s="6"/>
      <c r="E280" s="6"/>
      <c r="F280" s="6"/>
      <c r="G280" s="7"/>
      <c r="H280" s="7"/>
      <c r="I280" s="8"/>
      <c r="J280" s="9"/>
      <c r="K280" s="7"/>
      <c r="L280" s="7"/>
      <c r="M280" s="10"/>
      <c r="N280" s="11"/>
      <c r="O280" s="12"/>
      <c r="P280" s="13"/>
      <c r="Q280" s="13"/>
      <c r="R280" s="13"/>
      <c r="S280" s="6"/>
      <c r="T280" s="8"/>
      <c r="U280" s="9"/>
      <c r="V280" s="14"/>
      <c r="W280" s="8"/>
      <c r="X280" s="8"/>
      <c r="Y280" s="8"/>
      <c r="Z280" s="12"/>
      <c r="AA280" s="11"/>
      <c r="AB280" s="15"/>
    </row>
    <row r="281" spans="1:28" x14ac:dyDescent="0.15">
      <c r="A281" s="4"/>
      <c r="B281" s="4"/>
      <c r="C281" s="5"/>
      <c r="D281" s="6"/>
      <c r="E281" s="6"/>
      <c r="F281" s="6"/>
      <c r="G281" s="7"/>
      <c r="H281" s="7"/>
      <c r="I281" s="8"/>
      <c r="J281" s="9"/>
      <c r="K281" s="7"/>
      <c r="L281" s="7"/>
      <c r="M281" s="10"/>
      <c r="N281" s="11"/>
      <c r="O281" s="12"/>
      <c r="P281" s="13"/>
      <c r="Q281" s="13"/>
      <c r="R281" s="13"/>
      <c r="S281" s="6"/>
      <c r="T281" s="8"/>
      <c r="U281" s="9"/>
      <c r="V281" s="14"/>
      <c r="W281" s="8"/>
      <c r="X281" s="8"/>
      <c r="Y281" s="8"/>
      <c r="Z281" s="12"/>
      <c r="AA281" s="11"/>
      <c r="AB281" s="15"/>
    </row>
    <row r="282" spans="1:28" x14ac:dyDescent="0.15">
      <c r="A282" s="4"/>
      <c r="B282" s="4"/>
      <c r="C282" s="5"/>
      <c r="D282" s="6"/>
      <c r="E282" s="6"/>
      <c r="F282" s="6"/>
      <c r="G282" s="7"/>
      <c r="H282" s="7"/>
      <c r="I282" s="8"/>
      <c r="J282" s="9"/>
      <c r="K282" s="7"/>
      <c r="L282" s="7"/>
      <c r="M282" s="10"/>
      <c r="N282" s="11"/>
      <c r="O282" s="12"/>
      <c r="P282" s="13"/>
      <c r="Q282" s="13"/>
      <c r="R282" s="13"/>
      <c r="S282" s="6"/>
      <c r="T282" s="8"/>
      <c r="U282" s="9"/>
      <c r="V282" s="14"/>
      <c r="W282" s="8"/>
      <c r="X282" s="8"/>
      <c r="Y282" s="8"/>
      <c r="Z282" s="12"/>
      <c r="AA282" s="11"/>
      <c r="AB282" s="15"/>
    </row>
    <row r="283" spans="1:28" x14ac:dyDescent="0.15">
      <c r="A283" s="4"/>
      <c r="B283" s="4"/>
      <c r="C283" s="5"/>
      <c r="D283" s="6"/>
      <c r="E283" s="6"/>
      <c r="F283" s="6"/>
      <c r="G283" s="7"/>
      <c r="H283" s="7"/>
      <c r="I283" s="8"/>
      <c r="J283" s="9"/>
      <c r="K283" s="7"/>
      <c r="L283" s="7"/>
      <c r="M283" s="10"/>
      <c r="N283" s="11"/>
      <c r="O283" s="12"/>
      <c r="P283" s="13"/>
      <c r="Q283" s="13"/>
      <c r="R283" s="13"/>
      <c r="S283" s="6"/>
      <c r="T283" s="8"/>
      <c r="U283" s="9"/>
      <c r="V283" s="14"/>
      <c r="W283" s="8"/>
      <c r="X283" s="8"/>
      <c r="Y283" s="8"/>
      <c r="Z283" s="12"/>
      <c r="AA283" s="11"/>
      <c r="AB283" s="15"/>
    </row>
    <row r="284" spans="1:28" x14ac:dyDescent="0.15">
      <c r="A284" s="4"/>
      <c r="B284" s="4"/>
      <c r="C284" s="5"/>
      <c r="D284" s="6"/>
      <c r="E284" s="6"/>
      <c r="F284" s="6"/>
      <c r="G284" s="7"/>
      <c r="H284" s="7"/>
      <c r="I284" s="8"/>
      <c r="J284" s="9"/>
      <c r="K284" s="7"/>
      <c r="L284" s="7"/>
      <c r="M284" s="10"/>
      <c r="N284" s="11"/>
      <c r="O284" s="12"/>
      <c r="P284" s="13"/>
      <c r="Q284" s="13"/>
      <c r="R284" s="13"/>
      <c r="S284" s="6"/>
      <c r="T284" s="8"/>
      <c r="U284" s="9"/>
      <c r="V284" s="14"/>
      <c r="W284" s="8"/>
      <c r="X284" s="8"/>
      <c r="Y284" s="8"/>
      <c r="Z284" s="12"/>
      <c r="AA284" s="11"/>
      <c r="AB284" s="15"/>
    </row>
    <row r="285" spans="1:28" x14ac:dyDescent="0.15">
      <c r="A285" s="4"/>
      <c r="B285" s="4"/>
      <c r="C285" s="5"/>
      <c r="D285" s="6"/>
      <c r="E285" s="6"/>
      <c r="F285" s="6"/>
      <c r="G285" s="7"/>
      <c r="H285" s="7"/>
      <c r="I285" s="8"/>
      <c r="J285" s="9"/>
      <c r="K285" s="7"/>
      <c r="L285" s="7"/>
      <c r="M285" s="10"/>
      <c r="N285" s="11"/>
      <c r="O285" s="12"/>
      <c r="P285" s="13"/>
      <c r="Q285" s="13"/>
      <c r="R285" s="13"/>
      <c r="S285" s="6"/>
      <c r="T285" s="8"/>
      <c r="U285" s="9"/>
      <c r="V285" s="14"/>
      <c r="W285" s="8"/>
      <c r="X285" s="8"/>
      <c r="Y285" s="8"/>
      <c r="Z285" s="12"/>
      <c r="AA285" s="11"/>
      <c r="AB285" s="15"/>
    </row>
    <row r="286" spans="1:28" x14ac:dyDescent="0.15">
      <c r="A286" s="4"/>
      <c r="B286" s="4"/>
      <c r="C286" s="5"/>
      <c r="D286" s="6"/>
      <c r="E286" s="6"/>
      <c r="F286" s="6"/>
      <c r="G286" s="7"/>
      <c r="H286" s="7"/>
      <c r="I286" s="8"/>
      <c r="J286" s="9"/>
      <c r="K286" s="7"/>
      <c r="L286" s="7"/>
      <c r="M286" s="10"/>
      <c r="N286" s="11"/>
      <c r="O286" s="12"/>
      <c r="P286" s="13"/>
      <c r="Q286" s="13"/>
      <c r="R286" s="13"/>
      <c r="S286" s="6"/>
      <c r="T286" s="8"/>
      <c r="U286" s="9"/>
      <c r="V286" s="14"/>
      <c r="W286" s="8"/>
      <c r="X286" s="8"/>
      <c r="Y286" s="8"/>
      <c r="Z286" s="12"/>
      <c r="AA286" s="11"/>
      <c r="AB286" s="15"/>
    </row>
    <row r="287" spans="1:28" x14ac:dyDescent="0.15">
      <c r="A287" s="4"/>
      <c r="B287" s="4"/>
      <c r="C287" s="5"/>
      <c r="D287" s="6"/>
      <c r="E287" s="6"/>
      <c r="F287" s="6"/>
      <c r="G287" s="7"/>
      <c r="H287" s="7"/>
      <c r="I287" s="8"/>
      <c r="J287" s="9"/>
      <c r="K287" s="7"/>
      <c r="L287" s="7"/>
      <c r="M287" s="10"/>
      <c r="N287" s="11"/>
      <c r="O287" s="12"/>
      <c r="P287" s="13"/>
      <c r="Q287" s="13"/>
      <c r="R287" s="13"/>
      <c r="S287" s="6"/>
      <c r="T287" s="8"/>
      <c r="U287" s="9"/>
      <c r="V287" s="14"/>
      <c r="W287" s="8"/>
      <c r="X287" s="8"/>
      <c r="Y287" s="8"/>
      <c r="Z287" s="12"/>
      <c r="AA287" s="11"/>
      <c r="AB287" s="15"/>
    </row>
    <row r="288" spans="1:28" x14ac:dyDescent="0.15">
      <c r="A288" s="4"/>
      <c r="B288" s="4"/>
      <c r="C288" s="5"/>
      <c r="D288" s="6"/>
      <c r="E288" s="6"/>
      <c r="F288" s="6"/>
      <c r="G288" s="7"/>
      <c r="H288" s="7"/>
      <c r="I288" s="8"/>
      <c r="J288" s="9"/>
      <c r="K288" s="7"/>
      <c r="L288" s="7"/>
      <c r="M288" s="10"/>
      <c r="N288" s="11"/>
      <c r="O288" s="12"/>
      <c r="P288" s="13"/>
      <c r="Q288" s="13"/>
      <c r="R288" s="13"/>
      <c r="S288" s="6"/>
      <c r="T288" s="8"/>
      <c r="U288" s="9"/>
      <c r="V288" s="14"/>
      <c r="W288" s="8"/>
      <c r="X288" s="8"/>
      <c r="Y288" s="8"/>
      <c r="Z288" s="12"/>
      <c r="AA288" s="11"/>
      <c r="AB288" s="15"/>
    </row>
    <row r="289" spans="1:28" x14ac:dyDescent="0.15">
      <c r="A289" s="4"/>
      <c r="B289" s="4"/>
      <c r="C289" s="5"/>
      <c r="D289" s="6"/>
      <c r="E289" s="6"/>
      <c r="F289" s="6"/>
      <c r="G289" s="7"/>
      <c r="H289" s="7"/>
      <c r="I289" s="8"/>
      <c r="J289" s="9"/>
      <c r="K289" s="7"/>
      <c r="L289" s="7"/>
      <c r="M289" s="10"/>
      <c r="N289" s="11"/>
      <c r="O289" s="12"/>
      <c r="P289" s="13"/>
      <c r="Q289" s="13"/>
      <c r="R289" s="13"/>
      <c r="S289" s="6"/>
      <c r="T289" s="8"/>
      <c r="U289" s="9"/>
      <c r="V289" s="14"/>
      <c r="W289" s="8"/>
      <c r="X289" s="8"/>
      <c r="Y289" s="8"/>
      <c r="Z289" s="12"/>
      <c r="AA289" s="11"/>
      <c r="AB289" s="15"/>
    </row>
    <row r="290" spans="1:28" x14ac:dyDescent="0.15">
      <c r="A290" s="4"/>
      <c r="B290" s="4"/>
      <c r="C290" s="5"/>
      <c r="D290" s="6"/>
      <c r="E290" s="6"/>
      <c r="F290" s="6"/>
      <c r="G290" s="7"/>
      <c r="H290" s="7"/>
      <c r="I290" s="8"/>
      <c r="J290" s="9"/>
      <c r="K290" s="7"/>
      <c r="L290" s="7"/>
      <c r="M290" s="10"/>
      <c r="N290" s="11"/>
      <c r="O290" s="12"/>
      <c r="P290" s="13"/>
      <c r="Q290" s="13"/>
      <c r="R290" s="13"/>
      <c r="S290" s="6"/>
      <c r="T290" s="8"/>
      <c r="U290" s="9"/>
      <c r="V290" s="14"/>
      <c r="W290" s="8"/>
      <c r="X290" s="8"/>
      <c r="Y290" s="8"/>
      <c r="Z290" s="12"/>
      <c r="AA290" s="11"/>
      <c r="AB290" s="15"/>
    </row>
    <row r="291" spans="1:28" x14ac:dyDescent="0.15">
      <c r="A291" s="4"/>
      <c r="B291" s="4"/>
      <c r="C291" s="5"/>
      <c r="D291" s="6"/>
      <c r="E291" s="6"/>
      <c r="F291" s="6"/>
      <c r="G291" s="7"/>
      <c r="H291" s="7"/>
      <c r="I291" s="8"/>
      <c r="J291" s="9"/>
      <c r="K291" s="7"/>
      <c r="L291" s="7"/>
      <c r="M291" s="10"/>
      <c r="N291" s="11"/>
      <c r="O291" s="12"/>
      <c r="P291" s="13"/>
      <c r="Q291" s="13"/>
      <c r="R291" s="13"/>
      <c r="S291" s="6"/>
      <c r="T291" s="8"/>
      <c r="U291" s="9"/>
      <c r="V291" s="14"/>
      <c r="W291" s="8"/>
      <c r="X291" s="8"/>
      <c r="Y291" s="8"/>
      <c r="Z291" s="12"/>
      <c r="AA291" s="11"/>
      <c r="AB291" s="15"/>
    </row>
    <row r="292" spans="1:28" x14ac:dyDescent="0.15">
      <c r="A292" s="4"/>
      <c r="B292" s="4"/>
      <c r="C292" s="5"/>
      <c r="D292" s="6"/>
      <c r="E292" s="6"/>
      <c r="F292" s="6"/>
      <c r="G292" s="7"/>
      <c r="H292" s="7"/>
      <c r="I292" s="8"/>
      <c r="J292" s="9"/>
      <c r="K292" s="7"/>
      <c r="L292" s="7"/>
      <c r="M292" s="10"/>
      <c r="N292" s="11"/>
      <c r="O292" s="12"/>
      <c r="P292" s="13"/>
      <c r="Q292" s="13"/>
      <c r="R292" s="13"/>
      <c r="S292" s="6"/>
      <c r="T292" s="8"/>
      <c r="U292" s="9"/>
      <c r="V292" s="14"/>
      <c r="W292" s="8"/>
      <c r="X292" s="8"/>
      <c r="Y292" s="8"/>
      <c r="Z292" s="12"/>
      <c r="AA292" s="11"/>
      <c r="AB292" s="15"/>
    </row>
    <row r="293" spans="1:28" x14ac:dyDescent="0.15">
      <c r="A293" s="4"/>
      <c r="B293" s="4"/>
      <c r="C293" s="5"/>
      <c r="D293" s="6"/>
      <c r="E293" s="6"/>
      <c r="F293" s="6"/>
      <c r="G293" s="7"/>
      <c r="H293" s="7"/>
      <c r="I293" s="8"/>
      <c r="J293" s="9"/>
      <c r="K293" s="7"/>
      <c r="L293" s="7"/>
      <c r="M293" s="10"/>
      <c r="N293" s="11"/>
      <c r="O293" s="12"/>
      <c r="P293" s="13"/>
      <c r="Q293" s="13"/>
      <c r="R293" s="13"/>
      <c r="S293" s="6"/>
      <c r="T293" s="8"/>
      <c r="U293" s="9"/>
      <c r="V293" s="14"/>
      <c r="W293" s="8"/>
      <c r="X293" s="8"/>
      <c r="Y293" s="8"/>
      <c r="Z293" s="12"/>
      <c r="AA293" s="11"/>
      <c r="AB293" s="15"/>
    </row>
    <row r="294" spans="1:28" x14ac:dyDescent="0.15">
      <c r="A294" s="4"/>
      <c r="B294" s="4"/>
      <c r="C294" s="5"/>
      <c r="D294" s="6"/>
      <c r="E294" s="6"/>
      <c r="F294" s="6"/>
      <c r="G294" s="7"/>
      <c r="H294" s="7"/>
      <c r="I294" s="8"/>
      <c r="J294" s="9"/>
      <c r="K294" s="7"/>
      <c r="L294" s="7"/>
      <c r="M294" s="10"/>
      <c r="N294" s="11"/>
      <c r="O294" s="12"/>
      <c r="P294" s="13"/>
      <c r="Q294" s="13"/>
      <c r="R294" s="13"/>
      <c r="S294" s="6"/>
      <c r="T294" s="8"/>
      <c r="U294" s="9"/>
      <c r="V294" s="14"/>
      <c r="W294" s="8"/>
      <c r="X294" s="8"/>
      <c r="Y294" s="8"/>
      <c r="Z294" s="12"/>
      <c r="AA294" s="11"/>
      <c r="AB294" s="15"/>
    </row>
    <row r="295" spans="1:28" x14ac:dyDescent="0.15">
      <c r="A295" s="4"/>
      <c r="B295" s="4"/>
      <c r="C295" s="5"/>
      <c r="D295" s="6"/>
      <c r="E295" s="6"/>
      <c r="F295" s="6"/>
      <c r="G295" s="7"/>
      <c r="H295" s="7"/>
      <c r="I295" s="8"/>
      <c r="J295" s="9"/>
      <c r="K295" s="7"/>
      <c r="L295" s="7"/>
      <c r="M295" s="10"/>
      <c r="N295" s="11"/>
      <c r="O295" s="12"/>
      <c r="P295" s="13"/>
      <c r="Q295" s="13"/>
      <c r="R295" s="13"/>
      <c r="S295" s="6"/>
      <c r="T295" s="8"/>
      <c r="U295" s="9"/>
      <c r="V295" s="14"/>
      <c r="W295" s="8"/>
      <c r="X295" s="8"/>
      <c r="Y295" s="8"/>
      <c r="Z295" s="12"/>
      <c r="AA295" s="11"/>
      <c r="AB295" s="15"/>
    </row>
    <row r="296" spans="1:28" x14ac:dyDescent="0.15">
      <c r="A296" s="4"/>
      <c r="B296" s="4"/>
      <c r="C296" s="5"/>
      <c r="D296" s="6"/>
      <c r="E296" s="6"/>
      <c r="F296" s="6"/>
      <c r="G296" s="7"/>
      <c r="H296" s="7"/>
      <c r="I296" s="8"/>
      <c r="J296" s="9"/>
      <c r="K296" s="7"/>
      <c r="L296" s="7"/>
      <c r="M296" s="10"/>
      <c r="N296" s="11"/>
      <c r="O296" s="12"/>
      <c r="P296" s="13"/>
      <c r="Q296" s="13"/>
      <c r="R296" s="13"/>
      <c r="S296" s="6"/>
      <c r="T296" s="8"/>
      <c r="U296" s="9"/>
      <c r="V296" s="14"/>
      <c r="W296" s="8"/>
      <c r="X296" s="8"/>
      <c r="Y296" s="8"/>
      <c r="Z296" s="12"/>
      <c r="AA296" s="11"/>
      <c r="AB296" s="15"/>
    </row>
    <row r="297" spans="1:28" x14ac:dyDescent="0.15">
      <c r="A297" s="4"/>
      <c r="B297" s="4"/>
      <c r="C297" s="5"/>
      <c r="D297" s="6"/>
      <c r="E297" s="6"/>
      <c r="F297" s="6"/>
      <c r="G297" s="7"/>
      <c r="H297" s="7"/>
      <c r="I297" s="8"/>
      <c r="J297" s="9"/>
      <c r="K297" s="7"/>
      <c r="L297" s="7"/>
      <c r="M297" s="10"/>
      <c r="N297" s="11"/>
      <c r="O297" s="12"/>
      <c r="P297" s="13"/>
      <c r="Q297" s="13"/>
      <c r="R297" s="13"/>
      <c r="S297" s="6"/>
      <c r="T297" s="8"/>
      <c r="U297" s="9"/>
      <c r="V297" s="14"/>
      <c r="W297" s="8"/>
      <c r="X297" s="8"/>
      <c r="Y297" s="8"/>
      <c r="Z297" s="12"/>
      <c r="AA297" s="11"/>
      <c r="AB297" s="15"/>
    </row>
    <row r="298" spans="1:28" x14ac:dyDescent="0.15">
      <c r="A298" s="4"/>
      <c r="B298" s="4"/>
      <c r="C298" s="5"/>
      <c r="D298" s="6"/>
      <c r="E298" s="6"/>
      <c r="F298" s="6"/>
      <c r="G298" s="7"/>
      <c r="H298" s="7"/>
      <c r="I298" s="8"/>
      <c r="J298" s="9"/>
      <c r="K298" s="7"/>
      <c r="L298" s="7"/>
      <c r="M298" s="10"/>
      <c r="N298" s="11"/>
      <c r="O298" s="12"/>
      <c r="P298" s="13"/>
      <c r="Q298" s="13"/>
      <c r="R298" s="13"/>
      <c r="S298" s="6"/>
      <c r="T298" s="8"/>
      <c r="U298" s="9"/>
      <c r="V298" s="14"/>
      <c r="W298" s="8"/>
      <c r="X298" s="8"/>
      <c r="Y298" s="8"/>
      <c r="Z298" s="12"/>
      <c r="AA298" s="11"/>
      <c r="AB298" s="15"/>
    </row>
    <row r="299" spans="1:28" x14ac:dyDescent="0.15">
      <c r="A299" s="4"/>
      <c r="B299" s="4"/>
      <c r="C299" s="5"/>
      <c r="D299" s="6"/>
      <c r="E299" s="6"/>
      <c r="F299" s="6"/>
      <c r="G299" s="7"/>
      <c r="H299" s="7"/>
      <c r="I299" s="8"/>
      <c r="J299" s="9"/>
      <c r="K299" s="7"/>
      <c r="L299" s="7"/>
      <c r="M299" s="10"/>
      <c r="N299" s="11"/>
      <c r="O299" s="12"/>
      <c r="P299" s="13"/>
      <c r="Q299" s="13"/>
      <c r="R299" s="13"/>
      <c r="S299" s="6"/>
      <c r="T299" s="8"/>
      <c r="U299" s="9"/>
      <c r="V299" s="14"/>
      <c r="W299" s="8"/>
      <c r="X299" s="8"/>
      <c r="Y299" s="8"/>
      <c r="Z299" s="12"/>
      <c r="AA299" s="11"/>
      <c r="AB299" s="15"/>
    </row>
    <row r="300" spans="1:28" x14ac:dyDescent="0.15">
      <c r="A300" s="4"/>
      <c r="B300" s="4"/>
      <c r="C300" s="5"/>
      <c r="D300" s="6"/>
      <c r="E300" s="6"/>
      <c r="F300" s="6"/>
      <c r="G300" s="7"/>
      <c r="H300" s="7"/>
      <c r="I300" s="8"/>
      <c r="J300" s="9"/>
      <c r="K300" s="7"/>
      <c r="L300" s="7"/>
      <c r="M300" s="10"/>
      <c r="N300" s="11"/>
      <c r="O300" s="12"/>
      <c r="P300" s="13"/>
      <c r="Q300" s="13"/>
      <c r="R300" s="13"/>
      <c r="S300" s="6"/>
      <c r="T300" s="8"/>
      <c r="U300" s="9"/>
      <c r="V300" s="14"/>
      <c r="W300" s="8"/>
      <c r="X300" s="8"/>
      <c r="Y300" s="8"/>
      <c r="Z300" s="12"/>
      <c r="AA300" s="11"/>
      <c r="AB300" s="15"/>
    </row>
    <row r="301" spans="1:28" x14ac:dyDescent="0.15">
      <c r="A301" s="4"/>
      <c r="B301" s="4"/>
      <c r="C301" s="5"/>
      <c r="D301" s="6"/>
      <c r="E301" s="6"/>
      <c r="F301" s="6"/>
      <c r="G301" s="7"/>
      <c r="H301" s="7"/>
      <c r="I301" s="8"/>
      <c r="J301" s="9"/>
      <c r="K301" s="7"/>
      <c r="L301" s="7"/>
      <c r="M301" s="10"/>
      <c r="N301" s="11"/>
      <c r="O301" s="12"/>
      <c r="P301" s="13"/>
      <c r="Q301" s="13"/>
      <c r="R301" s="13"/>
      <c r="S301" s="6"/>
      <c r="T301" s="8"/>
      <c r="U301" s="9"/>
      <c r="V301" s="14"/>
      <c r="W301" s="8"/>
      <c r="X301" s="8"/>
      <c r="Y301" s="8"/>
      <c r="Z301" s="12"/>
      <c r="AA301" s="11"/>
      <c r="AB301" s="15"/>
    </row>
    <row r="302" spans="1:28" x14ac:dyDescent="0.15">
      <c r="A302" s="4"/>
      <c r="B302" s="4"/>
      <c r="C302" s="5"/>
      <c r="D302" s="6"/>
      <c r="E302" s="6"/>
      <c r="F302" s="6"/>
      <c r="G302" s="7"/>
      <c r="H302" s="7"/>
      <c r="I302" s="8"/>
      <c r="J302" s="9"/>
      <c r="K302" s="7"/>
      <c r="L302" s="7"/>
      <c r="M302" s="10"/>
      <c r="N302" s="11"/>
      <c r="O302" s="12"/>
      <c r="P302" s="13"/>
      <c r="Q302" s="13"/>
      <c r="R302" s="13"/>
      <c r="S302" s="6"/>
      <c r="T302" s="8"/>
      <c r="U302" s="9"/>
      <c r="V302" s="14"/>
      <c r="W302" s="8"/>
      <c r="X302" s="8"/>
      <c r="Y302" s="8"/>
      <c r="Z302" s="12"/>
      <c r="AA302" s="11"/>
      <c r="AB302" s="15"/>
    </row>
    <row r="303" spans="1:28" x14ac:dyDescent="0.15">
      <c r="A303" s="4"/>
      <c r="B303" s="4"/>
      <c r="C303" s="5"/>
      <c r="D303" s="6"/>
      <c r="E303" s="6"/>
      <c r="F303" s="6"/>
      <c r="G303" s="7"/>
      <c r="H303" s="7"/>
      <c r="I303" s="8"/>
      <c r="J303" s="9"/>
      <c r="K303" s="7"/>
      <c r="L303" s="7"/>
      <c r="M303" s="10"/>
      <c r="N303" s="11"/>
      <c r="O303" s="12"/>
      <c r="P303" s="13"/>
      <c r="Q303" s="13"/>
      <c r="R303" s="13"/>
      <c r="S303" s="6"/>
      <c r="T303" s="8"/>
      <c r="U303" s="9"/>
      <c r="V303" s="14"/>
      <c r="W303" s="8"/>
      <c r="X303" s="8"/>
      <c r="Y303" s="8"/>
      <c r="Z303" s="12"/>
      <c r="AA303" s="11"/>
      <c r="AB303" s="15"/>
    </row>
    <row r="304" spans="1:28" x14ac:dyDescent="0.15">
      <c r="A304" s="4"/>
      <c r="B304" s="4"/>
      <c r="C304" s="5"/>
      <c r="D304" s="6"/>
      <c r="E304" s="6"/>
      <c r="F304" s="6"/>
      <c r="G304" s="7"/>
      <c r="H304" s="7"/>
      <c r="I304" s="8"/>
      <c r="J304" s="9"/>
      <c r="K304" s="7"/>
      <c r="L304" s="7"/>
      <c r="M304" s="10"/>
      <c r="N304" s="11"/>
      <c r="O304" s="12"/>
      <c r="P304" s="13"/>
      <c r="Q304" s="13"/>
      <c r="R304" s="13"/>
      <c r="S304" s="6"/>
      <c r="T304" s="8"/>
      <c r="U304" s="9"/>
      <c r="V304" s="14"/>
      <c r="W304" s="8"/>
      <c r="X304" s="8"/>
      <c r="Y304" s="8"/>
      <c r="Z304" s="12"/>
      <c r="AA304" s="11"/>
      <c r="AB304" s="15"/>
    </row>
    <row r="305" spans="1:28" x14ac:dyDescent="0.15">
      <c r="A305" s="4"/>
      <c r="B305" s="4"/>
      <c r="C305" s="5"/>
      <c r="D305" s="6"/>
      <c r="E305" s="6"/>
      <c r="F305" s="6"/>
      <c r="G305" s="7"/>
      <c r="H305" s="7"/>
      <c r="I305" s="8"/>
      <c r="J305" s="9"/>
      <c r="K305" s="7"/>
      <c r="L305" s="7"/>
      <c r="M305" s="10"/>
      <c r="N305" s="11"/>
      <c r="O305" s="12"/>
      <c r="P305" s="13"/>
      <c r="Q305" s="13"/>
      <c r="R305" s="13"/>
      <c r="S305" s="6"/>
      <c r="T305" s="8"/>
      <c r="U305" s="9"/>
      <c r="V305" s="14"/>
      <c r="W305" s="8"/>
      <c r="X305" s="8"/>
      <c r="Y305" s="8"/>
      <c r="Z305" s="12"/>
      <c r="AA305" s="11"/>
      <c r="AB305" s="15"/>
    </row>
    <row r="306" spans="1:28" x14ac:dyDescent="0.15">
      <c r="A306" s="4"/>
      <c r="B306" s="4"/>
      <c r="C306" s="5"/>
      <c r="D306" s="6"/>
      <c r="E306" s="6"/>
      <c r="F306" s="6"/>
      <c r="G306" s="7"/>
      <c r="H306" s="7"/>
      <c r="I306" s="8"/>
      <c r="J306" s="9"/>
      <c r="K306" s="7"/>
      <c r="L306" s="7"/>
      <c r="M306" s="10"/>
      <c r="N306" s="11"/>
      <c r="O306" s="12"/>
      <c r="P306" s="13"/>
      <c r="Q306" s="13"/>
      <c r="R306" s="13"/>
      <c r="S306" s="6"/>
      <c r="T306" s="8"/>
      <c r="U306" s="9"/>
      <c r="V306" s="14"/>
      <c r="W306" s="8"/>
      <c r="X306" s="8"/>
      <c r="Y306" s="8"/>
      <c r="Z306" s="12"/>
      <c r="AA306" s="11"/>
      <c r="AB306" s="15"/>
    </row>
    <row r="307" spans="1:28" x14ac:dyDescent="0.15">
      <c r="A307" s="4"/>
      <c r="B307" s="4"/>
      <c r="C307" s="5"/>
      <c r="D307" s="6"/>
      <c r="E307" s="6"/>
      <c r="F307" s="6"/>
      <c r="G307" s="7"/>
      <c r="H307" s="7"/>
      <c r="I307" s="8"/>
      <c r="J307" s="9"/>
      <c r="K307" s="7"/>
      <c r="L307" s="7"/>
      <c r="M307" s="10"/>
      <c r="N307" s="11"/>
      <c r="O307" s="12"/>
      <c r="P307" s="13"/>
      <c r="Q307" s="13"/>
      <c r="R307" s="13"/>
      <c r="S307" s="6"/>
      <c r="T307" s="8"/>
      <c r="U307" s="9"/>
      <c r="V307" s="14"/>
      <c r="W307" s="8"/>
      <c r="X307" s="8"/>
      <c r="Y307" s="8"/>
      <c r="Z307" s="12"/>
      <c r="AA307" s="11"/>
      <c r="AB307" s="15"/>
    </row>
    <row r="308" spans="1:28" x14ac:dyDescent="0.15">
      <c r="A308" s="4"/>
      <c r="B308" s="4"/>
      <c r="C308" s="5"/>
      <c r="D308" s="6"/>
      <c r="E308" s="6"/>
      <c r="F308" s="6"/>
      <c r="G308" s="7"/>
      <c r="H308" s="7"/>
      <c r="I308" s="8"/>
      <c r="J308" s="9"/>
      <c r="K308" s="7"/>
      <c r="L308" s="7"/>
      <c r="M308" s="10"/>
      <c r="N308" s="11"/>
      <c r="O308" s="12"/>
      <c r="P308" s="13"/>
      <c r="Q308" s="13"/>
      <c r="R308" s="13"/>
      <c r="S308" s="6"/>
      <c r="T308" s="8"/>
      <c r="U308" s="9"/>
      <c r="V308" s="14"/>
      <c r="W308" s="8"/>
      <c r="X308" s="8"/>
      <c r="Y308" s="8"/>
      <c r="Z308" s="12"/>
      <c r="AA308" s="11"/>
      <c r="AB308" s="15"/>
    </row>
    <row r="309" spans="1:28" x14ac:dyDescent="0.15">
      <c r="A309" s="4"/>
      <c r="B309" s="4"/>
      <c r="C309" s="5"/>
      <c r="D309" s="6"/>
      <c r="E309" s="6"/>
      <c r="F309" s="6"/>
      <c r="G309" s="7"/>
      <c r="H309" s="7"/>
      <c r="I309" s="8"/>
      <c r="J309" s="9"/>
      <c r="K309" s="7"/>
      <c r="L309" s="7"/>
      <c r="M309" s="10"/>
      <c r="N309" s="11"/>
      <c r="O309" s="12"/>
      <c r="P309" s="13"/>
      <c r="Q309" s="13"/>
      <c r="R309" s="13"/>
      <c r="S309" s="6"/>
      <c r="T309" s="8"/>
      <c r="U309" s="9"/>
      <c r="V309" s="14"/>
      <c r="W309" s="8"/>
      <c r="X309" s="8"/>
      <c r="Y309" s="8"/>
      <c r="Z309" s="12"/>
      <c r="AA309" s="11"/>
      <c r="AB309" s="15"/>
    </row>
    <row r="310" spans="1:28" x14ac:dyDescent="0.15">
      <c r="A310" s="4"/>
      <c r="B310" s="4"/>
      <c r="C310" s="5"/>
      <c r="D310" s="6"/>
      <c r="E310" s="6"/>
      <c r="F310" s="6"/>
      <c r="G310" s="7"/>
      <c r="H310" s="7"/>
      <c r="I310" s="8"/>
      <c r="J310" s="9"/>
      <c r="K310" s="7"/>
      <c r="L310" s="7"/>
      <c r="M310" s="10"/>
      <c r="N310" s="11"/>
      <c r="O310" s="12"/>
      <c r="P310" s="13"/>
      <c r="Q310" s="13"/>
      <c r="R310" s="13"/>
      <c r="S310" s="6"/>
      <c r="T310" s="8"/>
      <c r="U310" s="9"/>
      <c r="V310" s="14"/>
      <c r="W310" s="8"/>
      <c r="X310" s="8"/>
      <c r="Y310" s="8"/>
      <c r="Z310" s="12"/>
      <c r="AA310" s="11"/>
      <c r="AB310" s="15"/>
    </row>
    <row r="311" spans="1:28" x14ac:dyDescent="0.15">
      <c r="A311" s="4"/>
      <c r="B311" s="4"/>
      <c r="C311" s="5"/>
      <c r="D311" s="6"/>
      <c r="E311" s="6"/>
      <c r="F311" s="6"/>
      <c r="G311" s="7"/>
      <c r="H311" s="7"/>
      <c r="I311" s="8"/>
      <c r="J311" s="9"/>
      <c r="K311" s="7"/>
      <c r="L311" s="7"/>
      <c r="M311" s="10"/>
      <c r="N311" s="11"/>
      <c r="O311" s="12"/>
      <c r="P311" s="13"/>
      <c r="Q311" s="13"/>
      <c r="R311" s="13"/>
      <c r="S311" s="6"/>
      <c r="T311" s="8"/>
      <c r="U311" s="9"/>
      <c r="V311" s="14"/>
      <c r="W311" s="8"/>
      <c r="X311" s="8"/>
      <c r="Y311" s="8"/>
      <c r="Z311" s="12"/>
      <c r="AA311" s="11"/>
      <c r="AB311" s="15"/>
    </row>
    <row r="312" spans="1:28" x14ac:dyDescent="0.15">
      <c r="A312" s="4"/>
      <c r="B312" s="4"/>
      <c r="C312" s="5"/>
      <c r="D312" s="6"/>
      <c r="E312" s="6"/>
      <c r="F312" s="6"/>
      <c r="G312" s="7"/>
      <c r="H312" s="7"/>
      <c r="I312" s="8"/>
      <c r="J312" s="9"/>
      <c r="K312" s="7"/>
      <c r="L312" s="7"/>
      <c r="M312" s="10"/>
      <c r="N312" s="11"/>
      <c r="O312" s="12"/>
      <c r="P312" s="13"/>
      <c r="Q312" s="13"/>
      <c r="R312" s="13"/>
      <c r="S312" s="6"/>
      <c r="T312" s="8"/>
      <c r="U312" s="9"/>
      <c r="V312" s="14"/>
      <c r="W312" s="8"/>
      <c r="X312" s="8"/>
      <c r="Y312" s="8"/>
      <c r="Z312" s="12"/>
      <c r="AA312" s="11"/>
      <c r="AB312" s="15"/>
    </row>
    <row r="313" spans="1:28" x14ac:dyDescent="0.15">
      <c r="A313" s="4"/>
      <c r="B313" s="4"/>
      <c r="C313" s="5"/>
      <c r="D313" s="6"/>
      <c r="E313" s="6"/>
      <c r="F313" s="6"/>
      <c r="G313" s="7"/>
      <c r="H313" s="7"/>
      <c r="I313" s="8"/>
      <c r="J313" s="9"/>
      <c r="K313" s="7"/>
      <c r="L313" s="7"/>
      <c r="M313" s="10"/>
      <c r="N313" s="11"/>
      <c r="O313" s="12"/>
      <c r="P313" s="13"/>
      <c r="Q313" s="13"/>
      <c r="R313" s="13"/>
      <c r="S313" s="6"/>
      <c r="T313" s="8"/>
      <c r="U313" s="9"/>
      <c r="V313" s="14"/>
      <c r="W313" s="8"/>
      <c r="X313" s="8"/>
      <c r="Y313" s="8"/>
      <c r="Z313" s="12"/>
      <c r="AA313" s="11"/>
      <c r="AB313" s="15"/>
    </row>
    <row r="314" spans="1:28" x14ac:dyDescent="0.15">
      <c r="A314" s="4"/>
      <c r="B314" s="4"/>
      <c r="C314" s="5"/>
      <c r="D314" s="6"/>
      <c r="E314" s="6"/>
      <c r="F314" s="6"/>
      <c r="G314" s="7"/>
      <c r="H314" s="7"/>
      <c r="I314" s="8"/>
      <c r="J314" s="9"/>
      <c r="K314" s="7"/>
      <c r="L314" s="7"/>
      <c r="M314" s="10"/>
      <c r="N314" s="11"/>
      <c r="O314" s="12"/>
      <c r="P314" s="13"/>
      <c r="Q314" s="13"/>
      <c r="R314" s="13"/>
      <c r="S314" s="6"/>
      <c r="T314" s="8"/>
      <c r="U314" s="9"/>
      <c r="V314" s="14"/>
      <c r="W314" s="8"/>
      <c r="X314" s="8"/>
      <c r="Y314" s="8"/>
      <c r="Z314" s="12"/>
      <c r="AA314" s="11"/>
      <c r="AB314" s="15"/>
    </row>
    <row r="315" spans="1:28" x14ac:dyDescent="0.15">
      <c r="A315" s="4"/>
      <c r="B315" s="4"/>
      <c r="C315" s="5"/>
      <c r="D315" s="6"/>
      <c r="E315" s="6"/>
      <c r="F315" s="6"/>
      <c r="G315" s="7"/>
      <c r="H315" s="7"/>
      <c r="I315" s="8"/>
      <c r="J315" s="9"/>
      <c r="K315" s="7"/>
      <c r="L315" s="7"/>
      <c r="M315" s="10"/>
      <c r="N315" s="11"/>
      <c r="O315" s="12"/>
      <c r="P315" s="13"/>
      <c r="Q315" s="13"/>
      <c r="R315" s="13"/>
      <c r="S315" s="6"/>
      <c r="T315" s="8"/>
      <c r="U315" s="9"/>
      <c r="V315" s="14"/>
      <c r="W315" s="8"/>
      <c r="X315" s="8"/>
      <c r="Y315" s="8"/>
      <c r="Z315" s="12"/>
      <c r="AA315" s="11"/>
      <c r="AB315" s="15"/>
    </row>
    <row r="316" spans="1:28" x14ac:dyDescent="0.15">
      <c r="A316" s="4"/>
      <c r="B316" s="4"/>
      <c r="C316" s="5"/>
      <c r="D316" s="6"/>
      <c r="E316" s="6"/>
      <c r="F316" s="6"/>
      <c r="G316" s="7"/>
      <c r="H316" s="7"/>
      <c r="I316" s="8"/>
      <c r="J316" s="9"/>
      <c r="K316" s="7"/>
      <c r="L316" s="7"/>
      <c r="M316" s="10"/>
      <c r="N316" s="11"/>
      <c r="O316" s="12"/>
      <c r="P316" s="13"/>
      <c r="Q316" s="13"/>
      <c r="R316" s="13"/>
      <c r="S316" s="6"/>
      <c r="T316" s="8"/>
      <c r="U316" s="9"/>
      <c r="V316" s="14"/>
      <c r="W316" s="8"/>
      <c r="X316" s="8"/>
      <c r="Y316" s="8"/>
      <c r="Z316" s="12"/>
      <c r="AA316" s="11"/>
      <c r="AB316" s="15"/>
    </row>
    <row r="317" spans="1:28" x14ac:dyDescent="0.15">
      <c r="A317" s="4"/>
      <c r="B317" s="4"/>
      <c r="C317" s="5"/>
      <c r="D317" s="6"/>
      <c r="E317" s="6"/>
      <c r="F317" s="6"/>
      <c r="G317" s="7"/>
      <c r="H317" s="7"/>
      <c r="I317" s="8"/>
      <c r="J317" s="9"/>
      <c r="K317" s="7"/>
      <c r="L317" s="7"/>
      <c r="M317" s="10"/>
      <c r="N317" s="11"/>
      <c r="O317" s="12"/>
      <c r="P317" s="13"/>
      <c r="Q317" s="13"/>
      <c r="R317" s="13"/>
      <c r="S317" s="6"/>
      <c r="T317" s="8"/>
      <c r="U317" s="9"/>
      <c r="V317" s="14"/>
      <c r="W317" s="8"/>
      <c r="X317" s="8"/>
      <c r="Y317" s="8"/>
      <c r="Z317" s="12"/>
      <c r="AA317" s="11"/>
      <c r="AB317" s="15"/>
    </row>
    <row r="318" spans="1:28" x14ac:dyDescent="0.15">
      <c r="A318" s="4"/>
      <c r="B318" s="4"/>
      <c r="C318" s="5"/>
      <c r="D318" s="6"/>
      <c r="E318" s="6"/>
      <c r="F318" s="6"/>
      <c r="G318" s="7"/>
      <c r="H318" s="7"/>
      <c r="I318" s="8"/>
      <c r="J318" s="9"/>
      <c r="K318" s="7"/>
      <c r="L318" s="7"/>
      <c r="M318" s="10"/>
      <c r="N318" s="11"/>
      <c r="O318" s="12"/>
      <c r="P318" s="13"/>
      <c r="Q318" s="13"/>
      <c r="R318" s="13"/>
      <c r="S318" s="6"/>
      <c r="T318" s="8"/>
      <c r="U318" s="9"/>
      <c r="V318" s="14"/>
      <c r="W318" s="8"/>
      <c r="X318" s="8"/>
      <c r="Y318" s="8"/>
      <c r="Z318" s="12"/>
      <c r="AA318" s="11"/>
      <c r="AB318" s="15"/>
    </row>
    <row r="319" spans="1:28" x14ac:dyDescent="0.15">
      <c r="A319" s="4"/>
      <c r="B319" s="4"/>
      <c r="C319" s="5"/>
      <c r="D319" s="6"/>
      <c r="E319" s="6"/>
      <c r="F319" s="6"/>
      <c r="G319" s="7"/>
      <c r="H319" s="7"/>
      <c r="I319" s="8"/>
      <c r="J319" s="9"/>
      <c r="K319" s="7"/>
      <c r="L319" s="7"/>
      <c r="M319" s="10"/>
      <c r="N319" s="11"/>
      <c r="O319" s="12"/>
      <c r="P319" s="13"/>
      <c r="Q319" s="13"/>
      <c r="R319" s="13"/>
      <c r="S319" s="6"/>
      <c r="T319" s="8"/>
      <c r="U319" s="9"/>
      <c r="V319" s="14"/>
      <c r="W319" s="8"/>
      <c r="X319" s="8"/>
      <c r="Y319" s="8"/>
      <c r="Z319" s="12"/>
      <c r="AA319" s="11"/>
      <c r="AB319" s="15"/>
    </row>
    <row r="320" spans="1:28" x14ac:dyDescent="0.15">
      <c r="A320" s="4"/>
      <c r="B320" s="4"/>
      <c r="C320" s="5"/>
      <c r="D320" s="6"/>
      <c r="E320" s="6"/>
      <c r="F320" s="6"/>
      <c r="G320" s="7"/>
      <c r="H320" s="7"/>
      <c r="I320" s="8"/>
      <c r="J320" s="9"/>
      <c r="K320" s="7"/>
      <c r="L320" s="7"/>
      <c r="M320" s="10"/>
      <c r="N320" s="11"/>
      <c r="O320" s="12"/>
      <c r="P320" s="13"/>
      <c r="Q320" s="13"/>
      <c r="R320" s="13"/>
      <c r="S320" s="6"/>
      <c r="T320" s="8"/>
      <c r="U320" s="9"/>
      <c r="V320" s="14"/>
      <c r="W320" s="8"/>
      <c r="X320" s="8"/>
      <c r="Y320" s="8"/>
      <c r="Z320" s="12"/>
      <c r="AA320" s="11"/>
      <c r="AB320" s="15"/>
    </row>
    <row r="321" spans="1:28" x14ac:dyDescent="0.15">
      <c r="A321" s="4"/>
      <c r="B321" s="4"/>
      <c r="C321" s="5"/>
      <c r="D321" s="6"/>
      <c r="E321" s="6"/>
      <c r="F321" s="6"/>
      <c r="G321" s="7"/>
      <c r="H321" s="7"/>
      <c r="I321" s="8"/>
      <c r="J321" s="9"/>
      <c r="K321" s="7"/>
      <c r="L321" s="7"/>
      <c r="M321" s="10"/>
      <c r="N321" s="11"/>
      <c r="O321" s="12"/>
      <c r="P321" s="13"/>
      <c r="Q321" s="13"/>
      <c r="R321" s="13"/>
      <c r="S321" s="6"/>
      <c r="T321" s="8"/>
      <c r="U321" s="9"/>
      <c r="V321" s="14"/>
      <c r="W321" s="8"/>
      <c r="X321" s="8"/>
      <c r="Y321" s="8"/>
      <c r="Z321" s="12"/>
      <c r="AA321" s="11"/>
      <c r="AB321" s="15"/>
    </row>
    <row r="322" spans="1:28" x14ac:dyDescent="0.15">
      <c r="A322" s="4"/>
      <c r="B322" s="4"/>
      <c r="C322" s="5"/>
      <c r="D322" s="6"/>
      <c r="E322" s="6"/>
      <c r="F322" s="6"/>
      <c r="G322" s="7"/>
      <c r="H322" s="7"/>
      <c r="I322" s="8"/>
      <c r="J322" s="9"/>
      <c r="K322" s="7"/>
      <c r="L322" s="7"/>
      <c r="M322" s="10"/>
      <c r="N322" s="11"/>
      <c r="O322" s="12"/>
      <c r="P322" s="13"/>
      <c r="Q322" s="13"/>
      <c r="R322" s="13"/>
      <c r="S322" s="6"/>
      <c r="T322" s="8"/>
      <c r="U322" s="9"/>
      <c r="V322" s="14"/>
      <c r="W322" s="8"/>
      <c r="X322" s="8"/>
      <c r="Y322" s="8"/>
      <c r="Z322" s="12"/>
      <c r="AA322" s="11"/>
      <c r="AB322" s="15"/>
    </row>
    <row r="323" spans="1:28" x14ac:dyDescent="0.15">
      <c r="A323" s="4"/>
      <c r="B323" s="4"/>
      <c r="C323" s="5"/>
      <c r="D323" s="6"/>
      <c r="E323" s="6"/>
      <c r="F323" s="6"/>
      <c r="G323" s="7"/>
      <c r="H323" s="7"/>
      <c r="I323" s="8"/>
      <c r="J323" s="9"/>
      <c r="K323" s="7"/>
      <c r="L323" s="7"/>
      <c r="M323" s="10"/>
      <c r="N323" s="11"/>
      <c r="O323" s="12"/>
      <c r="P323" s="13"/>
      <c r="Q323" s="13"/>
      <c r="R323" s="13"/>
      <c r="S323" s="6"/>
      <c r="T323" s="8"/>
      <c r="U323" s="9"/>
      <c r="V323" s="14"/>
      <c r="W323" s="8"/>
      <c r="X323" s="8"/>
      <c r="Y323" s="8"/>
      <c r="Z323" s="12"/>
      <c r="AA323" s="11"/>
      <c r="AB323" s="15"/>
    </row>
    <row r="324" spans="1:28" x14ac:dyDescent="0.15">
      <c r="A324" s="4"/>
      <c r="B324" s="4"/>
      <c r="C324" s="5"/>
      <c r="D324" s="6"/>
      <c r="E324" s="6"/>
      <c r="F324" s="6"/>
      <c r="G324" s="7"/>
      <c r="H324" s="7"/>
      <c r="I324" s="8"/>
      <c r="J324" s="9"/>
      <c r="K324" s="7"/>
      <c r="L324" s="7"/>
      <c r="M324" s="10"/>
      <c r="N324" s="11"/>
      <c r="O324" s="12"/>
      <c r="P324" s="13"/>
      <c r="Q324" s="13"/>
      <c r="R324" s="13"/>
      <c r="S324" s="6"/>
      <c r="T324" s="8"/>
      <c r="U324" s="9"/>
      <c r="V324" s="14"/>
      <c r="W324" s="8"/>
      <c r="X324" s="8"/>
      <c r="Y324" s="8"/>
      <c r="Z324" s="12"/>
      <c r="AA324" s="11"/>
      <c r="AB324" s="15"/>
    </row>
    <row r="325" spans="1:28" x14ac:dyDescent="0.15">
      <c r="A325" s="4"/>
      <c r="B325" s="4"/>
      <c r="C325" s="5"/>
      <c r="D325" s="6"/>
      <c r="E325" s="6"/>
      <c r="F325" s="6"/>
      <c r="G325" s="7"/>
      <c r="H325" s="7"/>
      <c r="I325" s="8"/>
      <c r="J325" s="9"/>
      <c r="K325" s="7"/>
      <c r="L325" s="7"/>
      <c r="M325" s="10"/>
      <c r="N325" s="11"/>
      <c r="O325" s="12"/>
      <c r="P325" s="13"/>
      <c r="Q325" s="13"/>
      <c r="R325" s="13"/>
      <c r="S325" s="6"/>
      <c r="T325" s="8"/>
      <c r="U325" s="9"/>
      <c r="V325" s="14"/>
      <c r="W325" s="8"/>
      <c r="X325" s="8"/>
      <c r="Y325" s="8"/>
      <c r="Z325" s="12"/>
      <c r="AA325" s="11"/>
      <c r="AB325" s="15"/>
    </row>
    <row r="326" spans="1:28" x14ac:dyDescent="0.15">
      <c r="A326" s="4"/>
      <c r="B326" s="4"/>
      <c r="C326" s="5"/>
      <c r="D326" s="6"/>
      <c r="E326" s="6"/>
      <c r="F326" s="6"/>
      <c r="G326" s="7"/>
      <c r="H326" s="7"/>
      <c r="I326" s="8"/>
      <c r="J326" s="9"/>
      <c r="K326" s="7"/>
      <c r="L326" s="7"/>
      <c r="M326" s="10"/>
      <c r="N326" s="11"/>
      <c r="O326" s="12"/>
      <c r="P326" s="13"/>
      <c r="Q326" s="13"/>
      <c r="R326" s="13"/>
      <c r="S326" s="6"/>
      <c r="T326" s="8"/>
      <c r="U326" s="9"/>
      <c r="V326" s="14"/>
      <c r="W326" s="8"/>
      <c r="X326" s="8"/>
      <c r="Y326" s="8"/>
      <c r="Z326" s="12"/>
      <c r="AA326" s="11"/>
      <c r="AB326" s="15"/>
    </row>
    <row r="327" spans="1:28" x14ac:dyDescent="0.15">
      <c r="A327" s="4"/>
      <c r="B327" s="4"/>
      <c r="C327" s="5"/>
      <c r="D327" s="6"/>
      <c r="E327" s="6"/>
      <c r="F327" s="6"/>
      <c r="G327" s="7"/>
      <c r="H327" s="7"/>
      <c r="I327" s="8"/>
      <c r="J327" s="9"/>
      <c r="K327" s="7"/>
      <c r="L327" s="7"/>
      <c r="M327" s="10"/>
      <c r="N327" s="11"/>
      <c r="O327" s="12"/>
      <c r="P327" s="13"/>
      <c r="Q327" s="13"/>
      <c r="R327" s="13"/>
      <c r="S327" s="6"/>
      <c r="T327" s="8"/>
      <c r="U327" s="9"/>
      <c r="V327" s="14"/>
      <c r="W327" s="8"/>
      <c r="X327" s="8"/>
      <c r="Y327" s="8"/>
      <c r="Z327" s="12"/>
      <c r="AA327" s="11"/>
      <c r="AB327" s="15"/>
    </row>
    <row r="328" spans="1:28" x14ac:dyDescent="0.15">
      <c r="A328" s="4"/>
      <c r="B328" s="4"/>
      <c r="C328" s="5"/>
      <c r="D328" s="6"/>
      <c r="E328" s="6"/>
      <c r="F328" s="6"/>
      <c r="G328" s="7"/>
      <c r="H328" s="7"/>
      <c r="I328" s="8"/>
      <c r="J328" s="9"/>
      <c r="K328" s="7"/>
      <c r="L328" s="7"/>
      <c r="M328" s="10"/>
      <c r="N328" s="11"/>
      <c r="O328" s="12"/>
      <c r="P328" s="13"/>
      <c r="Q328" s="13"/>
      <c r="R328" s="13"/>
      <c r="S328" s="6"/>
      <c r="T328" s="8"/>
      <c r="U328" s="9"/>
      <c r="V328" s="14"/>
      <c r="W328" s="8"/>
      <c r="X328" s="8"/>
      <c r="Y328" s="8"/>
      <c r="Z328" s="12"/>
      <c r="AA328" s="11"/>
      <c r="AB328" s="15"/>
    </row>
    <row r="329" spans="1:28" x14ac:dyDescent="0.15">
      <c r="A329" s="4"/>
      <c r="B329" s="4"/>
      <c r="C329" s="5"/>
      <c r="D329" s="6"/>
      <c r="E329" s="6"/>
      <c r="F329" s="6"/>
      <c r="G329" s="7"/>
      <c r="H329" s="7"/>
      <c r="I329" s="8"/>
      <c r="J329" s="9"/>
      <c r="K329" s="7"/>
      <c r="L329" s="7"/>
      <c r="M329" s="10"/>
      <c r="N329" s="11"/>
      <c r="O329" s="12"/>
      <c r="P329" s="13"/>
      <c r="Q329" s="13"/>
      <c r="R329" s="13"/>
      <c r="S329" s="6"/>
      <c r="T329" s="8"/>
      <c r="U329" s="9"/>
      <c r="V329" s="14"/>
      <c r="W329" s="8"/>
      <c r="X329" s="8"/>
      <c r="Y329" s="8"/>
      <c r="Z329" s="12"/>
      <c r="AA329" s="11"/>
      <c r="AB329" s="15"/>
    </row>
    <row r="330" spans="1:28" x14ac:dyDescent="0.15">
      <c r="A330" s="4"/>
      <c r="B330" s="4"/>
      <c r="C330" s="5"/>
      <c r="D330" s="6"/>
      <c r="E330" s="6"/>
      <c r="F330" s="6"/>
      <c r="G330" s="7"/>
      <c r="H330" s="7"/>
      <c r="I330" s="8"/>
      <c r="J330" s="9"/>
      <c r="K330" s="7"/>
      <c r="L330" s="7"/>
      <c r="M330" s="10"/>
      <c r="N330" s="11"/>
      <c r="O330" s="12"/>
      <c r="P330" s="13"/>
      <c r="Q330" s="13"/>
      <c r="R330" s="13"/>
      <c r="S330" s="6"/>
      <c r="T330" s="8"/>
      <c r="U330" s="9"/>
      <c r="V330" s="14"/>
      <c r="W330" s="8"/>
      <c r="X330" s="8"/>
      <c r="Y330" s="8"/>
      <c r="Z330" s="12"/>
      <c r="AA330" s="11"/>
      <c r="AB330" s="15"/>
    </row>
    <row r="331" spans="1:28" x14ac:dyDescent="0.15">
      <c r="A331" s="4"/>
      <c r="B331" s="4"/>
      <c r="C331" s="5"/>
      <c r="D331" s="6"/>
      <c r="E331" s="6"/>
      <c r="F331" s="6"/>
      <c r="G331" s="7"/>
      <c r="H331" s="7"/>
      <c r="I331" s="8"/>
      <c r="J331" s="9"/>
      <c r="K331" s="7"/>
      <c r="L331" s="7"/>
      <c r="M331" s="10"/>
      <c r="N331" s="11"/>
      <c r="O331" s="12"/>
      <c r="P331" s="13"/>
      <c r="Q331" s="13"/>
      <c r="R331" s="13"/>
      <c r="S331" s="6"/>
      <c r="T331" s="8"/>
      <c r="U331" s="9"/>
      <c r="V331" s="14"/>
      <c r="W331" s="8"/>
      <c r="X331" s="8"/>
      <c r="Y331" s="8"/>
      <c r="Z331" s="12"/>
      <c r="AA331" s="11"/>
      <c r="AB331" s="15"/>
    </row>
    <row r="332" spans="1:28" x14ac:dyDescent="0.15">
      <c r="A332" s="4"/>
      <c r="B332" s="4"/>
      <c r="C332" s="5"/>
      <c r="D332" s="6"/>
      <c r="E332" s="6"/>
      <c r="F332" s="6"/>
      <c r="G332" s="7"/>
      <c r="H332" s="7"/>
      <c r="I332" s="8"/>
      <c r="J332" s="9"/>
      <c r="K332" s="7"/>
      <c r="L332" s="7"/>
      <c r="M332" s="10"/>
      <c r="N332" s="11"/>
      <c r="O332" s="12"/>
      <c r="P332" s="13"/>
      <c r="Q332" s="13"/>
      <c r="R332" s="13"/>
      <c r="S332" s="6"/>
      <c r="T332" s="8"/>
      <c r="U332" s="9"/>
      <c r="V332" s="14"/>
      <c r="W332" s="8"/>
      <c r="X332" s="8"/>
      <c r="Y332" s="8"/>
      <c r="Z332" s="12"/>
      <c r="AA332" s="11"/>
      <c r="AB332" s="15"/>
    </row>
    <row r="333" spans="1:28" x14ac:dyDescent="0.15">
      <c r="A333" s="4"/>
      <c r="B333" s="4"/>
      <c r="C333" s="5"/>
      <c r="D333" s="6"/>
      <c r="E333" s="6"/>
      <c r="F333" s="6"/>
      <c r="G333" s="7"/>
      <c r="H333" s="7"/>
      <c r="I333" s="8"/>
      <c r="J333" s="9"/>
      <c r="K333" s="7"/>
      <c r="L333" s="7"/>
      <c r="M333" s="10"/>
      <c r="N333" s="11"/>
      <c r="O333" s="12"/>
      <c r="P333" s="13"/>
      <c r="Q333" s="13"/>
      <c r="R333" s="13"/>
      <c r="S333" s="6"/>
      <c r="T333" s="8"/>
      <c r="U333" s="9"/>
      <c r="V333" s="14"/>
      <c r="W333" s="8"/>
      <c r="X333" s="8"/>
      <c r="Y333" s="8"/>
      <c r="Z333" s="12"/>
      <c r="AA333" s="11"/>
      <c r="AB333" s="15"/>
    </row>
    <row r="334" spans="1:28" x14ac:dyDescent="0.15">
      <c r="A334" s="4"/>
      <c r="B334" s="4"/>
      <c r="C334" s="5"/>
      <c r="D334" s="6"/>
      <c r="E334" s="6"/>
      <c r="F334" s="6"/>
      <c r="G334" s="7"/>
      <c r="H334" s="7"/>
      <c r="I334" s="8"/>
      <c r="J334" s="9"/>
      <c r="K334" s="7"/>
      <c r="L334" s="7"/>
      <c r="M334" s="10"/>
      <c r="N334" s="11"/>
      <c r="O334" s="12"/>
      <c r="P334" s="13"/>
      <c r="Q334" s="13"/>
      <c r="R334" s="13"/>
      <c r="S334" s="6"/>
      <c r="T334" s="8"/>
      <c r="U334" s="9"/>
      <c r="V334" s="14"/>
      <c r="W334" s="8"/>
      <c r="X334" s="8"/>
      <c r="Y334" s="8"/>
      <c r="Z334" s="12"/>
      <c r="AA334" s="11"/>
      <c r="AB334" s="15"/>
    </row>
    <row r="335" spans="1:28" x14ac:dyDescent="0.15">
      <c r="A335" s="4"/>
      <c r="B335" s="4"/>
      <c r="C335" s="5"/>
      <c r="D335" s="6"/>
      <c r="E335" s="6"/>
      <c r="F335" s="6"/>
      <c r="G335" s="7"/>
      <c r="H335" s="7"/>
      <c r="I335" s="8"/>
      <c r="J335" s="9"/>
      <c r="K335" s="7"/>
      <c r="L335" s="7"/>
      <c r="M335" s="10"/>
      <c r="N335" s="11"/>
      <c r="O335" s="12"/>
      <c r="P335" s="13"/>
      <c r="Q335" s="13"/>
      <c r="R335" s="13"/>
      <c r="S335" s="6"/>
      <c r="T335" s="8"/>
      <c r="U335" s="9"/>
      <c r="V335" s="14"/>
      <c r="W335" s="8"/>
      <c r="X335" s="8"/>
      <c r="Y335" s="8"/>
      <c r="Z335" s="12"/>
      <c r="AA335" s="11"/>
      <c r="AB335" s="15"/>
    </row>
    <row r="336" spans="1:28" x14ac:dyDescent="0.15">
      <c r="A336" s="4"/>
      <c r="B336" s="4"/>
      <c r="C336" s="5"/>
      <c r="D336" s="6"/>
      <c r="E336" s="6"/>
      <c r="F336" s="6"/>
      <c r="G336" s="7"/>
      <c r="H336" s="7"/>
      <c r="I336" s="8"/>
      <c r="J336" s="9"/>
      <c r="K336" s="7"/>
      <c r="L336" s="7"/>
      <c r="M336" s="10"/>
      <c r="N336" s="11"/>
      <c r="O336" s="12"/>
      <c r="P336" s="13"/>
      <c r="Q336" s="13"/>
      <c r="R336" s="13"/>
      <c r="S336" s="6"/>
      <c r="T336" s="8"/>
      <c r="U336" s="9"/>
      <c r="V336" s="14"/>
      <c r="W336" s="8"/>
      <c r="X336" s="8"/>
      <c r="Y336" s="8"/>
      <c r="Z336" s="12"/>
      <c r="AA336" s="11"/>
      <c r="AB336" s="15"/>
    </row>
    <row r="337" spans="1:28" x14ac:dyDescent="0.15">
      <c r="A337" s="4"/>
      <c r="B337" s="4"/>
      <c r="C337" s="5"/>
      <c r="D337" s="6"/>
      <c r="E337" s="6"/>
      <c r="F337" s="6"/>
      <c r="G337" s="7"/>
      <c r="H337" s="7"/>
      <c r="I337" s="8"/>
      <c r="J337" s="9"/>
      <c r="K337" s="7"/>
      <c r="L337" s="7"/>
      <c r="M337" s="10"/>
      <c r="N337" s="11"/>
      <c r="O337" s="12"/>
      <c r="P337" s="13"/>
      <c r="Q337" s="13"/>
      <c r="R337" s="13"/>
      <c r="S337" s="6"/>
      <c r="T337" s="8"/>
      <c r="U337" s="9"/>
      <c r="V337" s="14"/>
      <c r="W337" s="8"/>
      <c r="X337" s="8"/>
      <c r="Y337" s="8"/>
      <c r="Z337" s="12"/>
      <c r="AA337" s="11"/>
      <c r="AB337" s="15"/>
    </row>
    <row r="338" spans="1:28" x14ac:dyDescent="0.15">
      <c r="A338" s="4"/>
      <c r="B338" s="4"/>
      <c r="C338" s="5"/>
      <c r="D338" s="6"/>
      <c r="E338" s="6"/>
      <c r="F338" s="6"/>
      <c r="G338" s="7"/>
      <c r="H338" s="7"/>
      <c r="I338" s="8"/>
      <c r="J338" s="9"/>
      <c r="K338" s="7"/>
      <c r="L338" s="7"/>
      <c r="M338" s="10"/>
      <c r="N338" s="11"/>
      <c r="O338" s="12"/>
      <c r="P338" s="13"/>
      <c r="Q338" s="13"/>
      <c r="R338" s="13"/>
      <c r="S338" s="6"/>
      <c r="T338" s="8"/>
      <c r="U338" s="9"/>
      <c r="V338" s="14"/>
      <c r="W338" s="8"/>
      <c r="X338" s="8"/>
      <c r="Y338" s="8"/>
      <c r="Z338" s="12"/>
      <c r="AA338" s="11"/>
      <c r="AB338" s="15"/>
    </row>
    <row r="339" spans="1:28" x14ac:dyDescent="0.15">
      <c r="A339" s="4"/>
      <c r="B339" s="4"/>
      <c r="C339" s="5"/>
      <c r="D339" s="6"/>
      <c r="E339" s="6"/>
      <c r="F339" s="6"/>
      <c r="G339" s="7"/>
      <c r="H339" s="7"/>
      <c r="I339" s="8"/>
      <c r="J339" s="9"/>
      <c r="K339" s="7"/>
      <c r="L339" s="7"/>
      <c r="M339" s="10"/>
      <c r="N339" s="11"/>
      <c r="O339" s="12"/>
      <c r="P339" s="13"/>
      <c r="Q339" s="13"/>
      <c r="R339" s="13"/>
      <c r="S339" s="6"/>
      <c r="T339" s="8"/>
      <c r="U339" s="9"/>
      <c r="V339" s="14"/>
      <c r="W339" s="8"/>
      <c r="X339" s="8"/>
      <c r="Y339" s="8"/>
      <c r="Z339" s="12"/>
      <c r="AA339" s="11"/>
      <c r="AB339" s="15"/>
    </row>
    <row r="340" spans="1:28" x14ac:dyDescent="0.15">
      <c r="A340" s="4"/>
      <c r="B340" s="4"/>
      <c r="C340" s="5"/>
      <c r="D340" s="6"/>
      <c r="E340" s="6"/>
      <c r="F340" s="6"/>
      <c r="G340" s="7"/>
      <c r="H340" s="7"/>
      <c r="I340" s="8"/>
      <c r="J340" s="9"/>
      <c r="K340" s="7"/>
      <c r="L340" s="7"/>
      <c r="M340" s="10"/>
      <c r="N340" s="11"/>
      <c r="O340" s="12"/>
      <c r="P340" s="13"/>
      <c r="Q340" s="13"/>
      <c r="R340" s="13"/>
      <c r="S340" s="6"/>
      <c r="T340" s="8"/>
      <c r="U340" s="9"/>
      <c r="V340" s="14"/>
      <c r="W340" s="8"/>
      <c r="X340" s="8"/>
      <c r="Y340" s="8"/>
      <c r="Z340" s="12"/>
      <c r="AA340" s="11"/>
      <c r="AB340" s="15"/>
    </row>
    <row r="341" spans="1:28" x14ac:dyDescent="0.15">
      <c r="A341" s="4"/>
      <c r="B341" s="4"/>
      <c r="C341" s="5"/>
      <c r="D341" s="6"/>
      <c r="E341" s="6"/>
      <c r="F341" s="6"/>
      <c r="G341" s="7"/>
      <c r="H341" s="7"/>
      <c r="I341" s="8"/>
      <c r="J341" s="9"/>
      <c r="K341" s="7"/>
      <c r="L341" s="7"/>
      <c r="M341" s="10"/>
      <c r="N341" s="11"/>
      <c r="O341" s="12"/>
      <c r="P341" s="13"/>
      <c r="Q341" s="13"/>
      <c r="R341" s="13"/>
      <c r="S341" s="6"/>
      <c r="T341" s="8"/>
      <c r="U341" s="9"/>
      <c r="V341" s="14"/>
      <c r="W341" s="8"/>
      <c r="X341" s="8"/>
      <c r="Y341" s="8"/>
      <c r="Z341" s="12"/>
      <c r="AA341" s="11"/>
      <c r="AB341" s="15"/>
    </row>
    <row r="342" spans="1:28" x14ac:dyDescent="0.15">
      <c r="A342" s="4"/>
      <c r="B342" s="4"/>
      <c r="C342" s="5"/>
      <c r="D342" s="6"/>
      <c r="E342" s="6"/>
      <c r="F342" s="6"/>
      <c r="G342" s="7"/>
      <c r="H342" s="7"/>
      <c r="I342" s="8"/>
      <c r="J342" s="9"/>
      <c r="K342" s="7"/>
      <c r="L342" s="7"/>
      <c r="M342" s="10"/>
      <c r="N342" s="11"/>
      <c r="O342" s="12"/>
      <c r="P342" s="13"/>
      <c r="Q342" s="13"/>
      <c r="R342" s="13"/>
      <c r="S342" s="6"/>
      <c r="T342" s="8"/>
      <c r="U342" s="9"/>
      <c r="V342" s="14"/>
      <c r="W342" s="8"/>
      <c r="X342" s="8"/>
      <c r="Y342" s="8"/>
      <c r="Z342" s="12"/>
      <c r="AA342" s="11"/>
      <c r="AB342" s="15"/>
    </row>
    <row r="343" spans="1:28" x14ac:dyDescent="0.15">
      <c r="A343" s="4"/>
      <c r="B343" s="4"/>
      <c r="C343" s="5"/>
      <c r="D343" s="6"/>
      <c r="E343" s="6"/>
      <c r="F343" s="6"/>
      <c r="G343" s="7"/>
      <c r="H343" s="7"/>
      <c r="I343" s="8"/>
      <c r="J343" s="9"/>
      <c r="K343" s="7"/>
      <c r="L343" s="7"/>
      <c r="M343" s="10"/>
      <c r="N343" s="11"/>
      <c r="O343" s="12"/>
      <c r="P343" s="13"/>
      <c r="Q343" s="13"/>
      <c r="R343" s="13"/>
      <c r="S343" s="6"/>
      <c r="T343" s="8"/>
      <c r="U343" s="9"/>
      <c r="V343" s="14"/>
      <c r="W343" s="8"/>
      <c r="X343" s="8"/>
      <c r="Y343" s="8"/>
      <c r="Z343" s="12"/>
      <c r="AA343" s="11"/>
      <c r="AB343" s="15"/>
    </row>
    <row r="344" spans="1:28" x14ac:dyDescent="0.15">
      <c r="A344" s="4"/>
      <c r="B344" s="4"/>
      <c r="C344" s="5"/>
      <c r="D344" s="6"/>
      <c r="E344" s="6"/>
      <c r="F344" s="6"/>
      <c r="G344" s="7"/>
      <c r="H344" s="7"/>
      <c r="I344" s="8"/>
      <c r="J344" s="9"/>
      <c r="K344" s="7"/>
      <c r="L344" s="7"/>
      <c r="M344" s="10"/>
      <c r="N344" s="11"/>
      <c r="O344" s="12"/>
      <c r="P344" s="13"/>
      <c r="Q344" s="13"/>
      <c r="R344" s="13"/>
      <c r="S344" s="6"/>
      <c r="T344" s="8"/>
      <c r="U344" s="9"/>
      <c r="V344" s="14"/>
      <c r="W344" s="8"/>
      <c r="X344" s="8"/>
      <c r="Y344" s="8"/>
      <c r="Z344" s="12"/>
      <c r="AA344" s="11"/>
      <c r="AB344" s="15"/>
    </row>
    <row r="345" spans="1:28" x14ac:dyDescent="0.15">
      <c r="A345" s="4"/>
      <c r="B345" s="4"/>
      <c r="C345" s="5"/>
      <c r="D345" s="6"/>
      <c r="E345" s="6"/>
      <c r="F345" s="6"/>
      <c r="G345" s="7"/>
      <c r="H345" s="7"/>
      <c r="I345" s="8"/>
      <c r="J345" s="9"/>
      <c r="K345" s="7"/>
      <c r="L345" s="7"/>
      <c r="M345" s="10"/>
      <c r="N345" s="11"/>
      <c r="O345" s="12"/>
      <c r="P345" s="13"/>
      <c r="Q345" s="13"/>
      <c r="R345" s="13"/>
      <c r="S345" s="6"/>
      <c r="T345" s="8"/>
      <c r="U345" s="9"/>
      <c r="V345" s="14"/>
      <c r="W345" s="8"/>
      <c r="X345" s="8"/>
      <c r="Y345" s="8"/>
      <c r="Z345" s="12"/>
      <c r="AA345" s="11"/>
      <c r="AB345" s="15"/>
    </row>
    <row r="346" spans="1:28" x14ac:dyDescent="0.15">
      <c r="A346" s="4"/>
      <c r="B346" s="4"/>
      <c r="C346" s="5"/>
      <c r="D346" s="6"/>
      <c r="E346" s="6"/>
      <c r="F346" s="6"/>
      <c r="G346" s="7"/>
      <c r="H346" s="7"/>
      <c r="I346" s="8"/>
      <c r="J346" s="9"/>
      <c r="K346" s="7"/>
      <c r="L346" s="7"/>
      <c r="M346" s="10"/>
      <c r="N346" s="11"/>
      <c r="O346" s="12"/>
      <c r="P346" s="13"/>
      <c r="Q346" s="13"/>
      <c r="R346" s="13"/>
      <c r="S346" s="6"/>
      <c r="T346" s="8"/>
      <c r="U346" s="9"/>
      <c r="V346" s="14"/>
      <c r="W346" s="8"/>
      <c r="X346" s="8"/>
      <c r="Y346" s="8"/>
      <c r="Z346" s="12"/>
      <c r="AA346" s="11"/>
      <c r="AB346" s="15"/>
    </row>
    <row r="347" spans="1:28" x14ac:dyDescent="0.15">
      <c r="A347" s="4"/>
      <c r="B347" s="4"/>
      <c r="C347" s="5"/>
      <c r="D347" s="6"/>
      <c r="E347" s="6"/>
      <c r="F347" s="6"/>
      <c r="G347" s="7"/>
      <c r="H347" s="7"/>
      <c r="I347" s="8"/>
      <c r="J347" s="9"/>
      <c r="K347" s="7"/>
      <c r="L347" s="7"/>
      <c r="M347" s="10"/>
      <c r="N347" s="11"/>
      <c r="O347" s="12"/>
      <c r="P347" s="13"/>
      <c r="Q347" s="13"/>
      <c r="R347" s="13"/>
      <c r="S347" s="6"/>
      <c r="T347" s="8"/>
      <c r="U347" s="9"/>
      <c r="V347" s="14"/>
      <c r="W347" s="8"/>
      <c r="X347" s="8"/>
      <c r="Y347" s="8"/>
      <c r="Z347" s="12"/>
      <c r="AA347" s="11"/>
      <c r="AB347" s="15"/>
    </row>
    <row r="348" spans="1:28" x14ac:dyDescent="0.15">
      <c r="A348" s="4"/>
      <c r="B348" s="4"/>
      <c r="C348" s="5"/>
      <c r="D348" s="6"/>
      <c r="E348" s="6"/>
      <c r="F348" s="6"/>
      <c r="G348" s="7"/>
      <c r="H348" s="7"/>
      <c r="I348" s="8"/>
      <c r="J348" s="9"/>
      <c r="K348" s="7"/>
      <c r="L348" s="7"/>
      <c r="M348" s="10"/>
      <c r="N348" s="11"/>
      <c r="O348" s="12"/>
      <c r="P348" s="13"/>
      <c r="Q348" s="13"/>
      <c r="R348" s="13"/>
      <c r="S348" s="6"/>
      <c r="T348" s="8"/>
      <c r="U348" s="9"/>
      <c r="V348" s="14"/>
      <c r="W348" s="8"/>
      <c r="X348" s="8"/>
      <c r="Y348" s="8"/>
      <c r="Z348" s="12"/>
      <c r="AA348" s="11"/>
      <c r="AB348" s="15"/>
    </row>
    <row r="349" spans="1:28" x14ac:dyDescent="0.15">
      <c r="A349" s="4"/>
      <c r="B349" s="4"/>
      <c r="C349" s="5"/>
      <c r="D349" s="6"/>
      <c r="E349" s="6"/>
      <c r="F349" s="6"/>
      <c r="G349" s="7"/>
      <c r="H349" s="7"/>
      <c r="I349" s="8"/>
      <c r="J349" s="9"/>
      <c r="K349" s="7"/>
      <c r="L349" s="7"/>
      <c r="M349" s="10"/>
      <c r="N349" s="11"/>
      <c r="O349" s="12"/>
      <c r="P349" s="13"/>
      <c r="Q349" s="13"/>
      <c r="R349" s="13"/>
      <c r="S349" s="6"/>
      <c r="T349" s="8"/>
      <c r="U349" s="9"/>
      <c r="V349" s="14"/>
      <c r="W349" s="8"/>
      <c r="X349" s="8"/>
      <c r="Y349" s="8"/>
      <c r="Z349" s="12"/>
      <c r="AA349" s="11"/>
      <c r="AB349" s="15"/>
    </row>
    <row r="350" spans="1:28" x14ac:dyDescent="0.15">
      <c r="A350" s="4"/>
      <c r="B350" s="4"/>
      <c r="C350" s="5"/>
      <c r="D350" s="6"/>
      <c r="E350" s="6"/>
      <c r="F350" s="6"/>
      <c r="G350" s="7"/>
      <c r="H350" s="7"/>
      <c r="I350" s="8"/>
      <c r="J350" s="9"/>
      <c r="K350" s="7"/>
      <c r="L350" s="7"/>
      <c r="M350" s="10"/>
      <c r="N350" s="11"/>
      <c r="O350" s="12"/>
      <c r="P350" s="13"/>
      <c r="Q350" s="13"/>
      <c r="R350" s="13"/>
      <c r="S350" s="6"/>
      <c r="T350" s="8"/>
      <c r="U350" s="9"/>
      <c r="V350" s="14"/>
      <c r="W350" s="8"/>
      <c r="X350" s="8"/>
      <c r="Y350" s="8"/>
      <c r="Z350" s="12"/>
      <c r="AA350" s="11"/>
      <c r="AB350" s="15"/>
    </row>
    <row r="351" spans="1:28" x14ac:dyDescent="0.15">
      <c r="A351" s="4"/>
      <c r="B351" s="4"/>
      <c r="C351" s="5"/>
      <c r="D351" s="6"/>
      <c r="E351" s="6"/>
      <c r="F351" s="6"/>
      <c r="G351" s="7"/>
      <c r="H351" s="7"/>
      <c r="I351" s="8"/>
      <c r="J351" s="9"/>
      <c r="K351" s="7"/>
      <c r="L351" s="7"/>
      <c r="M351" s="10"/>
      <c r="N351" s="11"/>
      <c r="O351" s="12"/>
      <c r="P351" s="13"/>
      <c r="Q351" s="13"/>
      <c r="R351" s="13"/>
      <c r="S351" s="6"/>
      <c r="T351" s="8"/>
      <c r="U351" s="9"/>
      <c r="V351" s="14"/>
      <c r="W351" s="8"/>
      <c r="X351" s="8"/>
      <c r="Y351" s="8"/>
      <c r="Z351" s="12"/>
      <c r="AA351" s="11"/>
      <c r="AB351" s="15"/>
    </row>
    <row r="352" spans="1:28" x14ac:dyDescent="0.15">
      <c r="A352" s="4"/>
      <c r="B352" s="4"/>
      <c r="C352" s="5"/>
      <c r="D352" s="6"/>
      <c r="E352" s="6"/>
      <c r="F352" s="6"/>
      <c r="G352" s="7"/>
      <c r="H352" s="7"/>
      <c r="I352" s="8"/>
      <c r="J352" s="9"/>
      <c r="K352" s="7"/>
      <c r="L352" s="7"/>
      <c r="M352" s="10"/>
      <c r="N352" s="11"/>
      <c r="O352" s="12"/>
      <c r="P352" s="13"/>
      <c r="Q352" s="13"/>
      <c r="R352" s="13"/>
      <c r="S352" s="6"/>
      <c r="T352" s="8"/>
      <c r="U352" s="9"/>
      <c r="V352" s="14"/>
      <c r="W352" s="8"/>
      <c r="X352" s="8"/>
      <c r="Y352" s="8"/>
      <c r="Z352" s="12"/>
      <c r="AA352" s="11"/>
      <c r="AB352" s="15"/>
    </row>
    <row r="353" spans="1:28" x14ac:dyDescent="0.15">
      <c r="A353" s="4"/>
      <c r="B353" s="4"/>
      <c r="C353" s="5"/>
      <c r="D353" s="6"/>
      <c r="E353" s="6"/>
      <c r="F353" s="6"/>
      <c r="G353" s="7"/>
      <c r="H353" s="7"/>
      <c r="I353" s="8"/>
      <c r="J353" s="9"/>
      <c r="K353" s="7"/>
      <c r="L353" s="7"/>
      <c r="M353" s="10"/>
      <c r="N353" s="11"/>
      <c r="O353" s="12"/>
      <c r="P353" s="13"/>
      <c r="Q353" s="13"/>
      <c r="R353" s="13"/>
      <c r="S353" s="6"/>
      <c r="T353" s="8"/>
      <c r="U353" s="9"/>
      <c r="V353" s="14"/>
      <c r="W353" s="8"/>
      <c r="X353" s="8"/>
      <c r="Y353" s="8"/>
      <c r="Z353" s="12"/>
      <c r="AA353" s="11"/>
      <c r="AB353" s="15"/>
    </row>
    <row r="354" spans="1:28" x14ac:dyDescent="0.15">
      <c r="A354" s="4"/>
      <c r="B354" s="4"/>
      <c r="C354" s="5"/>
      <c r="D354" s="6"/>
      <c r="E354" s="6"/>
      <c r="F354" s="6"/>
      <c r="G354" s="7"/>
      <c r="H354" s="7"/>
      <c r="I354" s="8"/>
      <c r="J354" s="9"/>
      <c r="K354" s="7"/>
      <c r="L354" s="7"/>
      <c r="M354" s="10"/>
      <c r="N354" s="11"/>
      <c r="O354" s="12"/>
      <c r="P354" s="13"/>
      <c r="Q354" s="13"/>
      <c r="R354" s="13"/>
      <c r="S354" s="6"/>
      <c r="T354" s="8"/>
      <c r="U354" s="9"/>
      <c r="V354" s="14"/>
      <c r="W354" s="8"/>
      <c r="X354" s="8"/>
      <c r="Y354" s="8"/>
      <c r="Z354" s="12"/>
      <c r="AA354" s="11"/>
      <c r="AB354" s="15"/>
    </row>
    <row r="355" spans="1:28" x14ac:dyDescent="0.15">
      <c r="A355" s="4"/>
      <c r="B355" s="4"/>
      <c r="C355" s="5"/>
      <c r="D355" s="6"/>
      <c r="E355" s="6"/>
      <c r="F355" s="6"/>
      <c r="G355" s="7"/>
      <c r="H355" s="7"/>
      <c r="I355" s="8"/>
      <c r="J355" s="9"/>
      <c r="K355" s="7"/>
      <c r="L355" s="7"/>
      <c r="M355" s="10"/>
      <c r="N355" s="11"/>
      <c r="O355" s="12"/>
      <c r="P355" s="13"/>
      <c r="Q355" s="13"/>
      <c r="R355" s="13"/>
      <c r="S355" s="6"/>
      <c r="T355" s="8"/>
      <c r="U355" s="9"/>
      <c r="V355" s="14"/>
      <c r="W355" s="8"/>
      <c r="X355" s="8"/>
      <c r="Y355" s="8"/>
      <c r="Z355" s="12"/>
      <c r="AA355" s="11"/>
      <c r="AB355" s="15"/>
    </row>
    <row r="356" spans="1:28" x14ac:dyDescent="0.15">
      <c r="A356" s="4"/>
      <c r="B356" s="4"/>
      <c r="C356" s="5"/>
      <c r="D356" s="6"/>
      <c r="E356" s="6"/>
      <c r="F356" s="6"/>
      <c r="G356" s="7"/>
      <c r="H356" s="7"/>
      <c r="I356" s="8"/>
      <c r="J356" s="9"/>
      <c r="K356" s="7"/>
      <c r="L356" s="7"/>
      <c r="M356" s="10"/>
      <c r="N356" s="11"/>
      <c r="O356" s="12"/>
      <c r="P356" s="13"/>
      <c r="Q356" s="13"/>
      <c r="R356" s="13"/>
      <c r="S356" s="6"/>
      <c r="T356" s="8"/>
      <c r="U356" s="9"/>
      <c r="V356" s="14"/>
      <c r="W356" s="8"/>
      <c r="X356" s="8"/>
      <c r="Y356" s="8"/>
      <c r="Z356" s="12"/>
      <c r="AA356" s="11"/>
      <c r="AB356" s="15"/>
    </row>
    <row r="357" spans="1:28" x14ac:dyDescent="0.15">
      <c r="A357" s="4"/>
      <c r="B357" s="4"/>
      <c r="C357" s="5"/>
      <c r="D357" s="6"/>
      <c r="E357" s="6"/>
      <c r="F357" s="6"/>
      <c r="G357" s="7"/>
      <c r="H357" s="7"/>
      <c r="I357" s="8"/>
      <c r="J357" s="9"/>
      <c r="K357" s="7"/>
      <c r="L357" s="7"/>
      <c r="M357" s="10"/>
      <c r="N357" s="11"/>
      <c r="O357" s="12"/>
      <c r="P357" s="13"/>
      <c r="Q357" s="13"/>
      <c r="R357" s="13"/>
      <c r="S357" s="6"/>
      <c r="T357" s="8"/>
      <c r="U357" s="9"/>
      <c r="V357" s="14"/>
      <c r="W357" s="8"/>
      <c r="X357" s="8"/>
      <c r="Y357" s="8"/>
      <c r="Z357" s="12"/>
      <c r="AA357" s="11"/>
      <c r="AB357" s="15"/>
    </row>
    <row r="358" spans="1:28" x14ac:dyDescent="0.15">
      <c r="A358" s="4"/>
      <c r="B358" s="4"/>
      <c r="C358" s="5"/>
      <c r="D358" s="6"/>
      <c r="E358" s="6"/>
      <c r="F358" s="6"/>
      <c r="G358" s="7"/>
      <c r="H358" s="7"/>
      <c r="I358" s="8"/>
      <c r="J358" s="9"/>
      <c r="K358" s="7"/>
      <c r="L358" s="7"/>
      <c r="M358" s="10"/>
      <c r="N358" s="11"/>
      <c r="O358" s="12"/>
      <c r="P358" s="13"/>
      <c r="Q358" s="13"/>
      <c r="R358" s="13"/>
      <c r="S358" s="6"/>
      <c r="T358" s="8"/>
      <c r="U358" s="9"/>
      <c r="V358" s="14"/>
      <c r="W358" s="8"/>
      <c r="X358" s="8"/>
      <c r="Y358" s="8"/>
      <c r="Z358" s="12"/>
      <c r="AA358" s="11"/>
      <c r="AB358" s="15"/>
    </row>
    <row r="359" spans="1:28" x14ac:dyDescent="0.15">
      <c r="A359" s="4"/>
      <c r="B359" s="4"/>
      <c r="C359" s="5"/>
      <c r="D359" s="6"/>
      <c r="E359" s="6"/>
      <c r="F359" s="6"/>
      <c r="G359" s="7"/>
      <c r="H359" s="7"/>
      <c r="I359" s="8"/>
      <c r="J359" s="9"/>
      <c r="K359" s="7"/>
      <c r="L359" s="7"/>
      <c r="M359" s="10"/>
      <c r="N359" s="11"/>
      <c r="O359" s="12"/>
      <c r="P359" s="13"/>
      <c r="Q359" s="13"/>
      <c r="R359" s="13"/>
      <c r="S359" s="6"/>
      <c r="T359" s="8"/>
      <c r="U359" s="9"/>
      <c r="V359" s="14"/>
      <c r="W359" s="8"/>
      <c r="X359" s="8"/>
      <c r="Y359" s="8"/>
      <c r="Z359" s="12"/>
      <c r="AA359" s="11"/>
      <c r="AB359" s="15"/>
    </row>
    <row r="360" spans="1:28" x14ac:dyDescent="0.15">
      <c r="A360" s="4"/>
      <c r="B360" s="4"/>
      <c r="C360" s="5"/>
      <c r="D360" s="6"/>
      <c r="E360" s="6"/>
      <c r="F360" s="6"/>
      <c r="G360" s="7"/>
      <c r="H360" s="7"/>
      <c r="I360" s="8"/>
      <c r="J360" s="9"/>
      <c r="K360" s="7"/>
      <c r="L360" s="7"/>
      <c r="M360" s="10"/>
      <c r="N360" s="11"/>
      <c r="O360" s="12"/>
      <c r="P360" s="13"/>
      <c r="Q360" s="13"/>
      <c r="R360" s="13"/>
      <c r="S360" s="6"/>
      <c r="T360" s="8"/>
      <c r="U360" s="9"/>
      <c r="V360" s="14"/>
      <c r="W360" s="8"/>
      <c r="X360" s="8"/>
      <c r="Y360" s="8"/>
      <c r="Z360" s="12"/>
      <c r="AA360" s="11"/>
      <c r="AB360" s="15"/>
    </row>
    <row r="361" spans="1:28" x14ac:dyDescent="0.15">
      <c r="A361" s="4"/>
      <c r="B361" s="4"/>
      <c r="C361" s="5"/>
      <c r="D361" s="6"/>
      <c r="E361" s="6"/>
      <c r="F361" s="6"/>
      <c r="G361" s="7"/>
      <c r="H361" s="7"/>
      <c r="I361" s="8"/>
      <c r="J361" s="9"/>
      <c r="K361" s="7"/>
      <c r="L361" s="7"/>
      <c r="M361" s="10"/>
      <c r="N361" s="11"/>
      <c r="O361" s="12"/>
      <c r="P361" s="13"/>
      <c r="Q361" s="13"/>
      <c r="R361" s="13"/>
      <c r="S361" s="6"/>
      <c r="T361" s="8"/>
      <c r="U361" s="9"/>
      <c r="V361" s="14"/>
      <c r="W361" s="8"/>
      <c r="X361" s="8"/>
      <c r="Y361" s="8"/>
      <c r="Z361" s="12"/>
      <c r="AA361" s="11"/>
      <c r="AB361" s="15"/>
    </row>
    <row r="362" spans="1:28" x14ac:dyDescent="0.15">
      <c r="A362" s="4"/>
      <c r="B362" s="4"/>
      <c r="C362" s="5"/>
      <c r="D362" s="6"/>
      <c r="E362" s="6"/>
      <c r="F362" s="6"/>
      <c r="G362" s="7"/>
      <c r="H362" s="7"/>
      <c r="I362" s="8"/>
      <c r="J362" s="9"/>
      <c r="K362" s="7"/>
      <c r="L362" s="7"/>
      <c r="M362" s="10"/>
      <c r="N362" s="11"/>
      <c r="O362" s="12"/>
      <c r="P362" s="13"/>
      <c r="Q362" s="13"/>
      <c r="R362" s="13"/>
      <c r="S362" s="6"/>
      <c r="T362" s="8"/>
      <c r="U362" s="9"/>
      <c r="V362" s="14"/>
      <c r="W362" s="8"/>
      <c r="X362" s="8"/>
      <c r="Y362" s="8"/>
      <c r="Z362" s="12"/>
      <c r="AA362" s="11"/>
      <c r="AB362" s="15"/>
    </row>
    <row r="363" spans="1:28" x14ac:dyDescent="0.15">
      <c r="A363" s="4"/>
      <c r="B363" s="4"/>
      <c r="C363" s="5"/>
      <c r="D363" s="6"/>
      <c r="E363" s="6"/>
      <c r="F363" s="6"/>
      <c r="G363" s="7"/>
      <c r="H363" s="7"/>
      <c r="I363" s="8"/>
      <c r="J363" s="9"/>
      <c r="K363" s="7"/>
      <c r="L363" s="7"/>
      <c r="M363" s="10"/>
      <c r="N363" s="11"/>
      <c r="O363" s="12"/>
      <c r="P363" s="13"/>
      <c r="Q363" s="13"/>
      <c r="R363" s="13"/>
      <c r="S363" s="6"/>
      <c r="T363" s="8"/>
      <c r="U363" s="9"/>
      <c r="V363" s="14"/>
      <c r="W363" s="8"/>
      <c r="X363" s="8"/>
      <c r="Y363" s="8"/>
      <c r="Z363" s="12"/>
      <c r="AA363" s="11"/>
      <c r="AB363" s="15"/>
    </row>
    <row r="364" spans="1:28" x14ac:dyDescent="0.15">
      <c r="A364" s="4"/>
      <c r="B364" s="4"/>
      <c r="C364" s="5"/>
      <c r="D364" s="6"/>
      <c r="E364" s="6"/>
      <c r="F364" s="6"/>
      <c r="G364" s="7"/>
      <c r="H364" s="7"/>
      <c r="I364" s="8"/>
      <c r="J364" s="9"/>
      <c r="K364" s="7"/>
      <c r="L364" s="7"/>
      <c r="M364" s="10"/>
      <c r="N364" s="11"/>
      <c r="O364" s="12"/>
      <c r="P364" s="13"/>
      <c r="Q364" s="13"/>
      <c r="R364" s="13"/>
      <c r="S364" s="6"/>
      <c r="T364" s="8"/>
      <c r="U364" s="9"/>
      <c r="V364" s="14"/>
      <c r="W364" s="8"/>
      <c r="X364" s="8"/>
      <c r="Y364" s="8"/>
      <c r="Z364" s="12"/>
      <c r="AA364" s="11"/>
      <c r="AB364" s="15"/>
    </row>
    <row r="365" spans="1:28" x14ac:dyDescent="0.15">
      <c r="A365" s="4"/>
      <c r="B365" s="4"/>
      <c r="C365" s="5"/>
      <c r="D365" s="6"/>
      <c r="E365" s="6"/>
      <c r="F365" s="6"/>
      <c r="G365" s="7"/>
      <c r="H365" s="7"/>
      <c r="I365" s="8"/>
      <c r="J365" s="9"/>
      <c r="K365" s="7"/>
      <c r="L365" s="7"/>
      <c r="M365" s="10"/>
      <c r="N365" s="11"/>
      <c r="O365" s="12"/>
      <c r="P365" s="13"/>
      <c r="Q365" s="13"/>
      <c r="R365" s="13"/>
      <c r="S365" s="6"/>
      <c r="T365" s="8"/>
      <c r="U365" s="9"/>
      <c r="V365" s="14"/>
      <c r="W365" s="8"/>
      <c r="X365" s="8"/>
      <c r="Y365" s="8"/>
      <c r="Z365" s="12"/>
      <c r="AA365" s="11"/>
      <c r="AB365" s="15"/>
    </row>
    <row r="366" spans="1:28" x14ac:dyDescent="0.15">
      <c r="A366" s="4"/>
      <c r="B366" s="4"/>
      <c r="C366" s="5"/>
      <c r="D366" s="6"/>
      <c r="E366" s="6"/>
      <c r="F366" s="6"/>
      <c r="G366" s="7"/>
      <c r="H366" s="7"/>
      <c r="I366" s="8"/>
      <c r="J366" s="9"/>
      <c r="K366" s="7"/>
      <c r="L366" s="7"/>
      <c r="M366" s="10"/>
      <c r="N366" s="11"/>
      <c r="O366" s="12"/>
      <c r="P366" s="13"/>
      <c r="Q366" s="13"/>
      <c r="R366" s="13"/>
      <c r="S366" s="6"/>
      <c r="T366" s="8"/>
      <c r="U366" s="9"/>
      <c r="V366" s="14"/>
      <c r="W366" s="8"/>
      <c r="X366" s="8"/>
      <c r="Y366" s="8"/>
      <c r="Z366" s="12"/>
      <c r="AA366" s="11"/>
      <c r="AB366" s="15"/>
    </row>
    <row r="367" spans="1:28" x14ac:dyDescent="0.15">
      <c r="A367" s="4"/>
      <c r="B367" s="4"/>
      <c r="C367" s="5"/>
      <c r="D367" s="6"/>
      <c r="E367" s="6"/>
      <c r="F367" s="6"/>
      <c r="G367" s="7"/>
      <c r="H367" s="7"/>
      <c r="I367" s="8"/>
      <c r="J367" s="9"/>
      <c r="K367" s="7"/>
      <c r="L367" s="7"/>
      <c r="M367" s="10"/>
      <c r="N367" s="11"/>
      <c r="O367" s="12"/>
      <c r="P367" s="13"/>
      <c r="Q367" s="13"/>
      <c r="R367" s="13"/>
      <c r="S367" s="6"/>
      <c r="T367" s="8"/>
      <c r="U367" s="9"/>
      <c r="V367" s="14"/>
      <c r="W367" s="8"/>
      <c r="X367" s="8"/>
      <c r="Y367" s="8"/>
      <c r="Z367" s="12"/>
      <c r="AA367" s="11"/>
      <c r="AB367" s="15"/>
    </row>
    <row r="368" spans="1:28" x14ac:dyDescent="0.15">
      <c r="A368" s="4"/>
      <c r="B368" s="4"/>
      <c r="C368" s="5"/>
      <c r="D368" s="6"/>
      <c r="E368" s="6"/>
      <c r="F368" s="6"/>
      <c r="G368" s="7"/>
      <c r="H368" s="7"/>
      <c r="I368" s="8"/>
      <c r="J368" s="9"/>
      <c r="K368" s="7"/>
      <c r="L368" s="7"/>
      <c r="M368" s="10"/>
      <c r="N368" s="11"/>
      <c r="O368" s="12"/>
      <c r="P368" s="13"/>
      <c r="Q368" s="13"/>
      <c r="R368" s="13"/>
      <c r="S368" s="6"/>
      <c r="T368" s="8"/>
      <c r="U368" s="9"/>
      <c r="V368" s="14"/>
      <c r="W368" s="8"/>
      <c r="X368" s="8"/>
      <c r="Y368" s="8"/>
      <c r="Z368" s="12"/>
      <c r="AA368" s="11"/>
      <c r="AB368" s="15"/>
    </row>
    <row r="369" spans="1:28" x14ac:dyDescent="0.15">
      <c r="A369" s="4"/>
      <c r="B369" s="4"/>
      <c r="C369" s="5"/>
      <c r="D369" s="6"/>
      <c r="E369" s="6"/>
      <c r="F369" s="6"/>
      <c r="G369" s="7"/>
      <c r="H369" s="7"/>
      <c r="I369" s="8"/>
      <c r="J369" s="9"/>
      <c r="K369" s="7"/>
      <c r="L369" s="7"/>
      <c r="M369" s="10"/>
      <c r="N369" s="11"/>
      <c r="O369" s="12"/>
      <c r="P369" s="13"/>
      <c r="Q369" s="13"/>
      <c r="R369" s="13"/>
      <c r="S369" s="6"/>
      <c r="T369" s="8"/>
      <c r="U369" s="9"/>
      <c r="V369" s="14"/>
      <c r="W369" s="8"/>
      <c r="X369" s="8"/>
      <c r="Y369" s="8"/>
      <c r="Z369" s="12"/>
      <c r="AA369" s="11"/>
      <c r="AB369" s="15"/>
    </row>
    <row r="370" spans="1:28" x14ac:dyDescent="0.15">
      <c r="A370" s="4"/>
      <c r="B370" s="4"/>
      <c r="C370" s="5"/>
      <c r="D370" s="6"/>
      <c r="E370" s="6"/>
      <c r="F370" s="6"/>
      <c r="G370" s="7"/>
      <c r="H370" s="7"/>
      <c r="I370" s="8"/>
      <c r="J370" s="9"/>
      <c r="K370" s="7"/>
      <c r="L370" s="7"/>
      <c r="M370" s="10"/>
      <c r="N370" s="11"/>
      <c r="O370" s="12"/>
      <c r="P370" s="13"/>
      <c r="Q370" s="13"/>
      <c r="R370" s="13"/>
      <c r="S370" s="6"/>
      <c r="T370" s="8"/>
      <c r="U370" s="9"/>
      <c r="V370" s="14"/>
      <c r="W370" s="8"/>
      <c r="X370" s="8"/>
      <c r="Y370" s="8"/>
      <c r="Z370" s="12"/>
      <c r="AA370" s="11"/>
      <c r="AB370" s="15"/>
    </row>
    <row r="371" spans="1:28" x14ac:dyDescent="0.15">
      <c r="A371" s="4"/>
      <c r="B371" s="4"/>
      <c r="C371" s="5"/>
      <c r="D371" s="6"/>
      <c r="E371" s="6"/>
      <c r="F371" s="6"/>
      <c r="G371" s="7"/>
      <c r="H371" s="7"/>
      <c r="I371" s="8"/>
      <c r="J371" s="9"/>
      <c r="K371" s="7"/>
      <c r="L371" s="7"/>
      <c r="M371" s="10"/>
      <c r="N371" s="11"/>
      <c r="O371" s="12"/>
      <c r="P371" s="13"/>
      <c r="Q371" s="13"/>
      <c r="R371" s="13"/>
      <c r="S371" s="6"/>
      <c r="T371" s="8"/>
      <c r="U371" s="9"/>
      <c r="V371" s="14"/>
      <c r="W371" s="8"/>
      <c r="X371" s="8"/>
      <c r="Y371" s="8"/>
      <c r="Z371" s="12"/>
      <c r="AA371" s="11"/>
      <c r="AB371" s="15"/>
    </row>
    <row r="372" spans="1:28" x14ac:dyDescent="0.15">
      <c r="A372" s="4"/>
      <c r="B372" s="4"/>
      <c r="C372" s="5"/>
      <c r="D372" s="6"/>
      <c r="E372" s="6"/>
      <c r="F372" s="6"/>
      <c r="G372" s="7"/>
      <c r="H372" s="7"/>
      <c r="I372" s="8"/>
      <c r="J372" s="9"/>
      <c r="K372" s="7"/>
      <c r="L372" s="7"/>
      <c r="M372" s="10"/>
      <c r="N372" s="11"/>
      <c r="O372" s="12"/>
      <c r="P372" s="13"/>
      <c r="Q372" s="13"/>
      <c r="R372" s="13"/>
      <c r="S372" s="6"/>
      <c r="T372" s="8"/>
      <c r="U372" s="9"/>
      <c r="V372" s="14"/>
      <c r="W372" s="8"/>
      <c r="X372" s="8"/>
      <c r="Y372" s="8"/>
      <c r="Z372" s="12"/>
      <c r="AA372" s="11"/>
      <c r="AB372" s="15"/>
    </row>
    <row r="373" spans="1:28" x14ac:dyDescent="0.15">
      <c r="A373" s="4"/>
      <c r="B373" s="4"/>
      <c r="C373" s="5"/>
      <c r="D373" s="6"/>
      <c r="E373" s="6"/>
      <c r="F373" s="6"/>
      <c r="G373" s="7"/>
      <c r="H373" s="7"/>
      <c r="I373" s="8"/>
      <c r="J373" s="9"/>
      <c r="K373" s="7"/>
      <c r="L373" s="7"/>
      <c r="M373" s="10"/>
      <c r="N373" s="11"/>
      <c r="O373" s="12"/>
      <c r="P373" s="13"/>
      <c r="Q373" s="13"/>
      <c r="R373" s="13"/>
      <c r="S373" s="6"/>
      <c r="T373" s="8"/>
      <c r="U373" s="9"/>
      <c r="V373" s="14"/>
      <c r="W373" s="8"/>
      <c r="X373" s="8"/>
      <c r="Y373" s="8"/>
      <c r="Z373" s="12"/>
      <c r="AA373" s="11"/>
      <c r="AB373" s="15"/>
    </row>
    <row r="374" spans="1:28" x14ac:dyDescent="0.15">
      <c r="A374" s="4"/>
      <c r="B374" s="4"/>
      <c r="C374" s="5"/>
      <c r="D374" s="6"/>
      <c r="E374" s="6"/>
      <c r="F374" s="6"/>
      <c r="G374" s="7"/>
      <c r="H374" s="7"/>
      <c r="I374" s="8"/>
      <c r="J374" s="9"/>
      <c r="K374" s="7"/>
      <c r="L374" s="7"/>
      <c r="M374" s="10"/>
      <c r="N374" s="11"/>
      <c r="O374" s="12"/>
      <c r="P374" s="13"/>
      <c r="Q374" s="13"/>
      <c r="R374" s="13"/>
      <c r="S374" s="6"/>
      <c r="T374" s="8"/>
      <c r="U374" s="9"/>
      <c r="V374" s="14"/>
      <c r="W374" s="8"/>
      <c r="X374" s="8"/>
      <c r="Y374" s="8"/>
      <c r="Z374" s="12"/>
      <c r="AA374" s="11"/>
      <c r="AB374" s="15"/>
    </row>
    <row r="375" spans="1:28" x14ac:dyDescent="0.15">
      <c r="A375" s="4"/>
      <c r="B375" s="4"/>
      <c r="C375" s="5"/>
      <c r="D375" s="6"/>
      <c r="E375" s="6"/>
      <c r="F375" s="6"/>
      <c r="G375" s="7"/>
      <c r="H375" s="7"/>
      <c r="I375" s="8"/>
      <c r="J375" s="9"/>
      <c r="K375" s="7"/>
      <c r="L375" s="7"/>
      <c r="M375" s="10"/>
      <c r="N375" s="11"/>
      <c r="O375" s="12"/>
      <c r="P375" s="13"/>
      <c r="Q375" s="13"/>
      <c r="R375" s="13"/>
      <c r="S375" s="6"/>
      <c r="T375" s="8"/>
      <c r="U375" s="9"/>
      <c r="V375" s="14"/>
      <c r="W375" s="8"/>
      <c r="X375" s="8"/>
      <c r="Y375" s="8"/>
      <c r="Z375" s="12"/>
      <c r="AA375" s="11"/>
      <c r="AB375" s="15"/>
    </row>
    <row r="376" spans="1:28" x14ac:dyDescent="0.15">
      <c r="A376" s="4"/>
      <c r="B376" s="4"/>
      <c r="C376" s="5"/>
      <c r="D376" s="6"/>
      <c r="E376" s="6"/>
      <c r="F376" s="6"/>
      <c r="G376" s="7"/>
      <c r="H376" s="7"/>
      <c r="I376" s="8"/>
      <c r="J376" s="9"/>
      <c r="K376" s="7"/>
      <c r="L376" s="7"/>
      <c r="M376" s="10"/>
      <c r="N376" s="11"/>
      <c r="O376" s="12"/>
      <c r="P376" s="13"/>
      <c r="Q376" s="13"/>
      <c r="R376" s="13"/>
      <c r="S376" s="6"/>
      <c r="T376" s="8"/>
      <c r="U376" s="9"/>
      <c r="V376" s="14"/>
      <c r="W376" s="8"/>
      <c r="X376" s="8"/>
      <c r="Y376" s="8"/>
      <c r="Z376" s="12"/>
      <c r="AA376" s="11"/>
      <c r="AB376" s="15"/>
    </row>
    <row r="377" spans="1:28" x14ac:dyDescent="0.15">
      <c r="A377" s="4"/>
      <c r="B377" s="4"/>
      <c r="C377" s="5"/>
      <c r="D377" s="6"/>
      <c r="E377" s="6"/>
      <c r="F377" s="6"/>
      <c r="G377" s="7"/>
      <c r="H377" s="7"/>
      <c r="I377" s="8"/>
      <c r="J377" s="9"/>
      <c r="K377" s="7"/>
      <c r="L377" s="7"/>
      <c r="M377" s="10"/>
      <c r="N377" s="11"/>
      <c r="O377" s="12"/>
      <c r="P377" s="13"/>
      <c r="Q377" s="13"/>
      <c r="R377" s="13"/>
      <c r="S377" s="6"/>
      <c r="T377" s="8"/>
      <c r="U377" s="9"/>
      <c r="V377" s="14"/>
      <c r="W377" s="8"/>
      <c r="X377" s="8"/>
      <c r="Y377" s="8"/>
      <c r="Z377" s="12"/>
      <c r="AA377" s="11"/>
      <c r="AB377" s="15"/>
    </row>
    <row r="378" spans="1:28" x14ac:dyDescent="0.15">
      <c r="A378" s="4"/>
      <c r="B378" s="4"/>
      <c r="C378" s="5"/>
      <c r="D378" s="6"/>
      <c r="E378" s="6"/>
      <c r="F378" s="6"/>
      <c r="G378" s="7"/>
      <c r="H378" s="7"/>
      <c r="I378" s="8"/>
      <c r="J378" s="9"/>
      <c r="K378" s="7"/>
      <c r="L378" s="7"/>
      <c r="M378" s="10"/>
      <c r="N378" s="11"/>
      <c r="O378" s="12"/>
      <c r="P378" s="13"/>
      <c r="Q378" s="13"/>
      <c r="R378" s="13"/>
      <c r="S378" s="6"/>
      <c r="T378" s="8"/>
      <c r="U378" s="9"/>
      <c r="V378" s="14"/>
      <c r="W378" s="8"/>
      <c r="X378" s="8"/>
      <c r="Y378" s="8"/>
      <c r="Z378" s="12"/>
      <c r="AA378" s="11"/>
      <c r="AB378" s="15"/>
    </row>
    <row r="379" spans="1:28" x14ac:dyDescent="0.15">
      <c r="A379" s="4"/>
      <c r="B379" s="4"/>
      <c r="C379" s="5"/>
      <c r="D379" s="6"/>
      <c r="E379" s="6"/>
      <c r="F379" s="6"/>
      <c r="G379" s="7"/>
      <c r="H379" s="7"/>
      <c r="I379" s="8"/>
      <c r="J379" s="9"/>
      <c r="K379" s="7"/>
      <c r="L379" s="7"/>
      <c r="M379" s="10"/>
      <c r="N379" s="11"/>
      <c r="O379" s="12"/>
      <c r="P379" s="13"/>
      <c r="Q379" s="13"/>
      <c r="R379" s="13"/>
      <c r="S379" s="6"/>
      <c r="T379" s="8"/>
      <c r="U379" s="9"/>
      <c r="V379" s="14"/>
      <c r="W379" s="8"/>
      <c r="X379" s="8"/>
      <c r="Y379" s="8"/>
      <c r="Z379" s="12"/>
      <c r="AA379" s="11"/>
      <c r="AB379" s="15"/>
    </row>
    <row r="380" spans="1:28" x14ac:dyDescent="0.15">
      <c r="A380" s="4"/>
      <c r="B380" s="4"/>
      <c r="C380" s="5"/>
      <c r="D380" s="6"/>
      <c r="E380" s="6"/>
      <c r="F380" s="6"/>
      <c r="G380" s="7"/>
      <c r="H380" s="7"/>
      <c r="I380" s="8"/>
      <c r="J380" s="9"/>
      <c r="K380" s="7"/>
      <c r="L380" s="7"/>
      <c r="M380" s="10"/>
      <c r="N380" s="11"/>
      <c r="O380" s="12"/>
      <c r="P380" s="13"/>
      <c r="Q380" s="13"/>
      <c r="R380" s="13"/>
      <c r="S380" s="6"/>
      <c r="T380" s="8"/>
      <c r="U380" s="9"/>
      <c r="V380" s="14"/>
      <c r="W380" s="8"/>
      <c r="X380" s="8"/>
      <c r="Y380" s="8"/>
      <c r="Z380" s="12"/>
      <c r="AA380" s="11"/>
      <c r="AB380" s="15"/>
    </row>
    <row r="381" spans="1:28" x14ac:dyDescent="0.15">
      <c r="A381" s="4"/>
      <c r="B381" s="4"/>
      <c r="C381" s="5"/>
      <c r="D381" s="6"/>
      <c r="E381" s="6"/>
      <c r="F381" s="6"/>
      <c r="G381" s="7"/>
      <c r="H381" s="7"/>
      <c r="I381" s="8"/>
      <c r="J381" s="9"/>
      <c r="K381" s="7"/>
      <c r="L381" s="7"/>
      <c r="M381" s="10"/>
      <c r="N381" s="11"/>
      <c r="O381" s="12"/>
      <c r="P381" s="13"/>
      <c r="Q381" s="13"/>
      <c r="R381" s="13"/>
      <c r="S381" s="6"/>
      <c r="T381" s="8"/>
      <c r="U381" s="9"/>
      <c r="V381" s="14"/>
      <c r="W381" s="8"/>
      <c r="X381" s="8"/>
      <c r="Y381" s="8"/>
      <c r="Z381" s="12"/>
      <c r="AA381" s="11"/>
      <c r="AB381" s="15"/>
    </row>
    <row r="382" spans="1:28" x14ac:dyDescent="0.15">
      <c r="A382" s="4"/>
      <c r="B382" s="4"/>
      <c r="C382" s="5"/>
      <c r="D382" s="6"/>
      <c r="E382" s="6"/>
      <c r="F382" s="6"/>
      <c r="G382" s="7"/>
      <c r="H382" s="7"/>
      <c r="I382" s="8"/>
      <c r="J382" s="9"/>
      <c r="K382" s="7"/>
      <c r="L382" s="7"/>
      <c r="M382" s="10"/>
      <c r="N382" s="11"/>
      <c r="O382" s="12"/>
      <c r="P382" s="13"/>
      <c r="Q382" s="13"/>
      <c r="R382" s="13"/>
      <c r="S382" s="6"/>
      <c r="T382" s="8"/>
      <c r="U382" s="9"/>
      <c r="V382" s="14"/>
      <c r="W382" s="8"/>
      <c r="X382" s="8"/>
      <c r="Y382" s="8"/>
      <c r="Z382" s="12"/>
      <c r="AA382" s="11"/>
      <c r="AB382" s="15"/>
    </row>
    <row r="383" spans="1:28" x14ac:dyDescent="0.15">
      <c r="A383" s="4"/>
      <c r="B383" s="4"/>
      <c r="C383" s="5"/>
      <c r="D383" s="6"/>
      <c r="E383" s="6"/>
      <c r="F383" s="6"/>
      <c r="G383" s="7"/>
      <c r="H383" s="7"/>
      <c r="I383" s="8"/>
      <c r="J383" s="9"/>
      <c r="K383" s="7"/>
      <c r="L383" s="7"/>
      <c r="M383" s="10"/>
      <c r="N383" s="11"/>
      <c r="O383" s="12"/>
      <c r="P383" s="13"/>
      <c r="Q383" s="13"/>
      <c r="R383" s="13"/>
      <c r="S383" s="6"/>
      <c r="T383" s="8"/>
      <c r="U383" s="9"/>
      <c r="V383" s="14"/>
      <c r="W383" s="8"/>
      <c r="X383" s="8"/>
      <c r="Y383" s="8"/>
      <c r="Z383" s="12"/>
      <c r="AA383" s="11"/>
      <c r="AB383" s="15"/>
    </row>
    <row r="384" spans="1:28" x14ac:dyDescent="0.15">
      <c r="A384" s="4"/>
      <c r="B384" s="4"/>
      <c r="C384" s="5"/>
      <c r="D384" s="6"/>
      <c r="E384" s="6"/>
      <c r="F384" s="6"/>
      <c r="G384" s="7"/>
      <c r="H384" s="7"/>
      <c r="I384" s="8"/>
      <c r="J384" s="9"/>
      <c r="K384" s="7"/>
      <c r="L384" s="7"/>
      <c r="M384" s="10"/>
      <c r="N384" s="11"/>
      <c r="O384" s="12"/>
      <c r="P384" s="13"/>
      <c r="Q384" s="13"/>
      <c r="R384" s="13"/>
      <c r="S384" s="6"/>
      <c r="T384" s="8"/>
      <c r="U384" s="9"/>
      <c r="V384" s="14"/>
      <c r="W384" s="8"/>
      <c r="X384" s="8"/>
      <c r="Y384" s="8"/>
      <c r="Z384" s="12"/>
      <c r="AA384" s="11"/>
      <c r="AB384" s="15"/>
    </row>
    <row r="385" spans="1:28" x14ac:dyDescent="0.15">
      <c r="A385" s="4"/>
      <c r="B385" s="4"/>
      <c r="C385" s="5"/>
      <c r="D385" s="6"/>
      <c r="E385" s="6"/>
      <c r="F385" s="6"/>
      <c r="G385" s="7"/>
      <c r="H385" s="7"/>
      <c r="I385" s="8"/>
      <c r="J385" s="9"/>
      <c r="K385" s="7"/>
      <c r="L385" s="7"/>
      <c r="M385" s="10"/>
      <c r="N385" s="11"/>
      <c r="O385" s="12"/>
      <c r="P385" s="13"/>
      <c r="Q385" s="13"/>
      <c r="R385" s="13"/>
      <c r="S385" s="6"/>
      <c r="T385" s="8"/>
      <c r="U385" s="9"/>
      <c r="V385" s="14"/>
      <c r="W385" s="8"/>
      <c r="X385" s="8"/>
      <c r="Y385" s="8"/>
      <c r="Z385" s="12"/>
      <c r="AA385" s="11"/>
      <c r="AB385" s="15"/>
    </row>
    <row r="386" spans="1:28" x14ac:dyDescent="0.15">
      <c r="A386" s="4"/>
      <c r="B386" s="4"/>
      <c r="C386" s="5"/>
      <c r="D386" s="6"/>
      <c r="E386" s="6"/>
      <c r="F386" s="6"/>
      <c r="G386" s="7"/>
      <c r="H386" s="7"/>
      <c r="I386" s="8"/>
      <c r="J386" s="9"/>
      <c r="K386" s="7"/>
      <c r="L386" s="7"/>
      <c r="M386" s="10"/>
      <c r="N386" s="11"/>
      <c r="O386" s="12"/>
      <c r="P386" s="13"/>
      <c r="Q386" s="13"/>
      <c r="R386" s="13"/>
      <c r="S386" s="6"/>
      <c r="T386" s="8"/>
      <c r="U386" s="9"/>
      <c r="V386" s="14"/>
      <c r="W386" s="8"/>
      <c r="X386" s="8"/>
      <c r="Y386" s="8"/>
      <c r="Z386" s="12"/>
      <c r="AA386" s="11"/>
      <c r="AB386" s="15"/>
    </row>
    <row r="387" spans="1:28" x14ac:dyDescent="0.15">
      <c r="A387" s="4"/>
      <c r="B387" s="4"/>
      <c r="C387" s="5"/>
      <c r="D387" s="6"/>
      <c r="E387" s="6"/>
      <c r="F387" s="6"/>
      <c r="G387" s="7"/>
      <c r="H387" s="7"/>
      <c r="I387" s="8"/>
      <c r="J387" s="9"/>
      <c r="K387" s="7"/>
      <c r="L387" s="7"/>
      <c r="M387" s="10"/>
      <c r="N387" s="11"/>
      <c r="O387" s="12"/>
      <c r="P387" s="13"/>
      <c r="Q387" s="13"/>
      <c r="R387" s="13"/>
      <c r="S387" s="6"/>
      <c r="T387" s="8"/>
      <c r="U387" s="9"/>
      <c r="V387" s="14"/>
      <c r="W387" s="8"/>
      <c r="X387" s="8"/>
      <c r="Y387" s="8"/>
      <c r="Z387" s="12"/>
      <c r="AA387" s="11"/>
      <c r="AB387" s="15"/>
    </row>
    <row r="388" spans="1:28" x14ac:dyDescent="0.15">
      <c r="A388" s="4"/>
      <c r="B388" s="4"/>
      <c r="C388" s="5"/>
      <c r="D388" s="6"/>
      <c r="E388" s="6"/>
      <c r="F388" s="6"/>
      <c r="G388" s="7"/>
      <c r="H388" s="7"/>
      <c r="I388" s="8"/>
      <c r="J388" s="9"/>
      <c r="K388" s="7"/>
      <c r="L388" s="7"/>
      <c r="M388" s="10"/>
      <c r="N388" s="11"/>
      <c r="O388" s="12"/>
      <c r="P388" s="13"/>
      <c r="Q388" s="13"/>
      <c r="R388" s="13"/>
      <c r="S388" s="6"/>
      <c r="T388" s="8"/>
      <c r="U388" s="9"/>
      <c r="V388" s="14"/>
      <c r="W388" s="8"/>
      <c r="X388" s="8"/>
      <c r="Y388" s="8"/>
      <c r="Z388" s="12"/>
      <c r="AA388" s="11"/>
      <c r="AB388" s="15"/>
    </row>
    <row r="389" spans="1:28" x14ac:dyDescent="0.15">
      <c r="A389" s="4"/>
      <c r="B389" s="4"/>
      <c r="C389" s="5"/>
      <c r="D389" s="6"/>
      <c r="E389" s="6"/>
      <c r="F389" s="6"/>
      <c r="G389" s="7"/>
      <c r="H389" s="7"/>
      <c r="I389" s="8"/>
      <c r="J389" s="9"/>
      <c r="K389" s="7"/>
      <c r="L389" s="7"/>
      <c r="M389" s="10"/>
      <c r="N389" s="11"/>
      <c r="O389" s="12"/>
      <c r="P389" s="13"/>
      <c r="Q389" s="13"/>
      <c r="R389" s="13"/>
      <c r="S389" s="6"/>
      <c r="T389" s="8"/>
      <c r="U389" s="9"/>
      <c r="V389" s="14"/>
      <c r="W389" s="8"/>
      <c r="X389" s="8"/>
      <c r="Y389" s="8"/>
      <c r="Z389" s="12"/>
      <c r="AA389" s="11"/>
      <c r="AB389" s="15"/>
    </row>
    <row r="390" spans="1:28" x14ac:dyDescent="0.15">
      <c r="A390" s="4"/>
      <c r="B390" s="4"/>
      <c r="C390" s="5"/>
      <c r="D390" s="6"/>
      <c r="E390" s="6"/>
      <c r="F390" s="6"/>
      <c r="G390" s="7"/>
      <c r="H390" s="7"/>
      <c r="I390" s="8"/>
      <c r="J390" s="9"/>
      <c r="K390" s="7"/>
      <c r="L390" s="7"/>
      <c r="M390" s="10"/>
      <c r="N390" s="11"/>
      <c r="O390" s="12"/>
      <c r="P390" s="13"/>
      <c r="Q390" s="13"/>
      <c r="R390" s="13"/>
      <c r="S390" s="6"/>
      <c r="T390" s="8"/>
      <c r="U390" s="9"/>
      <c r="V390" s="14"/>
      <c r="W390" s="8"/>
      <c r="X390" s="8"/>
      <c r="Y390" s="8"/>
      <c r="Z390" s="12"/>
      <c r="AA390" s="11"/>
      <c r="AB390" s="15"/>
    </row>
    <row r="391" spans="1:28" x14ac:dyDescent="0.15">
      <c r="A391" s="4"/>
      <c r="B391" s="4"/>
      <c r="C391" s="5"/>
      <c r="D391" s="6"/>
      <c r="E391" s="6"/>
      <c r="F391" s="6"/>
      <c r="G391" s="7"/>
      <c r="H391" s="7"/>
      <c r="I391" s="8"/>
      <c r="J391" s="9"/>
      <c r="K391" s="7"/>
      <c r="L391" s="7"/>
      <c r="M391" s="10"/>
      <c r="N391" s="11"/>
      <c r="O391" s="12"/>
      <c r="P391" s="13"/>
      <c r="Q391" s="13"/>
      <c r="R391" s="13"/>
      <c r="S391" s="6"/>
      <c r="T391" s="8"/>
      <c r="U391" s="9"/>
      <c r="V391" s="14"/>
      <c r="W391" s="8"/>
      <c r="X391" s="8"/>
      <c r="Y391" s="8"/>
      <c r="Z391" s="12"/>
      <c r="AA391" s="11"/>
      <c r="AB391" s="15"/>
    </row>
    <row r="392" spans="1:28" x14ac:dyDescent="0.15">
      <c r="A392" s="4"/>
      <c r="B392" s="4"/>
      <c r="C392" s="5"/>
      <c r="D392" s="6"/>
      <c r="E392" s="6"/>
      <c r="F392" s="6"/>
      <c r="G392" s="7"/>
      <c r="H392" s="7"/>
      <c r="I392" s="8"/>
      <c r="J392" s="9"/>
      <c r="K392" s="7"/>
      <c r="L392" s="7"/>
      <c r="M392" s="10"/>
      <c r="N392" s="11"/>
      <c r="O392" s="12"/>
      <c r="P392" s="13"/>
      <c r="Q392" s="13"/>
      <c r="R392" s="13"/>
      <c r="S392" s="6"/>
      <c r="T392" s="8"/>
      <c r="U392" s="9"/>
      <c r="V392" s="14"/>
      <c r="W392" s="8"/>
      <c r="X392" s="8"/>
      <c r="Y392" s="8"/>
      <c r="Z392" s="12"/>
      <c r="AA392" s="11"/>
      <c r="AB392" s="15"/>
    </row>
    <row r="393" spans="1:28" x14ac:dyDescent="0.15">
      <c r="A393" s="4"/>
      <c r="B393" s="4"/>
      <c r="C393" s="5"/>
      <c r="D393" s="6"/>
      <c r="E393" s="6"/>
      <c r="F393" s="6"/>
      <c r="G393" s="7"/>
      <c r="H393" s="7"/>
      <c r="I393" s="8"/>
      <c r="J393" s="9"/>
      <c r="K393" s="7"/>
      <c r="L393" s="7"/>
      <c r="M393" s="10"/>
      <c r="N393" s="11"/>
      <c r="O393" s="12"/>
      <c r="P393" s="13"/>
      <c r="Q393" s="13"/>
      <c r="R393" s="13"/>
      <c r="S393" s="6"/>
      <c r="T393" s="8"/>
      <c r="U393" s="9"/>
      <c r="V393" s="14"/>
      <c r="W393" s="8"/>
      <c r="X393" s="8"/>
      <c r="Y393" s="8"/>
      <c r="Z393" s="12"/>
      <c r="AA393" s="11"/>
      <c r="AB393" s="15"/>
    </row>
    <row r="394" spans="1:28" x14ac:dyDescent="0.15">
      <c r="A394" s="4"/>
      <c r="B394" s="4"/>
      <c r="C394" s="5"/>
      <c r="D394" s="6"/>
      <c r="E394" s="6"/>
      <c r="F394" s="6"/>
      <c r="G394" s="7"/>
      <c r="H394" s="7"/>
      <c r="I394" s="8"/>
      <c r="J394" s="9"/>
      <c r="K394" s="7"/>
      <c r="L394" s="7"/>
      <c r="M394" s="10"/>
      <c r="N394" s="11"/>
      <c r="O394" s="12"/>
      <c r="P394" s="13"/>
      <c r="Q394" s="13"/>
      <c r="R394" s="13"/>
      <c r="S394" s="6"/>
      <c r="T394" s="8"/>
      <c r="U394" s="9"/>
      <c r="V394" s="14"/>
      <c r="W394" s="8"/>
      <c r="X394" s="8"/>
      <c r="Y394" s="8"/>
      <c r="Z394" s="12"/>
      <c r="AA394" s="11"/>
      <c r="AB394" s="15"/>
    </row>
    <row r="395" spans="1:28" x14ac:dyDescent="0.15">
      <c r="A395" s="4"/>
      <c r="B395" s="4"/>
      <c r="C395" s="5"/>
      <c r="D395" s="6"/>
      <c r="E395" s="6"/>
      <c r="F395" s="6"/>
      <c r="G395" s="7"/>
      <c r="H395" s="7"/>
      <c r="I395" s="8"/>
      <c r="J395" s="9"/>
      <c r="K395" s="7"/>
      <c r="L395" s="7"/>
      <c r="M395" s="10"/>
      <c r="N395" s="11"/>
      <c r="O395" s="12"/>
      <c r="P395" s="13"/>
      <c r="Q395" s="13"/>
      <c r="R395" s="13"/>
      <c r="S395" s="6"/>
      <c r="T395" s="8"/>
      <c r="U395" s="9"/>
      <c r="V395" s="14"/>
      <c r="W395" s="8"/>
      <c r="X395" s="8"/>
      <c r="Y395" s="8"/>
      <c r="Z395" s="12"/>
      <c r="AA395" s="11"/>
      <c r="AB395" s="15"/>
    </row>
    <row r="396" spans="1:28" x14ac:dyDescent="0.15">
      <c r="A396" s="4"/>
      <c r="B396" s="4"/>
      <c r="C396" s="5"/>
      <c r="D396" s="6"/>
      <c r="E396" s="6"/>
      <c r="F396" s="6"/>
      <c r="G396" s="7"/>
      <c r="H396" s="7"/>
      <c r="I396" s="8"/>
      <c r="J396" s="9"/>
      <c r="K396" s="7"/>
      <c r="L396" s="7"/>
      <c r="M396" s="10"/>
      <c r="N396" s="11"/>
      <c r="O396" s="12"/>
      <c r="P396" s="13"/>
      <c r="Q396" s="13"/>
      <c r="R396" s="13"/>
      <c r="S396" s="6"/>
      <c r="T396" s="8"/>
      <c r="U396" s="9"/>
      <c r="V396" s="14"/>
      <c r="W396" s="8"/>
      <c r="X396" s="8"/>
      <c r="Y396" s="8"/>
      <c r="Z396" s="12"/>
      <c r="AA396" s="11"/>
      <c r="AB396" s="15"/>
    </row>
    <row r="397" spans="1:28" x14ac:dyDescent="0.15">
      <c r="A397" s="4"/>
      <c r="B397" s="4"/>
      <c r="C397" s="5"/>
      <c r="D397" s="6"/>
      <c r="E397" s="6"/>
      <c r="F397" s="6"/>
      <c r="G397" s="7"/>
      <c r="H397" s="7"/>
      <c r="I397" s="8"/>
      <c r="J397" s="9"/>
      <c r="K397" s="7"/>
      <c r="L397" s="7"/>
      <c r="M397" s="10"/>
      <c r="N397" s="11"/>
      <c r="O397" s="12"/>
      <c r="P397" s="13"/>
      <c r="Q397" s="13"/>
      <c r="R397" s="13"/>
      <c r="S397" s="6"/>
      <c r="T397" s="8"/>
      <c r="U397" s="9"/>
      <c r="V397" s="14"/>
      <c r="W397" s="8"/>
      <c r="X397" s="8"/>
      <c r="Y397" s="8"/>
      <c r="Z397" s="12"/>
      <c r="AA397" s="11"/>
      <c r="AB397" s="15"/>
    </row>
    <row r="398" spans="1:28" x14ac:dyDescent="0.15">
      <c r="A398" s="4"/>
      <c r="B398" s="4"/>
      <c r="C398" s="5"/>
      <c r="D398" s="6"/>
      <c r="E398" s="6"/>
      <c r="F398" s="6"/>
      <c r="G398" s="7"/>
      <c r="H398" s="7"/>
      <c r="I398" s="8"/>
      <c r="J398" s="9"/>
      <c r="K398" s="7"/>
      <c r="L398" s="7"/>
      <c r="M398" s="10"/>
      <c r="N398" s="11"/>
      <c r="O398" s="12"/>
      <c r="P398" s="13"/>
      <c r="Q398" s="13"/>
      <c r="R398" s="13"/>
      <c r="S398" s="6"/>
      <c r="T398" s="8"/>
      <c r="U398" s="9"/>
      <c r="V398" s="14"/>
      <c r="W398" s="8"/>
      <c r="X398" s="8"/>
      <c r="Y398" s="8"/>
      <c r="Z398" s="12"/>
      <c r="AA398" s="11"/>
      <c r="AB398" s="15"/>
    </row>
    <row r="399" spans="1:28" x14ac:dyDescent="0.15">
      <c r="A399" s="4"/>
      <c r="B399" s="4"/>
      <c r="C399" s="5"/>
      <c r="D399" s="6"/>
      <c r="E399" s="6"/>
      <c r="F399" s="6"/>
      <c r="G399" s="7"/>
      <c r="H399" s="7"/>
      <c r="I399" s="8"/>
      <c r="J399" s="9"/>
      <c r="K399" s="7"/>
      <c r="L399" s="7"/>
      <c r="M399" s="10"/>
      <c r="N399" s="11"/>
      <c r="O399" s="12"/>
      <c r="P399" s="13"/>
      <c r="Q399" s="13"/>
      <c r="R399" s="13"/>
      <c r="S399" s="6"/>
      <c r="T399" s="8"/>
      <c r="U399" s="9"/>
      <c r="V399" s="14"/>
      <c r="W399" s="8"/>
      <c r="X399" s="8"/>
      <c r="Y399" s="8"/>
      <c r="Z399" s="12"/>
      <c r="AA399" s="11"/>
      <c r="AB399" s="15"/>
    </row>
    <row r="400" spans="1:28" x14ac:dyDescent="0.15">
      <c r="A400" s="4"/>
      <c r="B400" s="4"/>
      <c r="C400" s="5"/>
      <c r="D400" s="6"/>
      <c r="E400" s="6"/>
      <c r="F400" s="6"/>
      <c r="G400" s="7"/>
      <c r="H400" s="7"/>
      <c r="I400" s="8"/>
      <c r="J400" s="9"/>
      <c r="K400" s="7"/>
      <c r="L400" s="7"/>
      <c r="M400" s="10"/>
      <c r="N400" s="11"/>
      <c r="O400" s="12"/>
      <c r="P400" s="13"/>
      <c r="Q400" s="13"/>
      <c r="R400" s="13"/>
      <c r="S400" s="6"/>
      <c r="T400" s="8"/>
      <c r="U400" s="9"/>
      <c r="V400" s="14"/>
      <c r="W400" s="8"/>
      <c r="X400" s="8"/>
      <c r="Y400" s="8"/>
      <c r="Z400" s="12"/>
      <c r="AA400" s="11"/>
      <c r="AB400" s="15"/>
    </row>
    <row r="401" spans="1:28" x14ac:dyDescent="0.15">
      <c r="A401" s="4"/>
      <c r="B401" s="4"/>
      <c r="C401" s="5"/>
      <c r="D401" s="6"/>
      <c r="E401" s="6"/>
      <c r="F401" s="6"/>
      <c r="G401" s="7"/>
      <c r="H401" s="7"/>
      <c r="I401" s="8"/>
      <c r="J401" s="9"/>
      <c r="K401" s="7"/>
      <c r="L401" s="7"/>
      <c r="M401" s="10"/>
      <c r="N401" s="11"/>
      <c r="O401" s="12"/>
      <c r="P401" s="13"/>
      <c r="Q401" s="13"/>
      <c r="R401" s="13"/>
      <c r="S401" s="6"/>
      <c r="T401" s="8"/>
      <c r="U401" s="9"/>
      <c r="V401" s="14"/>
      <c r="W401" s="8"/>
      <c r="X401" s="8"/>
      <c r="Y401" s="8"/>
      <c r="Z401" s="12"/>
      <c r="AA401" s="11"/>
      <c r="AB401" s="15"/>
    </row>
    <row r="402" spans="1:28" x14ac:dyDescent="0.15">
      <c r="A402" s="4"/>
      <c r="B402" s="4"/>
      <c r="C402" s="5"/>
      <c r="D402" s="6"/>
      <c r="E402" s="6"/>
      <c r="F402" s="6"/>
      <c r="G402" s="7"/>
      <c r="H402" s="7"/>
      <c r="I402" s="8"/>
      <c r="J402" s="9"/>
      <c r="K402" s="7"/>
      <c r="L402" s="7"/>
      <c r="M402" s="10"/>
      <c r="N402" s="11"/>
      <c r="O402" s="12"/>
      <c r="P402" s="13"/>
      <c r="Q402" s="13"/>
      <c r="R402" s="13"/>
      <c r="S402" s="6"/>
      <c r="T402" s="8"/>
      <c r="U402" s="9"/>
      <c r="V402" s="14"/>
      <c r="W402" s="8"/>
      <c r="X402" s="8"/>
      <c r="Y402" s="8"/>
      <c r="Z402" s="12"/>
      <c r="AA402" s="11"/>
      <c r="AB402" s="15"/>
    </row>
    <row r="403" spans="1:28" x14ac:dyDescent="0.15">
      <c r="A403" s="4"/>
      <c r="B403" s="4"/>
      <c r="C403" s="5"/>
      <c r="D403" s="6"/>
      <c r="E403" s="6"/>
      <c r="F403" s="6"/>
      <c r="G403" s="7"/>
      <c r="H403" s="7"/>
      <c r="I403" s="8"/>
      <c r="J403" s="9"/>
      <c r="K403" s="7"/>
      <c r="L403" s="7"/>
      <c r="M403" s="10"/>
      <c r="N403" s="11"/>
      <c r="O403" s="12"/>
      <c r="P403" s="13"/>
      <c r="Q403" s="13"/>
      <c r="R403" s="13"/>
      <c r="S403" s="6"/>
      <c r="T403" s="8"/>
      <c r="U403" s="9"/>
      <c r="V403" s="14"/>
      <c r="W403" s="8"/>
      <c r="X403" s="8"/>
      <c r="Y403" s="8"/>
      <c r="Z403" s="12"/>
      <c r="AA403" s="11"/>
      <c r="AB403" s="15"/>
    </row>
    <row r="404" spans="1:28" x14ac:dyDescent="0.15">
      <c r="A404" s="4"/>
      <c r="B404" s="4"/>
      <c r="C404" s="5"/>
      <c r="D404" s="6"/>
      <c r="E404" s="6"/>
      <c r="F404" s="6"/>
      <c r="G404" s="7"/>
      <c r="H404" s="7"/>
      <c r="I404" s="8"/>
      <c r="J404" s="9"/>
      <c r="K404" s="7"/>
      <c r="L404" s="7"/>
      <c r="M404" s="10"/>
      <c r="N404" s="11"/>
      <c r="O404" s="12"/>
      <c r="P404" s="13"/>
      <c r="Q404" s="13"/>
      <c r="R404" s="13"/>
      <c r="S404" s="6"/>
      <c r="T404" s="8"/>
      <c r="U404" s="9"/>
      <c r="V404" s="14"/>
      <c r="W404" s="8"/>
      <c r="X404" s="8"/>
      <c r="Y404" s="8"/>
      <c r="Z404" s="12"/>
      <c r="AA404" s="11"/>
      <c r="AB404" s="15"/>
    </row>
    <row r="405" spans="1:28" x14ac:dyDescent="0.15">
      <c r="A405" s="4"/>
      <c r="B405" s="4"/>
      <c r="C405" s="5"/>
      <c r="D405" s="6"/>
      <c r="E405" s="6"/>
      <c r="F405" s="6"/>
      <c r="G405" s="7"/>
      <c r="H405" s="7"/>
      <c r="I405" s="8"/>
      <c r="J405" s="9"/>
      <c r="K405" s="7"/>
      <c r="L405" s="7"/>
      <c r="M405" s="10"/>
      <c r="N405" s="11"/>
      <c r="O405" s="12"/>
      <c r="P405" s="13"/>
      <c r="Q405" s="13"/>
      <c r="R405" s="13"/>
      <c r="S405" s="6"/>
      <c r="T405" s="8"/>
      <c r="U405" s="9"/>
      <c r="V405" s="14"/>
      <c r="W405" s="8"/>
      <c r="X405" s="8"/>
      <c r="Y405" s="8"/>
      <c r="Z405" s="12"/>
      <c r="AA405" s="11"/>
      <c r="AB405" s="15"/>
    </row>
    <row r="406" spans="1:28" x14ac:dyDescent="0.15">
      <c r="A406" s="4"/>
      <c r="B406" s="4"/>
      <c r="C406" s="5"/>
      <c r="D406" s="6"/>
      <c r="E406" s="6"/>
      <c r="F406" s="6"/>
      <c r="G406" s="7"/>
      <c r="H406" s="7"/>
      <c r="I406" s="8"/>
      <c r="J406" s="9"/>
      <c r="K406" s="7"/>
      <c r="L406" s="7"/>
      <c r="M406" s="10"/>
      <c r="N406" s="11"/>
      <c r="O406" s="12"/>
      <c r="P406" s="13"/>
      <c r="Q406" s="13"/>
      <c r="R406" s="13"/>
      <c r="S406" s="6"/>
      <c r="T406" s="8"/>
      <c r="U406" s="9"/>
      <c r="V406" s="14"/>
      <c r="W406" s="8"/>
      <c r="X406" s="8"/>
      <c r="Y406" s="8"/>
      <c r="Z406" s="12"/>
      <c r="AA406" s="11"/>
      <c r="AB406" s="15"/>
    </row>
    <row r="407" spans="1:28" x14ac:dyDescent="0.15">
      <c r="A407" s="4"/>
      <c r="B407" s="4"/>
      <c r="C407" s="5"/>
      <c r="D407" s="6"/>
      <c r="E407" s="6"/>
      <c r="F407" s="6"/>
      <c r="G407" s="7"/>
      <c r="H407" s="7"/>
      <c r="I407" s="8"/>
      <c r="J407" s="9"/>
      <c r="K407" s="7"/>
      <c r="L407" s="7"/>
      <c r="M407" s="10"/>
      <c r="N407" s="11"/>
      <c r="O407" s="12"/>
      <c r="P407" s="13"/>
      <c r="Q407" s="13"/>
      <c r="R407" s="13"/>
      <c r="S407" s="6"/>
      <c r="T407" s="8"/>
      <c r="U407" s="9"/>
      <c r="V407" s="14"/>
      <c r="W407" s="8"/>
      <c r="X407" s="8"/>
      <c r="Y407" s="8"/>
      <c r="Z407" s="12"/>
      <c r="AA407" s="11"/>
      <c r="AB407" s="15"/>
    </row>
    <row r="408" spans="1:28" x14ac:dyDescent="0.15">
      <c r="A408" s="4"/>
      <c r="B408" s="4"/>
      <c r="C408" s="5"/>
      <c r="D408" s="6"/>
      <c r="E408" s="6"/>
      <c r="F408" s="6"/>
      <c r="G408" s="7"/>
      <c r="H408" s="7"/>
      <c r="I408" s="8"/>
      <c r="J408" s="9"/>
      <c r="K408" s="7"/>
      <c r="L408" s="7"/>
      <c r="M408" s="10"/>
      <c r="N408" s="11"/>
      <c r="O408" s="12"/>
      <c r="P408" s="13"/>
      <c r="Q408" s="13"/>
      <c r="R408" s="13"/>
      <c r="S408" s="6"/>
      <c r="T408" s="8"/>
      <c r="U408" s="9"/>
      <c r="V408" s="14"/>
      <c r="W408" s="8"/>
      <c r="X408" s="8"/>
      <c r="Y408" s="8"/>
      <c r="Z408" s="12"/>
      <c r="AA408" s="11"/>
      <c r="AB408" s="15"/>
    </row>
    <row r="409" spans="1:28" x14ac:dyDescent="0.15">
      <c r="A409" s="4"/>
      <c r="B409" s="4"/>
      <c r="C409" s="5"/>
      <c r="D409" s="6"/>
      <c r="E409" s="6"/>
      <c r="F409" s="6"/>
      <c r="G409" s="7"/>
      <c r="H409" s="7"/>
      <c r="I409" s="8"/>
      <c r="J409" s="9"/>
      <c r="K409" s="7"/>
      <c r="L409" s="7"/>
      <c r="M409" s="10"/>
      <c r="N409" s="11"/>
      <c r="O409" s="12"/>
      <c r="P409" s="13"/>
      <c r="Q409" s="13"/>
      <c r="R409" s="13"/>
      <c r="S409" s="6"/>
      <c r="T409" s="8"/>
      <c r="U409" s="9"/>
      <c r="V409" s="14"/>
      <c r="W409" s="8"/>
      <c r="X409" s="8"/>
      <c r="Y409" s="8"/>
      <c r="Z409" s="12"/>
      <c r="AA409" s="11"/>
      <c r="AB409" s="15"/>
    </row>
    <row r="410" spans="1:28" x14ac:dyDescent="0.15">
      <c r="A410" s="4"/>
      <c r="B410" s="4"/>
      <c r="C410" s="5"/>
      <c r="D410" s="6"/>
      <c r="E410" s="6"/>
      <c r="F410" s="6"/>
      <c r="G410" s="7"/>
      <c r="H410" s="7"/>
      <c r="I410" s="8"/>
      <c r="J410" s="9"/>
      <c r="K410" s="7"/>
      <c r="L410" s="7"/>
      <c r="M410" s="10"/>
      <c r="N410" s="11"/>
      <c r="O410" s="12"/>
      <c r="P410" s="13"/>
      <c r="Q410" s="13"/>
      <c r="R410" s="13"/>
      <c r="S410" s="6"/>
      <c r="T410" s="8"/>
      <c r="U410" s="9"/>
      <c r="V410" s="14"/>
      <c r="W410" s="8"/>
      <c r="X410" s="8"/>
      <c r="Y410" s="8"/>
      <c r="Z410" s="12"/>
      <c r="AA410" s="11"/>
      <c r="AB410" s="15"/>
    </row>
    <row r="411" spans="1:28" x14ac:dyDescent="0.15">
      <c r="A411" s="4"/>
      <c r="B411" s="4"/>
      <c r="C411" s="5"/>
      <c r="D411" s="6"/>
      <c r="E411" s="6"/>
      <c r="F411" s="6"/>
      <c r="G411" s="7"/>
      <c r="H411" s="7"/>
      <c r="I411" s="8"/>
      <c r="J411" s="9"/>
      <c r="K411" s="7"/>
      <c r="L411" s="7"/>
      <c r="M411" s="10"/>
      <c r="N411" s="11"/>
      <c r="O411" s="12"/>
      <c r="P411" s="13"/>
      <c r="Q411" s="13"/>
      <c r="R411" s="13"/>
      <c r="S411" s="6"/>
      <c r="T411" s="8"/>
      <c r="U411" s="9"/>
      <c r="V411" s="14"/>
      <c r="W411" s="8"/>
      <c r="X411" s="8"/>
      <c r="Y411" s="8"/>
      <c r="Z411" s="12"/>
      <c r="AA411" s="11"/>
      <c r="AB411" s="15"/>
    </row>
    <row r="412" spans="1:28" x14ac:dyDescent="0.15">
      <c r="A412" s="4"/>
      <c r="B412" s="4"/>
      <c r="C412" s="5"/>
      <c r="D412" s="6"/>
      <c r="E412" s="6"/>
      <c r="F412" s="6"/>
      <c r="G412" s="7"/>
      <c r="H412" s="7"/>
      <c r="I412" s="8"/>
      <c r="J412" s="9"/>
      <c r="K412" s="7"/>
      <c r="L412" s="7"/>
      <c r="M412" s="10"/>
      <c r="N412" s="11"/>
      <c r="O412" s="12"/>
      <c r="P412" s="13"/>
      <c r="Q412" s="13"/>
      <c r="R412" s="13"/>
      <c r="S412" s="6"/>
      <c r="T412" s="8"/>
      <c r="U412" s="9"/>
      <c r="V412" s="14"/>
      <c r="W412" s="8"/>
      <c r="X412" s="8"/>
      <c r="Y412" s="8"/>
      <c r="Z412" s="12"/>
      <c r="AA412" s="11"/>
      <c r="AB412" s="15"/>
    </row>
    <row r="413" spans="1:28" x14ac:dyDescent="0.15">
      <c r="A413" s="4"/>
      <c r="B413" s="4"/>
      <c r="C413" s="5"/>
      <c r="D413" s="6"/>
      <c r="E413" s="6"/>
      <c r="F413" s="6"/>
      <c r="G413" s="7"/>
      <c r="H413" s="7"/>
      <c r="I413" s="8"/>
      <c r="J413" s="9"/>
      <c r="K413" s="7"/>
      <c r="L413" s="7"/>
      <c r="M413" s="10"/>
      <c r="N413" s="11"/>
      <c r="O413" s="12"/>
      <c r="P413" s="13"/>
      <c r="Q413" s="13"/>
      <c r="R413" s="13"/>
      <c r="S413" s="6"/>
      <c r="T413" s="8"/>
      <c r="U413" s="9"/>
      <c r="V413" s="14"/>
      <c r="W413" s="8"/>
      <c r="X413" s="8"/>
      <c r="Y413" s="8"/>
      <c r="Z413" s="12"/>
      <c r="AA413" s="11"/>
      <c r="AB413" s="15"/>
    </row>
    <row r="414" spans="1:28" x14ac:dyDescent="0.15">
      <c r="A414" s="4"/>
      <c r="B414" s="4"/>
      <c r="C414" s="5"/>
      <c r="D414" s="6"/>
      <c r="E414" s="6"/>
      <c r="F414" s="6"/>
      <c r="G414" s="7"/>
      <c r="H414" s="7"/>
      <c r="I414" s="8"/>
      <c r="J414" s="9"/>
      <c r="K414" s="7"/>
      <c r="L414" s="7"/>
      <c r="M414" s="10"/>
      <c r="N414" s="11"/>
      <c r="O414" s="12"/>
      <c r="P414" s="13"/>
      <c r="Q414" s="13"/>
      <c r="R414" s="13"/>
      <c r="S414" s="6"/>
      <c r="T414" s="8"/>
      <c r="U414" s="9"/>
      <c r="V414" s="14"/>
      <c r="W414" s="8"/>
      <c r="X414" s="8"/>
      <c r="Y414" s="8"/>
      <c r="Z414" s="12"/>
      <c r="AA414" s="11"/>
      <c r="AB414" s="15"/>
    </row>
    <row r="415" spans="1:28" x14ac:dyDescent="0.15">
      <c r="A415" s="4"/>
      <c r="B415" s="4"/>
      <c r="C415" s="5"/>
      <c r="D415" s="6"/>
      <c r="E415" s="6"/>
      <c r="F415" s="6"/>
      <c r="G415" s="7"/>
      <c r="H415" s="7"/>
      <c r="I415" s="8"/>
      <c r="J415" s="9"/>
      <c r="K415" s="7"/>
      <c r="L415" s="7"/>
      <c r="M415" s="10"/>
      <c r="N415" s="11"/>
      <c r="O415" s="12"/>
      <c r="P415" s="13"/>
      <c r="Q415" s="13"/>
      <c r="R415" s="13"/>
      <c r="S415" s="6"/>
      <c r="T415" s="8"/>
      <c r="U415" s="9"/>
      <c r="V415" s="14"/>
      <c r="W415" s="8"/>
      <c r="X415" s="8"/>
      <c r="Y415" s="8"/>
      <c r="Z415" s="12"/>
      <c r="AA415" s="11"/>
      <c r="AB415" s="15"/>
    </row>
    <row r="416" spans="1:28" x14ac:dyDescent="0.15">
      <c r="A416" s="4"/>
      <c r="B416" s="4"/>
      <c r="C416" s="5"/>
      <c r="D416" s="6"/>
      <c r="E416" s="6"/>
      <c r="F416" s="6"/>
      <c r="G416" s="7"/>
      <c r="H416" s="7"/>
      <c r="I416" s="8"/>
      <c r="J416" s="9"/>
      <c r="K416" s="7"/>
      <c r="L416" s="7"/>
      <c r="M416" s="10"/>
      <c r="N416" s="11"/>
      <c r="O416" s="12"/>
      <c r="P416" s="13"/>
      <c r="Q416" s="13"/>
      <c r="R416" s="13"/>
      <c r="S416" s="6"/>
      <c r="T416" s="8"/>
      <c r="U416" s="9"/>
      <c r="V416" s="14"/>
      <c r="W416" s="8"/>
      <c r="X416" s="8"/>
      <c r="Y416" s="8"/>
      <c r="Z416" s="12"/>
      <c r="AA416" s="11"/>
      <c r="AB416" s="15"/>
    </row>
    <row r="417" spans="1:28" x14ac:dyDescent="0.15">
      <c r="A417" s="4"/>
      <c r="B417" s="4"/>
      <c r="C417" s="5"/>
      <c r="D417" s="6"/>
      <c r="E417" s="6"/>
      <c r="F417" s="6"/>
      <c r="G417" s="7"/>
      <c r="H417" s="7"/>
      <c r="I417" s="8"/>
      <c r="J417" s="9"/>
      <c r="K417" s="7"/>
      <c r="L417" s="7"/>
      <c r="M417" s="10"/>
      <c r="N417" s="11"/>
      <c r="O417" s="12"/>
      <c r="P417" s="13"/>
      <c r="Q417" s="13"/>
      <c r="R417" s="13"/>
      <c r="S417" s="6"/>
      <c r="T417" s="8"/>
      <c r="U417" s="9"/>
      <c r="V417" s="14"/>
      <c r="W417" s="8"/>
      <c r="X417" s="8"/>
      <c r="Y417" s="8"/>
      <c r="Z417" s="12"/>
      <c r="AA417" s="11"/>
      <c r="AB417" s="15"/>
    </row>
    <row r="418" spans="1:28" x14ac:dyDescent="0.15">
      <c r="A418" s="4"/>
      <c r="B418" s="4"/>
      <c r="C418" s="5"/>
      <c r="D418" s="6"/>
      <c r="E418" s="6"/>
      <c r="F418" s="6"/>
      <c r="G418" s="7"/>
      <c r="H418" s="7"/>
      <c r="I418" s="8"/>
      <c r="J418" s="9"/>
      <c r="K418" s="7"/>
      <c r="L418" s="7"/>
      <c r="M418" s="10"/>
      <c r="N418" s="11"/>
      <c r="O418" s="12"/>
      <c r="P418" s="13"/>
      <c r="Q418" s="13"/>
      <c r="R418" s="13"/>
      <c r="S418" s="6"/>
      <c r="T418" s="8"/>
      <c r="U418" s="9"/>
      <c r="V418" s="14"/>
      <c r="W418" s="8"/>
      <c r="X418" s="8"/>
      <c r="Y418" s="8"/>
      <c r="Z418" s="12"/>
      <c r="AA418" s="11"/>
      <c r="AB418" s="15"/>
    </row>
    <row r="419" spans="1:28" x14ac:dyDescent="0.15">
      <c r="A419" s="4"/>
      <c r="B419" s="4"/>
      <c r="C419" s="5"/>
      <c r="D419" s="6"/>
      <c r="E419" s="6"/>
      <c r="F419" s="6"/>
      <c r="G419" s="7"/>
      <c r="H419" s="7"/>
      <c r="I419" s="8"/>
      <c r="J419" s="9"/>
      <c r="K419" s="7"/>
      <c r="L419" s="7"/>
      <c r="M419" s="10"/>
      <c r="N419" s="11"/>
      <c r="O419" s="12"/>
      <c r="P419" s="13"/>
      <c r="Q419" s="13"/>
      <c r="R419" s="13"/>
      <c r="S419" s="6"/>
      <c r="T419" s="8"/>
      <c r="U419" s="9"/>
      <c r="V419" s="14"/>
      <c r="W419" s="8"/>
      <c r="X419" s="8"/>
      <c r="Y419" s="8"/>
      <c r="Z419" s="12"/>
      <c r="AA419" s="11"/>
      <c r="AB419" s="15"/>
    </row>
    <row r="420" spans="1:28" x14ac:dyDescent="0.15">
      <c r="A420" s="4"/>
      <c r="B420" s="4"/>
      <c r="C420" s="5"/>
      <c r="D420" s="6"/>
      <c r="E420" s="6"/>
      <c r="F420" s="6"/>
      <c r="G420" s="7"/>
      <c r="H420" s="7"/>
      <c r="I420" s="8"/>
      <c r="J420" s="9"/>
      <c r="K420" s="7"/>
      <c r="L420" s="7"/>
      <c r="M420" s="10"/>
      <c r="N420" s="11"/>
      <c r="O420" s="12"/>
      <c r="P420" s="13"/>
      <c r="Q420" s="13"/>
      <c r="R420" s="13"/>
      <c r="S420" s="6"/>
      <c r="T420" s="8"/>
      <c r="U420" s="9"/>
      <c r="V420" s="14"/>
      <c r="W420" s="8"/>
      <c r="X420" s="8"/>
      <c r="Y420" s="8"/>
      <c r="Z420" s="12"/>
      <c r="AA420" s="11"/>
      <c r="AB420" s="15"/>
    </row>
    <row r="421" spans="1:28" x14ac:dyDescent="0.15">
      <c r="A421" s="4"/>
      <c r="B421" s="4"/>
      <c r="C421" s="5"/>
      <c r="D421" s="6"/>
      <c r="E421" s="6"/>
      <c r="F421" s="6"/>
      <c r="G421" s="7"/>
      <c r="H421" s="7"/>
      <c r="I421" s="8"/>
      <c r="J421" s="9"/>
      <c r="K421" s="7"/>
      <c r="L421" s="7"/>
      <c r="M421" s="10"/>
      <c r="N421" s="11"/>
      <c r="O421" s="12"/>
      <c r="P421" s="13"/>
      <c r="Q421" s="13"/>
      <c r="R421" s="13"/>
      <c r="S421" s="6"/>
      <c r="T421" s="8"/>
      <c r="U421" s="9"/>
      <c r="V421" s="14"/>
      <c r="W421" s="8"/>
      <c r="X421" s="8"/>
      <c r="Y421" s="8"/>
      <c r="Z421" s="12"/>
      <c r="AA421" s="11"/>
      <c r="AB421" s="15"/>
    </row>
    <row r="422" spans="1:28" x14ac:dyDescent="0.15">
      <c r="A422" s="4"/>
      <c r="B422" s="4"/>
      <c r="C422" s="5"/>
      <c r="D422" s="6"/>
      <c r="E422" s="6"/>
      <c r="F422" s="6"/>
      <c r="G422" s="7"/>
      <c r="H422" s="7"/>
      <c r="I422" s="8"/>
      <c r="J422" s="9"/>
      <c r="K422" s="7"/>
      <c r="L422" s="7"/>
      <c r="M422" s="10"/>
      <c r="N422" s="11"/>
      <c r="O422" s="12"/>
      <c r="P422" s="13"/>
      <c r="Q422" s="13"/>
      <c r="R422" s="13"/>
      <c r="S422" s="6"/>
      <c r="T422" s="8"/>
      <c r="U422" s="9"/>
      <c r="V422" s="14"/>
      <c r="W422" s="8"/>
      <c r="X422" s="8"/>
      <c r="Y422" s="8"/>
      <c r="Z422" s="12"/>
      <c r="AA422" s="11"/>
      <c r="AB422" s="15"/>
    </row>
    <row r="423" spans="1:28" x14ac:dyDescent="0.15">
      <c r="A423" s="4"/>
      <c r="B423" s="4"/>
      <c r="C423" s="5"/>
      <c r="D423" s="6"/>
      <c r="E423" s="6"/>
      <c r="F423" s="6"/>
      <c r="G423" s="7"/>
      <c r="H423" s="7"/>
      <c r="I423" s="8"/>
      <c r="J423" s="9"/>
      <c r="K423" s="7"/>
      <c r="L423" s="7"/>
      <c r="M423" s="10"/>
      <c r="N423" s="11"/>
      <c r="O423" s="12"/>
      <c r="P423" s="13"/>
      <c r="Q423" s="13"/>
      <c r="R423" s="13"/>
      <c r="S423" s="6"/>
      <c r="T423" s="8"/>
      <c r="U423" s="9"/>
      <c r="V423" s="14"/>
      <c r="W423" s="8"/>
      <c r="X423" s="8"/>
      <c r="Y423" s="8"/>
      <c r="Z423" s="12"/>
      <c r="AA423" s="11"/>
      <c r="AB423" s="15"/>
    </row>
    <row r="424" spans="1:28" x14ac:dyDescent="0.15">
      <c r="A424" s="4"/>
      <c r="B424" s="4"/>
      <c r="C424" s="5"/>
      <c r="D424" s="6"/>
      <c r="E424" s="6"/>
      <c r="F424" s="6"/>
      <c r="G424" s="7"/>
      <c r="H424" s="7"/>
      <c r="I424" s="8"/>
      <c r="J424" s="9"/>
      <c r="K424" s="7"/>
      <c r="L424" s="7"/>
      <c r="M424" s="10"/>
      <c r="N424" s="11"/>
      <c r="O424" s="12"/>
      <c r="P424" s="13"/>
      <c r="Q424" s="13"/>
      <c r="R424" s="13"/>
      <c r="S424" s="6"/>
      <c r="T424" s="8"/>
      <c r="U424" s="9"/>
      <c r="V424" s="14"/>
      <c r="W424" s="8"/>
      <c r="X424" s="8"/>
      <c r="Y424" s="8"/>
      <c r="Z424" s="12"/>
      <c r="AA424" s="11"/>
      <c r="AB424" s="15"/>
    </row>
    <row r="425" spans="1:28" x14ac:dyDescent="0.15">
      <c r="A425" s="4"/>
      <c r="B425" s="4"/>
      <c r="C425" s="5"/>
      <c r="D425" s="6"/>
      <c r="E425" s="6"/>
      <c r="F425" s="6"/>
      <c r="G425" s="7"/>
      <c r="H425" s="7"/>
      <c r="I425" s="8"/>
      <c r="J425" s="9"/>
      <c r="K425" s="7"/>
      <c r="L425" s="7"/>
      <c r="M425" s="10"/>
      <c r="N425" s="11"/>
      <c r="O425" s="12"/>
      <c r="P425" s="13"/>
      <c r="Q425" s="13"/>
      <c r="R425" s="13"/>
      <c r="S425" s="6"/>
      <c r="T425" s="8"/>
      <c r="U425" s="9"/>
      <c r="V425" s="14"/>
      <c r="W425" s="8"/>
      <c r="X425" s="8"/>
      <c r="Y425" s="8"/>
      <c r="Z425" s="12"/>
      <c r="AA425" s="11"/>
      <c r="AB425" s="15"/>
    </row>
    <row r="426" spans="1:28" x14ac:dyDescent="0.15">
      <c r="A426" s="4"/>
      <c r="B426" s="4"/>
      <c r="C426" s="5"/>
      <c r="D426" s="6"/>
      <c r="E426" s="6"/>
      <c r="F426" s="6"/>
      <c r="G426" s="7"/>
      <c r="H426" s="7"/>
      <c r="I426" s="8"/>
      <c r="J426" s="9"/>
      <c r="K426" s="7"/>
      <c r="L426" s="7"/>
      <c r="M426" s="10"/>
      <c r="N426" s="11"/>
      <c r="O426" s="12"/>
      <c r="P426" s="13"/>
      <c r="Q426" s="13"/>
      <c r="R426" s="13"/>
      <c r="S426" s="6"/>
      <c r="T426" s="8"/>
      <c r="U426" s="9"/>
      <c r="V426" s="14"/>
      <c r="W426" s="8"/>
      <c r="X426" s="8"/>
      <c r="Y426" s="8"/>
      <c r="Z426" s="12"/>
      <c r="AA426" s="11"/>
      <c r="AB426" s="15"/>
    </row>
    <row r="427" spans="1:28" x14ac:dyDescent="0.15">
      <c r="A427" s="4"/>
      <c r="B427" s="4"/>
      <c r="C427" s="5"/>
      <c r="D427" s="6"/>
      <c r="E427" s="6"/>
      <c r="F427" s="6"/>
      <c r="G427" s="7"/>
      <c r="H427" s="7"/>
      <c r="I427" s="8"/>
      <c r="J427" s="9"/>
      <c r="K427" s="7"/>
      <c r="L427" s="7"/>
      <c r="M427" s="10"/>
      <c r="N427" s="11"/>
      <c r="O427" s="12"/>
      <c r="P427" s="13"/>
      <c r="Q427" s="13"/>
      <c r="R427" s="13"/>
      <c r="S427" s="6"/>
      <c r="T427" s="8"/>
      <c r="U427" s="9"/>
      <c r="V427" s="14"/>
      <c r="W427" s="8"/>
      <c r="X427" s="8"/>
      <c r="Y427" s="8"/>
      <c r="Z427" s="12"/>
      <c r="AA427" s="11"/>
      <c r="AB427" s="15"/>
    </row>
    <row r="428" spans="1:28" x14ac:dyDescent="0.15">
      <c r="A428" s="4"/>
      <c r="B428" s="4"/>
      <c r="C428" s="5"/>
      <c r="D428" s="6"/>
      <c r="E428" s="6"/>
      <c r="F428" s="6"/>
      <c r="G428" s="7"/>
      <c r="H428" s="7"/>
      <c r="I428" s="8"/>
      <c r="J428" s="9"/>
      <c r="K428" s="7"/>
      <c r="L428" s="7"/>
      <c r="M428" s="10"/>
      <c r="N428" s="11"/>
      <c r="O428" s="12"/>
      <c r="P428" s="13"/>
      <c r="Q428" s="13"/>
      <c r="R428" s="13"/>
      <c r="S428" s="6"/>
      <c r="T428" s="8"/>
      <c r="U428" s="9"/>
      <c r="V428" s="14"/>
      <c r="W428" s="8"/>
      <c r="X428" s="8"/>
      <c r="Y428" s="8"/>
      <c r="Z428" s="12"/>
      <c r="AA428" s="11"/>
      <c r="AB428" s="15"/>
    </row>
    <row r="429" spans="1:28" x14ac:dyDescent="0.15">
      <c r="A429" s="4"/>
      <c r="B429" s="4"/>
      <c r="C429" s="5"/>
      <c r="D429" s="6"/>
      <c r="E429" s="6"/>
      <c r="F429" s="6"/>
      <c r="G429" s="7"/>
      <c r="H429" s="7"/>
      <c r="I429" s="8"/>
      <c r="J429" s="9"/>
      <c r="K429" s="7"/>
      <c r="L429" s="7"/>
      <c r="M429" s="10"/>
      <c r="N429" s="11"/>
      <c r="O429" s="12"/>
      <c r="P429" s="13"/>
      <c r="Q429" s="13"/>
      <c r="R429" s="13"/>
      <c r="S429" s="6"/>
      <c r="T429" s="8"/>
      <c r="U429" s="9"/>
      <c r="V429" s="14"/>
      <c r="W429" s="8"/>
      <c r="X429" s="8"/>
      <c r="Y429" s="8"/>
      <c r="Z429" s="12"/>
      <c r="AA429" s="11"/>
      <c r="AB429" s="15"/>
    </row>
    <row r="430" spans="1:28" x14ac:dyDescent="0.15">
      <c r="A430" s="4"/>
      <c r="B430" s="4"/>
      <c r="C430" s="5"/>
      <c r="D430" s="6"/>
      <c r="E430" s="6"/>
      <c r="F430" s="6"/>
      <c r="G430" s="7"/>
      <c r="H430" s="7"/>
      <c r="I430" s="8"/>
      <c r="J430" s="9"/>
      <c r="K430" s="7"/>
      <c r="L430" s="7"/>
      <c r="M430" s="10"/>
      <c r="N430" s="11"/>
      <c r="O430" s="12"/>
      <c r="P430" s="13"/>
      <c r="Q430" s="13"/>
      <c r="R430" s="13"/>
      <c r="S430" s="6"/>
      <c r="T430" s="8"/>
      <c r="U430" s="9"/>
      <c r="V430" s="14"/>
      <c r="W430" s="8"/>
      <c r="X430" s="8"/>
      <c r="Y430" s="8"/>
      <c r="Z430" s="12"/>
      <c r="AA430" s="11"/>
      <c r="AB430" s="15"/>
    </row>
    <row r="431" spans="1:28" x14ac:dyDescent="0.15">
      <c r="A431" s="4"/>
      <c r="B431" s="4"/>
      <c r="C431" s="5"/>
      <c r="D431" s="6"/>
      <c r="E431" s="6"/>
      <c r="F431" s="6"/>
      <c r="G431" s="7"/>
      <c r="H431" s="7"/>
      <c r="I431" s="8"/>
      <c r="J431" s="9"/>
      <c r="K431" s="7"/>
      <c r="L431" s="7"/>
      <c r="M431" s="10"/>
      <c r="N431" s="11"/>
      <c r="O431" s="12"/>
      <c r="P431" s="13"/>
      <c r="Q431" s="13"/>
      <c r="R431" s="13"/>
      <c r="S431" s="6"/>
      <c r="T431" s="8"/>
      <c r="U431" s="9"/>
      <c r="V431" s="14"/>
      <c r="W431" s="8"/>
      <c r="X431" s="8"/>
      <c r="Y431" s="8"/>
      <c r="Z431" s="12"/>
      <c r="AA431" s="11"/>
      <c r="AB431" s="15"/>
    </row>
    <row r="432" spans="1:28" x14ac:dyDescent="0.15">
      <c r="A432" s="4"/>
      <c r="B432" s="4"/>
      <c r="C432" s="5"/>
      <c r="D432" s="6"/>
      <c r="E432" s="6"/>
      <c r="F432" s="6"/>
      <c r="G432" s="7"/>
      <c r="H432" s="7"/>
      <c r="I432" s="8"/>
      <c r="J432" s="9"/>
      <c r="K432" s="7"/>
      <c r="L432" s="7"/>
      <c r="M432" s="10"/>
      <c r="N432" s="11"/>
      <c r="O432" s="12"/>
      <c r="P432" s="13"/>
      <c r="Q432" s="13"/>
      <c r="R432" s="13"/>
      <c r="S432" s="6"/>
      <c r="T432" s="8"/>
      <c r="U432" s="9"/>
      <c r="V432" s="14"/>
      <c r="W432" s="8"/>
      <c r="X432" s="8"/>
      <c r="Y432" s="8"/>
      <c r="Z432" s="12"/>
      <c r="AA432" s="11"/>
      <c r="AB432" s="15"/>
    </row>
    <row r="433" spans="1:28" x14ac:dyDescent="0.15">
      <c r="A433" s="4"/>
      <c r="B433" s="4"/>
      <c r="C433" s="5"/>
      <c r="D433" s="6"/>
      <c r="E433" s="6"/>
      <c r="F433" s="6"/>
      <c r="G433" s="7"/>
      <c r="H433" s="7"/>
      <c r="I433" s="8"/>
      <c r="J433" s="9"/>
      <c r="K433" s="7"/>
      <c r="L433" s="7"/>
      <c r="M433" s="10"/>
      <c r="N433" s="11"/>
      <c r="O433" s="12"/>
      <c r="P433" s="13"/>
      <c r="Q433" s="13"/>
      <c r="R433" s="13"/>
      <c r="S433" s="6"/>
      <c r="T433" s="8"/>
      <c r="U433" s="9"/>
      <c r="V433" s="14"/>
      <c r="W433" s="8"/>
      <c r="X433" s="8"/>
      <c r="Y433" s="8"/>
      <c r="Z433" s="12"/>
      <c r="AA433" s="11"/>
      <c r="AB433" s="15"/>
    </row>
    <row r="434" spans="1:28" x14ac:dyDescent="0.15">
      <c r="A434" s="4"/>
      <c r="B434" s="4"/>
      <c r="C434" s="5"/>
      <c r="D434" s="6"/>
      <c r="E434" s="6"/>
      <c r="F434" s="6"/>
      <c r="G434" s="7"/>
      <c r="H434" s="7"/>
      <c r="I434" s="8"/>
      <c r="J434" s="9"/>
      <c r="K434" s="7"/>
      <c r="L434" s="7"/>
      <c r="M434" s="10"/>
      <c r="N434" s="11"/>
      <c r="O434" s="12"/>
      <c r="P434" s="13"/>
      <c r="Q434" s="13"/>
      <c r="R434" s="13"/>
      <c r="S434" s="6"/>
      <c r="T434" s="8"/>
      <c r="U434" s="9"/>
      <c r="V434" s="14"/>
      <c r="W434" s="8"/>
      <c r="X434" s="8"/>
      <c r="Y434" s="8"/>
      <c r="Z434" s="12"/>
      <c r="AA434" s="11"/>
      <c r="AB434" s="15"/>
    </row>
    <row r="435" spans="1:28" x14ac:dyDescent="0.15">
      <c r="A435" s="4"/>
      <c r="B435" s="4"/>
      <c r="C435" s="5"/>
      <c r="D435" s="6"/>
      <c r="E435" s="6"/>
      <c r="F435" s="6"/>
      <c r="G435" s="7"/>
      <c r="H435" s="7"/>
      <c r="I435" s="8"/>
      <c r="J435" s="9"/>
      <c r="K435" s="7"/>
      <c r="L435" s="7"/>
      <c r="M435" s="10"/>
      <c r="N435" s="11"/>
      <c r="O435" s="12"/>
      <c r="P435" s="13"/>
      <c r="Q435" s="13"/>
      <c r="R435" s="13"/>
      <c r="S435" s="6"/>
      <c r="T435" s="8"/>
      <c r="U435" s="9"/>
      <c r="V435" s="14"/>
      <c r="W435" s="8"/>
      <c r="X435" s="8"/>
      <c r="Y435" s="8"/>
      <c r="Z435" s="12"/>
      <c r="AA435" s="11"/>
      <c r="AB435" s="15"/>
    </row>
    <row r="436" spans="1:28" x14ac:dyDescent="0.15">
      <c r="A436" s="4"/>
      <c r="B436" s="4"/>
      <c r="C436" s="5"/>
      <c r="D436" s="6"/>
      <c r="E436" s="6"/>
      <c r="F436" s="6"/>
      <c r="G436" s="7"/>
      <c r="H436" s="7"/>
      <c r="I436" s="8"/>
      <c r="J436" s="9"/>
      <c r="K436" s="7"/>
      <c r="L436" s="7"/>
      <c r="M436" s="10"/>
      <c r="N436" s="11"/>
      <c r="O436" s="12"/>
      <c r="P436" s="13"/>
      <c r="Q436" s="13"/>
      <c r="R436" s="13"/>
      <c r="S436" s="6"/>
      <c r="T436" s="8"/>
      <c r="U436" s="9"/>
      <c r="V436" s="14"/>
      <c r="W436" s="8"/>
      <c r="X436" s="8"/>
      <c r="Y436" s="8"/>
      <c r="Z436" s="12"/>
      <c r="AA436" s="11"/>
      <c r="AB436" s="15"/>
    </row>
    <row r="437" spans="1:28" x14ac:dyDescent="0.15">
      <c r="A437" s="4"/>
      <c r="B437" s="4"/>
      <c r="C437" s="5"/>
      <c r="D437" s="6"/>
      <c r="E437" s="6"/>
      <c r="F437" s="6"/>
      <c r="G437" s="7"/>
      <c r="H437" s="7"/>
      <c r="I437" s="8"/>
      <c r="J437" s="9"/>
      <c r="K437" s="7"/>
      <c r="L437" s="7"/>
      <c r="M437" s="10"/>
      <c r="N437" s="11"/>
      <c r="O437" s="12"/>
      <c r="P437" s="13"/>
      <c r="Q437" s="13"/>
      <c r="R437" s="13"/>
      <c r="S437" s="6"/>
      <c r="T437" s="8"/>
      <c r="U437" s="9"/>
      <c r="V437" s="14"/>
      <c r="W437" s="8"/>
      <c r="X437" s="8"/>
      <c r="Y437" s="8"/>
      <c r="Z437" s="12"/>
      <c r="AA437" s="11"/>
      <c r="AB437" s="15"/>
    </row>
    <row r="438" spans="1:28" x14ac:dyDescent="0.15">
      <c r="A438" s="4"/>
      <c r="B438" s="4"/>
      <c r="C438" s="5"/>
      <c r="D438" s="6"/>
      <c r="E438" s="6"/>
      <c r="F438" s="6"/>
      <c r="G438" s="7"/>
      <c r="H438" s="7"/>
      <c r="I438" s="8"/>
      <c r="J438" s="9"/>
      <c r="K438" s="7"/>
      <c r="L438" s="7"/>
      <c r="M438" s="10"/>
      <c r="N438" s="11"/>
      <c r="O438" s="12"/>
      <c r="P438" s="13"/>
      <c r="Q438" s="13"/>
      <c r="R438" s="13"/>
      <c r="S438" s="6"/>
      <c r="T438" s="8"/>
      <c r="U438" s="9"/>
      <c r="V438" s="14"/>
      <c r="W438" s="8"/>
      <c r="X438" s="8"/>
      <c r="Y438" s="8"/>
      <c r="Z438" s="12"/>
      <c r="AA438" s="11"/>
      <c r="AB438" s="15"/>
    </row>
    <row r="439" spans="1:28" x14ac:dyDescent="0.15">
      <c r="A439" s="4"/>
      <c r="B439" s="4"/>
      <c r="C439" s="5"/>
      <c r="D439" s="6"/>
      <c r="E439" s="6"/>
      <c r="F439" s="6"/>
      <c r="G439" s="7"/>
      <c r="H439" s="7"/>
      <c r="I439" s="8"/>
      <c r="J439" s="9"/>
      <c r="K439" s="7"/>
      <c r="L439" s="7"/>
      <c r="M439" s="10"/>
      <c r="N439" s="11"/>
      <c r="O439" s="12"/>
      <c r="P439" s="13"/>
      <c r="Q439" s="13"/>
      <c r="R439" s="13"/>
      <c r="S439" s="6"/>
      <c r="T439" s="8"/>
      <c r="U439" s="9"/>
      <c r="V439" s="14"/>
      <c r="W439" s="8"/>
      <c r="X439" s="8"/>
      <c r="Y439" s="8"/>
      <c r="Z439" s="12"/>
      <c r="AA439" s="11"/>
      <c r="AB439" s="15"/>
    </row>
    <row r="440" spans="1:28" x14ac:dyDescent="0.15">
      <c r="A440" s="4"/>
      <c r="B440" s="4"/>
      <c r="C440" s="5"/>
      <c r="D440" s="6"/>
      <c r="E440" s="6"/>
      <c r="F440" s="6"/>
      <c r="G440" s="7"/>
      <c r="H440" s="7"/>
      <c r="I440" s="8"/>
      <c r="J440" s="9"/>
      <c r="K440" s="7"/>
      <c r="L440" s="7"/>
      <c r="M440" s="10"/>
      <c r="N440" s="11"/>
      <c r="O440" s="12"/>
      <c r="P440" s="13"/>
      <c r="Q440" s="13"/>
      <c r="R440" s="13"/>
      <c r="S440" s="6"/>
      <c r="T440" s="8"/>
      <c r="U440" s="9"/>
      <c r="V440" s="14"/>
      <c r="W440" s="8"/>
      <c r="X440" s="8"/>
      <c r="Y440" s="8"/>
      <c r="Z440" s="12"/>
      <c r="AA440" s="11"/>
      <c r="AB440" s="15"/>
    </row>
    <row r="441" spans="1:28" x14ac:dyDescent="0.15">
      <c r="A441" s="4"/>
      <c r="B441" s="4"/>
      <c r="C441" s="5"/>
      <c r="D441" s="6"/>
      <c r="E441" s="6"/>
      <c r="F441" s="6"/>
      <c r="G441" s="7"/>
      <c r="H441" s="7"/>
      <c r="I441" s="8"/>
      <c r="J441" s="9"/>
      <c r="K441" s="7"/>
      <c r="L441" s="7"/>
      <c r="M441" s="10"/>
      <c r="N441" s="11"/>
      <c r="O441" s="12"/>
      <c r="P441" s="13"/>
      <c r="Q441" s="13"/>
      <c r="R441" s="13"/>
      <c r="S441" s="6"/>
      <c r="T441" s="8"/>
      <c r="U441" s="9"/>
      <c r="V441" s="14"/>
      <c r="W441" s="8"/>
      <c r="X441" s="8"/>
      <c r="Y441" s="8"/>
      <c r="Z441" s="12"/>
      <c r="AA441" s="11"/>
      <c r="AB441" s="15"/>
    </row>
    <row r="442" spans="1:28" x14ac:dyDescent="0.15">
      <c r="A442" s="4"/>
      <c r="B442" s="4"/>
      <c r="C442" s="5"/>
      <c r="D442" s="6"/>
      <c r="E442" s="6"/>
      <c r="F442" s="6"/>
      <c r="G442" s="7"/>
      <c r="H442" s="7"/>
      <c r="I442" s="8"/>
      <c r="J442" s="9"/>
      <c r="K442" s="7"/>
      <c r="L442" s="7"/>
      <c r="M442" s="10"/>
      <c r="N442" s="11"/>
      <c r="O442" s="12"/>
      <c r="P442" s="13"/>
      <c r="Q442" s="13"/>
      <c r="R442" s="13"/>
      <c r="S442" s="6"/>
      <c r="T442" s="8"/>
      <c r="U442" s="9"/>
      <c r="V442" s="14"/>
      <c r="W442" s="8"/>
      <c r="X442" s="8"/>
      <c r="Y442" s="8"/>
      <c r="Z442" s="12"/>
      <c r="AA442" s="11"/>
      <c r="AB442" s="15"/>
    </row>
    <row r="443" spans="1:28" x14ac:dyDescent="0.15">
      <c r="A443" s="4"/>
      <c r="B443" s="4"/>
      <c r="C443" s="5"/>
      <c r="D443" s="6"/>
      <c r="E443" s="6"/>
      <c r="F443" s="6"/>
      <c r="G443" s="7"/>
      <c r="H443" s="7"/>
      <c r="I443" s="8"/>
      <c r="J443" s="9"/>
      <c r="K443" s="7"/>
      <c r="L443" s="7"/>
      <c r="M443" s="10"/>
      <c r="N443" s="11"/>
      <c r="O443" s="12"/>
      <c r="P443" s="13"/>
      <c r="Q443" s="13"/>
      <c r="R443" s="13"/>
      <c r="S443" s="6"/>
      <c r="T443" s="8"/>
      <c r="U443" s="9"/>
      <c r="V443" s="14"/>
      <c r="W443" s="8"/>
      <c r="X443" s="8"/>
      <c r="Y443" s="8"/>
      <c r="Z443" s="12"/>
      <c r="AA443" s="11"/>
      <c r="AB443" s="15"/>
    </row>
    <row r="444" spans="1:28" x14ac:dyDescent="0.15">
      <c r="A444" s="4"/>
      <c r="B444" s="4"/>
      <c r="C444" s="5"/>
      <c r="D444" s="6"/>
      <c r="E444" s="6"/>
      <c r="F444" s="6"/>
      <c r="G444" s="7"/>
      <c r="H444" s="7"/>
      <c r="I444" s="8"/>
      <c r="J444" s="9"/>
      <c r="K444" s="7"/>
      <c r="L444" s="7"/>
      <c r="M444" s="10"/>
      <c r="N444" s="11"/>
      <c r="O444" s="12"/>
      <c r="P444" s="13"/>
      <c r="Q444" s="13"/>
      <c r="R444" s="13"/>
      <c r="S444" s="6"/>
      <c r="T444" s="8"/>
      <c r="U444" s="9"/>
      <c r="V444" s="14"/>
      <c r="W444" s="8"/>
      <c r="X444" s="8"/>
      <c r="Y444" s="8"/>
      <c r="Z444" s="12"/>
      <c r="AA444" s="11"/>
      <c r="AB444" s="15"/>
    </row>
    <row r="445" spans="1:28" x14ac:dyDescent="0.15">
      <c r="A445" s="4"/>
      <c r="B445" s="4"/>
      <c r="C445" s="5"/>
      <c r="D445" s="6"/>
      <c r="E445" s="6"/>
      <c r="F445" s="6"/>
      <c r="G445" s="7"/>
      <c r="H445" s="7"/>
      <c r="I445" s="8"/>
      <c r="J445" s="9"/>
      <c r="K445" s="7"/>
      <c r="L445" s="7"/>
      <c r="M445" s="10"/>
      <c r="N445" s="11"/>
      <c r="O445" s="12"/>
      <c r="P445" s="13"/>
      <c r="Q445" s="13"/>
      <c r="R445" s="13"/>
      <c r="S445" s="6"/>
      <c r="T445" s="8"/>
      <c r="U445" s="9"/>
      <c r="V445" s="14"/>
      <c r="W445" s="8"/>
      <c r="X445" s="8"/>
      <c r="Y445" s="8"/>
      <c r="Z445" s="12"/>
      <c r="AA445" s="11"/>
      <c r="AB445" s="15"/>
    </row>
    <row r="446" spans="1:28" x14ac:dyDescent="0.15">
      <c r="A446" s="4"/>
      <c r="B446" s="4"/>
      <c r="C446" s="5"/>
      <c r="D446" s="6"/>
      <c r="E446" s="6"/>
      <c r="F446" s="6"/>
      <c r="G446" s="7"/>
      <c r="H446" s="7"/>
      <c r="I446" s="8"/>
      <c r="J446" s="9"/>
      <c r="K446" s="7"/>
      <c r="L446" s="7"/>
      <c r="M446" s="10"/>
      <c r="N446" s="11"/>
      <c r="O446" s="12"/>
      <c r="P446" s="13"/>
      <c r="Q446" s="13"/>
      <c r="R446" s="13"/>
      <c r="S446" s="6"/>
      <c r="T446" s="8"/>
      <c r="U446" s="9"/>
      <c r="V446" s="14"/>
      <c r="W446" s="8"/>
      <c r="X446" s="8"/>
      <c r="Y446" s="8"/>
      <c r="Z446" s="12"/>
      <c r="AA446" s="11"/>
      <c r="AB446" s="15"/>
    </row>
    <row r="447" spans="1:28" x14ac:dyDescent="0.15">
      <c r="A447" s="4"/>
      <c r="B447" s="4"/>
      <c r="C447" s="5"/>
      <c r="D447" s="6"/>
      <c r="E447" s="6"/>
      <c r="F447" s="6"/>
      <c r="G447" s="7"/>
      <c r="H447" s="7"/>
      <c r="I447" s="8"/>
      <c r="J447" s="9"/>
      <c r="K447" s="7"/>
      <c r="L447" s="7"/>
      <c r="M447" s="10"/>
      <c r="N447" s="11"/>
      <c r="O447" s="12"/>
      <c r="P447" s="13"/>
      <c r="Q447" s="13"/>
      <c r="R447" s="13"/>
      <c r="S447" s="6"/>
      <c r="T447" s="8"/>
      <c r="U447" s="9"/>
      <c r="V447" s="14"/>
      <c r="W447" s="8"/>
      <c r="X447" s="8"/>
      <c r="Y447" s="8"/>
      <c r="Z447" s="12"/>
      <c r="AA447" s="11"/>
      <c r="AB447" s="15"/>
    </row>
    <row r="448" spans="1:28" x14ac:dyDescent="0.15">
      <c r="A448" s="4"/>
      <c r="B448" s="4"/>
      <c r="C448" s="5"/>
      <c r="D448" s="6"/>
      <c r="E448" s="6"/>
      <c r="F448" s="6"/>
      <c r="G448" s="7"/>
      <c r="H448" s="7"/>
      <c r="I448" s="8"/>
      <c r="J448" s="9"/>
      <c r="K448" s="7"/>
      <c r="L448" s="7"/>
      <c r="M448" s="10"/>
      <c r="N448" s="11"/>
      <c r="O448" s="12"/>
      <c r="P448" s="13"/>
      <c r="Q448" s="13"/>
      <c r="R448" s="13"/>
      <c r="S448" s="6"/>
      <c r="T448" s="8"/>
      <c r="U448" s="9"/>
      <c r="V448" s="14"/>
      <c r="W448" s="8"/>
      <c r="X448" s="8"/>
      <c r="Y448" s="8"/>
      <c r="Z448" s="12"/>
      <c r="AA448" s="11"/>
      <c r="AB448" s="15"/>
    </row>
    <row r="449" spans="1:28" x14ac:dyDescent="0.15">
      <c r="A449" s="4"/>
      <c r="B449" s="4"/>
      <c r="C449" s="5"/>
      <c r="D449" s="6"/>
      <c r="E449" s="6"/>
      <c r="F449" s="6"/>
      <c r="G449" s="7"/>
      <c r="H449" s="7"/>
      <c r="I449" s="8"/>
      <c r="J449" s="9"/>
      <c r="K449" s="7"/>
      <c r="L449" s="7"/>
      <c r="M449" s="10"/>
      <c r="N449" s="11"/>
      <c r="O449" s="12"/>
      <c r="P449" s="13"/>
      <c r="Q449" s="13"/>
      <c r="R449" s="13"/>
      <c r="S449" s="6"/>
      <c r="T449" s="8"/>
      <c r="U449" s="9"/>
      <c r="V449" s="14"/>
      <c r="W449" s="8"/>
      <c r="X449" s="8"/>
      <c r="Y449" s="8"/>
      <c r="Z449" s="12"/>
      <c r="AA449" s="11"/>
      <c r="AB449" s="15"/>
    </row>
    <row r="450" spans="1:28" x14ac:dyDescent="0.15">
      <c r="A450" s="4"/>
      <c r="B450" s="4"/>
      <c r="C450" s="5"/>
      <c r="D450" s="6"/>
      <c r="E450" s="6"/>
      <c r="F450" s="6"/>
      <c r="G450" s="7"/>
      <c r="H450" s="7"/>
      <c r="I450" s="8"/>
      <c r="J450" s="9"/>
      <c r="K450" s="7"/>
      <c r="L450" s="7"/>
      <c r="M450" s="10"/>
      <c r="N450" s="11"/>
      <c r="O450" s="12"/>
      <c r="P450" s="13"/>
      <c r="Q450" s="13"/>
      <c r="R450" s="13"/>
      <c r="S450" s="6"/>
      <c r="T450" s="8"/>
      <c r="U450" s="9"/>
      <c r="V450" s="14"/>
      <c r="W450" s="8"/>
      <c r="X450" s="8"/>
      <c r="Y450" s="8"/>
      <c r="Z450" s="12"/>
      <c r="AA450" s="11"/>
      <c r="AB450" s="15"/>
    </row>
    <row r="451" spans="1:28" x14ac:dyDescent="0.15">
      <c r="A451" s="4"/>
      <c r="B451" s="4"/>
      <c r="C451" s="5"/>
      <c r="D451" s="6"/>
      <c r="E451" s="6"/>
      <c r="F451" s="6"/>
      <c r="G451" s="7"/>
      <c r="H451" s="7"/>
      <c r="I451" s="8"/>
      <c r="J451" s="9"/>
      <c r="K451" s="7"/>
      <c r="L451" s="7"/>
      <c r="M451" s="10"/>
      <c r="N451" s="11"/>
      <c r="O451" s="12"/>
      <c r="P451" s="13"/>
      <c r="Q451" s="13"/>
      <c r="R451" s="13"/>
      <c r="S451" s="6"/>
      <c r="T451" s="8"/>
      <c r="U451" s="9"/>
      <c r="V451" s="14"/>
      <c r="W451" s="8"/>
      <c r="X451" s="8"/>
      <c r="Y451" s="8"/>
      <c r="Z451" s="12"/>
      <c r="AA451" s="11"/>
      <c r="AB451" s="15"/>
    </row>
    <row r="452" spans="1:28" x14ac:dyDescent="0.15">
      <c r="A452" s="4"/>
      <c r="B452" s="4"/>
      <c r="C452" s="5"/>
      <c r="D452" s="6"/>
      <c r="E452" s="6"/>
      <c r="F452" s="6"/>
      <c r="G452" s="7"/>
      <c r="H452" s="7"/>
      <c r="I452" s="8"/>
      <c r="J452" s="9"/>
      <c r="K452" s="7"/>
      <c r="L452" s="7"/>
      <c r="M452" s="10"/>
      <c r="N452" s="11"/>
      <c r="O452" s="12"/>
      <c r="P452" s="13"/>
      <c r="Q452" s="13"/>
      <c r="R452" s="13"/>
      <c r="S452" s="6"/>
      <c r="T452" s="8"/>
      <c r="U452" s="9"/>
      <c r="V452" s="14"/>
      <c r="W452" s="8"/>
      <c r="X452" s="8"/>
      <c r="Y452" s="8"/>
      <c r="Z452" s="12"/>
      <c r="AA452" s="11"/>
      <c r="AB452" s="15"/>
    </row>
    <row r="453" spans="1:28" x14ac:dyDescent="0.15">
      <c r="A453" s="4"/>
      <c r="B453" s="4"/>
      <c r="C453" s="5"/>
      <c r="D453" s="6"/>
      <c r="E453" s="6"/>
      <c r="F453" s="6"/>
      <c r="G453" s="7"/>
      <c r="H453" s="7"/>
      <c r="I453" s="8"/>
      <c r="J453" s="9"/>
      <c r="K453" s="7"/>
      <c r="L453" s="7"/>
      <c r="M453" s="10"/>
      <c r="N453" s="11"/>
      <c r="O453" s="12"/>
      <c r="P453" s="13"/>
      <c r="Q453" s="13"/>
      <c r="R453" s="13"/>
      <c r="S453" s="6"/>
      <c r="T453" s="8"/>
      <c r="U453" s="9"/>
      <c r="V453" s="14"/>
      <c r="W453" s="8"/>
      <c r="X453" s="8"/>
      <c r="Y453" s="8"/>
      <c r="Z453" s="12"/>
      <c r="AA453" s="11"/>
      <c r="AB453" s="15"/>
    </row>
    <row r="454" spans="1:28" x14ac:dyDescent="0.15">
      <c r="A454" s="4"/>
      <c r="B454" s="4"/>
      <c r="C454" s="5"/>
      <c r="D454" s="6"/>
      <c r="E454" s="6"/>
      <c r="F454" s="6"/>
      <c r="G454" s="7"/>
      <c r="H454" s="7"/>
      <c r="I454" s="8"/>
      <c r="J454" s="9"/>
      <c r="K454" s="7"/>
      <c r="L454" s="7"/>
      <c r="M454" s="10"/>
      <c r="N454" s="11"/>
      <c r="O454" s="12"/>
      <c r="P454" s="13"/>
      <c r="Q454" s="13"/>
      <c r="R454" s="13"/>
      <c r="S454" s="6"/>
      <c r="T454" s="8"/>
      <c r="U454" s="9"/>
      <c r="V454" s="14"/>
      <c r="W454" s="8"/>
      <c r="X454" s="8"/>
      <c r="Y454" s="8"/>
      <c r="Z454" s="12"/>
      <c r="AA454" s="11"/>
      <c r="AB454" s="15"/>
    </row>
    <row r="455" spans="1:28" x14ac:dyDescent="0.15">
      <c r="A455" s="4"/>
      <c r="B455" s="4"/>
      <c r="C455" s="5"/>
      <c r="D455" s="6"/>
      <c r="E455" s="6"/>
      <c r="F455" s="6"/>
      <c r="G455" s="7"/>
      <c r="H455" s="7"/>
      <c r="I455" s="8"/>
      <c r="J455" s="9"/>
      <c r="K455" s="7"/>
      <c r="L455" s="7"/>
      <c r="M455" s="10"/>
      <c r="N455" s="11"/>
      <c r="O455" s="12"/>
      <c r="P455" s="13"/>
      <c r="Q455" s="13"/>
      <c r="R455" s="13"/>
      <c r="S455" s="6"/>
      <c r="T455" s="8"/>
      <c r="U455" s="9"/>
      <c r="V455" s="14"/>
      <c r="W455" s="8"/>
      <c r="X455" s="8"/>
      <c r="Y455" s="8"/>
      <c r="Z455" s="12"/>
      <c r="AA455" s="11"/>
      <c r="AB455" s="15"/>
    </row>
    <row r="456" spans="1:28" x14ac:dyDescent="0.15">
      <c r="A456" s="4"/>
      <c r="B456" s="4"/>
      <c r="C456" s="5"/>
      <c r="D456" s="6"/>
      <c r="E456" s="6"/>
      <c r="F456" s="6"/>
      <c r="G456" s="7"/>
      <c r="H456" s="7"/>
      <c r="I456" s="8"/>
      <c r="J456" s="9"/>
      <c r="K456" s="7"/>
      <c r="L456" s="7"/>
      <c r="M456" s="10"/>
      <c r="N456" s="11"/>
      <c r="O456" s="12"/>
      <c r="P456" s="13"/>
      <c r="Q456" s="13"/>
      <c r="R456" s="13"/>
      <c r="S456" s="6"/>
      <c r="T456" s="8"/>
      <c r="U456" s="9"/>
      <c r="V456" s="14"/>
      <c r="W456" s="8"/>
      <c r="X456" s="8"/>
      <c r="Y456" s="8"/>
      <c r="Z456" s="12"/>
      <c r="AA456" s="11"/>
      <c r="AB456" s="15"/>
    </row>
    <row r="457" spans="1:28" x14ac:dyDescent="0.15">
      <c r="A457" s="4"/>
      <c r="B457" s="4"/>
      <c r="C457" s="5"/>
      <c r="D457" s="6"/>
      <c r="E457" s="6"/>
      <c r="F457" s="6"/>
      <c r="G457" s="7"/>
      <c r="H457" s="7"/>
      <c r="I457" s="8"/>
      <c r="J457" s="9"/>
      <c r="K457" s="7"/>
      <c r="L457" s="7"/>
      <c r="M457" s="10"/>
      <c r="N457" s="11"/>
      <c r="O457" s="12"/>
      <c r="P457" s="13"/>
      <c r="Q457" s="13"/>
      <c r="R457" s="13"/>
      <c r="S457" s="6"/>
      <c r="T457" s="8"/>
      <c r="U457" s="9"/>
      <c r="V457" s="14"/>
      <c r="W457" s="8"/>
      <c r="X457" s="8"/>
      <c r="Y457" s="8"/>
      <c r="Z457" s="12"/>
      <c r="AA457" s="11"/>
      <c r="AB457" s="15"/>
    </row>
    <row r="458" spans="1:28" x14ac:dyDescent="0.15">
      <c r="A458" s="4"/>
      <c r="B458" s="4"/>
      <c r="C458" s="5"/>
      <c r="D458" s="6"/>
      <c r="E458" s="6"/>
      <c r="F458" s="6"/>
      <c r="G458" s="7"/>
      <c r="H458" s="7"/>
      <c r="I458" s="8"/>
      <c r="J458" s="9"/>
      <c r="K458" s="7"/>
      <c r="L458" s="7"/>
      <c r="M458" s="10"/>
      <c r="N458" s="11"/>
      <c r="O458" s="12"/>
      <c r="P458" s="13"/>
      <c r="Q458" s="13"/>
      <c r="R458" s="13"/>
      <c r="S458" s="6"/>
      <c r="T458" s="8"/>
      <c r="U458" s="9"/>
      <c r="V458" s="14"/>
      <c r="W458" s="8"/>
      <c r="X458" s="8"/>
      <c r="Y458" s="8"/>
      <c r="Z458" s="12"/>
      <c r="AA458" s="11"/>
      <c r="AB458" s="15"/>
    </row>
    <row r="459" spans="1:28" x14ac:dyDescent="0.15">
      <c r="A459" s="4"/>
      <c r="B459" s="4"/>
      <c r="C459" s="5"/>
      <c r="D459" s="6"/>
      <c r="E459" s="6"/>
      <c r="F459" s="6"/>
      <c r="G459" s="7"/>
      <c r="H459" s="7"/>
      <c r="I459" s="8"/>
      <c r="J459" s="9"/>
      <c r="K459" s="7"/>
      <c r="L459" s="7"/>
      <c r="M459" s="10"/>
      <c r="N459" s="11"/>
      <c r="O459" s="12"/>
      <c r="P459" s="13"/>
      <c r="Q459" s="13"/>
      <c r="R459" s="13"/>
      <c r="S459" s="6"/>
      <c r="T459" s="8"/>
      <c r="U459" s="9"/>
      <c r="V459" s="14"/>
      <c r="W459" s="8"/>
      <c r="X459" s="8"/>
      <c r="Y459" s="8"/>
      <c r="Z459" s="12"/>
      <c r="AA459" s="11"/>
      <c r="AB459" s="15"/>
    </row>
    <row r="460" spans="1:28" x14ac:dyDescent="0.15">
      <c r="A460" s="4"/>
      <c r="B460" s="4"/>
      <c r="C460" s="5"/>
      <c r="D460" s="6"/>
      <c r="E460" s="6"/>
      <c r="F460" s="6"/>
      <c r="G460" s="7"/>
      <c r="H460" s="7"/>
      <c r="I460" s="8"/>
      <c r="J460" s="9"/>
      <c r="K460" s="7"/>
      <c r="L460" s="7"/>
      <c r="M460" s="10"/>
      <c r="N460" s="11"/>
      <c r="O460" s="12"/>
      <c r="P460" s="13"/>
      <c r="Q460" s="13"/>
      <c r="R460" s="13"/>
      <c r="S460" s="6"/>
      <c r="T460" s="8"/>
      <c r="U460" s="9"/>
      <c r="V460" s="14"/>
      <c r="W460" s="8"/>
      <c r="X460" s="8"/>
      <c r="Y460" s="8"/>
      <c r="Z460" s="12"/>
      <c r="AA460" s="11"/>
      <c r="AB460" s="15"/>
    </row>
    <row r="461" spans="1:28" x14ac:dyDescent="0.15">
      <c r="A461" s="4"/>
      <c r="B461" s="4"/>
      <c r="C461" s="5"/>
      <c r="D461" s="6"/>
      <c r="E461" s="6"/>
      <c r="F461" s="6"/>
      <c r="G461" s="7"/>
      <c r="H461" s="7"/>
      <c r="I461" s="8"/>
      <c r="J461" s="9"/>
      <c r="K461" s="7"/>
      <c r="L461" s="7"/>
      <c r="M461" s="10"/>
      <c r="N461" s="11"/>
      <c r="O461" s="12"/>
      <c r="P461" s="13"/>
      <c r="Q461" s="13"/>
      <c r="R461" s="13"/>
      <c r="S461" s="6"/>
      <c r="T461" s="8"/>
      <c r="U461" s="9"/>
      <c r="V461" s="14"/>
      <c r="W461" s="8"/>
      <c r="X461" s="8"/>
      <c r="Y461" s="8"/>
      <c r="Z461" s="12"/>
      <c r="AA461" s="11"/>
      <c r="AB461" s="15"/>
    </row>
    <row r="462" spans="1:28" x14ac:dyDescent="0.15">
      <c r="A462" s="4"/>
      <c r="B462" s="4"/>
      <c r="C462" s="5"/>
      <c r="D462" s="6"/>
      <c r="E462" s="6"/>
      <c r="F462" s="6"/>
      <c r="G462" s="7"/>
      <c r="H462" s="7"/>
      <c r="I462" s="8"/>
      <c r="J462" s="9"/>
      <c r="K462" s="7"/>
      <c r="L462" s="7"/>
      <c r="M462" s="10"/>
      <c r="N462" s="11"/>
      <c r="O462" s="12"/>
      <c r="P462" s="13"/>
      <c r="Q462" s="13"/>
      <c r="R462" s="13"/>
      <c r="S462" s="6"/>
      <c r="T462" s="8"/>
      <c r="U462" s="9"/>
      <c r="V462" s="14"/>
      <c r="W462" s="8"/>
      <c r="X462" s="8"/>
      <c r="Y462" s="8"/>
      <c r="Z462" s="12"/>
      <c r="AA462" s="11"/>
      <c r="AB462" s="15"/>
    </row>
    <row r="463" spans="1:28" x14ac:dyDescent="0.15">
      <c r="A463" s="4"/>
      <c r="B463" s="4"/>
      <c r="C463" s="5"/>
      <c r="D463" s="6"/>
      <c r="E463" s="6"/>
      <c r="F463" s="6"/>
      <c r="G463" s="7"/>
      <c r="H463" s="7"/>
      <c r="I463" s="8"/>
      <c r="J463" s="9"/>
      <c r="K463" s="7"/>
      <c r="L463" s="7"/>
      <c r="M463" s="10"/>
      <c r="N463" s="11"/>
      <c r="O463" s="12"/>
      <c r="P463" s="13"/>
      <c r="Q463" s="13"/>
      <c r="R463" s="13"/>
      <c r="S463" s="6"/>
      <c r="T463" s="8"/>
      <c r="U463" s="9"/>
      <c r="V463" s="14"/>
      <c r="W463" s="8"/>
      <c r="X463" s="8"/>
      <c r="Y463" s="8"/>
      <c r="Z463" s="12"/>
      <c r="AA463" s="11"/>
      <c r="AB463" s="15"/>
    </row>
    <row r="464" spans="1:28" x14ac:dyDescent="0.15">
      <c r="A464" s="4"/>
      <c r="B464" s="4"/>
      <c r="C464" s="5"/>
      <c r="D464" s="6"/>
      <c r="E464" s="6"/>
      <c r="F464" s="6"/>
      <c r="G464" s="7"/>
      <c r="H464" s="7"/>
      <c r="I464" s="8"/>
      <c r="J464" s="9"/>
      <c r="K464" s="7"/>
      <c r="L464" s="7"/>
      <c r="M464" s="10"/>
      <c r="N464" s="11"/>
      <c r="O464" s="12"/>
      <c r="P464" s="13"/>
      <c r="Q464" s="13"/>
      <c r="R464" s="13"/>
      <c r="S464" s="6"/>
      <c r="T464" s="8"/>
      <c r="U464" s="9"/>
      <c r="V464" s="14"/>
      <c r="W464" s="8"/>
      <c r="X464" s="8"/>
      <c r="Y464" s="8"/>
      <c r="Z464" s="12"/>
      <c r="AA464" s="11"/>
      <c r="AB464" s="15"/>
    </row>
    <row r="465" spans="1:28" x14ac:dyDescent="0.15">
      <c r="A465" s="4"/>
      <c r="B465" s="4"/>
      <c r="C465" s="5"/>
      <c r="D465" s="6"/>
      <c r="E465" s="6"/>
      <c r="F465" s="6"/>
      <c r="G465" s="7"/>
      <c r="H465" s="7"/>
      <c r="I465" s="8"/>
      <c r="J465" s="9"/>
      <c r="K465" s="7"/>
      <c r="L465" s="7"/>
      <c r="M465" s="10"/>
      <c r="N465" s="11"/>
      <c r="O465" s="12"/>
      <c r="P465" s="13"/>
      <c r="Q465" s="13"/>
      <c r="R465" s="13"/>
      <c r="S465" s="6"/>
      <c r="T465" s="8"/>
      <c r="U465" s="9"/>
      <c r="V465" s="14"/>
      <c r="W465" s="8"/>
      <c r="X465" s="8"/>
      <c r="Y465" s="8"/>
      <c r="Z465" s="12"/>
      <c r="AA465" s="11"/>
      <c r="AB465" s="15"/>
    </row>
    <row r="466" spans="1:28" x14ac:dyDescent="0.15">
      <c r="A466" s="4"/>
      <c r="B466" s="4"/>
      <c r="C466" s="5"/>
      <c r="D466" s="6"/>
      <c r="E466" s="6"/>
      <c r="F466" s="6"/>
      <c r="G466" s="7"/>
      <c r="H466" s="7"/>
      <c r="I466" s="8"/>
      <c r="J466" s="9"/>
      <c r="K466" s="7"/>
      <c r="L466" s="7"/>
      <c r="M466" s="10"/>
      <c r="N466" s="11"/>
      <c r="O466" s="12"/>
      <c r="P466" s="13"/>
      <c r="Q466" s="13"/>
      <c r="R466" s="13"/>
      <c r="S466" s="6"/>
      <c r="T466" s="8"/>
      <c r="U466" s="9"/>
      <c r="V466" s="14"/>
      <c r="W466" s="8"/>
      <c r="X466" s="8"/>
      <c r="Y466" s="8"/>
      <c r="Z466" s="12"/>
      <c r="AA466" s="11"/>
      <c r="AB466" s="15"/>
    </row>
    <row r="467" spans="1:28" x14ac:dyDescent="0.15">
      <c r="A467" s="4"/>
      <c r="B467" s="4"/>
      <c r="C467" s="5"/>
      <c r="D467" s="6"/>
      <c r="E467" s="6"/>
      <c r="F467" s="6"/>
      <c r="G467" s="7"/>
      <c r="H467" s="7"/>
      <c r="I467" s="8"/>
      <c r="J467" s="9"/>
      <c r="K467" s="7"/>
      <c r="L467" s="7"/>
      <c r="M467" s="10"/>
      <c r="N467" s="11"/>
      <c r="O467" s="12"/>
      <c r="P467" s="13"/>
      <c r="Q467" s="13"/>
      <c r="R467" s="13"/>
      <c r="S467" s="6"/>
      <c r="T467" s="8"/>
      <c r="U467" s="9"/>
      <c r="V467" s="14"/>
      <c r="W467" s="8"/>
      <c r="X467" s="8"/>
      <c r="Y467" s="8"/>
      <c r="Z467" s="12"/>
      <c r="AA467" s="11"/>
      <c r="AB467" s="15"/>
    </row>
    <row r="468" spans="1:28" x14ac:dyDescent="0.15">
      <c r="A468" s="4"/>
      <c r="B468" s="4"/>
      <c r="C468" s="5"/>
      <c r="D468" s="6"/>
      <c r="E468" s="6"/>
      <c r="F468" s="6"/>
      <c r="G468" s="7"/>
      <c r="H468" s="7"/>
      <c r="I468" s="8"/>
      <c r="J468" s="9"/>
      <c r="K468" s="7"/>
      <c r="L468" s="7"/>
      <c r="M468" s="10"/>
      <c r="N468" s="11"/>
      <c r="O468" s="12"/>
      <c r="P468" s="13"/>
      <c r="Q468" s="13"/>
      <c r="R468" s="13"/>
      <c r="S468" s="6"/>
      <c r="T468" s="8"/>
      <c r="U468" s="9"/>
      <c r="V468" s="14"/>
      <c r="W468" s="8"/>
      <c r="X468" s="8"/>
      <c r="Y468" s="8"/>
      <c r="Z468" s="12"/>
      <c r="AA468" s="11"/>
      <c r="AB468" s="15"/>
    </row>
    <row r="469" spans="1:28" x14ac:dyDescent="0.15">
      <c r="A469" s="4"/>
      <c r="B469" s="4"/>
      <c r="C469" s="5"/>
      <c r="D469" s="6"/>
      <c r="E469" s="6"/>
      <c r="F469" s="6"/>
      <c r="G469" s="7"/>
      <c r="H469" s="7"/>
      <c r="I469" s="8"/>
      <c r="J469" s="9"/>
      <c r="K469" s="7"/>
      <c r="L469" s="7"/>
      <c r="M469" s="10"/>
      <c r="N469" s="11"/>
      <c r="O469" s="12"/>
      <c r="P469" s="13"/>
      <c r="Q469" s="13"/>
      <c r="R469" s="13"/>
      <c r="S469" s="6"/>
      <c r="T469" s="8"/>
      <c r="U469" s="9"/>
      <c r="V469" s="14"/>
      <c r="W469" s="8"/>
      <c r="X469" s="8"/>
      <c r="Y469" s="8"/>
      <c r="Z469" s="12"/>
      <c r="AA469" s="11"/>
      <c r="AB469" s="15"/>
    </row>
    <row r="470" spans="1:28" x14ac:dyDescent="0.15">
      <c r="A470" s="4"/>
      <c r="B470" s="4"/>
      <c r="C470" s="5"/>
      <c r="D470" s="6"/>
      <c r="E470" s="6"/>
      <c r="F470" s="6"/>
      <c r="G470" s="7"/>
      <c r="H470" s="7"/>
      <c r="I470" s="8"/>
      <c r="J470" s="9"/>
      <c r="K470" s="7"/>
      <c r="L470" s="7"/>
      <c r="M470" s="10"/>
      <c r="N470" s="11"/>
      <c r="O470" s="12"/>
      <c r="P470" s="13"/>
      <c r="Q470" s="13"/>
      <c r="R470" s="13"/>
      <c r="S470" s="6"/>
      <c r="T470" s="8"/>
      <c r="U470" s="9"/>
      <c r="V470" s="14"/>
      <c r="W470" s="8"/>
      <c r="X470" s="8"/>
      <c r="Y470" s="8"/>
      <c r="Z470" s="12"/>
      <c r="AA470" s="11"/>
      <c r="AB470" s="15"/>
    </row>
    <row r="471" spans="1:28" x14ac:dyDescent="0.15">
      <c r="A471" s="4"/>
      <c r="B471" s="4"/>
      <c r="C471" s="5"/>
      <c r="D471" s="6"/>
      <c r="E471" s="6"/>
      <c r="F471" s="6"/>
      <c r="G471" s="7"/>
      <c r="H471" s="7"/>
      <c r="I471" s="8"/>
      <c r="J471" s="9"/>
      <c r="K471" s="7"/>
      <c r="L471" s="7"/>
      <c r="M471" s="10"/>
      <c r="N471" s="11"/>
      <c r="O471" s="12"/>
      <c r="P471" s="13"/>
      <c r="Q471" s="13"/>
      <c r="R471" s="13"/>
      <c r="S471" s="6"/>
      <c r="T471" s="8"/>
      <c r="U471" s="9"/>
      <c r="V471" s="14"/>
      <c r="W471" s="8"/>
      <c r="X471" s="8"/>
      <c r="Y471" s="8"/>
      <c r="Z471" s="12"/>
      <c r="AA471" s="11"/>
      <c r="AB471" s="15"/>
    </row>
    <row r="472" spans="1:28" x14ac:dyDescent="0.15">
      <c r="A472" s="4"/>
      <c r="B472" s="4"/>
      <c r="C472" s="5"/>
      <c r="D472" s="6"/>
      <c r="E472" s="6"/>
      <c r="F472" s="6"/>
      <c r="G472" s="7"/>
      <c r="H472" s="7"/>
      <c r="I472" s="8"/>
      <c r="J472" s="9"/>
      <c r="K472" s="7"/>
      <c r="L472" s="7"/>
      <c r="M472" s="10"/>
      <c r="N472" s="11"/>
      <c r="O472" s="12"/>
      <c r="P472" s="13"/>
      <c r="Q472" s="13"/>
      <c r="R472" s="13"/>
      <c r="S472" s="6"/>
      <c r="T472" s="8"/>
      <c r="U472" s="9"/>
      <c r="V472" s="14"/>
      <c r="W472" s="8"/>
      <c r="X472" s="8"/>
      <c r="Y472" s="8"/>
      <c r="Z472" s="12"/>
      <c r="AA472" s="11"/>
      <c r="AB472" s="15"/>
    </row>
    <row r="473" spans="1:28" x14ac:dyDescent="0.15">
      <c r="A473" s="4"/>
      <c r="B473" s="4"/>
      <c r="C473" s="5"/>
      <c r="D473" s="6"/>
      <c r="E473" s="6"/>
      <c r="F473" s="6"/>
      <c r="G473" s="7"/>
      <c r="H473" s="7"/>
      <c r="I473" s="8"/>
      <c r="J473" s="9"/>
      <c r="K473" s="7"/>
      <c r="L473" s="7"/>
      <c r="M473" s="10"/>
      <c r="N473" s="11"/>
      <c r="O473" s="12"/>
      <c r="P473" s="13"/>
      <c r="Q473" s="13"/>
      <c r="R473" s="13"/>
      <c r="S473" s="6"/>
      <c r="T473" s="8"/>
      <c r="U473" s="9"/>
      <c r="V473" s="14"/>
      <c r="W473" s="8"/>
      <c r="X473" s="8"/>
      <c r="Y473" s="8"/>
      <c r="Z473" s="12"/>
      <c r="AA473" s="11"/>
      <c r="AB473" s="15"/>
    </row>
    <row r="474" spans="1:28" x14ac:dyDescent="0.15">
      <c r="A474" s="4"/>
      <c r="B474" s="4"/>
      <c r="C474" s="5"/>
      <c r="D474" s="6"/>
      <c r="E474" s="6"/>
      <c r="F474" s="6"/>
      <c r="G474" s="7"/>
      <c r="H474" s="7"/>
      <c r="I474" s="8"/>
      <c r="J474" s="9"/>
      <c r="K474" s="7"/>
      <c r="L474" s="7"/>
      <c r="M474" s="10"/>
      <c r="N474" s="11"/>
      <c r="O474" s="12"/>
      <c r="P474" s="13"/>
      <c r="Q474" s="13"/>
      <c r="R474" s="13"/>
      <c r="S474" s="6"/>
      <c r="T474" s="8"/>
      <c r="U474" s="9"/>
      <c r="V474" s="14"/>
      <c r="W474" s="8"/>
      <c r="X474" s="8"/>
      <c r="Y474" s="8"/>
      <c r="Z474" s="12"/>
      <c r="AA474" s="11"/>
      <c r="AB474" s="15"/>
    </row>
    <row r="475" spans="1:28" x14ac:dyDescent="0.15">
      <c r="A475" s="4"/>
      <c r="B475" s="4"/>
      <c r="C475" s="5"/>
      <c r="D475" s="6"/>
      <c r="E475" s="6"/>
      <c r="F475" s="6"/>
      <c r="G475" s="7"/>
      <c r="H475" s="7"/>
      <c r="I475" s="8"/>
      <c r="J475" s="9"/>
      <c r="K475" s="7"/>
      <c r="L475" s="7"/>
      <c r="M475" s="10"/>
      <c r="N475" s="11"/>
      <c r="O475" s="12"/>
      <c r="P475" s="13"/>
      <c r="Q475" s="13"/>
      <c r="R475" s="13"/>
      <c r="S475" s="6"/>
      <c r="T475" s="8"/>
      <c r="U475" s="9"/>
      <c r="V475" s="14"/>
      <c r="W475" s="8"/>
      <c r="X475" s="8"/>
      <c r="Y475" s="8"/>
      <c r="Z475" s="12"/>
      <c r="AA475" s="11"/>
      <c r="AB475" s="15"/>
    </row>
    <row r="476" spans="1:28" x14ac:dyDescent="0.15">
      <c r="A476" s="4"/>
      <c r="B476" s="4"/>
      <c r="C476" s="5"/>
      <c r="D476" s="6"/>
      <c r="E476" s="6"/>
      <c r="F476" s="6"/>
      <c r="G476" s="7"/>
      <c r="H476" s="7"/>
      <c r="I476" s="8"/>
      <c r="J476" s="9"/>
      <c r="K476" s="7"/>
      <c r="L476" s="7"/>
      <c r="M476" s="10"/>
      <c r="N476" s="11"/>
      <c r="O476" s="12"/>
      <c r="P476" s="13"/>
      <c r="Q476" s="13"/>
      <c r="R476" s="13"/>
      <c r="S476" s="6"/>
      <c r="T476" s="8"/>
      <c r="U476" s="9"/>
      <c r="V476" s="14"/>
      <c r="W476" s="8"/>
      <c r="X476" s="8"/>
      <c r="Y476" s="8"/>
      <c r="Z476" s="12"/>
      <c r="AA476" s="11"/>
      <c r="AB476" s="15"/>
    </row>
    <row r="477" spans="1:28" x14ac:dyDescent="0.15">
      <c r="A477" s="4"/>
      <c r="B477" s="4"/>
      <c r="C477" s="5"/>
      <c r="D477" s="6"/>
      <c r="E477" s="6"/>
      <c r="F477" s="6"/>
      <c r="G477" s="7"/>
      <c r="H477" s="7"/>
      <c r="I477" s="8"/>
      <c r="J477" s="9"/>
      <c r="K477" s="7"/>
      <c r="L477" s="7"/>
      <c r="M477" s="10"/>
      <c r="N477" s="11"/>
      <c r="O477" s="12"/>
      <c r="P477" s="13"/>
      <c r="Q477" s="13"/>
      <c r="R477" s="13"/>
      <c r="S477" s="6"/>
      <c r="T477" s="8"/>
      <c r="U477" s="9"/>
      <c r="V477" s="14"/>
      <c r="W477" s="8"/>
      <c r="X477" s="8"/>
      <c r="Y477" s="8"/>
      <c r="Z477" s="12"/>
      <c r="AA477" s="11"/>
      <c r="AB477" s="15"/>
    </row>
    <row r="478" spans="1:28" x14ac:dyDescent="0.15">
      <c r="A478" s="4"/>
      <c r="B478" s="4"/>
      <c r="C478" s="5"/>
      <c r="D478" s="6"/>
      <c r="E478" s="6"/>
      <c r="F478" s="6"/>
      <c r="G478" s="7"/>
      <c r="H478" s="7"/>
      <c r="I478" s="8"/>
      <c r="J478" s="9"/>
      <c r="K478" s="7"/>
      <c r="L478" s="7"/>
      <c r="M478" s="10"/>
      <c r="N478" s="11"/>
      <c r="O478" s="12"/>
      <c r="P478" s="13"/>
      <c r="Q478" s="13"/>
      <c r="R478" s="13"/>
      <c r="S478" s="6"/>
      <c r="T478" s="8"/>
      <c r="U478" s="9"/>
      <c r="V478" s="14"/>
      <c r="W478" s="8"/>
      <c r="X478" s="8"/>
      <c r="Y478" s="8"/>
      <c r="Z478" s="12"/>
      <c r="AA478" s="11"/>
      <c r="AB478" s="15"/>
    </row>
    <row r="479" spans="1:28" x14ac:dyDescent="0.15">
      <c r="A479" s="4"/>
      <c r="B479" s="4"/>
      <c r="C479" s="5"/>
      <c r="D479" s="6"/>
      <c r="E479" s="6"/>
      <c r="F479" s="6"/>
      <c r="G479" s="7"/>
      <c r="H479" s="7"/>
      <c r="I479" s="8"/>
      <c r="J479" s="9"/>
      <c r="K479" s="7"/>
      <c r="L479" s="7"/>
      <c r="M479" s="10"/>
      <c r="N479" s="11"/>
      <c r="O479" s="12"/>
      <c r="P479" s="13"/>
      <c r="Q479" s="13"/>
      <c r="R479" s="13"/>
      <c r="S479" s="6"/>
      <c r="T479" s="8"/>
      <c r="U479" s="9"/>
      <c r="V479" s="14"/>
      <c r="W479" s="8"/>
      <c r="X479" s="8"/>
      <c r="Y479" s="8"/>
      <c r="Z479" s="12"/>
      <c r="AA479" s="11"/>
      <c r="AB479" s="15"/>
    </row>
    <row r="480" spans="1:28" x14ac:dyDescent="0.15">
      <c r="A480" s="4"/>
      <c r="B480" s="4"/>
      <c r="C480" s="5"/>
      <c r="D480" s="6"/>
      <c r="E480" s="6"/>
      <c r="F480" s="6"/>
      <c r="G480" s="7"/>
      <c r="H480" s="7"/>
      <c r="I480" s="8"/>
      <c r="J480" s="9"/>
      <c r="K480" s="7"/>
      <c r="L480" s="7"/>
      <c r="M480" s="10"/>
      <c r="N480" s="11"/>
      <c r="O480" s="12"/>
      <c r="P480" s="13"/>
      <c r="Q480" s="13"/>
      <c r="R480" s="13"/>
      <c r="S480" s="6"/>
      <c r="T480" s="8"/>
      <c r="U480" s="9"/>
      <c r="V480" s="14"/>
      <c r="W480" s="8"/>
      <c r="X480" s="8"/>
      <c r="Y480" s="8"/>
      <c r="Z480" s="12"/>
      <c r="AA480" s="11"/>
      <c r="AB480" s="15"/>
    </row>
    <row r="481" spans="1:28" x14ac:dyDescent="0.15">
      <c r="A481" s="4"/>
      <c r="B481" s="4"/>
      <c r="C481" s="5"/>
      <c r="D481" s="6"/>
      <c r="E481" s="6"/>
      <c r="F481" s="6"/>
      <c r="G481" s="7"/>
      <c r="H481" s="7"/>
      <c r="I481" s="8"/>
      <c r="J481" s="9"/>
      <c r="K481" s="7"/>
      <c r="L481" s="7"/>
      <c r="M481" s="10"/>
      <c r="N481" s="11"/>
      <c r="O481" s="12"/>
      <c r="P481" s="13"/>
      <c r="Q481" s="13"/>
      <c r="R481" s="13"/>
      <c r="S481" s="6"/>
      <c r="T481" s="8"/>
      <c r="U481" s="9"/>
      <c r="V481" s="14"/>
      <c r="W481" s="8"/>
      <c r="X481" s="8"/>
      <c r="Y481" s="8"/>
      <c r="Z481" s="12"/>
      <c r="AA481" s="11"/>
      <c r="AB481" s="15"/>
    </row>
    <row r="482" spans="1:28" x14ac:dyDescent="0.15">
      <c r="A482" s="4"/>
      <c r="B482" s="4"/>
      <c r="C482" s="5"/>
      <c r="D482" s="6"/>
      <c r="E482" s="6"/>
      <c r="F482" s="6"/>
      <c r="G482" s="7"/>
      <c r="H482" s="7"/>
      <c r="I482" s="8"/>
      <c r="J482" s="9"/>
      <c r="K482" s="7"/>
      <c r="L482" s="7"/>
      <c r="M482" s="10"/>
      <c r="N482" s="11"/>
      <c r="O482" s="12"/>
      <c r="P482" s="13"/>
      <c r="Q482" s="13"/>
      <c r="R482" s="13"/>
      <c r="S482" s="6"/>
      <c r="T482" s="8"/>
      <c r="U482" s="9"/>
      <c r="V482" s="14"/>
      <c r="W482" s="8"/>
      <c r="X482" s="8"/>
      <c r="Y482" s="8"/>
      <c r="Z482" s="12"/>
      <c r="AA482" s="11"/>
      <c r="AB482" s="15"/>
    </row>
    <row r="483" spans="1:28" x14ac:dyDescent="0.15">
      <c r="A483" s="4"/>
      <c r="B483" s="4"/>
      <c r="C483" s="5"/>
      <c r="D483" s="6"/>
      <c r="E483" s="6"/>
      <c r="F483" s="6"/>
      <c r="G483" s="7"/>
      <c r="H483" s="7"/>
      <c r="I483" s="8"/>
      <c r="J483" s="9"/>
      <c r="K483" s="7"/>
      <c r="L483" s="7"/>
      <c r="M483" s="10"/>
      <c r="N483" s="11"/>
      <c r="O483" s="12"/>
      <c r="P483" s="13"/>
      <c r="Q483" s="13"/>
      <c r="R483" s="13"/>
      <c r="S483" s="6"/>
      <c r="T483" s="8"/>
      <c r="U483" s="9"/>
      <c r="V483" s="14"/>
      <c r="W483" s="8"/>
      <c r="X483" s="8"/>
      <c r="Y483" s="8"/>
      <c r="Z483" s="12"/>
      <c r="AA483" s="11"/>
      <c r="AB483" s="15"/>
    </row>
    <row r="484" spans="1:28" x14ac:dyDescent="0.15">
      <c r="A484" s="4"/>
      <c r="B484" s="4"/>
      <c r="C484" s="5"/>
      <c r="D484" s="6"/>
      <c r="E484" s="6"/>
      <c r="F484" s="6"/>
      <c r="G484" s="7"/>
      <c r="H484" s="7"/>
      <c r="I484" s="8"/>
      <c r="J484" s="9"/>
      <c r="K484" s="7"/>
      <c r="L484" s="7"/>
      <c r="M484" s="10"/>
      <c r="N484" s="11"/>
      <c r="O484" s="12"/>
      <c r="P484" s="13"/>
      <c r="Q484" s="13"/>
      <c r="R484" s="13"/>
      <c r="S484" s="6"/>
      <c r="T484" s="8"/>
      <c r="U484" s="9"/>
      <c r="V484" s="14"/>
      <c r="W484" s="8"/>
      <c r="X484" s="8"/>
      <c r="Y484" s="8"/>
      <c r="Z484" s="12"/>
      <c r="AA484" s="11"/>
      <c r="AB484" s="15"/>
    </row>
    <row r="485" spans="1:28" x14ac:dyDescent="0.15">
      <c r="A485" s="4"/>
      <c r="B485" s="4"/>
      <c r="C485" s="5"/>
      <c r="D485" s="6"/>
      <c r="E485" s="6"/>
      <c r="F485" s="6"/>
      <c r="G485" s="7"/>
      <c r="H485" s="7"/>
      <c r="I485" s="8"/>
      <c r="J485" s="9"/>
      <c r="K485" s="7"/>
      <c r="L485" s="7"/>
      <c r="M485" s="10"/>
      <c r="N485" s="11"/>
      <c r="O485" s="12"/>
      <c r="P485" s="13"/>
      <c r="Q485" s="13"/>
      <c r="R485" s="13"/>
      <c r="S485" s="6"/>
      <c r="T485" s="8"/>
      <c r="U485" s="9"/>
      <c r="V485" s="14"/>
      <c r="W485" s="8"/>
      <c r="X485" s="8"/>
      <c r="Y485" s="8"/>
      <c r="Z485" s="12"/>
      <c r="AA485" s="11"/>
      <c r="AB485" s="15"/>
    </row>
    <row r="486" spans="1:28" x14ac:dyDescent="0.15">
      <c r="A486" s="4"/>
      <c r="B486" s="4"/>
      <c r="C486" s="5"/>
      <c r="D486" s="6"/>
      <c r="E486" s="6"/>
      <c r="F486" s="6"/>
      <c r="G486" s="7"/>
      <c r="H486" s="7"/>
      <c r="I486" s="8"/>
      <c r="J486" s="9"/>
      <c r="K486" s="7"/>
      <c r="L486" s="7"/>
      <c r="M486" s="10"/>
      <c r="N486" s="11"/>
      <c r="O486" s="12"/>
      <c r="P486" s="13"/>
      <c r="Q486" s="13"/>
      <c r="R486" s="13"/>
      <c r="S486" s="6"/>
      <c r="T486" s="8"/>
      <c r="U486" s="9"/>
      <c r="V486" s="14"/>
      <c r="W486" s="8"/>
      <c r="X486" s="8"/>
      <c r="Y486" s="8"/>
      <c r="Z486" s="12"/>
      <c r="AA486" s="11"/>
      <c r="AB486" s="15"/>
    </row>
    <row r="487" spans="1:28" x14ac:dyDescent="0.15">
      <c r="A487" s="4"/>
      <c r="B487" s="4"/>
      <c r="C487" s="5"/>
      <c r="D487" s="6"/>
      <c r="E487" s="6"/>
      <c r="F487" s="6"/>
      <c r="G487" s="7"/>
      <c r="H487" s="7"/>
      <c r="I487" s="8"/>
      <c r="J487" s="9"/>
      <c r="K487" s="7"/>
      <c r="L487" s="7"/>
      <c r="M487" s="10"/>
      <c r="N487" s="11"/>
      <c r="O487" s="12"/>
      <c r="P487" s="13"/>
      <c r="Q487" s="13"/>
      <c r="R487" s="13"/>
      <c r="S487" s="6"/>
      <c r="T487" s="8"/>
      <c r="U487" s="9"/>
      <c r="V487" s="14"/>
      <c r="W487" s="8"/>
      <c r="X487" s="8"/>
      <c r="Y487" s="8"/>
      <c r="Z487" s="12"/>
      <c r="AA487" s="11"/>
      <c r="AB487" s="15"/>
    </row>
    <row r="488" spans="1:28" x14ac:dyDescent="0.15">
      <c r="A488" s="4"/>
      <c r="B488" s="4"/>
      <c r="C488" s="5"/>
      <c r="D488" s="6"/>
      <c r="E488" s="6"/>
      <c r="F488" s="6"/>
      <c r="G488" s="7"/>
      <c r="H488" s="7"/>
      <c r="I488" s="8"/>
      <c r="J488" s="9"/>
      <c r="K488" s="7"/>
      <c r="L488" s="7"/>
      <c r="M488" s="10"/>
      <c r="N488" s="11"/>
      <c r="O488" s="12"/>
      <c r="P488" s="13"/>
      <c r="Q488" s="13"/>
      <c r="R488" s="13"/>
      <c r="S488" s="6"/>
      <c r="T488" s="8"/>
      <c r="U488" s="9"/>
      <c r="V488" s="14"/>
      <c r="W488" s="8"/>
      <c r="X488" s="8"/>
      <c r="Y488" s="8"/>
      <c r="Z488" s="12"/>
      <c r="AA488" s="11"/>
      <c r="AB488" s="15"/>
    </row>
    <row r="489" spans="1:28" x14ac:dyDescent="0.15">
      <c r="A489" s="4"/>
      <c r="B489" s="4"/>
      <c r="C489" s="5"/>
      <c r="D489" s="6"/>
      <c r="E489" s="6"/>
      <c r="F489" s="6"/>
      <c r="G489" s="7"/>
      <c r="H489" s="7"/>
      <c r="I489" s="8"/>
      <c r="J489" s="9"/>
      <c r="K489" s="7"/>
      <c r="L489" s="7"/>
      <c r="M489" s="10"/>
      <c r="N489" s="11"/>
      <c r="O489" s="12"/>
      <c r="P489" s="13"/>
      <c r="Q489" s="13"/>
      <c r="R489" s="13"/>
      <c r="S489" s="6"/>
      <c r="T489" s="8"/>
      <c r="U489" s="9"/>
      <c r="V489" s="14"/>
      <c r="W489" s="8"/>
      <c r="X489" s="8"/>
      <c r="Y489" s="8"/>
      <c r="Z489" s="12"/>
      <c r="AA489" s="11"/>
      <c r="AB489" s="15"/>
    </row>
    <row r="490" spans="1:28" x14ac:dyDescent="0.15">
      <c r="A490" s="4"/>
      <c r="B490" s="4"/>
      <c r="C490" s="5"/>
      <c r="D490" s="6"/>
      <c r="E490" s="6"/>
      <c r="F490" s="6"/>
      <c r="G490" s="7"/>
      <c r="H490" s="7"/>
      <c r="I490" s="8"/>
      <c r="J490" s="9"/>
      <c r="K490" s="7"/>
      <c r="L490" s="7"/>
      <c r="M490" s="10"/>
      <c r="N490" s="11"/>
      <c r="O490" s="12"/>
      <c r="P490" s="13"/>
      <c r="Q490" s="13"/>
      <c r="R490" s="13"/>
      <c r="S490" s="6"/>
      <c r="T490" s="8"/>
      <c r="U490" s="9"/>
      <c r="V490" s="14"/>
      <c r="W490" s="8"/>
      <c r="X490" s="8"/>
      <c r="Y490" s="8"/>
      <c r="Z490" s="12"/>
      <c r="AA490" s="11"/>
      <c r="AB490" s="15"/>
    </row>
    <row r="491" spans="1:28" x14ac:dyDescent="0.15">
      <c r="A491" s="4"/>
      <c r="B491" s="4"/>
      <c r="C491" s="5"/>
      <c r="D491" s="6"/>
      <c r="E491" s="6"/>
      <c r="F491" s="6"/>
      <c r="G491" s="7"/>
      <c r="H491" s="7"/>
      <c r="I491" s="8"/>
      <c r="J491" s="9"/>
      <c r="K491" s="7"/>
      <c r="L491" s="7"/>
      <c r="M491" s="10"/>
      <c r="N491" s="11"/>
      <c r="O491" s="12"/>
      <c r="P491" s="13"/>
      <c r="Q491" s="13"/>
      <c r="R491" s="13"/>
      <c r="S491" s="6"/>
      <c r="T491" s="8"/>
      <c r="U491" s="9"/>
      <c r="V491" s="14"/>
      <c r="W491" s="8"/>
      <c r="X491" s="8"/>
      <c r="Y491" s="8"/>
      <c r="Z491" s="12"/>
      <c r="AA491" s="11"/>
      <c r="AB491" s="15"/>
    </row>
    <row r="492" spans="1:28" x14ac:dyDescent="0.15">
      <c r="A492" s="4"/>
      <c r="B492" s="4"/>
      <c r="C492" s="5"/>
      <c r="D492" s="6"/>
      <c r="E492" s="6"/>
      <c r="F492" s="6"/>
      <c r="G492" s="7"/>
      <c r="H492" s="7"/>
      <c r="I492" s="8"/>
      <c r="J492" s="9"/>
      <c r="K492" s="7"/>
      <c r="L492" s="7"/>
      <c r="M492" s="10"/>
      <c r="N492" s="11"/>
      <c r="O492" s="12"/>
      <c r="P492" s="13"/>
      <c r="Q492" s="13"/>
      <c r="R492" s="13"/>
      <c r="S492" s="6"/>
      <c r="T492" s="8"/>
      <c r="U492" s="9"/>
      <c r="V492" s="14"/>
      <c r="W492" s="8"/>
      <c r="X492" s="8"/>
      <c r="Y492" s="8"/>
      <c r="Z492" s="12"/>
      <c r="AA492" s="11"/>
      <c r="AB492" s="15"/>
    </row>
    <row r="493" spans="1:28" x14ac:dyDescent="0.15">
      <c r="A493" s="4"/>
      <c r="B493" s="4"/>
      <c r="C493" s="5"/>
      <c r="D493" s="6"/>
      <c r="E493" s="6"/>
      <c r="F493" s="6"/>
      <c r="G493" s="7"/>
      <c r="H493" s="7"/>
      <c r="I493" s="8"/>
      <c r="J493" s="9"/>
      <c r="K493" s="7"/>
      <c r="L493" s="7"/>
      <c r="M493" s="10"/>
      <c r="N493" s="11"/>
      <c r="O493" s="12"/>
      <c r="P493" s="13"/>
      <c r="Q493" s="13"/>
      <c r="R493" s="13"/>
      <c r="S493" s="6"/>
      <c r="T493" s="8"/>
      <c r="U493" s="9"/>
      <c r="V493" s="14"/>
      <c r="W493" s="8"/>
      <c r="X493" s="8"/>
      <c r="Y493" s="8"/>
      <c r="Z493" s="12"/>
      <c r="AA493" s="11"/>
      <c r="AB493" s="15"/>
    </row>
    <row r="494" spans="1:28" x14ac:dyDescent="0.15">
      <c r="A494" s="4"/>
      <c r="B494" s="4"/>
      <c r="C494" s="5"/>
      <c r="D494" s="6"/>
      <c r="E494" s="6"/>
      <c r="F494" s="6"/>
      <c r="G494" s="7"/>
      <c r="H494" s="7"/>
      <c r="I494" s="8"/>
      <c r="J494" s="9"/>
      <c r="K494" s="7"/>
      <c r="L494" s="7"/>
      <c r="M494" s="10"/>
      <c r="N494" s="11"/>
      <c r="O494" s="12"/>
      <c r="P494" s="13"/>
      <c r="Q494" s="13"/>
      <c r="R494" s="13"/>
      <c r="S494" s="6"/>
      <c r="T494" s="8"/>
      <c r="U494" s="9"/>
      <c r="V494" s="14"/>
      <c r="W494" s="8"/>
      <c r="X494" s="8"/>
      <c r="Y494" s="8"/>
      <c r="Z494" s="12"/>
      <c r="AA494" s="11"/>
      <c r="AB494" s="15"/>
    </row>
    <row r="495" spans="1:28" x14ac:dyDescent="0.15">
      <c r="A495" s="4"/>
      <c r="B495" s="4"/>
      <c r="C495" s="5"/>
      <c r="D495" s="6"/>
      <c r="E495" s="6"/>
      <c r="F495" s="6"/>
      <c r="G495" s="7"/>
      <c r="H495" s="7"/>
      <c r="I495" s="8"/>
      <c r="J495" s="9"/>
      <c r="K495" s="7"/>
      <c r="L495" s="7"/>
      <c r="M495" s="10"/>
      <c r="N495" s="11"/>
      <c r="O495" s="12"/>
      <c r="P495" s="13"/>
      <c r="Q495" s="13"/>
      <c r="R495" s="13"/>
      <c r="S495" s="6"/>
      <c r="T495" s="8"/>
      <c r="U495" s="9"/>
      <c r="V495" s="14"/>
      <c r="W495" s="8"/>
      <c r="X495" s="8"/>
      <c r="Y495" s="8"/>
      <c r="Z495" s="12"/>
      <c r="AA495" s="11"/>
      <c r="AB495" s="15"/>
    </row>
    <row r="496" spans="1:28" x14ac:dyDescent="0.15">
      <c r="A496" s="4"/>
      <c r="B496" s="4"/>
      <c r="C496" s="5"/>
      <c r="D496" s="6"/>
      <c r="E496" s="6"/>
      <c r="F496" s="6"/>
      <c r="G496" s="7"/>
      <c r="H496" s="7"/>
      <c r="I496" s="8"/>
      <c r="J496" s="9"/>
      <c r="K496" s="7"/>
      <c r="L496" s="7"/>
      <c r="M496" s="10"/>
      <c r="N496" s="11"/>
      <c r="O496" s="12"/>
      <c r="P496" s="13"/>
      <c r="Q496" s="13"/>
      <c r="R496" s="13"/>
      <c r="S496" s="6"/>
      <c r="T496" s="8"/>
      <c r="U496" s="9"/>
      <c r="V496" s="14"/>
      <c r="W496" s="8"/>
      <c r="X496" s="8"/>
      <c r="Y496" s="8"/>
      <c r="Z496" s="12"/>
      <c r="AA496" s="11"/>
      <c r="AB496" s="15"/>
    </row>
    <row r="497" spans="1:28" x14ac:dyDescent="0.15">
      <c r="A497" s="4"/>
      <c r="B497" s="4"/>
      <c r="C497" s="5"/>
      <c r="D497" s="6"/>
      <c r="E497" s="6"/>
      <c r="F497" s="6"/>
      <c r="G497" s="7"/>
      <c r="H497" s="7"/>
      <c r="I497" s="8"/>
      <c r="J497" s="9"/>
      <c r="K497" s="7"/>
      <c r="L497" s="7"/>
      <c r="M497" s="10"/>
      <c r="N497" s="11"/>
      <c r="O497" s="12"/>
      <c r="P497" s="13"/>
      <c r="Q497" s="13"/>
      <c r="R497" s="13"/>
      <c r="S497" s="6"/>
      <c r="T497" s="8"/>
      <c r="U497" s="9"/>
      <c r="V497" s="14"/>
      <c r="W497" s="8"/>
      <c r="X497" s="8"/>
      <c r="Y497" s="8"/>
      <c r="Z497" s="12"/>
      <c r="AA497" s="11"/>
      <c r="AB497" s="15"/>
    </row>
    <row r="498" spans="1:28" x14ac:dyDescent="0.15">
      <c r="A498" s="4"/>
      <c r="B498" s="4"/>
      <c r="C498" s="5"/>
      <c r="D498" s="6"/>
      <c r="E498" s="6"/>
      <c r="F498" s="6"/>
      <c r="G498" s="7"/>
      <c r="H498" s="7"/>
      <c r="I498" s="8"/>
      <c r="J498" s="9"/>
      <c r="K498" s="7"/>
      <c r="L498" s="7"/>
      <c r="M498" s="10"/>
      <c r="N498" s="11"/>
      <c r="O498" s="12"/>
      <c r="P498" s="13"/>
      <c r="Q498" s="13"/>
      <c r="R498" s="13"/>
      <c r="S498" s="6"/>
      <c r="T498" s="8"/>
      <c r="U498" s="9"/>
      <c r="V498" s="14"/>
      <c r="W498" s="8"/>
      <c r="X498" s="8"/>
      <c r="Y498" s="8"/>
      <c r="Z498" s="12"/>
      <c r="AA498" s="11"/>
      <c r="AB498" s="15"/>
    </row>
    <row r="499" spans="1:28" x14ac:dyDescent="0.15">
      <c r="A499" s="4"/>
      <c r="B499" s="4"/>
      <c r="C499" s="5"/>
      <c r="D499" s="6"/>
      <c r="E499" s="6"/>
      <c r="F499" s="6"/>
      <c r="G499" s="7"/>
      <c r="H499" s="7"/>
      <c r="I499" s="8"/>
      <c r="J499" s="9"/>
      <c r="K499" s="7"/>
      <c r="L499" s="7"/>
      <c r="M499" s="10"/>
      <c r="N499" s="11"/>
      <c r="O499" s="12"/>
      <c r="P499" s="13"/>
      <c r="Q499" s="13"/>
      <c r="R499" s="13"/>
      <c r="S499" s="6"/>
      <c r="T499" s="8"/>
      <c r="U499" s="9"/>
      <c r="V499" s="14"/>
      <c r="W499" s="8"/>
      <c r="X499" s="8"/>
      <c r="Y499" s="8"/>
      <c r="Z499" s="12"/>
      <c r="AA499" s="11"/>
      <c r="AB499" s="15"/>
    </row>
    <row r="500" spans="1:28" x14ac:dyDescent="0.15">
      <c r="A500" s="4"/>
      <c r="B500" s="4"/>
      <c r="C500" s="5"/>
      <c r="D500" s="6"/>
      <c r="E500" s="6"/>
      <c r="F500" s="6"/>
      <c r="G500" s="7"/>
      <c r="H500" s="7"/>
      <c r="I500" s="8"/>
      <c r="J500" s="9"/>
      <c r="K500" s="7"/>
      <c r="L500" s="7"/>
      <c r="M500" s="10"/>
      <c r="N500" s="11"/>
      <c r="O500" s="12"/>
      <c r="P500" s="13"/>
      <c r="Q500" s="13"/>
      <c r="R500" s="13"/>
      <c r="S500" s="6"/>
      <c r="T500" s="8"/>
      <c r="U500" s="9"/>
      <c r="V500" s="14"/>
      <c r="W500" s="8"/>
      <c r="X500" s="8"/>
      <c r="Y500" s="8"/>
      <c r="Z500" s="12"/>
      <c r="AA500" s="11"/>
      <c r="AB500" s="15"/>
    </row>
    <row r="501" spans="1:28" x14ac:dyDescent="0.15">
      <c r="A501" s="4"/>
      <c r="B501" s="4"/>
      <c r="C501" s="5"/>
      <c r="D501" s="6"/>
      <c r="E501" s="6"/>
      <c r="F501" s="6"/>
      <c r="G501" s="7"/>
      <c r="H501" s="7"/>
      <c r="I501" s="8"/>
      <c r="J501" s="9"/>
      <c r="K501" s="7"/>
      <c r="L501" s="7"/>
      <c r="M501" s="10"/>
      <c r="N501" s="11"/>
      <c r="O501" s="12"/>
      <c r="P501" s="13"/>
      <c r="Q501" s="13"/>
      <c r="R501" s="13"/>
      <c r="S501" s="6"/>
      <c r="T501" s="8"/>
      <c r="U501" s="9"/>
      <c r="V501" s="14"/>
      <c r="W501" s="8"/>
      <c r="X501" s="8"/>
      <c r="Y501" s="8"/>
      <c r="Z501" s="12"/>
      <c r="AA501" s="11"/>
      <c r="AB501" s="15"/>
    </row>
    <row r="502" spans="1:28" x14ac:dyDescent="0.15">
      <c r="A502" s="4"/>
      <c r="B502" s="4"/>
      <c r="C502" s="5"/>
      <c r="D502" s="6"/>
      <c r="E502" s="6"/>
      <c r="F502" s="6"/>
      <c r="G502" s="7"/>
      <c r="H502" s="7"/>
      <c r="I502" s="8"/>
      <c r="J502" s="9"/>
      <c r="K502" s="7"/>
      <c r="L502" s="7"/>
      <c r="M502" s="10"/>
      <c r="N502" s="11"/>
      <c r="O502" s="12"/>
      <c r="P502" s="13"/>
      <c r="Q502" s="13"/>
      <c r="R502" s="13"/>
      <c r="S502" s="6"/>
      <c r="T502" s="8"/>
      <c r="U502" s="9"/>
      <c r="V502" s="14"/>
      <c r="W502" s="8"/>
      <c r="X502" s="8"/>
      <c r="Y502" s="8"/>
      <c r="Z502" s="12"/>
      <c r="AA502" s="11"/>
      <c r="AB502" s="15"/>
    </row>
    <row r="503" spans="1:28" x14ac:dyDescent="0.15">
      <c r="A503" s="4"/>
      <c r="B503" s="4"/>
      <c r="C503" s="5"/>
      <c r="D503" s="6"/>
      <c r="E503" s="6"/>
      <c r="F503" s="6"/>
      <c r="G503" s="7"/>
      <c r="H503" s="7"/>
      <c r="I503" s="8"/>
      <c r="J503" s="9"/>
      <c r="K503" s="7"/>
      <c r="L503" s="7"/>
      <c r="M503" s="10"/>
      <c r="N503" s="11"/>
      <c r="O503" s="12"/>
      <c r="P503" s="13"/>
      <c r="Q503" s="13"/>
      <c r="R503" s="13"/>
      <c r="S503" s="6"/>
      <c r="T503" s="8"/>
      <c r="U503" s="9"/>
      <c r="V503" s="14"/>
      <c r="W503" s="8"/>
      <c r="X503" s="8"/>
      <c r="Y503" s="8"/>
      <c r="Z503" s="12"/>
      <c r="AA503" s="11"/>
      <c r="AB503" s="15"/>
    </row>
    <row r="504" spans="1:28" x14ac:dyDescent="0.15">
      <c r="A504" s="4"/>
      <c r="B504" s="4"/>
      <c r="C504" s="5"/>
      <c r="D504" s="6"/>
      <c r="E504" s="6"/>
      <c r="F504" s="6"/>
      <c r="G504" s="7"/>
      <c r="H504" s="7"/>
      <c r="I504" s="8"/>
      <c r="J504" s="9"/>
      <c r="K504" s="7"/>
      <c r="L504" s="7"/>
      <c r="M504" s="10"/>
      <c r="N504" s="11"/>
      <c r="O504" s="12"/>
      <c r="P504" s="13"/>
      <c r="Q504" s="13"/>
      <c r="R504" s="13"/>
      <c r="S504" s="6"/>
      <c r="T504" s="8"/>
      <c r="U504" s="9"/>
      <c r="V504" s="14"/>
      <c r="W504" s="8"/>
      <c r="X504" s="8"/>
      <c r="Y504" s="8"/>
      <c r="Z504" s="12"/>
      <c r="AA504" s="11"/>
      <c r="AB504" s="15"/>
    </row>
    <row r="505" spans="1:28" x14ac:dyDescent="0.15">
      <c r="A505" s="4"/>
      <c r="B505" s="4"/>
      <c r="C505" s="5"/>
      <c r="D505" s="6"/>
      <c r="E505" s="6"/>
      <c r="F505" s="6"/>
      <c r="G505" s="7"/>
      <c r="H505" s="7"/>
      <c r="I505" s="8"/>
      <c r="J505" s="9"/>
      <c r="K505" s="7"/>
      <c r="L505" s="7"/>
      <c r="M505" s="10"/>
      <c r="N505" s="11"/>
      <c r="O505" s="12"/>
      <c r="P505" s="13"/>
      <c r="Q505" s="13"/>
      <c r="R505" s="13"/>
      <c r="S505" s="6"/>
      <c r="T505" s="8"/>
      <c r="U505" s="9"/>
      <c r="V505" s="14"/>
      <c r="W505" s="8"/>
      <c r="X505" s="8"/>
      <c r="Y505" s="8"/>
      <c r="Z505" s="12"/>
      <c r="AA505" s="11"/>
      <c r="AB505" s="15"/>
    </row>
    <row r="506" spans="1:28" x14ac:dyDescent="0.15">
      <c r="A506" s="4"/>
      <c r="B506" s="4"/>
      <c r="C506" s="5"/>
      <c r="D506" s="6"/>
      <c r="E506" s="6"/>
      <c r="F506" s="6"/>
      <c r="G506" s="7"/>
      <c r="H506" s="7"/>
      <c r="I506" s="8"/>
      <c r="J506" s="9"/>
      <c r="K506" s="7"/>
      <c r="L506" s="7"/>
      <c r="M506" s="10"/>
      <c r="N506" s="11"/>
      <c r="O506" s="12"/>
      <c r="P506" s="13"/>
      <c r="Q506" s="13"/>
      <c r="R506" s="13"/>
      <c r="S506" s="6"/>
      <c r="T506" s="8"/>
      <c r="U506" s="9"/>
      <c r="V506" s="14"/>
      <c r="W506" s="8"/>
      <c r="X506" s="8"/>
      <c r="Y506" s="8"/>
      <c r="Z506" s="12"/>
      <c r="AA506" s="11"/>
      <c r="AB506" s="15"/>
    </row>
    <row r="507" spans="1:28" x14ac:dyDescent="0.15">
      <c r="A507" s="4"/>
      <c r="B507" s="4"/>
      <c r="C507" s="5"/>
      <c r="D507" s="6"/>
      <c r="E507" s="6"/>
      <c r="F507" s="6"/>
      <c r="G507" s="7"/>
      <c r="H507" s="7"/>
      <c r="I507" s="8"/>
      <c r="J507" s="9"/>
      <c r="K507" s="7"/>
      <c r="L507" s="7"/>
      <c r="M507" s="10"/>
      <c r="N507" s="11"/>
      <c r="O507" s="12"/>
      <c r="P507" s="13"/>
      <c r="Q507" s="13"/>
      <c r="R507" s="13"/>
      <c r="S507" s="6"/>
      <c r="T507" s="8"/>
      <c r="U507" s="9"/>
      <c r="V507" s="14"/>
      <c r="W507" s="8"/>
      <c r="X507" s="8"/>
      <c r="Y507" s="8"/>
      <c r="Z507" s="12"/>
      <c r="AA507" s="11"/>
      <c r="AB507" s="15"/>
    </row>
    <row r="508" spans="1:28" x14ac:dyDescent="0.15">
      <c r="A508" s="4"/>
      <c r="B508" s="4"/>
      <c r="C508" s="5"/>
      <c r="D508" s="6"/>
      <c r="E508" s="6"/>
      <c r="F508" s="6"/>
      <c r="G508" s="7"/>
      <c r="H508" s="7"/>
      <c r="I508" s="8"/>
      <c r="J508" s="9"/>
      <c r="K508" s="7"/>
      <c r="L508" s="7"/>
      <c r="M508" s="10"/>
      <c r="N508" s="11"/>
      <c r="O508" s="12"/>
      <c r="P508" s="13"/>
      <c r="Q508" s="13"/>
      <c r="R508" s="13"/>
      <c r="S508" s="6"/>
      <c r="T508" s="8"/>
      <c r="U508" s="9"/>
      <c r="V508" s="14"/>
      <c r="W508" s="8"/>
      <c r="X508" s="8"/>
      <c r="Y508" s="8"/>
      <c r="Z508" s="12"/>
      <c r="AA508" s="11"/>
      <c r="AB508" s="15"/>
    </row>
    <row r="509" spans="1:28" x14ac:dyDescent="0.15">
      <c r="A509" s="4"/>
      <c r="B509" s="4"/>
      <c r="C509" s="5"/>
      <c r="D509" s="6"/>
      <c r="E509" s="6"/>
      <c r="F509" s="6"/>
      <c r="G509" s="7"/>
      <c r="H509" s="7"/>
      <c r="I509" s="8"/>
      <c r="J509" s="9"/>
      <c r="K509" s="7"/>
      <c r="L509" s="7"/>
      <c r="M509" s="10"/>
      <c r="N509" s="11"/>
      <c r="O509" s="12"/>
      <c r="P509" s="13"/>
      <c r="Q509" s="13"/>
      <c r="R509" s="13"/>
      <c r="S509" s="6"/>
      <c r="T509" s="8"/>
      <c r="U509" s="9"/>
      <c r="V509" s="14"/>
      <c r="W509" s="8"/>
      <c r="X509" s="8"/>
      <c r="Y509" s="8"/>
      <c r="Z509" s="12"/>
      <c r="AA509" s="11"/>
      <c r="AB509" s="15"/>
    </row>
    <row r="510" spans="1:28" x14ac:dyDescent="0.15">
      <c r="A510" s="4"/>
      <c r="B510" s="4"/>
      <c r="C510" s="5"/>
      <c r="D510" s="6"/>
      <c r="E510" s="6"/>
      <c r="F510" s="6"/>
      <c r="G510" s="7"/>
      <c r="H510" s="7"/>
      <c r="I510" s="8"/>
      <c r="J510" s="9"/>
      <c r="K510" s="7"/>
      <c r="L510" s="7"/>
      <c r="M510" s="10"/>
      <c r="N510" s="11"/>
      <c r="O510" s="12"/>
      <c r="P510" s="13"/>
      <c r="Q510" s="13"/>
      <c r="R510" s="13"/>
      <c r="S510" s="6"/>
      <c r="T510" s="8"/>
      <c r="U510" s="9"/>
      <c r="V510" s="14"/>
      <c r="W510" s="8"/>
      <c r="X510" s="8"/>
      <c r="Y510" s="8"/>
      <c r="Z510" s="12"/>
      <c r="AA510" s="11"/>
      <c r="AB510" s="15"/>
    </row>
    <row r="511" spans="1:28" x14ac:dyDescent="0.15">
      <c r="A511" s="4"/>
      <c r="B511" s="4"/>
      <c r="C511" s="5"/>
      <c r="D511" s="6"/>
      <c r="E511" s="6"/>
      <c r="F511" s="6"/>
      <c r="G511" s="7"/>
      <c r="H511" s="7"/>
      <c r="I511" s="8"/>
      <c r="J511" s="9"/>
      <c r="K511" s="7"/>
      <c r="L511" s="7"/>
      <c r="M511" s="10"/>
      <c r="N511" s="11"/>
      <c r="O511" s="12"/>
      <c r="P511" s="13"/>
      <c r="Q511" s="13"/>
      <c r="R511" s="13"/>
      <c r="S511" s="6"/>
      <c r="T511" s="8"/>
      <c r="U511" s="9"/>
      <c r="V511" s="14"/>
      <c r="W511" s="8"/>
      <c r="X511" s="8"/>
      <c r="Y511" s="8"/>
      <c r="Z511" s="12"/>
      <c r="AA511" s="11"/>
      <c r="AB511" s="15"/>
    </row>
    <row r="512" spans="1:28" x14ac:dyDescent="0.15">
      <c r="A512" s="4"/>
      <c r="B512" s="4"/>
      <c r="C512" s="5"/>
      <c r="D512" s="6"/>
      <c r="E512" s="6"/>
      <c r="F512" s="6"/>
      <c r="G512" s="7"/>
      <c r="H512" s="7"/>
      <c r="I512" s="8"/>
      <c r="J512" s="9"/>
      <c r="K512" s="7"/>
      <c r="L512" s="7"/>
      <c r="M512" s="10"/>
      <c r="N512" s="11"/>
      <c r="O512" s="12"/>
      <c r="P512" s="13"/>
      <c r="Q512" s="13"/>
      <c r="R512" s="13"/>
      <c r="S512" s="6"/>
      <c r="T512" s="8"/>
      <c r="U512" s="9"/>
      <c r="V512" s="14"/>
      <c r="W512" s="8"/>
      <c r="X512" s="8"/>
      <c r="Y512" s="8"/>
      <c r="Z512" s="12"/>
      <c r="AA512" s="11"/>
      <c r="AB512" s="15"/>
    </row>
    <row r="513" spans="1:28" x14ac:dyDescent="0.15">
      <c r="A513" s="4"/>
      <c r="B513" s="4"/>
      <c r="C513" s="5"/>
      <c r="D513" s="6"/>
      <c r="E513" s="6"/>
      <c r="F513" s="6"/>
      <c r="G513" s="7"/>
      <c r="H513" s="7"/>
      <c r="I513" s="8"/>
      <c r="J513" s="9"/>
      <c r="K513" s="7"/>
      <c r="L513" s="7"/>
      <c r="M513" s="10"/>
      <c r="N513" s="11"/>
      <c r="O513" s="12"/>
      <c r="P513" s="13"/>
      <c r="Q513" s="13"/>
      <c r="R513" s="13"/>
      <c r="S513" s="6"/>
      <c r="T513" s="8"/>
      <c r="U513" s="9"/>
      <c r="V513" s="14"/>
      <c r="W513" s="8"/>
      <c r="X513" s="8"/>
      <c r="Y513" s="8"/>
      <c r="Z513" s="12"/>
      <c r="AA513" s="11"/>
      <c r="AB513" s="15"/>
    </row>
    <row r="514" spans="1:28" x14ac:dyDescent="0.15">
      <c r="A514" s="4"/>
      <c r="B514" s="4"/>
      <c r="C514" s="5"/>
      <c r="D514" s="6"/>
      <c r="E514" s="6"/>
      <c r="F514" s="6"/>
      <c r="G514" s="7"/>
      <c r="H514" s="7"/>
      <c r="I514" s="8"/>
      <c r="J514" s="9"/>
      <c r="K514" s="7"/>
      <c r="L514" s="7"/>
      <c r="M514" s="10"/>
      <c r="N514" s="11"/>
      <c r="O514" s="12"/>
      <c r="P514" s="13"/>
      <c r="Q514" s="13"/>
      <c r="R514" s="13"/>
      <c r="S514" s="6"/>
      <c r="T514" s="8"/>
      <c r="U514" s="9"/>
      <c r="V514" s="14"/>
      <c r="W514" s="8"/>
      <c r="X514" s="8"/>
      <c r="Y514" s="8"/>
      <c r="Z514" s="12"/>
      <c r="AA514" s="11"/>
      <c r="AB514" s="15"/>
    </row>
    <row r="515" spans="1:28" x14ac:dyDescent="0.15">
      <c r="A515" s="4"/>
      <c r="B515" s="4"/>
      <c r="C515" s="5"/>
      <c r="D515" s="6"/>
      <c r="E515" s="6"/>
      <c r="F515" s="6"/>
      <c r="G515" s="7"/>
      <c r="H515" s="7"/>
      <c r="I515" s="8"/>
      <c r="J515" s="9"/>
      <c r="K515" s="7"/>
      <c r="L515" s="7"/>
      <c r="M515" s="10"/>
      <c r="N515" s="11"/>
      <c r="O515" s="12"/>
      <c r="P515" s="13"/>
      <c r="Q515" s="13"/>
      <c r="R515" s="13"/>
      <c r="S515" s="6"/>
      <c r="T515" s="8"/>
      <c r="U515" s="9"/>
      <c r="V515" s="14"/>
      <c r="W515" s="8"/>
      <c r="X515" s="8"/>
      <c r="Y515" s="8"/>
      <c r="Z515" s="12"/>
      <c r="AA515" s="11"/>
      <c r="AB515" s="15"/>
    </row>
    <row r="516" spans="1:28" x14ac:dyDescent="0.15">
      <c r="A516" s="4"/>
      <c r="B516" s="4"/>
      <c r="C516" s="5"/>
      <c r="D516" s="6"/>
      <c r="E516" s="6"/>
      <c r="F516" s="6"/>
      <c r="G516" s="7"/>
      <c r="H516" s="7"/>
      <c r="I516" s="8"/>
      <c r="J516" s="9"/>
      <c r="K516" s="7"/>
      <c r="L516" s="7"/>
      <c r="M516" s="10"/>
      <c r="N516" s="11"/>
      <c r="O516" s="12"/>
      <c r="P516" s="13"/>
      <c r="Q516" s="13"/>
      <c r="R516" s="13"/>
      <c r="S516" s="6"/>
      <c r="T516" s="8"/>
      <c r="U516" s="9"/>
      <c r="V516" s="14"/>
      <c r="W516" s="8"/>
      <c r="X516" s="8"/>
      <c r="Y516" s="8"/>
      <c r="Z516" s="12"/>
      <c r="AA516" s="11"/>
      <c r="AB516" s="15"/>
    </row>
    <row r="517" spans="1:28" x14ac:dyDescent="0.15">
      <c r="A517" s="4"/>
      <c r="B517" s="4"/>
      <c r="C517" s="5"/>
      <c r="D517" s="6"/>
      <c r="E517" s="6"/>
      <c r="F517" s="6"/>
      <c r="G517" s="7"/>
      <c r="H517" s="7"/>
      <c r="I517" s="8"/>
      <c r="J517" s="9"/>
      <c r="K517" s="7"/>
      <c r="L517" s="7"/>
      <c r="M517" s="10"/>
      <c r="N517" s="11"/>
      <c r="O517" s="12"/>
      <c r="P517" s="13"/>
      <c r="Q517" s="13"/>
      <c r="R517" s="13"/>
      <c r="S517" s="6"/>
      <c r="T517" s="8"/>
      <c r="U517" s="9"/>
      <c r="V517" s="14"/>
      <c r="W517" s="8"/>
      <c r="X517" s="8"/>
      <c r="Y517" s="8"/>
      <c r="Z517" s="12"/>
      <c r="AA517" s="11"/>
      <c r="AB517" s="15"/>
    </row>
    <row r="518" spans="1:28" x14ac:dyDescent="0.15">
      <c r="A518" s="4"/>
      <c r="B518" s="4"/>
      <c r="C518" s="5"/>
      <c r="D518" s="6"/>
      <c r="E518" s="6"/>
      <c r="F518" s="6"/>
      <c r="G518" s="7"/>
      <c r="H518" s="7"/>
      <c r="I518" s="8"/>
      <c r="J518" s="9"/>
      <c r="K518" s="7"/>
      <c r="L518" s="7"/>
      <c r="M518" s="10"/>
      <c r="N518" s="11"/>
      <c r="O518" s="12"/>
      <c r="P518" s="13"/>
      <c r="Q518" s="13"/>
      <c r="R518" s="13"/>
      <c r="S518" s="6"/>
      <c r="T518" s="8"/>
      <c r="U518" s="9"/>
      <c r="V518" s="14"/>
      <c r="W518" s="8"/>
      <c r="X518" s="8"/>
      <c r="Y518" s="8"/>
      <c r="Z518" s="12"/>
      <c r="AA518" s="11"/>
      <c r="AB518" s="15"/>
    </row>
    <row r="519" spans="1:28" x14ac:dyDescent="0.15">
      <c r="A519" s="4"/>
      <c r="B519" s="4"/>
      <c r="C519" s="5"/>
      <c r="D519" s="6"/>
      <c r="E519" s="6"/>
      <c r="F519" s="6"/>
      <c r="G519" s="7"/>
      <c r="H519" s="7"/>
      <c r="I519" s="8"/>
      <c r="J519" s="9"/>
      <c r="K519" s="7"/>
      <c r="L519" s="7"/>
      <c r="M519" s="10"/>
      <c r="N519" s="11"/>
      <c r="O519" s="12"/>
      <c r="P519" s="13"/>
      <c r="Q519" s="13"/>
      <c r="R519" s="13"/>
      <c r="S519" s="6"/>
      <c r="T519" s="8"/>
      <c r="U519" s="9"/>
      <c r="V519" s="14"/>
      <c r="W519" s="8"/>
      <c r="X519" s="8"/>
      <c r="Y519" s="8"/>
      <c r="Z519" s="12"/>
      <c r="AA519" s="11"/>
      <c r="AB519" s="15"/>
    </row>
    <row r="520" spans="1:28" x14ac:dyDescent="0.15">
      <c r="A520" s="4"/>
      <c r="B520" s="4"/>
      <c r="C520" s="5"/>
      <c r="D520" s="6"/>
      <c r="E520" s="6"/>
      <c r="F520" s="6"/>
      <c r="G520" s="7"/>
      <c r="H520" s="7"/>
      <c r="I520" s="8"/>
      <c r="J520" s="9"/>
      <c r="K520" s="7"/>
      <c r="L520" s="7"/>
      <c r="M520" s="10"/>
      <c r="N520" s="11"/>
      <c r="O520" s="12"/>
      <c r="P520" s="13"/>
      <c r="Q520" s="13"/>
      <c r="R520" s="13"/>
      <c r="S520" s="6"/>
      <c r="T520" s="8"/>
      <c r="U520" s="9"/>
      <c r="V520" s="14"/>
      <c r="W520" s="8"/>
      <c r="X520" s="8"/>
      <c r="Y520" s="8"/>
      <c r="Z520" s="12"/>
      <c r="AA520" s="11"/>
      <c r="AB520" s="15"/>
    </row>
    <row r="521" spans="1:28" x14ac:dyDescent="0.15">
      <c r="A521" s="4"/>
      <c r="B521" s="4"/>
      <c r="C521" s="5"/>
      <c r="D521" s="6"/>
      <c r="E521" s="6"/>
      <c r="F521" s="6"/>
      <c r="G521" s="7"/>
      <c r="H521" s="7"/>
      <c r="I521" s="8"/>
      <c r="J521" s="9"/>
      <c r="K521" s="7"/>
      <c r="L521" s="7"/>
      <c r="M521" s="10"/>
      <c r="N521" s="11"/>
      <c r="O521" s="12"/>
      <c r="P521" s="13"/>
      <c r="Q521" s="13"/>
      <c r="R521" s="13"/>
      <c r="S521" s="6"/>
      <c r="T521" s="8"/>
      <c r="U521" s="9"/>
      <c r="V521" s="14"/>
      <c r="W521" s="8"/>
      <c r="X521" s="8"/>
      <c r="Y521" s="8"/>
      <c r="Z521" s="12"/>
      <c r="AA521" s="11"/>
      <c r="AB521" s="15"/>
    </row>
    <row r="522" spans="1:28" x14ac:dyDescent="0.15">
      <c r="A522" s="4"/>
      <c r="B522" s="4"/>
      <c r="C522" s="5"/>
      <c r="D522" s="6"/>
      <c r="E522" s="6"/>
      <c r="F522" s="6"/>
      <c r="G522" s="7"/>
      <c r="H522" s="7"/>
      <c r="I522" s="8"/>
      <c r="J522" s="9"/>
      <c r="K522" s="7"/>
      <c r="L522" s="7"/>
      <c r="M522" s="10"/>
      <c r="N522" s="11"/>
      <c r="O522" s="12"/>
      <c r="P522" s="13"/>
      <c r="Q522" s="13"/>
      <c r="R522" s="13"/>
      <c r="S522" s="6"/>
      <c r="T522" s="8"/>
      <c r="U522" s="9"/>
      <c r="V522" s="14"/>
      <c r="W522" s="8"/>
      <c r="X522" s="8"/>
      <c r="Y522" s="8"/>
      <c r="Z522" s="12"/>
      <c r="AA522" s="11"/>
      <c r="AB522" s="15"/>
    </row>
    <row r="523" spans="1:28" x14ac:dyDescent="0.15">
      <c r="A523" s="4"/>
      <c r="B523" s="4"/>
      <c r="C523" s="5"/>
      <c r="D523" s="6"/>
      <c r="E523" s="6"/>
      <c r="F523" s="6"/>
      <c r="G523" s="7"/>
      <c r="H523" s="7"/>
      <c r="I523" s="8"/>
      <c r="J523" s="9"/>
      <c r="K523" s="7"/>
      <c r="L523" s="7"/>
      <c r="M523" s="10"/>
      <c r="N523" s="11"/>
      <c r="O523" s="12"/>
      <c r="P523" s="13"/>
      <c r="Q523" s="13"/>
      <c r="R523" s="13"/>
      <c r="S523" s="6"/>
      <c r="T523" s="8"/>
      <c r="U523" s="9"/>
      <c r="V523" s="14"/>
      <c r="W523" s="8"/>
      <c r="X523" s="8"/>
      <c r="Y523" s="8"/>
      <c r="Z523" s="12"/>
      <c r="AA523" s="11"/>
      <c r="AB523" s="15"/>
    </row>
    <row r="524" spans="1:28" x14ac:dyDescent="0.15">
      <c r="A524" s="4"/>
      <c r="B524" s="4"/>
      <c r="C524" s="5"/>
      <c r="D524" s="6"/>
      <c r="E524" s="6"/>
      <c r="F524" s="6"/>
      <c r="G524" s="7"/>
      <c r="H524" s="7"/>
      <c r="I524" s="8"/>
      <c r="J524" s="9"/>
      <c r="K524" s="7"/>
      <c r="L524" s="7"/>
      <c r="M524" s="10"/>
      <c r="N524" s="11"/>
      <c r="O524" s="12"/>
      <c r="P524" s="13"/>
      <c r="Q524" s="13"/>
      <c r="R524" s="13"/>
      <c r="S524" s="6"/>
      <c r="T524" s="8"/>
      <c r="U524" s="9"/>
      <c r="V524" s="14"/>
      <c r="W524" s="8"/>
      <c r="X524" s="8"/>
      <c r="Y524" s="8"/>
      <c r="Z524" s="12"/>
      <c r="AA524" s="11"/>
      <c r="AB524" s="15"/>
    </row>
    <row r="525" spans="1:28" x14ac:dyDescent="0.15">
      <c r="A525" s="4"/>
      <c r="B525" s="4"/>
      <c r="C525" s="5"/>
      <c r="D525" s="6"/>
      <c r="E525" s="6"/>
      <c r="F525" s="6"/>
      <c r="G525" s="7"/>
      <c r="H525" s="7"/>
      <c r="I525" s="8"/>
      <c r="J525" s="9"/>
      <c r="K525" s="7"/>
      <c r="L525" s="7"/>
      <c r="M525" s="10"/>
      <c r="N525" s="11"/>
      <c r="O525" s="12"/>
      <c r="P525" s="13"/>
      <c r="Q525" s="13"/>
      <c r="R525" s="13"/>
      <c r="S525" s="6"/>
      <c r="T525" s="8"/>
      <c r="U525" s="9"/>
      <c r="V525" s="14"/>
      <c r="W525" s="8"/>
      <c r="X525" s="8"/>
      <c r="Y525" s="8"/>
      <c r="Z525" s="12"/>
      <c r="AA525" s="11"/>
      <c r="AB525" s="15"/>
    </row>
    <row r="526" spans="1:28" x14ac:dyDescent="0.15">
      <c r="A526" s="4"/>
      <c r="B526" s="4"/>
      <c r="C526" s="5"/>
      <c r="D526" s="6"/>
      <c r="E526" s="6"/>
      <c r="F526" s="6"/>
      <c r="G526" s="7"/>
      <c r="H526" s="7"/>
      <c r="I526" s="8"/>
      <c r="J526" s="9"/>
      <c r="K526" s="7"/>
      <c r="L526" s="7"/>
      <c r="M526" s="10"/>
      <c r="N526" s="11"/>
      <c r="O526" s="12"/>
      <c r="P526" s="13"/>
      <c r="Q526" s="13"/>
      <c r="R526" s="13"/>
      <c r="S526" s="6"/>
      <c r="T526" s="8"/>
      <c r="U526" s="9"/>
      <c r="V526" s="14"/>
      <c r="W526" s="8"/>
      <c r="X526" s="8"/>
      <c r="Y526" s="8"/>
      <c r="Z526" s="12"/>
      <c r="AA526" s="11"/>
      <c r="AB526" s="15"/>
    </row>
    <row r="527" spans="1:28" x14ac:dyDescent="0.15">
      <c r="A527" s="4"/>
      <c r="B527" s="4"/>
      <c r="C527" s="5"/>
      <c r="D527" s="6"/>
      <c r="E527" s="6"/>
      <c r="F527" s="6"/>
      <c r="G527" s="7"/>
      <c r="H527" s="7"/>
      <c r="I527" s="8"/>
      <c r="J527" s="9"/>
      <c r="K527" s="7"/>
      <c r="L527" s="7"/>
      <c r="M527" s="10"/>
      <c r="N527" s="11"/>
      <c r="O527" s="12"/>
      <c r="P527" s="13"/>
      <c r="Q527" s="13"/>
      <c r="R527" s="13"/>
      <c r="S527" s="6"/>
      <c r="T527" s="8"/>
      <c r="U527" s="9"/>
      <c r="V527" s="14"/>
      <c r="W527" s="8"/>
      <c r="X527" s="8"/>
      <c r="Y527" s="8"/>
      <c r="Z527" s="12"/>
      <c r="AA527" s="11"/>
      <c r="AB527" s="15"/>
    </row>
    <row r="528" spans="1:28" x14ac:dyDescent="0.15">
      <c r="A528" s="4"/>
      <c r="B528" s="4"/>
      <c r="C528" s="5"/>
      <c r="D528" s="6"/>
      <c r="E528" s="6"/>
      <c r="F528" s="6"/>
      <c r="G528" s="7"/>
      <c r="H528" s="7"/>
      <c r="I528" s="8"/>
      <c r="J528" s="9"/>
      <c r="K528" s="7"/>
      <c r="L528" s="7"/>
      <c r="M528" s="10"/>
      <c r="N528" s="11"/>
      <c r="O528" s="12"/>
      <c r="P528" s="13"/>
      <c r="Q528" s="13"/>
      <c r="R528" s="13"/>
      <c r="S528" s="6"/>
      <c r="T528" s="8"/>
      <c r="U528" s="9"/>
      <c r="V528" s="14"/>
      <c r="W528" s="8"/>
      <c r="X528" s="8"/>
      <c r="Y528" s="8"/>
      <c r="Z528" s="12"/>
      <c r="AA528" s="11"/>
      <c r="AB528" s="15"/>
    </row>
    <row r="529" spans="1:28" x14ac:dyDescent="0.15">
      <c r="A529" s="4"/>
      <c r="B529" s="4"/>
      <c r="C529" s="5"/>
      <c r="D529" s="6"/>
      <c r="E529" s="6"/>
      <c r="F529" s="6"/>
      <c r="G529" s="7"/>
      <c r="H529" s="7"/>
      <c r="I529" s="8"/>
      <c r="J529" s="9"/>
      <c r="K529" s="7"/>
      <c r="L529" s="7"/>
      <c r="M529" s="10"/>
      <c r="N529" s="11"/>
      <c r="O529" s="12"/>
      <c r="P529" s="13"/>
      <c r="Q529" s="13"/>
      <c r="R529" s="13"/>
      <c r="S529" s="6"/>
      <c r="T529" s="8"/>
      <c r="U529" s="9"/>
      <c r="V529" s="14"/>
      <c r="W529" s="8"/>
      <c r="X529" s="8"/>
      <c r="Y529" s="8"/>
      <c r="Z529" s="12"/>
      <c r="AA529" s="11"/>
      <c r="AB529" s="15"/>
    </row>
    <row r="530" spans="1:28" x14ac:dyDescent="0.15">
      <c r="A530" s="4"/>
      <c r="B530" s="4"/>
      <c r="C530" s="5"/>
      <c r="D530" s="6"/>
      <c r="E530" s="6"/>
      <c r="F530" s="6"/>
      <c r="G530" s="7"/>
      <c r="H530" s="7"/>
      <c r="I530" s="8"/>
      <c r="J530" s="9"/>
      <c r="K530" s="7"/>
      <c r="L530" s="7"/>
      <c r="M530" s="10"/>
      <c r="N530" s="11"/>
      <c r="O530" s="12"/>
      <c r="P530" s="13"/>
      <c r="Q530" s="13"/>
      <c r="R530" s="13"/>
      <c r="S530" s="6"/>
      <c r="T530" s="8"/>
      <c r="U530" s="9"/>
      <c r="V530" s="14"/>
      <c r="W530" s="8"/>
      <c r="X530" s="8"/>
      <c r="Y530" s="8"/>
      <c r="Z530" s="12"/>
      <c r="AA530" s="11"/>
      <c r="AB530" s="15"/>
    </row>
    <row r="531" spans="1:28" x14ac:dyDescent="0.15">
      <c r="A531" s="4"/>
      <c r="B531" s="4"/>
      <c r="C531" s="5"/>
      <c r="D531" s="6"/>
      <c r="E531" s="6"/>
      <c r="F531" s="6"/>
      <c r="G531" s="7"/>
      <c r="H531" s="7"/>
      <c r="I531" s="8"/>
      <c r="J531" s="9"/>
      <c r="K531" s="7"/>
      <c r="L531" s="7"/>
      <c r="M531" s="10"/>
      <c r="N531" s="11"/>
      <c r="O531" s="12"/>
      <c r="P531" s="13"/>
      <c r="Q531" s="13"/>
      <c r="R531" s="13"/>
      <c r="S531" s="6"/>
      <c r="T531" s="8"/>
      <c r="U531" s="9"/>
      <c r="V531" s="14"/>
      <c r="W531" s="8"/>
      <c r="X531" s="8"/>
      <c r="Y531" s="8"/>
      <c r="Z531" s="12"/>
      <c r="AA531" s="11"/>
      <c r="AB531" s="15"/>
    </row>
    <row r="532" spans="1:28" x14ac:dyDescent="0.15">
      <c r="A532" s="4"/>
      <c r="B532" s="4"/>
      <c r="C532" s="5"/>
      <c r="D532" s="6"/>
      <c r="E532" s="6"/>
      <c r="F532" s="6"/>
      <c r="G532" s="7"/>
      <c r="H532" s="7"/>
      <c r="I532" s="8"/>
      <c r="J532" s="9"/>
      <c r="K532" s="7"/>
      <c r="L532" s="7"/>
      <c r="M532" s="10"/>
      <c r="N532" s="11"/>
      <c r="O532" s="12"/>
      <c r="P532" s="13"/>
      <c r="Q532" s="13"/>
      <c r="R532" s="13"/>
      <c r="S532" s="6"/>
      <c r="T532" s="8"/>
      <c r="U532" s="9"/>
      <c r="V532" s="14"/>
      <c r="W532" s="8"/>
      <c r="X532" s="8"/>
      <c r="Y532" s="8"/>
      <c r="Z532" s="12"/>
      <c r="AA532" s="11"/>
      <c r="AB532" s="15"/>
    </row>
    <row r="533" spans="1:28" x14ac:dyDescent="0.15">
      <c r="A533" s="4"/>
      <c r="B533" s="4"/>
      <c r="C533" s="5"/>
      <c r="D533" s="6"/>
      <c r="E533" s="6"/>
      <c r="F533" s="6"/>
      <c r="G533" s="7"/>
      <c r="H533" s="7"/>
      <c r="I533" s="8"/>
      <c r="J533" s="9"/>
      <c r="K533" s="7"/>
      <c r="L533" s="7"/>
      <c r="M533" s="10"/>
      <c r="N533" s="11"/>
      <c r="O533" s="12"/>
      <c r="P533" s="13"/>
      <c r="Q533" s="13"/>
      <c r="R533" s="13"/>
      <c r="S533" s="6"/>
      <c r="T533" s="8"/>
      <c r="U533" s="9"/>
      <c r="V533" s="14"/>
      <c r="W533" s="8"/>
      <c r="X533" s="8"/>
      <c r="Y533" s="8"/>
      <c r="Z533" s="12"/>
      <c r="AA533" s="11"/>
      <c r="AB533" s="15"/>
    </row>
    <row r="534" spans="1:28" x14ac:dyDescent="0.15">
      <c r="A534" s="4"/>
      <c r="B534" s="4"/>
      <c r="C534" s="5"/>
      <c r="D534" s="6"/>
      <c r="E534" s="6"/>
      <c r="F534" s="6"/>
      <c r="G534" s="7"/>
      <c r="H534" s="7"/>
      <c r="I534" s="8"/>
      <c r="J534" s="9"/>
      <c r="K534" s="7"/>
      <c r="L534" s="7"/>
      <c r="M534" s="10"/>
      <c r="N534" s="11"/>
      <c r="O534" s="12"/>
      <c r="P534" s="13"/>
      <c r="Q534" s="13"/>
      <c r="R534" s="13"/>
      <c r="S534" s="6"/>
      <c r="T534" s="8"/>
      <c r="U534" s="9"/>
      <c r="V534" s="14"/>
      <c r="W534" s="8"/>
      <c r="X534" s="8"/>
      <c r="Y534" s="8"/>
      <c r="Z534" s="12"/>
      <c r="AA534" s="11"/>
      <c r="AB534" s="15"/>
    </row>
    <row r="535" spans="1:28" x14ac:dyDescent="0.15">
      <c r="A535" s="4"/>
      <c r="B535" s="4"/>
      <c r="C535" s="5"/>
      <c r="D535" s="6"/>
      <c r="E535" s="6"/>
      <c r="F535" s="6"/>
      <c r="G535" s="7"/>
      <c r="H535" s="7"/>
      <c r="I535" s="8"/>
      <c r="J535" s="9"/>
      <c r="K535" s="7"/>
      <c r="L535" s="7"/>
      <c r="M535" s="10"/>
      <c r="N535" s="11"/>
      <c r="O535" s="12"/>
      <c r="P535" s="13"/>
      <c r="Q535" s="13"/>
      <c r="R535" s="13"/>
      <c r="S535" s="6"/>
      <c r="T535" s="8"/>
      <c r="U535" s="9"/>
      <c r="V535" s="14"/>
      <c r="W535" s="8"/>
      <c r="X535" s="8"/>
      <c r="Y535" s="8"/>
      <c r="Z535" s="12"/>
      <c r="AA535" s="11"/>
      <c r="AB535" s="15"/>
    </row>
    <row r="536" spans="1:28" x14ac:dyDescent="0.15">
      <c r="A536" s="4"/>
      <c r="B536" s="4"/>
      <c r="C536" s="5"/>
      <c r="D536" s="6"/>
      <c r="E536" s="6"/>
      <c r="F536" s="6"/>
      <c r="G536" s="7"/>
      <c r="H536" s="7"/>
      <c r="I536" s="8"/>
      <c r="J536" s="9"/>
      <c r="K536" s="7"/>
      <c r="L536" s="7"/>
      <c r="M536" s="10"/>
      <c r="N536" s="11"/>
      <c r="O536" s="12"/>
      <c r="P536" s="13"/>
      <c r="Q536" s="13"/>
      <c r="R536" s="13"/>
      <c r="S536" s="6"/>
      <c r="T536" s="8"/>
      <c r="U536" s="9"/>
      <c r="V536" s="14"/>
      <c r="W536" s="8"/>
      <c r="X536" s="8"/>
      <c r="Y536" s="8"/>
      <c r="Z536" s="12"/>
      <c r="AA536" s="11"/>
      <c r="AB536" s="15"/>
    </row>
    <row r="537" spans="1:28" x14ac:dyDescent="0.15">
      <c r="A537" s="4"/>
      <c r="B537" s="4"/>
      <c r="C537" s="5"/>
      <c r="D537" s="6"/>
      <c r="E537" s="6"/>
      <c r="F537" s="6"/>
      <c r="G537" s="7"/>
      <c r="H537" s="7"/>
      <c r="I537" s="8"/>
      <c r="J537" s="9"/>
      <c r="K537" s="7"/>
      <c r="L537" s="7"/>
      <c r="M537" s="10"/>
      <c r="N537" s="11"/>
      <c r="O537" s="12"/>
      <c r="P537" s="13"/>
      <c r="Q537" s="13"/>
      <c r="R537" s="13"/>
      <c r="S537" s="6"/>
      <c r="T537" s="8"/>
      <c r="U537" s="9"/>
      <c r="V537" s="14"/>
      <c r="W537" s="8"/>
      <c r="X537" s="8"/>
      <c r="Y537" s="8"/>
      <c r="Z537" s="12"/>
      <c r="AA537" s="11"/>
      <c r="AB537" s="15"/>
    </row>
    <row r="538" spans="1:28" x14ac:dyDescent="0.15">
      <c r="A538" s="4"/>
      <c r="B538" s="4"/>
      <c r="C538" s="5"/>
      <c r="D538" s="6"/>
      <c r="E538" s="6"/>
      <c r="F538" s="6"/>
      <c r="G538" s="7"/>
      <c r="H538" s="7"/>
      <c r="I538" s="8"/>
      <c r="J538" s="9"/>
      <c r="K538" s="7"/>
      <c r="L538" s="7"/>
      <c r="M538" s="10"/>
      <c r="N538" s="11"/>
      <c r="O538" s="12"/>
      <c r="P538" s="13"/>
      <c r="Q538" s="13"/>
      <c r="R538" s="13"/>
      <c r="S538" s="6"/>
      <c r="T538" s="8"/>
      <c r="U538" s="9"/>
      <c r="V538" s="14"/>
      <c r="W538" s="8"/>
      <c r="X538" s="8"/>
      <c r="Y538" s="8"/>
      <c r="Z538" s="12"/>
      <c r="AA538" s="11"/>
      <c r="AB538" s="15"/>
    </row>
    <row r="539" spans="1:28" x14ac:dyDescent="0.15">
      <c r="A539" s="4"/>
      <c r="B539" s="4"/>
      <c r="C539" s="5"/>
      <c r="D539" s="6"/>
      <c r="E539" s="6"/>
      <c r="F539" s="6"/>
      <c r="G539" s="7"/>
      <c r="H539" s="7"/>
      <c r="I539" s="8"/>
      <c r="J539" s="9"/>
      <c r="K539" s="7"/>
      <c r="L539" s="7"/>
      <c r="M539" s="10"/>
      <c r="N539" s="11"/>
      <c r="O539" s="12"/>
      <c r="P539" s="13"/>
      <c r="Q539" s="13"/>
      <c r="R539" s="13"/>
      <c r="S539" s="6"/>
      <c r="T539" s="8"/>
      <c r="U539" s="9"/>
      <c r="V539" s="14"/>
      <c r="W539" s="8"/>
      <c r="X539" s="8"/>
      <c r="Y539" s="8"/>
      <c r="Z539" s="12"/>
      <c r="AA539" s="11"/>
      <c r="AB539" s="15"/>
    </row>
    <row r="540" spans="1:28" x14ac:dyDescent="0.15">
      <c r="A540" s="4"/>
      <c r="B540" s="4"/>
      <c r="C540" s="5"/>
      <c r="D540" s="6"/>
      <c r="E540" s="6"/>
      <c r="F540" s="6"/>
      <c r="G540" s="7"/>
      <c r="H540" s="7"/>
      <c r="I540" s="8"/>
      <c r="J540" s="9"/>
      <c r="K540" s="7"/>
      <c r="L540" s="7"/>
      <c r="M540" s="10"/>
      <c r="N540" s="11"/>
      <c r="O540" s="12"/>
      <c r="P540" s="13"/>
      <c r="Q540" s="13"/>
      <c r="R540" s="13"/>
      <c r="S540" s="6"/>
      <c r="T540" s="8"/>
      <c r="U540" s="9"/>
      <c r="V540" s="14"/>
      <c r="W540" s="8"/>
      <c r="X540" s="8"/>
      <c r="Y540" s="8"/>
      <c r="Z540" s="12"/>
      <c r="AA540" s="11"/>
      <c r="AB540" s="15"/>
    </row>
    <row r="541" spans="1:28" x14ac:dyDescent="0.15">
      <c r="A541" s="4"/>
      <c r="B541" s="4"/>
      <c r="C541" s="5"/>
      <c r="D541" s="6"/>
      <c r="E541" s="6"/>
      <c r="F541" s="6"/>
      <c r="G541" s="7"/>
      <c r="H541" s="7"/>
      <c r="I541" s="8"/>
      <c r="J541" s="9"/>
      <c r="K541" s="7"/>
      <c r="L541" s="7"/>
      <c r="M541" s="10"/>
      <c r="N541" s="11"/>
      <c r="O541" s="12"/>
      <c r="P541" s="13"/>
      <c r="Q541" s="13"/>
      <c r="R541" s="13"/>
      <c r="S541" s="6"/>
      <c r="T541" s="8"/>
      <c r="U541" s="9"/>
      <c r="V541" s="14"/>
      <c r="W541" s="8"/>
      <c r="X541" s="8"/>
      <c r="Y541" s="8"/>
      <c r="Z541" s="12"/>
      <c r="AA541" s="11"/>
      <c r="AB541" s="15"/>
    </row>
    <row r="542" spans="1:28" x14ac:dyDescent="0.15">
      <c r="A542" s="4"/>
      <c r="B542" s="4"/>
      <c r="C542" s="5"/>
      <c r="D542" s="6"/>
      <c r="E542" s="6"/>
      <c r="F542" s="6"/>
      <c r="G542" s="7"/>
      <c r="H542" s="7"/>
      <c r="I542" s="8"/>
      <c r="J542" s="9"/>
      <c r="K542" s="7"/>
      <c r="L542" s="7"/>
      <c r="M542" s="10"/>
      <c r="N542" s="11"/>
      <c r="O542" s="12"/>
      <c r="P542" s="13"/>
      <c r="Q542" s="13"/>
      <c r="R542" s="13"/>
      <c r="S542" s="6"/>
      <c r="T542" s="8"/>
      <c r="U542" s="9"/>
      <c r="V542" s="14"/>
      <c r="W542" s="8"/>
      <c r="X542" s="8"/>
      <c r="Y542" s="8"/>
      <c r="Z542" s="12"/>
      <c r="AA542" s="11"/>
      <c r="AB542" s="15"/>
    </row>
    <row r="543" spans="1:28" x14ac:dyDescent="0.15">
      <c r="A543" s="4"/>
      <c r="B543" s="4"/>
      <c r="C543" s="5"/>
      <c r="D543" s="6"/>
      <c r="E543" s="6"/>
      <c r="F543" s="6"/>
      <c r="G543" s="7"/>
      <c r="H543" s="7"/>
      <c r="I543" s="8"/>
      <c r="J543" s="9"/>
      <c r="K543" s="7"/>
      <c r="L543" s="7"/>
      <c r="M543" s="10"/>
      <c r="N543" s="11"/>
      <c r="O543" s="12"/>
      <c r="P543" s="13"/>
      <c r="Q543" s="13"/>
      <c r="R543" s="13"/>
      <c r="S543" s="6"/>
      <c r="T543" s="8"/>
      <c r="U543" s="9"/>
      <c r="V543" s="14"/>
      <c r="W543" s="8"/>
      <c r="X543" s="8"/>
      <c r="Y543" s="8"/>
      <c r="Z543" s="12"/>
      <c r="AA543" s="11"/>
      <c r="AB543" s="15"/>
    </row>
    <row r="544" spans="1:28" x14ac:dyDescent="0.15">
      <c r="A544" s="4"/>
      <c r="B544" s="4"/>
      <c r="C544" s="5"/>
      <c r="D544" s="6"/>
      <c r="E544" s="6"/>
      <c r="F544" s="6"/>
      <c r="G544" s="7"/>
      <c r="H544" s="7"/>
      <c r="I544" s="8"/>
      <c r="J544" s="9"/>
      <c r="K544" s="7"/>
      <c r="L544" s="7"/>
      <c r="M544" s="10"/>
      <c r="N544" s="11"/>
      <c r="O544" s="12"/>
      <c r="P544" s="13"/>
      <c r="Q544" s="13"/>
      <c r="R544" s="13"/>
      <c r="S544" s="6"/>
      <c r="T544" s="8"/>
      <c r="U544" s="9"/>
      <c r="V544" s="14"/>
      <c r="W544" s="8"/>
      <c r="X544" s="8"/>
      <c r="Y544" s="8"/>
      <c r="Z544" s="12"/>
      <c r="AA544" s="11"/>
      <c r="AB544" s="15"/>
    </row>
    <row r="545" spans="1:28" x14ac:dyDescent="0.15">
      <c r="A545" s="4"/>
      <c r="B545" s="4"/>
      <c r="C545" s="5"/>
      <c r="D545" s="6"/>
      <c r="E545" s="6"/>
      <c r="F545" s="6"/>
      <c r="G545" s="7"/>
      <c r="H545" s="7"/>
      <c r="I545" s="8"/>
      <c r="J545" s="9"/>
      <c r="K545" s="7"/>
      <c r="L545" s="7"/>
      <c r="M545" s="10"/>
      <c r="N545" s="11"/>
      <c r="O545" s="12"/>
      <c r="P545" s="13"/>
      <c r="Q545" s="13"/>
      <c r="R545" s="13"/>
      <c r="S545" s="6"/>
      <c r="T545" s="8"/>
      <c r="U545" s="9"/>
      <c r="V545" s="14"/>
      <c r="W545" s="8"/>
      <c r="X545" s="8"/>
      <c r="Y545" s="8"/>
      <c r="Z545" s="12"/>
      <c r="AA545" s="11"/>
      <c r="AB545" s="15"/>
    </row>
    <row r="546" spans="1:28" x14ac:dyDescent="0.15">
      <c r="A546" s="4"/>
      <c r="B546" s="4"/>
      <c r="C546" s="5"/>
      <c r="D546" s="6"/>
      <c r="E546" s="6"/>
      <c r="F546" s="6"/>
      <c r="G546" s="7"/>
      <c r="H546" s="7"/>
      <c r="I546" s="8"/>
      <c r="J546" s="9"/>
      <c r="K546" s="7"/>
      <c r="L546" s="7"/>
      <c r="M546" s="10"/>
      <c r="N546" s="11"/>
      <c r="O546" s="12"/>
      <c r="P546" s="13"/>
      <c r="Q546" s="13"/>
      <c r="R546" s="13"/>
      <c r="S546" s="6"/>
      <c r="T546" s="8"/>
      <c r="U546" s="9"/>
      <c r="V546" s="14"/>
      <c r="W546" s="8"/>
      <c r="X546" s="8"/>
      <c r="Y546" s="8"/>
      <c r="Z546" s="12"/>
      <c r="AA546" s="11"/>
      <c r="AB546" s="15"/>
    </row>
    <row r="547" spans="1:28" x14ac:dyDescent="0.15">
      <c r="A547" s="4"/>
      <c r="B547" s="4"/>
      <c r="C547" s="5"/>
      <c r="D547" s="6"/>
      <c r="E547" s="6"/>
      <c r="F547" s="6"/>
      <c r="G547" s="7"/>
      <c r="H547" s="7"/>
      <c r="I547" s="8"/>
      <c r="J547" s="9"/>
      <c r="K547" s="7"/>
      <c r="L547" s="7"/>
      <c r="M547" s="10"/>
      <c r="N547" s="11"/>
      <c r="O547" s="12"/>
      <c r="P547" s="13"/>
      <c r="Q547" s="13"/>
      <c r="R547" s="13"/>
      <c r="S547" s="6"/>
      <c r="T547" s="8"/>
      <c r="U547" s="9"/>
      <c r="V547" s="14"/>
      <c r="W547" s="8"/>
      <c r="X547" s="8"/>
      <c r="Y547" s="8"/>
      <c r="Z547" s="12"/>
      <c r="AA547" s="11"/>
      <c r="AB547" s="15"/>
    </row>
    <row r="548" spans="1:28" x14ac:dyDescent="0.15">
      <c r="A548" s="4"/>
      <c r="B548" s="4"/>
      <c r="C548" s="5"/>
      <c r="D548" s="6"/>
      <c r="E548" s="6"/>
      <c r="F548" s="6"/>
      <c r="G548" s="7"/>
      <c r="H548" s="7"/>
      <c r="I548" s="8"/>
      <c r="J548" s="9"/>
      <c r="K548" s="7"/>
      <c r="L548" s="7"/>
      <c r="M548" s="10"/>
      <c r="N548" s="11"/>
      <c r="O548" s="12"/>
      <c r="P548" s="13"/>
      <c r="Q548" s="13"/>
      <c r="R548" s="13"/>
      <c r="S548" s="6"/>
      <c r="T548" s="8"/>
      <c r="U548" s="9"/>
      <c r="V548" s="14"/>
      <c r="W548" s="8"/>
      <c r="X548" s="8"/>
      <c r="Y548" s="8"/>
      <c r="Z548" s="12"/>
      <c r="AA548" s="11"/>
      <c r="AB548" s="15"/>
    </row>
    <row r="549" spans="1:28" x14ac:dyDescent="0.15">
      <c r="A549" s="4"/>
      <c r="B549" s="4"/>
      <c r="C549" s="5"/>
      <c r="D549" s="6"/>
      <c r="E549" s="6"/>
      <c r="F549" s="6"/>
      <c r="G549" s="7"/>
      <c r="H549" s="7"/>
      <c r="I549" s="8"/>
      <c r="J549" s="9"/>
      <c r="K549" s="7"/>
      <c r="L549" s="7"/>
      <c r="M549" s="10"/>
      <c r="N549" s="11"/>
      <c r="O549" s="12"/>
      <c r="P549" s="13"/>
      <c r="Q549" s="13"/>
      <c r="R549" s="13"/>
      <c r="S549" s="6"/>
      <c r="T549" s="8"/>
      <c r="U549" s="9"/>
      <c r="V549" s="14"/>
      <c r="W549" s="8"/>
      <c r="X549" s="8"/>
      <c r="Y549" s="8"/>
      <c r="Z549" s="12"/>
      <c r="AA549" s="11"/>
      <c r="AB549" s="15"/>
    </row>
    <row r="550" spans="1:28" x14ac:dyDescent="0.15">
      <c r="A550" s="4"/>
      <c r="B550" s="4"/>
      <c r="C550" s="5"/>
      <c r="D550" s="6"/>
      <c r="E550" s="6"/>
      <c r="F550" s="6"/>
      <c r="G550" s="7"/>
      <c r="H550" s="7"/>
      <c r="I550" s="8"/>
      <c r="J550" s="9"/>
      <c r="K550" s="7"/>
      <c r="L550" s="7"/>
      <c r="M550" s="10"/>
      <c r="N550" s="11"/>
      <c r="O550" s="12"/>
      <c r="P550" s="13"/>
      <c r="Q550" s="13"/>
      <c r="R550" s="13"/>
      <c r="S550" s="6"/>
      <c r="T550" s="8"/>
      <c r="U550" s="9"/>
      <c r="V550" s="14"/>
      <c r="W550" s="8"/>
      <c r="X550" s="8"/>
      <c r="Y550" s="8"/>
      <c r="Z550" s="12"/>
      <c r="AA550" s="11"/>
      <c r="AB550" s="15"/>
    </row>
    <row r="551" spans="1:28" x14ac:dyDescent="0.15">
      <c r="A551" s="4"/>
      <c r="B551" s="4"/>
      <c r="C551" s="5"/>
      <c r="D551" s="6"/>
      <c r="E551" s="6"/>
      <c r="F551" s="6"/>
      <c r="G551" s="7"/>
      <c r="H551" s="7"/>
      <c r="I551" s="8"/>
      <c r="J551" s="9"/>
      <c r="K551" s="7"/>
      <c r="L551" s="7"/>
      <c r="M551" s="10"/>
      <c r="N551" s="11"/>
      <c r="O551" s="12"/>
      <c r="P551" s="13"/>
      <c r="Q551" s="13"/>
      <c r="R551" s="13"/>
      <c r="S551" s="6"/>
      <c r="T551" s="8"/>
      <c r="U551" s="9"/>
      <c r="V551" s="14"/>
      <c r="W551" s="8"/>
      <c r="X551" s="8"/>
      <c r="Y551" s="8"/>
      <c r="Z551" s="12"/>
      <c r="AA551" s="11"/>
      <c r="AB551" s="15"/>
    </row>
    <row r="552" spans="1:28" x14ac:dyDescent="0.15">
      <c r="A552" s="4"/>
      <c r="B552" s="4"/>
      <c r="C552" s="5"/>
      <c r="D552" s="6"/>
      <c r="E552" s="6"/>
      <c r="F552" s="6"/>
      <c r="G552" s="7"/>
      <c r="H552" s="7"/>
      <c r="I552" s="8"/>
      <c r="J552" s="9"/>
      <c r="K552" s="7"/>
      <c r="L552" s="7"/>
      <c r="M552" s="10"/>
      <c r="N552" s="11"/>
      <c r="O552" s="12"/>
      <c r="P552" s="13"/>
      <c r="Q552" s="13"/>
      <c r="R552" s="13"/>
      <c r="S552" s="6"/>
      <c r="T552" s="8"/>
      <c r="U552" s="9"/>
      <c r="V552" s="14"/>
      <c r="W552" s="8"/>
      <c r="X552" s="8"/>
      <c r="Y552" s="8"/>
      <c r="Z552" s="12"/>
      <c r="AA552" s="11"/>
      <c r="AB552" s="15"/>
    </row>
    <row r="553" spans="1:28" x14ac:dyDescent="0.15">
      <c r="A553" s="4"/>
      <c r="B553" s="4"/>
      <c r="C553" s="5"/>
      <c r="D553" s="6"/>
      <c r="E553" s="6"/>
      <c r="F553" s="6"/>
      <c r="G553" s="7"/>
      <c r="H553" s="7"/>
      <c r="I553" s="8"/>
      <c r="J553" s="9"/>
      <c r="K553" s="7"/>
      <c r="L553" s="7"/>
      <c r="M553" s="10"/>
      <c r="N553" s="11"/>
      <c r="O553" s="12"/>
      <c r="P553" s="13"/>
      <c r="Q553" s="13"/>
      <c r="R553" s="13"/>
      <c r="S553" s="6"/>
      <c r="T553" s="8"/>
      <c r="U553" s="9"/>
      <c r="V553" s="14"/>
      <c r="W553" s="8"/>
      <c r="X553" s="8"/>
      <c r="Y553" s="8"/>
      <c r="Z553" s="12"/>
      <c r="AA553" s="11"/>
      <c r="AB553" s="15"/>
    </row>
    <row r="554" spans="1:28" x14ac:dyDescent="0.15">
      <c r="A554" s="4"/>
      <c r="B554" s="4"/>
      <c r="C554" s="5"/>
      <c r="D554" s="6"/>
      <c r="E554" s="6"/>
      <c r="F554" s="6"/>
      <c r="G554" s="7"/>
      <c r="H554" s="7"/>
      <c r="I554" s="8"/>
      <c r="J554" s="9"/>
      <c r="K554" s="7"/>
      <c r="L554" s="7"/>
      <c r="M554" s="10"/>
      <c r="N554" s="11"/>
      <c r="O554" s="12"/>
      <c r="P554" s="13"/>
      <c r="Q554" s="13"/>
      <c r="R554" s="13"/>
      <c r="S554" s="6"/>
      <c r="T554" s="8"/>
      <c r="U554" s="9"/>
      <c r="V554" s="14"/>
      <c r="W554" s="8"/>
      <c r="X554" s="8"/>
      <c r="Y554" s="8"/>
      <c r="Z554" s="12"/>
      <c r="AA554" s="11"/>
      <c r="AB554" s="15"/>
    </row>
    <row r="555" spans="1:28" x14ac:dyDescent="0.15">
      <c r="A555" s="4"/>
      <c r="B555" s="4"/>
      <c r="C555" s="5"/>
      <c r="D555" s="6"/>
      <c r="E555" s="6"/>
      <c r="F555" s="6"/>
      <c r="G555" s="7"/>
      <c r="H555" s="7"/>
      <c r="I555" s="8"/>
      <c r="J555" s="9"/>
      <c r="K555" s="7"/>
      <c r="L555" s="7"/>
      <c r="M555" s="10"/>
      <c r="N555" s="11"/>
      <c r="O555" s="12"/>
      <c r="P555" s="13"/>
      <c r="Q555" s="13"/>
      <c r="R555" s="13"/>
      <c r="S555" s="6"/>
      <c r="T555" s="8"/>
      <c r="U555" s="9"/>
      <c r="V555" s="14"/>
      <c r="W555" s="8"/>
      <c r="X555" s="8"/>
      <c r="Y555" s="8"/>
      <c r="Z555" s="12"/>
      <c r="AA555" s="11"/>
      <c r="AB555" s="15"/>
    </row>
    <row r="556" spans="1:28" x14ac:dyDescent="0.15">
      <c r="A556" s="4"/>
      <c r="B556" s="4"/>
      <c r="C556" s="5"/>
      <c r="D556" s="6"/>
      <c r="E556" s="6"/>
      <c r="F556" s="6"/>
      <c r="G556" s="7"/>
      <c r="H556" s="7"/>
      <c r="I556" s="8"/>
      <c r="J556" s="9"/>
      <c r="K556" s="7"/>
      <c r="L556" s="7"/>
      <c r="M556" s="10"/>
      <c r="N556" s="11"/>
      <c r="O556" s="12"/>
      <c r="P556" s="13"/>
      <c r="Q556" s="13"/>
      <c r="R556" s="13"/>
      <c r="S556" s="6"/>
      <c r="T556" s="8"/>
      <c r="U556" s="9"/>
      <c r="V556" s="14"/>
      <c r="W556" s="8"/>
      <c r="X556" s="8"/>
      <c r="Y556" s="8"/>
      <c r="Z556" s="12"/>
      <c r="AA556" s="11"/>
      <c r="AB556" s="15"/>
    </row>
    <row r="557" spans="1:28" x14ac:dyDescent="0.15">
      <c r="A557" s="4"/>
      <c r="B557" s="4"/>
      <c r="C557" s="5"/>
      <c r="D557" s="6"/>
      <c r="E557" s="6"/>
      <c r="F557" s="6"/>
      <c r="G557" s="7"/>
      <c r="H557" s="7"/>
      <c r="I557" s="8"/>
      <c r="J557" s="9"/>
      <c r="K557" s="7"/>
      <c r="L557" s="7"/>
      <c r="M557" s="10"/>
      <c r="N557" s="11"/>
      <c r="O557" s="12"/>
      <c r="P557" s="13"/>
      <c r="Q557" s="13"/>
      <c r="R557" s="13"/>
      <c r="S557" s="6"/>
      <c r="T557" s="8"/>
      <c r="U557" s="9"/>
      <c r="V557" s="14"/>
      <c r="W557" s="8"/>
      <c r="X557" s="8"/>
      <c r="Y557" s="8"/>
      <c r="Z557" s="12"/>
      <c r="AA557" s="11"/>
      <c r="AB557" s="15"/>
    </row>
    <row r="558" spans="1:28" x14ac:dyDescent="0.15">
      <c r="A558" s="4"/>
      <c r="B558" s="4"/>
      <c r="C558" s="5"/>
      <c r="D558" s="6"/>
      <c r="E558" s="6"/>
      <c r="F558" s="6"/>
      <c r="G558" s="7"/>
      <c r="H558" s="7"/>
      <c r="I558" s="8"/>
      <c r="J558" s="9"/>
      <c r="K558" s="7"/>
      <c r="L558" s="7"/>
      <c r="M558" s="10"/>
      <c r="N558" s="11"/>
      <c r="O558" s="12"/>
      <c r="P558" s="13"/>
      <c r="Q558" s="13"/>
      <c r="R558" s="13"/>
      <c r="S558" s="6"/>
      <c r="T558" s="8"/>
      <c r="U558" s="9"/>
      <c r="V558" s="14"/>
      <c r="W558" s="8"/>
      <c r="X558" s="8"/>
      <c r="Y558" s="8"/>
      <c r="Z558" s="12"/>
      <c r="AA558" s="11"/>
      <c r="AB558" s="15"/>
    </row>
    <row r="559" spans="1:28" x14ac:dyDescent="0.15">
      <c r="A559" s="4"/>
      <c r="B559" s="4"/>
      <c r="C559" s="5"/>
      <c r="D559" s="6"/>
      <c r="E559" s="6"/>
      <c r="F559" s="6"/>
      <c r="G559" s="7"/>
      <c r="H559" s="7"/>
      <c r="I559" s="8"/>
      <c r="J559" s="9"/>
      <c r="K559" s="7"/>
      <c r="L559" s="7"/>
      <c r="M559" s="10"/>
      <c r="N559" s="11"/>
      <c r="O559" s="12"/>
      <c r="P559" s="13"/>
      <c r="Q559" s="13"/>
      <c r="R559" s="13"/>
      <c r="S559" s="6"/>
      <c r="T559" s="8"/>
      <c r="U559" s="9"/>
      <c r="V559" s="14"/>
      <c r="W559" s="8"/>
      <c r="X559" s="8"/>
      <c r="Y559" s="8"/>
      <c r="Z559" s="12"/>
      <c r="AA559" s="11"/>
      <c r="AB559" s="15"/>
    </row>
    <row r="560" spans="1:28" x14ac:dyDescent="0.15">
      <c r="A560" s="4"/>
      <c r="B560" s="4"/>
      <c r="C560" s="5"/>
      <c r="D560" s="6"/>
      <c r="E560" s="6"/>
      <c r="F560" s="6"/>
      <c r="G560" s="7"/>
      <c r="H560" s="7"/>
      <c r="I560" s="8"/>
      <c r="J560" s="9"/>
      <c r="K560" s="7"/>
      <c r="L560" s="7"/>
      <c r="M560" s="10"/>
      <c r="N560" s="11"/>
      <c r="O560" s="12"/>
      <c r="P560" s="13"/>
      <c r="Q560" s="13"/>
      <c r="R560" s="13"/>
      <c r="S560" s="6"/>
      <c r="T560" s="8"/>
      <c r="U560" s="9"/>
      <c r="V560" s="14"/>
      <c r="W560" s="8"/>
      <c r="X560" s="8"/>
      <c r="Y560" s="8"/>
      <c r="Z560" s="12"/>
      <c r="AA560" s="11"/>
      <c r="AB560" s="15"/>
    </row>
    <row r="561" spans="1:28" x14ac:dyDescent="0.15">
      <c r="A561" s="4"/>
      <c r="B561" s="4"/>
      <c r="C561" s="5"/>
      <c r="D561" s="6"/>
      <c r="E561" s="6"/>
      <c r="F561" s="6"/>
      <c r="G561" s="7"/>
      <c r="H561" s="7"/>
      <c r="I561" s="8"/>
      <c r="J561" s="9"/>
      <c r="K561" s="7"/>
      <c r="L561" s="7"/>
      <c r="M561" s="10"/>
      <c r="N561" s="11"/>
      <c r="O561" s="12"/>
      <c r="P561" s="13"/>
      <c r="Q561" s="13"/>
      <c r="R561" s="13"/>
      <c r="S561" s="6"/>
      <c r="T561" s="8"/>
      <c r="U561" s="9"/>
      <c r="V561" s="14"/>
      <c r="W561" s="8"/>
      <c r="X561" s="8"/>
      <c r="Y561" s="8"/>
      <c r="Z561" s="12"/>
      <c r="AA561" s="11"/>
      <c r="AB561" s="15"/>
    </row>
    <row r="562" spans="1:28" x14ac:dyDescent="0.15">
      <c r="A562" s="4"/>
      <c r="B562" s="4"/>
      <c r="C562" s="5"/>
      <c r="D562" s="6"/>
      <c r="E562" s="6"/>
      <c r="F562" s="6"/>
      <c r="G562" s="7"/>
      <c r="H562" s="7"/>
      <c r="I562" s="8"/>
      <c r="J562" s="9"/>
      <c r="K562" s="7"/>
      <c r="L562" s="7"/>
      <c r="M562" s="10"/>
      <c r="N562" s="11"/>
      <c r="O562" s="12"/>
      <c r="P562" s="13"/>
      <c r="Q562" s="13"/>
      <c r="R562" s="13"/>
      <c r="S562" s="6"/>
      <c r="T562" s="8"/>
      <c r="U562" s="9"/>
      <c r="V562" s="14"/>
      <c r="W562" s="8"/>
      <c r="X562" s="8"/>
      <c r="Y562" s="8"/>
      <c r="Z562" s="12"/>
      <c r="AA562" s="11"/>
      <c r="AB562" s="15"/>
    </row>
    <row r="563" spans="1:28" x14ac:dyDescent="0.15">
      <c r="A563" s="4"/>
      <c r="B563" s="4"/>
      <c r="C563" s="5"/>
      <c r="D563" s="6"/>
      <c r="E563" s="6"/>
      <c r="F563" s="6"/>
      <c r="G563" s="7"/>
      <c r="H563" s="7"/>
      <c r="I563" s="8"/>
      <c r="J563" s="9"/>
      <c r="K563" s="7"/>
      <c r="L563" s="7"/>
      <c r="M563" s="10"/>
      <c r="N563" s="11"/>
      <c r="O563" s="12"/>
      <c r="P563" s="13"/>
      <c r="Q563" s="13"/>
      <c r="R563" s="13"/>
      <c r="S563" s="6"/>
      <c r="T563" s="8"/>
      <c r="U563" s="9"/>
      <c r="V563" s="14"/>
      <c r="W563" s="8"/>
      <c r="X563" s="8"/>
      <c r="Y563" s="8"/>
      <c r="Z563" s="12"/>
      <c r="AA563" s="11"/>
      <c r="AB563" s="15"/>
    </row>
    <row r="564" spans="1:28" x14ac:dyDescent="0.15">
      <c r="A564" s="4"/>
      <c r="B564" s="4"/>
      <c r="C564" s="5"/>
      <c r="D564" s="6"/>
      <c r="E564" s="6"/>
      <c r="F564" s="6"/>
      <c r="G564" s="7"/>
      <c r="H564" s="7"/>
      <c r="I564" s="8"/>
      <c r="J564" s="9"/>
      <c r="K564" s="7"/>
      <c r="L564" s="7"/>
      <c r="M564" s="10"/>
      <c r="N564" s="11"/>
      <c r="O564" s="12"/>
      <c r="P564" s="13"/>
      <c r="Q564" s="13"/>
      <c r="R564" s="13"/>
      <c r="S564" s="6"/>
      <c r="T564" s="8"/>
      <c r="U564" s="9"/>
      <c r="V564" s="14"/>
      <c r="W564" s="8"/>
      <c r="X564" s="8"/>
      <c r="Y564" s="8"/>
      <c r="Z564" s="12"/>
      <c r="AA564" s="11"/>
      <c r="AB564" s="15"/>
    </row>
    <row r="565" spans="1:28" x14ac:dyDescent="0.15">
      <c r="A565" s="4"/>
      <c r="B565" s="4"/>
      <c r="C565" s="5"/>
      <c r="D565" s="6"/>
      <c r="E565" s="6"/>
      <c r="F565" s="6"/>
      <c r="G565" s="7"/>
      <c r="H565" s="7"/>
      <c r="I565" s="8"/>
      <c r="J565" s="9"/>
      <c r="K565" s="7"/>
      <c r="L565" s="7"/>
      <c r="M565" s="10"/>
      <c r="N565" s="11"/>
      <c r="O565" s="12"/>
      <c r="P565" s="13"/>
      <c r="Q565" s="13"/>
      <c r="R565" s="13"/>
      <c r="S565" s="6"/>
      <c r="T565" s="8"/>
      <c r="U565" s="9"/>
      <c r="V565" s="14"/>
      <c r="W565" s="8"/>
      <c r="X565" s="8"/>
      <c r="Y565" s="8"/>
      <c r="Z565" s="12"/>
      <c r="AA565" s="11"/>
      <c r="AB565" s="15"/>
    </row>
    <row r="566" spans="1:28" x14ac:dyDescent="0.15">
      <c r="A566" s="4"/>
      <c r="B566" s="4"/>
      <c r="C566" s="5"/>
      <c r="D566" s="6"/>
      <c r="E566" s="6"/>
      <c r="F566" s="6"/>
      <c r="G566" s="7"/>
      <c r="H566" s="7"/>
      <c r="I566" s="8"/>
      <c r="J566" s="9"/>
      <c r="K566" s="7"/>
      <c r="L566" s="7"/>
      <c r="M566" s="10"/>
      <c r="N566" s="11"/>
      <c r="O566" s="12"/>
      <c r="P566" s="13"/>
      <c r="Q566" s="13"/>
      <c r="R566" s="13"/>
      <c r="S566" s="6"/>
      <c r="T566" s="8"/>
      <c r="U566" s="9"/>
      <c r="V566" s="14"/>
      <c r="W566" s="8"/>
      <c r="X566" s="8"/>
      <c r="Y566" s="8"/>
      <c r="Z566" s="12"/>
      <c r="AA566" s="11"/>
      <c r="AB566" s="15"/>
    </row>
    <row r="567" spans="1:28" x14ac:dyDescent="0.15">
      <c r="A567" s="4"/>
      <c r="B567" s="4"/>
      <c r="C567" s="5"/>
      <c r="D567" s="6"/>
      <c r="E567" s="6"/>
      <c r="F567" s="6"/>
      <c r="G567" s="7"/>
      <c r="H567" s="7"/>
      <c r="I567" s="8"/>
      <c r="J567" s="9"/>
      <c r="K567" s="7"/>
      <c r="L567" s="7"/>
      <c r="M567" s="10"/>
      <c r="N567" s="11"/>
      <c r="O567" s="12"/>
      <c r="P567" s="13"/>
      <c r="Q567" s="13"/>
      <c r="R567" s="13"/>
      <c r="S567" s="6"/>
      <c r="T567" s="8"/>
      <c r="U567" s="9"/>
      <c r="V567" s="14"/>
      <c r="W567" s="8"/>
      <c r="X567" s="8"/>
      <c r="Y567" s="8"/>
      <c r="Z567" s="12"/>
      <c r="AA567" s="11"/>
      <c r="AB567" s="15"/>
    </row>
    <row r="568" spans="1:28" x14ac:dyDescent="0.15">
      <c r="A568" s="4"/>
      <c r="B568" s="4"/>
      <c r="C568" s="5"/>
      <c r="D568" s="6"/>
      <c r="E568" s="6"/>
      <c r="F568" s="6"/>
      <c r="G568" s="7"/>
      <c r="H568" s="7"/>
      <c r="I568" s="8"/>
      <c r="J568" s="9"/>
      <c r="K568" s="7"/>
      <c r="L568" s="7"/>
      <c r="M568" s="10"/>
      <c r="N568" s="11"/>
      <c r="O568" s="12"/>
      <c r="P568" s="13"/>
      <c r="Q568" s="13"/>
      <c r="R568" s="13"/>
      <c r="S568" s="6"/>
      <c r="T568" s="8"/>
      <c r="U568" s="9"/>
      <c r="V568" s="14"/>
      <c r="W568" s="8"/>
      <c r="X568" s="8"/>
      <c r="Y568" s="8"/>
      <c r="Z568" s="12"/>
      <c r="AA568" s="11"/>
      <c r="AB568" s="15"/>
    </row>
    <row r="569" spans="1:28" x14ac:dyDescent="0.15">
      <c r="A569" s="4"/>
      <c r="B569" s="4"/>
      <c r="C569" s="5"/>
      <c r="D569" s="6"/>
      <c r="E569" s="6"/>
      <c r="F569" s="6"/>
      <c r="G569" s="7"/>
      <c r="H569" s="7"/>
      <c r="I569" s="8"/>
      <c r="J569" s="9"/>
      <c r="K569" s="7"/>
      <c r="L569" s="7"/>
      <c r="M569" s="10"/>
      <c r="N569" s="11"/>
      <c r="O569" s="12"/>
      <c r="P569" s="13"/>
      <c r="Q569" s="13"/>
      <c r="R569" s="13"/>
      <c r="S569" s="6"/>
      <c r="T569" s="8"/>
      <c r="U569" s="9"/>
      <c r="V569" s="14"/>
      <c r="W569" s="8"/>
      <c r="X569" s="8"/>
      <c r="Y569" s="8"/>
      <c r="Z569" s="12"/>
      <c r="AA569" s="11"/>
      <c r="AB569" s="15"/>
    </row>
    <row r="570" spans="1:28" x14ac:dyDescent="0.15">
      <c r="A570" s="4"/>
      <c r="B570" s="4"/>
      <c r="C570" s="5"/>
      <c r="D570" s="6"/>
      <c r="E570" s="6"/>
      <c r="F570" s="6"/>
      <c r="G570" s="7"/>
      <c r="H570" s="7"/>
      <c r="I570" s="8"/>
      <c r="J570" s="9"/>
      <c r="K570" s="7"/>
      <c r="L570" s="7"/>
      <c r="M570" s="10"/>
      <c r="N570" s="11"/>
      <c r="O570" s="12"/>
      <c r="P570" s="13"/>
      <c r="Q570" s="13"/>
      <c r="R570" s="13"/>
      <c r="S570" s="6"/>
      <c r="T570" s="8"/>
      <c r="U570" s="9"/>
      <c r="V570" s="14"/>
      <c r="W570" s="8"/>
      <c r="X570" s="8"/>
      <c r="Y570" s="8"/>
      <c r="Z570" s="12"/>
      <c r="AA570" s="11"/>
      <c r="AB570" s="15"/>
    </row>
    <row r="571" spans="1:28" x14ac:dyDescent="0.15">
      <c r="A571" s="4"/>
      <c r="B571" s="4"/>
      <c r="C571" s="5"/>
      <c r="D571" s="6"/>
      <c r="E571" s="6"/>
      <c r="F571" s="6"/>
      <c r="G571" s="7"/>
      <c r="H571" s="7"/>
      <c r="I571" s="8"/>
      <c r="J571" s="9"/>
      <c r="K571" s="7"/>
      <c r="L571" s="7"/>
      <c r="M571" s="10"/>
      <c r="N571" s="11"/>
      <c r="O571" s="12"/>
      <c r="P571" s="13"/>
      <c r="Q571" s="13"/>
      <c r="R571" s="13"/>
      <c r="S571" s="6"/>
      <c r="T571" s="8"/>
      <c r="U571" s="9"/>
      <c r="V571" s="14"/>
      <c r="W571" s="8"/>
      <c r="X571" s="8"/>
      <c r="Y571" s="8"/>
      <c r="Z571" s="12"/>
      <c r="AA571" s="11"/>
      <c r="AB571" s="15"/>
    </row>
    <row r="572" spans="1:28" x14ac:dyDescent="0.15">
      <c r="A572" s="4"/>
      <c r="B572" s="4"/>
      <c r="C572" s="5"/>
      <c r="D572" s="6"/>
      <c r="E572" s="6"/>
      <c r="F572" s="6"/>
      <c r="G572" s="7"/>
      <c r="H572" s="7"/>
      <c r="I572" s="8"/>
      <c r="J572" s="9"/>
      <c r="K572" s="7"/>
      <c r="L572" s="7"/>
      <c r="M572" s="10"/>
      <c r="N572" s="11"/>
      <c r="O572" s="12"/>
      <c r="P572" s="13"/>
      <c r="Q572" s="13"/>
      <c r="R572" s="13"/>
      <c r="S572" s="6"/>
      <c r="T572" s="8"/>
      <c r="U572" s="9"/>
      <c r="V572" s="14"/>
      <c r="W572" s="8"/>
      <c r="X572" s="8"/>
      <c r="Y572" s="8"/>
      <c r="Z572" s="12"/>
      <c r="AA572" s="11"/>
      <c r="AB572" s="15"/>
    </row>
    <row r="573" spans="1:28" x14ac:dyDescent="0.15">
      <c r="A573" s="4"/>
      <c r="B573" s="4"/>
      <c r="C573" s="5"/>
      <c r="D573" s="6"/>
      <c r="E573" s="6"/>
      <c r="F573" s="6"/>
      <c r="G573" s="7"/>
      <c r="H573" s="7"/>
      <c r="I573" s="8"/>
      <c r="J573" s="9"/>
      <c r="K573" s="7"/>
      <c r="L573" s="7"/>
      <c r="M573" s="10"/>
      <c r="N573" s="11"/>
      <c r="O573" s="12"/>
      <c r="P573" s="13"/>
      <c r="Q573" s="13"/>
      <c r="R573" s="13"/>
      <c r="S573" s="6"/>
      <c r="T573" s="8"/>
      <c r="U573" s="9"/>
      <c r="V573" s="14"/>
      <c r="W573" s="8"/>
      <c r="X573" s="8"/>
      <c r="Y573" s="8"/>
      <c r="Z573" s="12"/>
      <c r="AA573" s="11"/>
      <c r="AB573" s="15"/>
    </row>
    <row r="574" spans="1:28" x14ac:dyDescent="0.15">
      <c r="A574" s="4"/>
      <c r="B574" s="4"/>
      <c r="C574" s="5"/>
      <c r="D574" s="6"/>
      <c r="E574" s="6"/>
      <c r="F574" s="6"/>
      <c r="G574" s="7"/>
      <c r="H574" s="7"/>
      <c r="I574" s="8"/>
      <c r="J574" s="9"/>
      <c r="K574" s="7"/>
      <c r="L574" s="7"/>
      <c r="M574" s="10"/>
      <c r="N574" s="11"/>
      <c r="O574" s="12"/>
      <c r="P574" s="13"/>
      <c r="Q574" s="13"/>
      <c r="R574" s="13"/>
      <c r="S574" s="6"/>
      <c r="T574" s="8"/>
      <c r="U574" s="9"/>
      <c r="V574" s="14"/>
      <c r="W574" s="8"/>
      <c r="X574" s="8"/>
      <c r="Y574" s="8"/>
      <c r="Z574" s="12"/>
      <c r="AA574" s="11"/>
      <c r="AB574" s="15"/>
    </row>
    <row r="575" spans="1:28" x14ac:dyDescent="0.15">
      <c r="A575" s="4"/>
      <c r="B575" s="4"/>
      <c r="C575" s="5"/>
      <c r="D575" s="6"/>
      <c r="E575" s="6"/>
      <c r="F575" s="6"/>
      <c r="G575" s="7"/>
      <c r="H575" s="7"/>
      <c r="I575" s="8"/>
      <c r="J575" s="9"/>
      <c r="K575" s="7"/>
      <c r="L575" s="7"/>
      <c r="M575" s="10"/>
      <c r="N575" s="11"/>
      <c r="O575" s="12"/>
      <c r="P575" s="13"/>
      <c r="Q575" s="13"/>
      <c r="R575" s="13"/>
      <c r="S575" s="6"/>
      <c r="T575" s="8"/>
      <c r="U575" s="9"/>
      <c r="V575" s="14"/>
      <c r="W575" s="8"/>
      <c r="X575" s="8"/>
      <c r="Y575" s="8"/>
      <c r="Z575" s="12"/>
      <c r="AA575" s="11"/>
      <c r="AB575" s="15"/>
    </row>
    <row r="576" spans="1:28" x14ac:dyDescent="0.15">
      <c r="A576" s="4"/>
      <c r="B576" s="4"/>
      <c r="C576" s="5"/>
      <c r="D576" s="6"/>
      <c r="E576" s="6"/>
      <c r="F576" s="6"/>
      <c r="G576" s="7"/>
      <c r="H576" s="7"/>
      <c r="I576" s="8"/>
      <c r="J576" s="9"/>
      <c r="K576" s="7"/>
      <c r="L576" s="7"/>
      <c r="M576" s="10"/>
      <c r="N576" s="11"/>
      <c r="O576" s="12"/>
      <c r="P576" s="13"/>
      <c r="Q576" s="13"/>
      <c r="R576" s="13"/>
      <c r="S576" s="6"/>
      <c r="T576" s="8"/>
      <c r="U576" s="9"/>
      <c r="V576" s="14"/>
      <c r="W576" s="8"/>
      <c r="X576" s="8"/>
      <c r="Y576" s="8"/>
      <c r="Z576" s="12"/>
      <c r="AA576" s="11"/>
      <c r="AB576" s="15"/>
    </row>
    <row r="577" spans="1:28" x14ac:dyDescent="0.15">
      <c r="A577" s="4"/>
      <c r="B577" s="4"/>
      <c r="C577" s="5"/>
      <c r="D577" s="6"/>
      <c r="E577" s="6"/>
      <c r="F577" s="6"/>
      <c r="G577" s="7"/>
      <c r="H577" s="7"/>
      <c r="I577" s="8"/>
      <c r="J577" s="9"/>
      <c r="K577" s="7"/>
      <c r="L577" s="7"/>
      <c r="M577" s="10"/>
      <c r="N577" s="11"/>
      <c r="O577" s="12"/>
      <c r="P577" s="13"/>
      <c r="Q577" s="13"/>
      <c r="R577" s="13"/>
      <c r="S577" s="6"/>
      <c r="T577" s="8"/>
      <c r="U577" s="9"/>
      <c r="V577" s="14"/>
      <c r="W577" s="8"/>
      <c r="X577" s="8"/>
      <c r="Y577" s="8"/>
      <c r="Z577" s="12"/>
      <c r="AA577" s="11"/>
      <c r="AB577" s="15"/>
    </row>
    <row r="578" spans="1:28" x14ac:dyDescent="0.15">
      <c r="A578" s="4"/>
      <c r="B578" s="4"/>
      <c r="C578" s="5"/>
      <c r="D578" s="6"/>
      <c r="E578" s="6"/>
      <c r="F578" s="6"/>
      <c r="G578" s="7"/>
      <c r="H578" s="7"/>
      <c r="I578" s="8"/>
      <c r="J578" s="9"/>
      <c r="K578" s="7"/>
      <c r="L578" s="7"/>
      <c r="M578" s="10"/>
      <c r="N578" s="11"/>
      <c r="O578" s="12"/>
      <c r="P578" s="13"/>
      <c r="Q578" s="13"/>
      <c r="R578" s="13"/>
      <c r="S578" s="6"/>
      <c r="T578" s="8"/>
      <c r="U578" s="9"/>
      <c r="V578" s="14"/>
      <c r="W578" s="8"/>
      <c r="X578" s="8"/>
      <c r="Y578" s="8"/>
      <c r="Z578" s="12"/>
      <c r="AA578" s="11"/>
      <c r="AB578" s="15"/>
    </row>
    <row r="579" spans="1:28" x14ac:dyDescent="0.15">
      <c r="A579" s="4"/>
      <c r="B579" s="4"/>
      <c r="C579" s="5"/>
      <c r="D579" s="6"/>
      <c r="E579" s="6"/>
      <c r="F579" s="6"/>
      <c r="G579" s="7"/>
      <c r="H579" s="7"/>
      <c r="I579" s="8"/>
      <c r="J579" s="9"/>
      <c r="K579" s="7"/>
      <c r="L579" s="7"/>
      <c r="M579" s="10"/>
      <c r="N579" s="11"/>
      <c r="O579" s="12"/>
      <c r="P579" s="13"/>
      <c r="Q579" s="13"/>
      <c r="R579" s="13"/>
      <c r="S579" s="6"/>
      <c r="T579" s="8"/>
      <c r="U579" s="9"/>
      <c r="V579" s="14"/>
      <c r="W579" s="8"/>
      <c r="X579" s="8"/>
      <c r="Y579" s="8"/>
      <c r="Z579" s="12"/>
      <c r="AA579" s="11"/>
      <c r="AB579" s="15"/>
    </row>
    <row r="580" spans="1:28" x14ac:dyDescent="0.15">
      <c r="A580" s="4"/>
      <c r="B580" s="4"/>
      <c r="C580" s="5"/>
      <c r="D580" s="6"/>
      <c r="E580" s="6"/>
      <c r="F580" s="6"/>
      <c r="G580" s="7"/>
      <c r="H580" s="7"/>
      <c r="I580" s="8"/>
      <c r="J580" s="9"/>
      <c r="K580" s="7"/>
      <c r="L580" s="7"/>
      <c r="M580" s="10"/>
      <c r="N580" s="11"/>
      <c r="O580" s="12"/>
      <c r="P580" s="13"/>
      <c r="Q580" s="13"/>
      <c r="R580" s="13"/>
      <c r="S580" s="6"/>
      <c r="T580" s="8"/>
      <c r="U580" s="9"/>
      <c r="V580" s="14"/>
      <c r="W580" s="8"/>
      <c r="X580" s="8"/>
      <c r="Y580" s="8"/>
      <c r="Z580" s="12"/>
      <c r="AA580" s="11"/>
      <c r="AB580" s="15"/>
    </row>
    <row r="581" spans="1:28" x14ac:dyDescent="0.15">
      <c r="A581" s="4"/>
      <c r="B581" s="4"/>
      <c r="C581" s="5"/>
      <c r="D581" s="6"/>
      <c r="E581" s="6"/>
      <c r="F581" s="6"/>
      <c r="G581" s="7"/>
      <c r="H581" s="7"/>
      <c r="I581" s="8"/>
      <c r="J581" s="9"/>
      <c r="K581" s="7"/>
      <c r="L581" s="7"/>
      <c r="M581" s="10"/>
      <c r="N581" s="11"/>
      <c r="O581" s="12"/>
      <c r="P581" s="13"/>
      <c r="Q581" s="13"/>
      <c r="R581" s="13"/>
      <c r="S581" s="6"/>
      <c r="T581" s="8"/>
      <c r="U581" s="9"/>
      <c r="V581" s="14"/>
      <c r="W581" s="8"/>
      <c r="X581" s="8"/>
      <c r="Y581" s="8"/>
      <c r="Z581" s="12"/>
      <c r="AA581" s="11"/>
      <c r="AB581" s="15"/>
    </row>
    <row r="582" spans="1:28" x14ac:dyDescent="0.15">
      <c r="A582" s="4"/>
      <c r="B582" s="4"/>
      <c r="C582" s="5"/>
      <c r="D582" s="6"/>
      <c r="E582" s="6"/>
      <c r="F582" s="6"/>
      <c r="G582" s="7"/>
      <c r="H582" s="7"/>
      <c r="I582" s="8"/>
      <c r="J582" s="9"/>
      <c r="K582" s="7"/>
      <c r="L582" s="7"/>
      <c r="M582" s="10"/>
      <c r="N582" s="11"/>
      <c r="O582" s="12"/>
      <c r="P582" s="13"/>
      <c r="Q582" s="13"/>
      <c r="R582" s="13"/>
      <c r="S582" s="6"/>
      <c r="T582" s="8"/>
      <c r="U582" s="9"/>
      <c r="V582" s="14"/>
      <c r="W582" s="8"/>
      <c r="X582" s="8"/>
      <c r="Y582" s="8"/>
      <c r="Z582" s="12"/>
      <c r="AA582" s="11"/>
      <c r="AB582" s="15"/>
    </row>
    <row r="583" spans="1:28" x14ac:dyDescent="0.15">
      <c r="A583" s="4"/>
      <c r="B583" s="4"/>
      <c r="C583" s="5"/>
      <c r="D583" s="6"/>
      <c r="E583" s="6"/>
      <c r="F583" s="6"/>
      <c r="G583" s="7"/>
      <c r="H583" s="7"/>
      <c r="I583" s="8"/>
      <c r="J583" s="9"/>
      <c r="K583" s="7"/>
      <c r="L583" s="7"/>
      <c r="M583" s="10"/>
      <c r="N583" s="11"/>
      <c r="O583" s="12"/>
      <c r="P583" s="13"/>
      <c r="Q583" s="13"/>
      <c r="R583" s="13"/>
      <c r="S583" s="6"/>
      <c r="T583" s="8"/>
      <c r="U583" s="9"/>
      <c r="V583" s="14"/>
      <c r="W583" s="8"/>
      <c r="X583" s="8"/>
      <c r="Y583" s="8"/>
      <c r="Z583" s="12"/>
      <c r="AA583" s="11"/>
      <c r="AB583" s="15"/>
    </row>
    <row r="584" spans="1:28" x14ac:dyDescent="0.15">
      <c r="A584" s="4"/>
      <c r="B584" s="4"/>
      <c r="C584" s="5"/>
      <c r="D584" s="6"/>
      <c r="E584" s="6"/>
      <c r="F584" s="6"/>
      <c r="G584" s="7"/>
      <c r="H584" s="7"/>
      <c r="I584" s="8"/>
      <c r="J584" s="9"/>
      <c r="K584" s="7"/>
      <c r="L584" s="7"/>
      <c r="M584" s="10"/>
      <c r="N584" s="11"/>
      <c r="O584" s="12"/>
      <c r="P584" s="13"/>
      <c r="Q584" s="13"/>
      <c r="R584" s="13"/>
      <c r="S584" s="6"/>
      <c r="T584" s="8"/>
      <c r="U584" s="9"/>
      <c r="V584" s="14"/>
      <c r="W584" s="8"/>
      <c r="X584" s="8"/>
      <c r="Y584" s="8"/>
      <c r="Z584" s="12"/>
      <c r="AA584" s="11"/>
      <c r="AB584" s="15"/>
    </row>
    <row r="585" spans="1:28" x14ac:dyDescent="0.15">
      <c r="A585" s="4"/>
      <c r="B585" s="4"/>
      <c r="C585" s="5"/>
      <c r="D585" s="6"/>
      <c r="E585" s="6"/>
      <c r="F585" s="6"/>
      <c r="G585" s="7"/>
      <c r="H585" s="7"/>
      <c r="I585" s="8"/>
      <c r="J585" s="9"/>
      <c r="K585" s="7"/>
      <c r="L585" s="7"/>
      <c r="M585" s="10"/>
      <c r="N585" s="11"/>
      <c r="O585" s="12"/>
      <c r="P585" s="13"/>
      <c r="Q585" s="13"/>
      <c r="R585" s="13"/>
      <c r="S585" s="6"/>
      <c r="T585" s="8"/>
      <c r="U585" s="9"/>
      <c r="V585" s="14"/>
      <c r="W585" s="8"/>
      <c r="X585" s="8"/>
      <c r="Y585" s="8"/>
      <c r="Z585" s="12"/>
      <c r="AA585" s="11"/>
      <c r="AB585" s="15"/>
    </row>
    <row r="586" spans="1:28" x14ac:dyDescent="0.15">
      <c r="A586" s="4"/>
      <c r="B586" s="4"/>
      <c r="C586" s="5"/>
      <c r="D586" s="6"/>
      <c r="E586" s="6"/>
      <c r="F586" s="6"/>
      <c r="G586" s="7"/>
      <c r="H586" s="7"/>
      <c r="I586" s="8"/>
      <c r="J586" s="9"/>
      <c r="K586" s="7"/>
      <c r="L586" s="7"/>
      <c r="M586" s="10"/>
      <c r="N586" s="11"/>
      <c r="O586" s="12"/>
      <c r="P586" s="13"/>
      <c r="Q586" s="13"/>
      <c r="R586" s="13"/>
      <c r="S586" s="6"/>
      <c r="T586" s="8"/>
      <c r="U586" s="9"/>
      <c r="V586" s="14"/>
      <c r="W586" s="8"/>
      <c r="X586" s="8"/>
      <c r="Y586" s="8"/>
      <c r="Z586" s="12"/>
      <c r="AA586" s="11"/>
      <c r="AB586" s="15"/>
    </row>
    <row r="587" spans="1:28" x14ac:dyDescent="0.15">
      <c r="A587" s="4"/>
      <c r="B587" s="4"/>
      <c r="C587" s="5"/>
      <c r="D587" s="6"/>
      <c r="E587" s="6"/>
      <c r="F587" s="6"/>
      <c r="G587" s="7"/>
      <c r="H587" s="7"/>
      <c r="I587" s="8"/>
      <c r="J587" s="9"/>
      <c r="K587" s="7"/>
      <c r="L587" s="7"/>
      <c r="M587" s="10"/>
      <c r="N587" s="11"/>
      <c r="O587" s="12"/>
      <c r="P587" s="13"/>
      <c r="Q587" s="13"/>
      <c r="R587" s="13"/>
      <c r="S587" s="6"/>
      <c r="T587" s="8"/>
      <c r="U587" s="9"/>
      <c r="V587" s="14"/>
      <c r="W587" s="8"/>
      <c r="X587" s="8"/>
      <c r="Y587" s="8"/>
      <c r="Z587" s="12"/>
      <c r="AA587" s="11"/>
      <c r="AB587" s="15"/>
    </row>
    <row r="588" spans="1:28" x14ac:dyDescent="0.15">
      <c r="A588" s="4"/>
      <c r="B588" s="4"/>
      <c r="C588" s="5"/>
      <c r="D588" s="6"/>
      <c r="E588" s="6"/>
      <c r="F588" s="6"/>
      <c r="G588" s="7"/>
      <c r="H588" s="7"/>
      <c r="I588" s="8"/>
      <c r="J588" s="9"/>
      <c r="K588" s="7"/>
      <c r="L588" s="7"/>
      <c r="M588" s="10"/>
      <c r="N588" s="11"/>
      <c r="O588" s="12"/>
      <c r="P588" s="13"/>
      <c r="Q588" s="13"/>
      <c r="R588" s="13"/>
      <c r="S588" s="6"/>
      <c r="T588" s="8"/>
      <c r="U588" s="9"/>
      <c r="V588" s="14"/>
      <c r="W588" s="8"/>
      <c r="X588" s="8"/>
      <c r="Y588" s="8"/>
      <c r="Z588" s="12"/>
      <c r="AA588" s="11"/>
      <c r="AB588" s="15"/>
    </row>
    <row r="589" spans="1:28" x14ac:dyDescent="0.15">
      <c r="A589" s="4"/>
      <c r="B589" s="4"/>
      <c r="C589" s="5"/>
      <c r="D589" s="6"/>
      <c r="E589" s="6"/>
      <c r="F589" s="6"/>
      <c r="G589" s="7"/>
      <c r="H589" s="7"/>
      <c r="I589" s="8"/>
      <c r="J589" s="9"/>
      <c r="K589" s="7"/>
      <c r="L589" s="7"/>
      <c r="M589" s="10"/>
      <c r="N589" s="11"/>
      <c r="O589" s="12"/>
      <c r="P589" s="13"/>
      <c r="Q589" s="13"/>
      <c r="R589" s="13"/>
      <c r="S589" s="6"/>
      <c r="T589" s="8"/>
      <c r="U589" s="9"/>
      <c r="V589" s="14"/>
      <c r="W589" s="8"/>
      <c r="X589" s="8"/>
      <c r="Y589" s="8"/>
      <c r="Z589" s="12"/>
      <c r="AA589" s="11"/>
      <c r="AB589" s="15"/>
    </row>
    <row r="590" spans="1:28" x14ac:dyDescent="0.15">
      <c r="A590" s="4"/>
      <c r="B590" s="4"/>
      <c r="C590" s="5"/>
      <c r="D590" s="6"/>
      <c r="E590" s="6"/>
      <c r="F590" s="6"/>
      <c r="G590" s="7"/>
      <c r="H590" s="7"/>
      <c r="I590" s="8"/>
      <c r="J590" s="9"/>
      <c r="K590" s="7"/>
      <c r="L590" s="7"/>
      <c r="M590" s="10"/>
      <c r="N590" s="11"/>
      <c r="O590" s="12"/>
      <c r="P590" s="13"/>
      <c r="Q590" s="13"/>
      <c r="R590" s="13"/>
      <c r="S590" s="6"/>
      <c r="T590" s="8"/>
      <c r="U590" s="9"/>
      <c r="V590" s="14"/>
      <c r="W590" s="8"/>
      <c r="X590" s="8"/>
      <c r="Y590" s="8"/>
      <c r="Z590" s="12"/>
      <c r="AA590" s="11"/>
      <c r="AB590" s="15"/>
    </row>
    <row r="591" spans="1:28" x14ac:dyDescent="0.15">
      <c r="A591" s="4"/>
      <c r="B591" s="4"/>
      <c r="C591" s="5"/>
      <c r="D591" s="6"/>
      <c r="E591" s="6"/>
      <c r="F591" s="6"/>
      <c r="G591" s="7"/>
      <c r="H591" s="7"/>
      <c r="I591" s="8"/>
      <c r="J591" s="9"/>
      <c r="K591" s="7"/>
      <c r="L591" s="7"/>
      <c r="M591" s="10"/>
      <c r="N591" s="11"/>
      <c r="O591" s="12"/>
      <c r="P591" s="13"/>
      <c r="Q591" s="13"/>
      <c r="R591" s="13"/>
      <c r="S591" s="6"/>
      <c r="T591" s="8"/>
      <c r="U591" s="9"/>
      <c r="V591" s="14"/>
      <c r="W591" s="8"/>
      <c r="X591" s="8"/>
      <c r="Y591" s="8"/>
      <c r="Z591" s="12"/>
      <c r="AA591" s="11"/>
      <c r="AB591" s="15"/>
    </row>
    <row r="592" spans="1:28" x14ac:dyDescent="0.15">
      <c r="A592" s="4"/>
      <c r="B592" s="4"/>
      <c r="C592" s="5"/>
      <c r="D592" s="6"/>
      <c r="E592" s="6"/>
      <c r="F592" s="6"/>
      <c r="G592" s="7"/>
      <c r="H592" s="7"/>
      <c r="I592" s="8"/>
      <c r="J592" s="9"/>
      <c r="K592" s="7"/>
      <c r="L592" s="7"/>
      <c r="M592" s="10"/>
      <c r="N592" s="11"/>
      <c r="O592" s="12"/>
      <c r="P592" s="13"/>
      <c r="Q592" s="13"/>
      <c r="R592" s="13"/>
      <c r="S592" s="6"/>
      <c r="T592" s="8"/>
      <c r="U592" s="9"/>
      <c r="V592" s="14"/>
      <c r="W592" s="8"/>
      <c r="X592" s="8"/>
      <c r="Y592" s="8"/>
      <c r="Z592" s="12"/>
      <c r="AA592" s="11"/>
      <c r="AB592" s="15"/>
    </row>
    <row r="593" spans="1:28" x14ac:dyDescent="0.15">
      <c r="A593" s="4"/>
      <c r="B593" s="4"/>
      <c r="C593" s="5"/>
      <c r="D593" s="6"/>
      <c r="E593" s="6"/>
      <c r="F593" s="6"/>
      <c r="G593" s="7"/>
      <c r="H593" s="7"/>
      <c r="I593" s="8"/>
      <c r="J593" s="9"/>
      <c r="K593" s="7"/>
      <c r="L593" s="7"/>
      <c r="M593" s="10"/>
      <c r="N593" s="11"/>
      <c r="O593" s="12"/>
      <c r="P593" s="13"/>
      <c r="Q593" s="13"/>
      <c r="R593" s="13"/>
      <c r="S593" s="6"/>
      <c r="T593" s="8"/>
      <c r="U593" s="9"/>
      <c r="V593" s="14"/>
      <c r="W593" s="8"/>
      <c r="X593" s="8"/>
      <c r="Y593" s="8"/>
      <c r="Z593" s="12"/>
      <c r="AA593" s="11"/>
      <c r="AB593" s="15"/>
    </row>
    <row r="594" spans="1:28" x14ac:dyDescent="0.15">
      <c r="A594" s="4"/>
      <c r="B594" s="4"/>
      <c r="C594" s="5"/>
      <c r="D594" s="6"/>
      <c r="E594" s="6"/>
      <c r="F594" s="6"/>
      <c r="G594" s="7"/>
      <c r="H594" s="7"/>
      <c r="I594" s="8"/>
      <c r="J594" s="9"/>
      <c r="K594" s="7"/>
      <c r="L594" s="7"/>
      <c r="M594" s="10"/>
      <c r="N594" s="11"/>
      <c r="O594" s="12"/>
      <c r="P594" s="13"/>
      <c r="Q594" s="13"/>
      <c r="R594" s="13"/>
      <c r="S594" s="6"/>
      <c r="T594" s="8"/>
      <c r="U594" s="9"/>
      <c r="V594" s="14"/>
      <c r="W594" s="8"/>
      <c r="X594" s="8"/>
      <c r="Y594" s="8"/>
      <c r="Z594" s="12"/>
      <c r="AA594" s="11"/>
      <c r="AB594" s="15"/>
    </row>
    <row r="595" spans="1:28" x14ac:dyDescent="0.15">
      <c r="A595" s="4"/>
      <c r="B595" s="4"/>
      <c r="C595" s="5"/>
      <c r="D595" s="6"/>
      <c r="E595" s="6"/>
      <c r="F595" s="6"/>
      <c r="G595" s="7"/>
      <c r="H595" s="7"/>
      <c r="I595" s="8"/>
      <c r="J595" s="9"/>
      <c r="K595" s="7"/>
      <c r="L595" s="7"/>
      <c r="M595" s="10"/>
      <c r="N595" s="11"/>
      <c r="O595" s="12"/>
      <c r="P595" s="13"/>
      <c r="Q595" s="13"/>
      <c r="R595" s="13"/>
      <c r="S595" s="6"/>
      <c r="T595" s="8"/>
      <c r="U595" s="9"/>
      <c r="V595" s="14"/>
      <c r="W595" s="8"/>
      <c r="X595" s="8"/>
      <c r="Y595" s="8"/>
      <c r="Z595" s="12"/>
      <c r="AA595" s="11"/>
      <c r="AB595" s="15"/>
    </row>
    <row r="596" spans="1:28" x14ac:dyDescent="0.15">
      <c r="A596" s="4"/>
      <c r="B596" s="4"/>
      <c r="C596" s="5"/>
      <c r="D596" s="6"/>
      <c r="E596" s="6"/>
      <c r="F596" s="6"/>
      <c r="G596" s="7"/>
      <c r="H596" s="7"/>
      <c r="I596" s="8"/>
      <c r="J596" s="9"/>
      <c r="K596" s="7"/>
      <c r="L596" s="7"/>
      <c r="M596" s="10"/>
      <c r="N596" s="11"/>
      <c r="O596" s="12"/>
      <c r="P596" s="13"/>
      <c r="Q596" s="13"/>
      <c r="R596" s="13"/>
      <c r="S596" s="6"/>
      <c r="T596" s="8"/>
      <c r="U596" s="9"/>
      <c r="V596" s="14"/>
      <c r="W596" s="8"/>
      <c r="X596" s="8"/>
      <c r="Y596" s="8"/>
      <c r="Z596" s="12"/>
      <c r="AA596" s="11"/>
      <c r="AB596" s="15"/>
    </row>
    <row r="597" spans="1:28" x14ac:dyDescent="0.15">
      <c r="A597" s="4"/>
      <c r="B597" s="4"/>
      <c r="C597" s="5"/>
      <c r="D597" s="6"/>
      <c r="E597" s="6"/>
      <c r="F597" s="6"/>
      <c r="G597" s="7"/>
      <c r="H597" s="7"/>
      <c r="I597" s="8"/>
      <c r="J597" s="9"/>
      <c r="K597" s="7"/>
      <c r="L597" s="7"/>
      <c r="M597" s="10"/>
      <c r="N597" s="11"/>
      <c r="O597" s="12"/>
      <c r="P597" s="13"/>
      <c r="Q597" s="13"/>
      <c r="R597" s="13"/>
      <c r="S597" s="6"/>
      <c r="T597" s="8"/>
      <c r="U597" s="9"/>
      <c r="V597" s="14"/>
      <c r="W597" s="8"/>
      <c r="X597" s="8"/>
      <c r="Y597" s="8"/>
      <c r="Z597" s="12"/>
      <c r="AA597" s="11"/>
      <c r="AB597" s="15"/>
    </row>
    <row r="598" spans="1:28" x14ac:dyDescent="0.15">
      <c r="A598" s="4"/>
      <c r="B598" s="4"/>
      <c r="C598" s="5"/>
      <c r="D598" s="6"/>
      <c r="E598" s="6"/>
      <c r="F598" s="6"/>
      <c r="G598" s="7"/>
      <c r="H598" s="7"/>
      <c r="I598" s="8"/>
      <c r="J598" s="9"/>
      <c r="K598" s="7"/>
      <c r="L598" s="7"/>
      <c r="M598" s="10"/>
      <c r="N598" s="11"/>
      <c r="O598" s="12"/>
      <c r="P598" s="13"/>
      <c r="Q598" s="13"/>
      <c r="R598" s="13"/>
      <c r="S598" s="6"/>
      <c r="T598" s="8"/>
      <c r="U598" s="9"/>
      <c r="V598" s="14"/>
      <c r="W598" s="8"/>
      <c r="X598" s="8"/>
      <c r="Y598" s="8"/>
      <c r="Z598" s="12"/>
      <c r="AA598" s="11"/>
      <c r="AB598" s="15"/>
    </row>
    <row r="599" spans="1:28" x14ac:dyDescent="0.15">
      <c r="A599" s="4"/>
      <c r="B599" s="4"/>
      <c r="C599" s="5"/>
      <c r="D599" s="6"/>
      <c r="E599" s="6"/>
      <c r="F599" s="6"/>
      <c r="G599" s="7"/>
      <c r="H599" s="7"/>
      <c r="I599" s="8"/>
      <c r="J599" s="9"/>
      <c r="K599" s="7"/>
      <c r="L599" s="7"/>
      <c r="M599" s="10"/>
      <c r="N599" s="11"/>
      <c r="O599" s="12"/>
      <c r="P599" s="13"/>
      <c r="Q599" s="13"/>
      <c r="R599" s="13"/>
      <c r="S599" s="6"/>
      <c r="T599" s="8"/>
      <c r="U599" s="9"/>
      <c r="V599" s="14"/>
      <c r="W599" s="8"/>
      <c r="X599" s="8"/>
      <c r="Y599" s="8"/>
      <c r="Z599" s="12"/>
      <c r="AA599" s="11"/>
      <c r="AB599" s="15"/>
    </row>
    <row r="600" spans="1:28" x14ac:dyDescent="0.15">
      <c r="A600" s="4"/>
      <c r="B600" s="4"/>
      <c r="C600" s="5"/>
      <c r="D600" s="6"/>
      <c r="E600" s="6"/>
      <c r="F600" s="6"/>
      <c r="G600" s="7"/>
      <c r="H600" s="7"/>
      <c r="I600" s="8"/>
      <c r="J600" s="9"/>
      <c r="K600" s="7"/>
      <c r="L600" s="7"/>
      <c r="M600" s="10"/>
      <c r="N600" s="11"/>
      <c r="O600" s="12"/>
      <c r="P600" s="13"/>
      <c r="Q600" s="13"/>
      <c r="R600" s="13"/>
      <c r="S600" s="6"/>
      <c r="T600" s="8"/>
      <c r="U600" s="9"/>
      <c r="V600" s="14"/>
      <c r="W600" s="8"/>
      <c r="X600" s="8"/>
      <c r="Y600" s="8"/>
      <c r="Z600" s="12"/>
      <c r="AA600" s="11"/>
      <c r="AB600" s="15"/>
    </row>
  </sheetData>
  <conditionalFormatting sqref="A3:AB600">
    <cfRule type="expression" dxfId="4" priority="1">
      <formula>$AE3="ETF"</formula>
    </cfRule>
  </conditionalFormatting>
  <conditionalFormatting sqref="B3:B600">
    <cfRule type="expression" dxfId="3" priority="3">
      <formula>LEFT(B3,4)="SELL"</formula>
    </cfRule>
    <cfRule type="expression" dxfId="2" priority="4">
      <formula>LEFT(B3,3)="BUY"</formula>
    </cfRule>
  </conditionalFormatting>
  <conditionalFormatting sqref="C3:C600">
    <cfRule type="expression" dxfId="1" priority="2">
      <formula>$AE3="ETF"</formula>
    </cfRule>
  </conditionalFormatting>
  <conditionalFormatting sqref="O3:O600">
    <cfRule type="colorScale" priority="6">
      <colorScale>
        <cfvo type="num" val="-3"/>
        <cfvo type="num" val="0"/>
        <cfvo type="num" val="3"/>
        <color rgb="FFE06666"/>
        <color rgb="FFFFFFFF"/>
        <color rgb="FF6AA84F"/>
      </colorScale>
    </cfRule>
  </conditionalFormatting>
  <conditionalFormatting sqref="P3:R600">
    <cfRule type="colorScale" priority="5">
      <colorScale>
        <cfvo type="num" val="0"/>
        <cfvo type="num" val="0.25"/>
        <cfvo type="num" val="1"/>
        <color rgb="FFFFFFFF"/>
        <color rgb="FFFFD966"/>
        <color rgb="FFE06666"/>
      </colorScale>
    </cfRule>
  </conditionalFormatting>
  <conditionalFormatting sqref="X3:Y600">
    <cfRule type="cellIs" dxfId="0" priority="7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 x14ac:dyDescent="0.15"/>
  <cols>
    <col min="1" max="3" width="9" customWidth="1"/>
    <col min="4" max="4" width="11" customWidth="1"/>
    <col min="5" max="5" width="9" customWidth="1"/>
    <col min="6" max="6" width="16" customWidth="1"/>
    <col min="7" max="7" width="15" customWidth="1"/>
    <col min="8" max="8" width="7" customWidth="1"/>
  </cols>
  <sheetData>
    <row r="1" spans="1:8" x14ac:dyDescent="0.1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 x14ac:dyDescent="0.15">
      <c r="A2" s="16" t="s">
        <v>36</v>
      </c>
      <c r="B2" s="16" t="s">
        <v>37</v>
      </c>
      <c r="C2" s="16" t="s">
        <v>38</v>
      </c>
      <c r="D2" s="16"/>
      <c r="E2" s="16"/>
      <c r="F2" s="16" t="s">
        <v>39</v>
      </c>
      <c r="G2" s="16" t="s">
        <v>40</v>
      </c>
      <c r="H2" s="16" t="s">
        <v>41</v>
      </c>
    </row>
    <row r="3" spans="1:8" x14ac:dyDescent="0.15">
      <c r="A3" s="16" t="s">
        <v>42</v>
      </c>
      <c r="B3" s="16" t="s">
        <v>37</v>
      </c>
      <c r="C3" s="16" t="s">
        <v>38</v>
      </c>
      <c r="D3" s="16"/>
      <c r="E3" s="16"/>
      <c r="F3" s="16" t="s">
        <v>43</v>
      </c>
      <c r="G3" s="16" t="s">
        <v>44</v>
      </c>
      <c r="H3" s="16" t="s">
        <v>41</v>
      </c>
    </row>
    <row r="4" spans="1:8" x14ac:dyDescent="0.15">
      <c r="A4" s="16" t="s">
        <v>45</v>
      </c>
      <c r="B4" s="16" t="s">
        <v>37</v>
      </c>
      <c r="C4" s="16" t="s">
        <v>38</v>
      </c>
      <c r="D4" s="16"/>
      <c r="E4" s="16"/>
      <c r="F4" s="16" t="s">
        <v>46</v>
      </c>
      <c r="G4" s="16" t="s">
        <v>40</v>
      </c>
      <c r="H4" s="16" t="s">
        <v>41</v>
      </c>
    </row>
    <row r="5" spans="1:8" x14ac:dyDescent="0.15">
      <c r="A5" s="16" t="s">
        <v>47</v>
      </c>
      <c r="B5" s="16" t="s">
        <v>37</v>
      </c>
      <c r="C5" s="16" t="s">
        <v>38</v>
      </c>
      <c r="D5" s="16"/>
      <c r="E5" s="16"/>
      <c r="F5" s="16" t="s">
        <v>48</v>
      </c>
      <c r="G5" s="16" t="s">
        <v>40</v>
      </c>
      <c r="H5" s="16" t="s">
        <v>41</v>
      </c>
    </row>
    <row r="6" spans="1:8" x14ac:dyDescent="0.15">
      <c r="A6" s="16" t="s">
        <v>49</v>
      </c>
      <c r="B6" s="16" t="s">
        <v>37</v>
      </c>
      <c r="C6" s="16" t="s">
        <v>38</v>
      </c>
      <c r="D6" s="16"/>
      <c r="E6" s="16"/>
      <c r="F6" s="16" t="s">
        <v>50</v>
      </c>
      <c r="G6" s="16" t="s">
        <v>40</v>
      </c>
      <c r="H6" s="16" t="s">
        <v>41</v>
      </c>
    </row>
    <row r="7" spans="1:8" x14ac:dyDescent="0.15">
      <c r="A7" s="16" t="s">
        <v>51</v>
      </c>
      <c r="B7" s="16" t="s">
        <v>37</v>
      </c>
      <c r="C7" s="16" t="s">
        <v>38</v>
      </c>
      <c r="D7" s="16"/>
      <c r="E7" s="16"/>
      <c r="F7" s="16" t="s">
        <v>52</v>
      </c>
      <c r="G7" s="16" t="s">
        <v>40</v>
      </c>
      <c r="H7" s="16" t="s">
        <v>41</v>
      </c>
    </row>
    <row r="8" spans="1:8" x14ac:dyDescent="0.15">
      <c r="A8" s="16" t="s">
        <v>53</v>
      </c>
      <c r="B8" s="16" t="s">
        <v>37</v>
      </c>
      <c r="C8" s="16" t="s">
        <v>54</v>
      </c>
      <c r="D8" s="16" t="s">
        <v>55</v>
      </c>
      <c r="E8" s="16"/>
      <c r="F8" s="16" t="s">
        <v>55</v>
      </c>
      <c r="G8" s="16"/>
      <c r="H8" s="16" t="s">
        <v>41</v>
      </c>
    </row>
    <row r="9" spans="1:8" x14ac:dyDescent="0.15">
      <c r="A9" s="16" t="s">
        <v>56</v>
      </c>
      <c r="B9" s="16" t="s">
        <v>37</v>
      </c>
      <c r="C9" s="16" t="s">
        <v>54</v>
      </c>
      <c r="D9" s="16" t="s">
        <v>57</v>
      </c>
      <c r="E9" s="16">
        <v>2</v>
      </c>
      <c r="F9" s="16"/>
      <c r="G9" s="16"/>
      <c r="H9" s="16" t="s">
        <v>41</v>
      </c>
    </row>
    <row r="10" spans="1:8" x14ac:dyDescent="0.15">
      <c r="A10" s="16" t="s">
        <v>58</v>
      </c>
      <c r="B10" s="16" t="s">
        <v>59</v>
      </c>
      <c r="C10" s="16" t="s">
        <v>54</v>
      </c>
      <c r="D10" s="16" t="s">
        <v>60</v>
      </c>
      <c r="E10" s="16"/>
      <c r="F10" s="16" t="s">
        <v>61</v>
      </c>
      <c r="G10" s="16"/>
      <c r="H10" s="16" t="s">
        <v>41</v>
      </c>
    </row>
    <row r="11" spans="1:8" x14ac:dyDescent="0.15">
      <c r="A11" s="16" t="s">
        <v>62</v>
      </c>
      <c r="B11" s="16" t="s">
        <v>59</v>
      </c>
      <c r="C11" s="16" t="s">
        <v>54</v>
      </c>
      <c r="D11" s="16" t="s">
        <v>63</v>
      </c>
      <c r="E11" s="16"/>
      <c r="F11" s="16" t="s">
        <v>64</v>
      </c>
      <c r="G11" s="16"/>
      <c r="H11" s="16" t="s">
        <v>41</v>
      </c>
    </row>
    <row r="12" spans="1:8" x14ac:dyDescent="0.15">
      <c r="A12" s="16" t="s">
        <v>65</v>
      </c>
      <c r="B12" s="16" t="s">
        <v>59</v>
      </c>
      <c r="C12" s="16" t="s">
        <v>54</v>
      </c>
      <c r="D12" s="16" t="s">
        <v>66</v>
      </c>
      <c r="E12" s="16"/>
      <c r="F12" s="16" t="s">
        <v>67</v>
      </c>
      <c r="G12" s="16"/>
      <c r="H12" s="16" t="s">
        <v>41</v>
      </c>
    </row>
    <row r="13" spans="1:8" x14ac:dyDescent="0.15">
      <c r="A13" s="16" t="s">
        <v>68</v>
      </c>
      <c r="B13" s="16" t="s">
        <v>59</v>
      </c>
      <c r="C13" s="16" t="s">
        <v>54</v>
      </c>
      <c r="D13" s="16" t="s">
        <v>62</v>
      </c>
      <c r="E13" s="16"/>
      <c r="F13" s="16" t="s">
        <v>69</v>
      </c>
      <c r="G13" s="16"/>
      <c r="H13" s="16" t="s">
        <v>41</v>
      </c>
    </row>
    <row r="14" spans="1:8" x14ac:dyDescent="0.15">
      <c r="A14" s="16" t="s">
        <v>70</v>
      </c>
      <c r="B14" s="16" t="s">
        <v>59</v>
      </c>
      <c r="C14" s="16" t="s">
        <v>54</v>
      </c>
      <c r="D14" s="16" t="s">
        <v>62</v>
      </c>
      <c r="E14" s="16"/>
      <c r="F14" s="16" t="s">
        <v>71</v>
      </c>
      <c r="G14" s="16"/>
      <c r="H14" s="16" t="s">
        <v>41</v>
      </c>
    </row>
    <row r="15" spans="1:8" x14ac:dyDescent="0.15">
      <c r="A15" s="16" t="s">
        <v>72</v>
      </c>
      <c r="B15" s="16" t="s">
        <v>59</v>
      </c>
      <c r="C15" s="16" t="s">
        <v>54</v>
      </c>
      <c r="D15" s="16" t="s">
        <v>73</v>
      </c>
      <c r="E15" s="16"/>
      <c r="F15" s="16" t="s">
        <v>74</v>
      </c>
      <c r="G15" s="16"/>
      <c r="H15" s="16" t="s">
        <v>41</v>
      </c>
    </row>
    <row r="16" spans="1:8" x14ac:dyDescent="0.15">
      <c r="A16" s="16" t="s">
        <v>75</v>
      </c>
      <c r="B16" s="16" t="s">
        <v>59</v>
      </c>
      <c r="C16" s="16" t="s">
        <v>54</v>
      </c>
      <c r="D16" s="16" t="s">
        <v>76</v>
      </c>
      <c r="E16" s="16"/>
      <c r="F16" s="16" t="s">
        <v>77</v>
      </c>
      <c r="G16" s="16"/>
      <c r="H16" s="16" t="s">
        <v>41</v>
      </c>
    </row>
    <row r="17" spans="1:8" x14ac:dyDescent="0.15">
      <c r="A17" s="16" t="s">
        <v>78</v>
      </c>
      <c r="B17" s="16" t="s">
        <v>59</v>
      </c>
      <c r="C17" s="16" t="s">
        <v>54</v>
      </c>
      <c r="D17" s="16" t="s">
        <v>79</v>
      </c>
      <c r="E17" s="16"/>
      <c r="F17" s="16" t="s">
        <v>80</v>
      </c>
      <c r="G17" s="16"/>
      <c r="H17" s="16" t="s">
        <v>41</v>
      </c>
    </row>
    <row r="18" spans="1:8" x14ac:dyDescent="0.15">
      <c r="A18" s="16" t="s">
        <v>81</v>
      </c>
      <c r="B18" s="16" t="s">
        <v>59</v>
      </c>
      <c r="C18" s="16" t="s">
        <v>54</v>
      </c>
      <c r="D18" s="16" t="s">
        <v>82</v>
      </c>
      <c r="E18" s="16"/>
      <c r="F18" s="16" t="s">
        <v>82</v>
      </c>
      <c r="G18" s="16"/>
      <c r="H18" s="16" t="s">
        <v>41</v>
      </c>
    </row>
    <row r="19" spans="1:8" x14ac:dyDescent="0.15">
      <c r="A19" s="16"/>
      <c r="B19" s="16"/>
      <c r="C19" s="16"/>
      <c r="D19" s="16"/>
      <c r="E19" s="16"/>
      <c r="F19" s="16"/>
      <c r="G19" s="16"/>
      <c r="H19" s="16"/>
    </row>
    <row r="20" spans="1:8" x14ac:dyDescent="0.15">
      <c r="A20" s="16"/>
      <c r="B20" s="16"/>
      <c r="C20" s="16"/>
      <c r="D20" s="16"/>
      <c r="E20" s="16"/>
      <c r="F20" s="16"/>
      <c r="G20" s="16"/>
      <c r="H20" s="16"/>
    </row>
    <row r="21" spans="1:8" x14ac:dyDescent="0.15">
      <c r="A21" s="16"/>
      <c r="B21" s="16"/>
      <c r="C21" s="16"/>
      <c r="D21" s="16"/>
      <c r="E21" s="16"/>
      <c r="F21" s="16"/>
      <c r="G21" s="16"/>
      <c r="H21" s="16"/>
    </row>
    <row r="22" spans="1:8" x14ac:dyDescent="0.15">
      <c r="A22" s="16"/>
      <c r="B22" s="16"/>
      <c r="C22" s="16"/>
      <c r="D22" s="16"/>
      <c r="E22" s="16"/>
      <c r="F22" s="16"/>
      <c r="G22" s="16"/>
      <c r="H22" s="16"/>
    </row>
    <row r="23" spans="1:8" x14ac:dyDescent="0.15">
      <c r="A23" s="16"/>
      <c r="B23" s="16"/>
      <c r="C23" s="16"/>
      <c r="D23" s="16"/>
      <c r="E23" s="16"/>
      <c r="F23" s="16"/>
      <c r="G23" s="16"/>
      <c r="H23" s="16"/>
    </row>
    <row r="24" spans="1:8" x14ac:dyDescent="0.15">
      <c r="A24" s="16"/>
      <c r="B24" s="16"/>
      <c r="C24" s="16"/>
      <c r="D24" s="16"/>
      <c r="E24" s="16"/>
      <c r="F24" s="16"/>
      <c r="G24" s="16"/>
      <c r="H24" s="16"/>
    </row>
    <row r="25" spans="1:8" x14ac:dyDescent="0.15">
      <c r="A25" s="16"/>
      <c r="B25" s="16"/>
      <c r="C25" s="16"/>
      <c r="D25" s="16"/>
      <c r="E25" s="16"/>
      <c r="F25" s="16"/>
      <c r="G25" s="16"/>
      <c r="H25" s="16"/>
    </row>
    <row r="26" spans="1:8" x14ac:dyDescent="0.15">
      <c r="A26" s="16"/>
      <c r="B26" s="16"/>
      <c r="C26" s="16"/>
      <c r="D26" s="16"/>
      <c r="E26" s="16"/>
      <c r="F26" s="16"/>
      <c r="G26" s="16"/>
      <c r="H26" s="16"/>
    </row>
    <row r="27" spans="1:8" x14ac:dyDescent="0.15">
      <c r="A27" s="16"/>
      <c r="B27" s="16"/>
      <c r="C27" s="16"/>
      <c r="D27" s="16"/>
      <c r="E27" s="16"/>
      <c r="F27" s="16"/>
      <c r="G27" s="16"/>
      <c r="H27" s="16"/>
    </row>
    <row r="28" spans="1:8" x14ac:dyDescent="0.15">
      <c r="A28" s="16"/>
      <c r="B28" s="16"/>
      <c r="C28" s="16"/>
      <c r="D28" s="16"/>
      <c r="E28" s="16"/>
      <c r="F28" s="16"/>
      <c r="G28" s="16"/>
      <c r="H28" s="16"/>
    </row>
    <row r="29" spans="1:8" x14ac:dyDescent="0.15">
      <c r="A29" s="16"/>
      <c r="B29" s="16"/>
      <c r="C29" s="16"/>
      <c r="D29" s="16"/>
      <c r="E29" s="16"/>
      <c r="F29" s="16"/>
      <c r="G29" s="16"/>
      <c r="H29" s="16"/>
    </row>
    <row r="30" spans="1:8" x14ac:dyDescent="0.15">
      <c r="A30" s="16"/>
      <c r="B30" s="16"/>
      <c r="C30" s="16"/>
      <c r="D30" s="16"/>
      <c r="E30" s="16"/>
      <c r="F30" s="16"/>
      <c r="G30" s="16"/>
      <c r="H30" s="16"/>
    </row>
    <row r="31" spans="1:8" x14ac:dyDescent="0.15">
      <c r="A31" s="16"/>
      <c r="B31" s="16"/>
      <c r="C31" s="16"/>
      <c r="D31" s="16"/>
      <c r="E31" s="16"/>
      <c r="F31" s="16"/>
      <c r="G31" s="16"/>
      <c r="H31" s="16"/>
    </row>
    <row r="32" spans="1:8" x14ac:dyDescent="0.15">
      <c r="A32" s="16"/>
      <c r="B32" s="16"/>
      <c r="C32" s="16"/>
      <c r="D32" s="16"/>
      <c r="E32" s="16"/>
      <c r="F32" s="16"/>
      <c r="G32" s="16"/>
      <c r="H32" s="16"/>
    </row>
    <row r="33" spans="1:8" x14ac:dyDescent="0.15">
      <c r="A33" s="16"/>
      <c r="B33" s="16"/>
      <c r="C33" s="16"/>
      <c r="D33" s="16"/>
      <c r="E33" s="16"/>
      <c r="F33" s="16"/>
      <c r="G33" s="16"/>
      <c r="H33" s="16"/>
    </row>
    <row r="34" spans="1:8" x14ac:dyDescent="0.15">
      <c r="A34" s="16"/>
      <c r="B34" s="16"/>
      <c r="C34" s="16"/>
      <c r="D34" s="16"/>
      <c r="E34" s="16"/>
      <c r="F34" s="16"/>
      <c r="G34" s="16"/>
      <c r="H34" s="16"/>
    </row>
    <row r="35" spans="1:8" x14ac:dyDescent="0.15">
      <c r="A35" s="16"/>
      <c r="B35" s="16"/>
      <c r="C35" s="16"/>
      <c r="D35" s="16"/>
      <c r="E35" s="16"/>
      <c r="F35" s="16"/>
      <c r="G35" s="16"/>
      <c r="H35" s="16"/>
    </row>
    <row r="36" spans="1:8" x14ac:dyDescent="0.15">
      <c r="A36" s="16"/>
      <c r="B36" s="16"/>
      <c r="C36" s="16"/>
      <c r="D36" s="16"/>
      <c r="E36" s="16"/>
      <c r="F36" s="16"/>
      <c r="G36" s="16"/>
      <c r="H36" s="16"/>
    </row>
    <row r="37" spans="1:8" x14ac:dyDescent="0.15">
      <c r="A37" s="16"/>
      <c r="B37" s="16"/>
      <c r="C37" s="16"/>
      <c r="D37" s="16"/>
      <c r="E37" s="16"/>
      <c r="F37" s="16"/>
      <c r="G37" s="16"/>
      <c r="H37" s="16"/>
    </row>
    <row r="38" spans="1:8" x14ac:dyDescent="0.15">
      <c r="A38" s="16"/>
      <c r="B38" s="16"/>
      <c r="C38" s="16"/>
      <c r="D38" s="16"/>
      <c r="E38" s="16"/>
      <c r="F38" s="16"/>
      <c r="G38" s="16"/>
      <c r="H38" s="16"/>
    </row>
    <row r="39" spans="1:8" x14ac:dyDescent="0.15">
      <c r="A39" s="16"/>
      <c r="B39" s="16"/>
      <c r="C39" s="16"/>
      <c r="D39" s="16"/>
      <c r="E39" s="16"/>
      <c r="F39" s="16"/>
      <c r="G39" s="16"/>
      <c r="H39" s="16"/>
    </row>
    <row r="40" spans="1:8" x14ac:dyDescent="0.15">
      <c r="A40" s="16"/>
      <c r="B40" s="16"/>
      <c r="C40" s="16"/>
      <c r="D40" s="16"/>
      <c r="E40" s="16"/>
      <c r="F40" s="16"/>
      <c r="G40" s="16"/>
      <c r="H40" s="16"/>
    </row>
    <row r="41" spans="1:8" x14ac:dyDescent="0.15">
      <c r="A41" s="16"/>
      <c r="B41" s="16"/>
      <c r="C41" s="16"/>
      <c r="D41" s="16"/>
      <c r="E41" s="16"/>
      <c r="F41" s="16"/>
      <c r="G41" s="16"/>
      <c r="H41" s="16"/>
    </row>
    <row r="42" spans="1:8" x14ac:dyDescent="0.15">
      <c r="A42" s="16"/>
      <c r="B42" s="16"/>
      <c r="C42" s="16"/>
      <c r="D42" s="16"/>
      <c r="E42" s="16"/>
      <c r="F42" s="16"/>
      <c r="G42" s="16"/>
      <c r="H42" s="16"/>
    </row>
    <row r="43" spans="1:8" x14ac:dyDescent="0.15">
      <c r="A43" s="16"/>
      <c r="B43" s="16"/>
      <c r="C43" s="16"/>
      <c r="D43" s="16"/>
      <c r="E43" s="16"/>
      <c r="F43" s="16"/>
      <c r="G43" s="16"/>
      <c r="H43" s="16"/>
    </row>
    <row r="44" spans="1:8" x14ac:dyDescent="0.15">
      <c r="A44" s="16"/>
      <c r="B44" s="16"/>
      <c r="C44" s="16"/>
      <c r="D44" s="16"/>
      <c r="E44" s="16"/>
      <c r="F44" s="16"/>
      <c r="G44" s="16"/>
      <c r="H44" s="16"/>
    </row>
    <row r="45" spans="1:8" x14ac:dyDescent="0.15">
      <c r="A45" s="16"/>
      <c r="B45" s="16"/>
      <c r="C45" s="16"/>
      <c r="D45" s="16"/>
      <c r="E45" s="16"/>
      <c r="F45" s="16"/>
      <c r="G45" s="16"/>
      <c r="H45" s="16"/>
    </row>
    <row r="46" spans="1:8" x14ac:dyDescent="0.15">
      <c r="A46" s="16"/>
      <c r="B46" s="16"/>
      <c r="C46" s="16"/>
      <c r="D46" s="16"/>
      <c r="E46" s="16"/>
      <c r="F46" s="16"/>
      <c r="G46" s="16"/>
      <c r="H46" s="16"/>
    </row>
    <row r="47" spans="1:8" x14ac:dyDescent="0.15">
      <c r="A47" s="16"/>
      <c r="B47" s="16"/>
      <c r="C47" s="16"/>
      <c r="D47" s="16"/>
      <c r="E47" s="16"/>
      <c r="F47" s="16"/>
      <c r="G47" s="16"/>
      <c r="H47" s="16"/>
    </row>
    <row r="48" spans="1:8" x14ac:dyDescent="0.15">
      <c r="A48" s="16"/>
      <c r="B48" s="16"/>
      <c r="C48" s="16"/>
      <c r="D48" s="16"/>
      <c r="E48" s="16"/>
      <c r="F48" s="16"/>
      <c r="G48" s="16"/>
      <c r="H48" s="16"/>
    </row>
    <row r="49" spans="1:8" x14ac:dyDescent="0.15">
      <c r="A49" s="16"/>
      <c r="B49" s="16"/>
      <c r="C49" s="16"/>
      <c r="D49" s="16"/>
      <c r="E49" s="16"/>
      <c r="F49" s="16"/>
      <c r="G49" s="16"/>
      <c r="H49" s="16"/>
    </row>
    <row r="50" spans="1:8" x14ac:dyDescent="0.15">
      <c r="A50" s="16"/>
      <c r="B50" s="16"/>
      <c r="C50" s="16"/>
      <c r="D50" s="16"/>
      <c r="E50" s="16"/>
      <c r="F50" s="16"/>
      <c r="G50" s="16"/>
      <c r="H50" s="16"/>
    </row>
    <row r="51" spans="1:8" x14ac:dyDescent="0.15">
      <c r="A51" s="16"/>
      <c r="B51" s="16"/>
      <c r="C51" s="16"/>
      <c r="D51" s="16"/>
      <c r="E51" s="16"/>
      <c r="F51" s="16"/>
      <c r="G51" s="16"/>
      <c r="H51" s="16"/>
    </row>
    <row r="52" spans="1:8" x14ac:dyDescent="0.15">
      <c r="A52" s="16"/>
      <c r="B52" s="16"/>
      <c r="C52" s="16"/>
      <c r="D52" s="16"/>
      <c r="E52" s="16"/>
      <c r="F52" s="16"/>
      <c r="G52" s="16"/>
      <c r="H52" s="16"/>
    </row>
    <row r="53" spans="1:8" x14ac:dyDescent="0.15">
      <c r="A53" s="16"/>
      <c r="B53" s="16"/>
      <c r="C53" s="16"/>
      <c r="D53" s="16"/>
      <c r="E53" s="16"/>
      <c r="F53" s="16"/>
      <c r="G53" s="16"/>
      <c r="H53" s="16"/>
    </row>
    <row r="54" spans="1:8" x14ac:dyDescent="0.15">
      <c r="A54" s="16"/>
      <c r="B54" s="16"/>
      <c r="C54" s="16"/>
      <c r="D54" s="16"/>
      <c r="E54" s="16"/>
      <c r="F54" s="16"/>
      <c r="G54" s="16"/>
      <c r="H54" s="16"/>
    </row>
    <row r="55" spans="1:8" x14ac:dyDescent="0.15">
      <c r="A55" s="16"/>
      <c r="B55" s="16"/>
      <c r="C55" s="16"/>
      <c r="D55" s="16"/>
      <c r="E55" s="16"/>
      <c r="F55" s="16"/>
      <c r="G55" s="16"/>
      <c r="H55" s="16"/>
    </row>
    <row r="56" spans="1:8" x14ac:dyDescent="0.15">
      <c r="A56" s="16"/>
      <c r="B56" s="16"/>
      <c r="C56" s="16"/>
      <c r="D56" s="16"/>
      <c r="E56" s="16"/>
      <c r="F56" s="16"/>
      <c r="G56" s="16"/>
      <c r="H56" s="16"/>
    </row>
    <row r="57" spans="1:8" x14ac:dyDescent="0.15">
      <c r="A57" s="16"/>
      <c r="B57" s="16"/>
      <c r="C57" s="16"/>
      <c r="D57" s="16"/>
      <c r="E57" s="16"/>
      <c r="F57" s="16"/>
      <c r="G57" s="16"/>
      <c r="H57" s="16"/>
    </row>
    <row r="58" spans="1:8" x14ac:dyDescent="0.15">
      <c r="A58" s="16"/>
      <c r="B58" s="16"/>
      <c r="C58" s="16"/>
      <c r="D58" s="16"/>
      <c r="E58" s="16"/>
      <c r="F58" s="16"/>
      <c r="G58" s="16"/>
      <c r="H58" s="16"/>
    </row>
    <row r="59" spans="1:8" x14ac:dyDescent="0.15">
      <c r="A59" s="16"/>
      <c r="B59" s="16"/>
      <c r="C59" s="16"/>
      <c r="D59" s="16"/>
      <c r="E59" s="16"/>
      <c r="F59" s="16"/>
      <c r="G59" s="16"/>
      <c r="H59" s="16"/>
    </row>
    <row r="60" spans="1:8" x14ac:dyDescent="0.15">
      <c r="A60" s="16"/>
      <c r="B60" s="16"/>
      <c r="C60" s="16"/>
      <c r="D60" s="16"/>
      <c r="E60" s="16"/>
      <c r="F60" s="16"/>
      <c r="G60" s="16"/>
      <c r="H60" s="16"/>
    </row>
    <row r="61" spans="1:8" x14ac:dyDescent="0.15">
      <c r="A61" s="16"/>
      <c r="B61" s="16"/>
      <c r="C61" s="16"/>
      <c r="D61" s="16"/>
      <c r="E61" s="16"/>
      <c r="F61" s="16"/>
      <c r="G61" s="16"/>
      <c r="H61" s="16"/>
    </row>
    <row r="62" spans="1:8" x14ac:dyDescent="0.15">
      <c r="A62" s="16"/>
      <c r="B62" s="16"/>
      <c r="C62" s="16"/>
      <c r="D62" s="16"/>
      <c r="E62" s="16"/>
      <c r="F62" s="16"/>
      <c r="G62" s="16"/>
      <c r="H62" s="16"/>
    </row>
    <row r="63" spans="1:8" x14ac:dyDescent="0.15">
      <c r="A63" s="16"/>
      <c r="B63" s="16"/>
      <c r="C63" s="16"/>
      <c r="D63" s="16"/>
      <c r="E63" s="16"/>
      <c r="F63" s="16"/>
      <c r="G63" s="16"/>
      <c r="H63" s="16"/>
    </row>
    <row r="64" spans="1:8" x14ac:dyDescent="0.15">
      <c r="A64" s="16"/>
      <c r="B64" s="16"/>
      <c r="C64" s="16"/>
      <c r="D64" s="16"/>
      <c r="E64" s="16"/>
      <c r="F64" s="16"/>
      <c r="G64" s="16"/>
      <c r="H64" s="16"/>
    </row>
    <row r="65" spans="1:8" x14ac:dyDescent="0.15">
      <c r="A65" s="16"/>
      <c r="B65" s="16"/>
      <c r="C65" s="16"/>
      <c r="D65" s="16"/>
      <c r="E65" s="16"/>
      <c r="F65" s="16"/>
      <c r="G65" s="16"/>
      <c r="H65" s="16"/>
    </row>
    <row r="66" spans="1:8" x14ac:dyDescent="0.15">
      <c r="A66" s="16"/>
      <c r="B66" s="16"/>
      <c r="C66" s="16"/>
      <c r="D66" s="16"/>
      <c r="E66" s="16"/>
      <c r="F66" s="16"/>
      <c r="G66" s="16"/>
      <c r="H66" s="16"/>
    </row>
    <row r="67" spans="1:8" x14ac:dyDescent="0.15">
      <c r="A67" s="16"/>
      <c r="B67" s="16"/>
      <c r="C67" s="16"/>
      <c r="D67" s="16"/>
      <c r="E67" s="16"/>
      <c r="F67" s="16"/>
      <c r="G67" s="16"/>
      <c r="H67" s="16"/>
    </row>
    <row r="68" spans="1:8" x14ac:dyDescent="0.15">
      <c r="A68" s="16"/>
      <c r="B68" s="16"/>
      <c r="C68" s="16"/>
      <c r="D68" s="16"/>
      <c r="E68" s="16"/>
      <c r="F68" s="16"/>
      <c r="G68" s="16"/>
      <c r="H68" s="16"/>
    </row>
    <row r="69" spans="1:8" x14ac:dyDescent="0.15">
      <c r="A69" s="16"/>
      <c r="B69" s="16"/>
      <c r="C69" s="16"/>
      <c r="D69" s="16"/>
      <c r="E69" s="16"/>
      <c r="F69" s="16"/>
      <c r="G69" s="16"/>
      <c r="H69" s="16"/>
    </row>
    <row r="70" spans="1:8" x14ac:dyDescent="0.15">
      <c r="A70" s="16"/>
      <c r="B70" s="16"/>
      <c r="C70" s="16"/>
      <c r="D70" s="16"/>
      <c r="E70" s="16"/>
      <c r="F70" s="16"/>
      <c r="G70" s="16"/>
      <c r="H70" s="16"/>
    </row>
    <row r="71" spans="1:8" x14ac:dyDescent="0.15">
      <c r="A71" s="16"/>
      <c r="B71" s="16"/>
      <c r="C71" s="16"/>
      <c r="D71" s="16"/>
      <c r="E71" s="16"/>
      <c r="F71" s="16"/>
      <c r="G71" s="16"/>
      <c r="H71" s="16"/>
    </row>
    <row r="72" spans="1:8" x14ac:dyDescent="0.15">
      <c r="A72" s="16"/>
      <c r="B72" s="16"/>
      <c r="C72" s="16"/>
      <c r="D72" s="16"/>
      <c r="E72" s="16"/>
      <c r="F72" s="16"/>
      <c r="G72" s="16"/>
      <c r="H72" s="16"/>
    </row>
    <row r="73" spans="1:8" x14ac:dyDescent="0.15">
      <c r="A73" s="16"/>
      <c r="B73" s="16"/>
      <c r="C73" s="16"/>
      <c r="D73" s="16"/>
      <c r="E73" s="16"/>
      <c r="F73" s="16"/>
      <c r="G73" s="16"/>
      <c r="H73" s="16"/>
    </row>
    <row r="74" spans="1:8" x14ac:dyDescent="0.15">
      <c r="A74" s="16"/>
      <c r="B74" s="16"/>
      <c r="C74" s="16"/>
      <c r="D74" s="16"/>
      <c r="E74" s="16"/>
      <c r="F74" s="16"/>
      <c r="G74" s="16"/>
      <c r="H74" s="16"/>
    </row>
    <row r="75" spans="1:8" x14ac:dyDescent="0.15">
      <c r="A75" s="16"/>
      <c r="B75" s="16"/>
      <c r="C75" s="16"/>
      <c r="D75" s="16"/>
      <c r="E75" s="16"/>
      <c r="F75" s="16"/>
      <c r="G75" s="16"/>
      <c r="H75" s="16"/>
    </row>
    <row r="76" spans="1:8" x14ac:dyDescent="0.15">
      <c r="A76" s="16"/>
      <c r="B76" s="16"/>
      <c r="C76" s="16"/>
      <c r="D76" s="16"/>
      <c r="E76" s="16"/>
      <c r="F76" s="16"/>
      <c r="G76" s="16"/>
      <c r="H76" s="16"/>
    </row>
    <row r="77" spans="1:8" x14ac:dyDescent="0.15">
      <c r="A77" s="16"/>
      <c r="B77" s="16"/>
      <c r="C77" s="16"/>
      <c r="D77" s="16"/>
      <c r="E77" s="16"/>
      <c r="F77" s="16"/>
      <c r="G77" s="16"/>
      <c r="H77" s="16"/>
    </row>
    <row r="78" spans="1:8" x14ac:dyDescent="0.15">
      <c r="A78" s="16"/>
      <c r="B78" s="16"/>
      <c r="C78" s="16"/>
      <c r="D78" s="16"/>
      <c r="E78" s="16"/>
      <c r="F78" s="16"/>
      <c r="G78" s="16"/>
      <c r="H78" s="16"/>
    </row>
    <row r="79" spans="1:8" x14ac:dyDescent="0.15">
      <c r="A79" s="16"/>
      <c r="B79" s="16"/>
      <c r="C79" s="16"/>
      <c r="D79" s="16"/>
      <c r="E79" s="16"/>
      <c r="F79" s="16"/>
      <c r="G79" s="16"/>
      <c r="H79" s="16"/>
    </row>
    <row r="80" spans="1:8" x14ac:dyDescent="0.15">
      <c r="A80" s="16"/>
      <c r="B80" s="16"/>
      <c r="C80" s="16"/>
      <c r="D80" s="16"/>
      <c r="E80" s="16"/>
      <c r="F80" s="16"/>
      <c r="G80" s="16"/>
      <c r="H80" s="16"/>
    </row>
    <row r="81" spans="1:8" x14ac:dyDescent="0.15">
      <c r="A81" s="16"/>
      <c r="B81" s="16"/>
      <c r="C81" s="16"/>
      <c r="D81" s="16"/>
      <c r="E81" s="16"/>
      <c r="F81" s="16"/>
      <c r="G81" s="16"/>
      <c r="H81" s="16"/>
    </row>
    <row r="82" spans="1:8" x14ac:dyDescent="0.15">
      <c r="A82" s="16"/>
      <c r="B82" s="16"/>
      <c r="C82" s="16"/>
      <c r="D82" s="16"/>
      <c r="E82" s="16"/>
      <c r="F82" s="16"/>
      <c r="G82" s="16"/>
      <c r="H82" s="16"/>
    </row>
    <row r="83" spans="1:8" x14ac:dyDescent="0.15">
      <c r="A83" s="16"/>
      <c r="B83" s="16"/>
      <c r="C83" s="16"/>
      <c r="D83" s="16"/>
      <c r="E83" s="16"/>
      <c r="F83" s="16"/>
      <c r="G83" s="16"/>
      <c r="H83" s="16"/>
    </row>
    <row r="84" spans="1:8" x14ac:dyDescent="0.15">
      <c r="A84" s="16"/>
      <c r="B84" s="16"/>
      <c r="C84" s="16"/>
      <c r="D84" s="16"/>
      <c r="E84" s="16"/>
      <c r="F84" s="16"/>
      <c r="G84" s="16"/>
      <c r="H84" s="16"/>
    </row>
    <row r="85" spans="1:8" x14ac:dyDescent="0.15">
      <c r="A85" s="16"/>
      <c r="B85" s="16"/>
      <c r="C85" s="16"/>
      <c r="D85" s="16"/>
      <c r="E85" s="16"/>
      <c r="F85" s="16"/>
      <c r="G85" s="16"/>
      <c r="H85" s="16"/>
    </row>
    <row r="86" spans="1:8" x14ac:dyDescent="0.15">
      <c r="A86" s="16"/>
      <c r="B86" s="16"/>
      <c r="C86" s="16"/>
      <c r="D86" s="16"/>
      <c r="E86" s="16"/>
      <c r="F86" s="16"/>
      <c r="G86" s="16"/>
      <c r="H86" s="16"/>
    </row>
    <row r="87" spans="1:8" x14ac:dyDescent="0.15">
      <c r="A87" s="16"/>
      <c r="B87" s="16"/>
      <c r="C87" s="16"/>
      <c r="D87" s="16"/>
      <c r="E87" s="16"/>
      <c r="F87" s="16"/>
      <c r="G87" s="16"/>
      <c r="H87" s="16"/>
    </row>
    <row r="88" spans="1:8" x14ac:dyDescent="0.15">
      <c r="A88" s="16"/>
      <c r="B88" s="16"/>
      <c r="C88" s="16"/>
      <c r="D88" s="16"/>
      <c r="E88" s="16"/>
      <c r="F88" s="16"/>
      <c r="G88" s="16"/>
      <c r="H88" s="16"/>
    </row>
    <row r="89" spans="1:8" x14ac:dyDescent="0.15">
      <c r="A89" s="16"/>
      <c r="B89" s="16"/>
      <c r="C89" s="16"/>
      <c r="D89" s="16"/>
      <c r="E89" s="16"/>
      <c r="F89" s="16"/>
      <c r="G89" s="16"/>
      <c r="H89" s="16"/>
    </row>
    <row r="90" spans="1:8" x14ac:dyDescent="0.15">
      <c r="A90" s="16"/>
      <c r="B90" s="16"/>
      <c r="C90" s="16"/>
      <c r="D90" s="16"/>
      <c r="E90" s="16"/>
      <c r="F90" s="16"/>
      <c r="G90" s="16"/>
      <c r="H90" s="16"/>
    </row>
    <row r="91" spans="1:8" x14ac:dyDescent="0.15">
      <c r="A91" s="16"/>
      <c r="B91" s="16"/>
      <c r="C91" s="16"/>
      <c r="D91" s="16"/>
      <c r="E91" s="16"/>
      <c r="F91" s="16"/>
      <c r="G91" s="16"/>
      <c r="H91" s="16"/>
    </row>
    <row r="92" spans="1:8" x14ac:dyDescent="0.15">
      <c r="A92" s="16"/>
      <c r="B92" s="16"/>
      <c r="C92" s="16"/>
      <c r="D92" s="16"/>
      <c r="E92" s="16"/>
      <c r="F92" s="16"/>
      <c r="G92" s="16"/>
      <c r="H92" s="16"/>
    </row>
    <row r="93" spans="1:8" x14ac:dyDescent="0.15">
      <c r="A93" s="16"/>
      <c r="B93" s="16"/>
      <c r="C93" s="16"/>
      <c r="D93" s="16"/>
      <c r="E93" s="16"/>
      <c r="F93" s="16"/>
      <c r="G93" s="16"/>
      <c r="H93" s="16"/>
    </row>
    <row r="94" spans="1:8" x14ac:dyDescent="0.15">
      <c r="A94" s="16"/>
      <c r="B94" s="16"/>
      <c r="C94" s="16"/>
      <c r="D94" s="16"/>
      <c r="E94" s="16"/>
      <c r="F94" s="16"/>
      <c r="G94" s="16"/>
      <c r="H94" s="16"/>
    </row>
    <row r="95" spans="1:8" x14ac:dyDescent="0.15">
      <c r="A95" s="16"/>
      <c r="B95" s="16"/>
      <c r="C95" s="16"/>
      <c r="D95" s="16"/>
      <c r="E95" s="16"/>
      <c r="F95" s="16"/>
      <c r="G95" s="16"/>
      <c r="H95" s="16"/>
    </row>
    <row r="96" spans="1:8" x14ac:dyDescent="0.15">
      <c r="A96" s="16"/>
      <c r="B96" s="16"/>
      <c r="C96" s="16"/>
      <c r="D96" s="16"/>
      <c r="E96" s="16"/>
      <c r="F96" s="16"/>
      <c r="G96" s="16"/>
      <c r="H96" s="16"/>
    </row>
    <row r="97" spans="1:8" x14ac:dyDescent="0.15">
      <c r="A97" s="16"/>
      <c r="B97" s="16"/>
      <c r="C97" s="16"/>
      <c r="D97" s="16"/>
      <c r="E97" s="16"/>
      <c r="F97" s="16"/>
      <c r="G97" s="16"/>
      <c r="H97" s="16"/>
    </row>
    <row r="98" spans="1:8" x14ac:dyDescent="0.15">
      <c r="A98" s="16"/>
      <c r="B98" s="16"/>
      <c r="C98" s="16"/>
      <c r="D98" s="16"/>
      <c r="E98" s="16"/>
      <c r="F98" s="16"/>
      <c r="G98" s="16"/>
      <c r="H98" s="16"/>
    </row>
    <row r="99" spans="1:8" x14ac:dyDescent="0.15">
      <c r="A99" s="16"/>
      <c r="B99" s="16"/>
      <c r="C99" s="16"/>
      <c r="D99" s="16"/>
      <c r="E99" s="16"/>
      <c r="F99" s="16"/>
      <c r="G99" s="16"/>
      <c r="H99" s="16"/>
    </row>
    <row r="100" spans="1:8" x14ac:dyDescent="0.15">
      <c r="A100" s="16"/>
      <c r="B100" s="16"/>
      <c r="C100" s="16"/>
      <c r="D100" s="16"/>
      <c r="E100" s="16"/>
      <c r="F100" s="16"/>
      <c r="G100" s="16"/>
      <c r="H100" s="16"/>
    </row>
    <row r="101" spans="1:8" x14ac:dyDescent="0.15">
      <c r="A101" s="16"/>
      <c r="B101" s="16"/>
      <c r="C101" s="16"/>
      <c r="D101" s="16"/>
      <c r="E101" s="16"/>
      <c r="F101" s="16"/>
      <c r="G101" s="16"/>
      <c r="H101" s="16"/>
    </row>
    <row r="102" spans="1:8" x14ac:dyDescent="0.15">
      <c r="A102" s="16"/>
      <c r="B102" s="16"/>
      <c r="C102" s="16"/>
      <c r="D102" s="16"/>
      <c r="E102" s="16"/>
      <c r="F102" s="16"/>
      <c r="G102" s="16"/>
      <c r="H102" s="16"/>
    </row>
    <row r="103" spans="1:8" x14ac:dyDescent="0.15">
      <c r="A103" s="16"/>
      <c r="B103" s="16"/>
      <c r="C103" s="16"/>
      <c r="D103" s="16"/>
      <c r="E103" s="16"/>
      <c r="F103" s="16"/>
      <c r="G103" s="16"/>
      <c r="H103" s="16"/>
    </row>
    <row r="104" spans="1:8" x14ac:dyDescent="0.15">
      <c r="A104" s="16"/>
      <c r="B104" s="16"/>
      <c r="C104" s="16"/>
      <c r="D104" s="16"/>
      <c r="E104" s="16"/>
      <c r="F104" s="16"/>
      <c r="G104" s="16"/>
      <c r="H104" s="16"/>
    </row>
    <row r="105" spans="1:8" x14ac:dyDescent="0.15">
      <c r="A105" s="16"/>
      <c r="B105" s="16"/>
      <c r="C105" s="16"/>
      <c r="D105" s="16"/>
      <c r="E105" s="16"/>
      <c r="F105" s="16"/>
      <c r="G105" s="16"/>
      <c r="H105" s="16"/>
    </row>
    <row r="106" spans="1:8" x14ac:dyDescent="0.15">
      <c r="A106" s="16"/>
      <c r="B106" s="16"/>
      <c r="C106" s="16"/>
      <c r="D106" s="16"/>
      <c r="E106" s="16"/>
      <c r="F106" s="16"/>
      <c r="G106" s="16"/>
      <c r="H106" s="16"/>
    </row>
    <row r="107" spans="1:8" x14ac:dyDescent="0.15">
      <c r="A107" s="16"/>
      <c r="B107" s="16"/>
      <c r="C107" s="16"/>
      <c r="D107" s="16"/>
      <c r="E107" s="16"/>
      <c r="F107" s="16"/>
      <c r="G107" s="16"/>
      <c r="H107" s="16"/>
    </row>
    <row r="108" spans="1:8" x14ac:dyDescent="0.15">
      <c r="A108" s="16"/>
      <c r="B108" s="16"/>
      <c r="C108" s="16"/>
      <c r="D108" s="16"/>
      <c r="E108" s="16"/>
      <c r="F108" s="16"/>
      <c r="G108" s="16"/>
      <c r="H108" s="16"/>
    </row>
    <row r="109" spans="1:8" x14ac:dyDescent="0.15">
      <c r="A109" s="16"/>
      <c r="B109" s="16"/>
      <c r="C109" s="16"/>
      <c r="D109" s="16"/>
      <c r="E109" s="16"/>
      <c r="F109" s="16"/>
      <c r="G109" s="16"/>
      <c r="H109" s="16"/>
    </row>
    <row r="110" spans="1:8" x14ac:dyDescent="0.15">
      <c r="A110" s="16"/>
      <c r="B110" s="16"/>
      <c r="C110" s="16"/>
      <c r="D110" s="16"/>
      <c r="E110" s="16"/>
      <c r="F110" s="16"/>
      <c r="G110" s="16"/>
      <c r="H110" s="16"/>
    </row>
    <row r="111" spans="1:8" x14ac:dyDescent="0.15">
      <c r="A111" s="16"/>
      <c r="B111" s="16"/>
      <c r="C111" s="16"/>
      <c r="D111" s="16"/>
      <c r="E111" s="16"/>
      <c r="F111" s="16"/>
      <c r="G111" s="16"/>
      <c r="H111" s="16"/>
    </row>
    <row r="112" spans="1:8" x14ac:dyDescent="0.15">
      <c r="A112" s="16"/>
      <c r="B112" s="16"/>
      <c r="C112" s="16"/>
      <c r="D112" s="16"/>
      <c r="E112" s="16"/>
      <c r="F112" s="16"/>
      <c r="G112" s="16"/>
      <c r="H112" s="16"/>
    </row>
    <row r="113" spans="1:8" x14ac:dyDescent="0.15">
      <c r="A113" s="16"/>
      <c r="B113" s="16"/>
      <c r="C113" s="16"/>
      <c r="D113" s="16"/>
      <c r="E113" s="16"/>
      <c r="F113" s="16"/>
      <c r="G113" s="16"/>
      <c r="H113" s="16"/>
    </row>
    <row r="114" spans="1:8" x14ac:dyDescent="0.15">
      <c r="A114" s="16"/>
      <c r="B114" s="16"/>
      <c r="C114" s="16"/>
      <c r="D114" s="16"/>
      <c r="E114" s="16"/>
      <c r="F114" s="16"/>
      <c r="G114" s="16"/>
      <c r="H114" s="16"/>
    </row>
    <row r="115" spans="1:8" x14ac:dyDescent="0.15">
      <c r="A115" s="16"/>
      <c r="B115" s="16"/>
      <c r="C115" s="16"/>
      <c r="D115" s="16"/>
      <c r="E115" s="16"/>
      <c r="F115" s="16"/>
      <c r="G115" s="16"/>
      <c r="H115" s="16"/>
    </row>
    <row r="116" spans="1:8" x14ac:dyDescent="0.15">
      <c r="A116" s="16"/>
      <c r="B116" s="16"/>
      <c r="C116" s="16"/>
      <c r="D116" s="16"/>
      <c r="E116" s="16"/>
      <c r="F116" s="16"/>
      <c r="G116" s="16"/>
      <c r="H116" s="16"/>
    </row>
    <row r="117" spans="1:8" x14ac:dyDescent="0.15">
      <c r="A117" s="16"/>
      <c r="B117" s="16"/>
      <c r="C117" s="16"/>
      <c r="D117" s="16"/>
      <c r="E117" s="16"/>
      <c r="F117" s="16"/>
      <c r="G117" s="16"/>
      <c r="H117" s="16"/>
    </row>
    <row r="118" spans="1:8" x14ac:dyDescent="0.15">
      <c r="A118" s="16"/>
      <c r="B118" s="16"/>
      <c r="C118" s="16"/>
      <c r="D118" s="16"/>
      <c r="E118" s="16"/>
      <c r="F118" s="16"/>
      <c r="G118" s="16"/>
      <c r="H118" s="16"/>
    </row>
    <row r="119" spans="1:8" x14ac:dyDescent="0.15">
      <c r="A119" s="16"/>
      <c r="B119" s="16"/>
      <c r="C119" s="16"/>
      <c r="D119" s="16"/>
      <c r="E119" s="16"/>
      <c r="F119" s="16"/>
      <c r="G119" s="16"/>
      <c r="H119" s="16"/>
    </row>
    <row r="120" spans="1:8" x14ac:dyDescent="0.15">
      <c r="A120" s="16"/>
      <c r="B120" s="16"/>
      <c r="C120" s="16"/>
      <c r="D120" s="16"/>
      <c r="E120" s="16"/>
      <c r="F120" s="16"/>
      <c r="G120" s="16"/>
      <c r="H120" s="16"/>
    </row>
    <row r="121" spans="1:8" x14ac:dyDescent="0.15">
      <c r="A121" s="16"/>
      <c r="B121" s="16"/>
      <c r="C121" s="16"/>
      <c r="D121" s="16"/>
      <c r="E121" s="16"/>
      <c r="F121" s="16"/>
      <c r="G121" s="16"/>
      <c r="H121" s="16"/>
    </row>
    <row r="122" spans="1:8" x14ac:dyDescent="0.15">
      <c r="A122" s="16"/>
      <c r="B122" s="16"/>
      <c r="C122" s="16"/>
      <c r="D122" s="16"/>
      <c r="E122" s="16"/>
      <c r="F122" s="16"/>
      <c r="G122" s="16"/>
      <c r="H122" s="16"/>
    </row>
    <row r="123" spans="1:8" x14ac:dyDescent="0.15">
      <c r="A123" s="16"/>
      <c r="B123" s="16"/>
      <c r="C123" s="16"/>
      <c r="D123" s="16"/>
      <c r="E123" s="16"/>
      <c r="F123" s="16"/>
      <c r="G123" s="16"/>
      <c r="H123" s="16"/>
    </row>
    <row r="124" spans="1:8" x14ac:dyDescent="0.15">
      <c r="A124" s="16"/>
      <c r="B124" s="16"/>
      <c r="C124" s="16"/>
      <c r="D124" s="16"/>
      <c r="E124" s="16"/>
      <c r="F124" s="16"/>
      <c r="G124" s="16"/>
      <c r="H124" s="16"/>
    </row>
    <row r="125" spans="1:8" x14ac:dyDescent="0.15">
      <c r="A125" s="16"/>
      <c r="B125" s="16"/>
      <c r="C125" s="16"/>
      <c r="D125" s="16"/>
      <c r="E125" s="16"/>
      <c r="F125" s="16"/>
      <c r="G125" s="16"/>
      <c r="H125" s="16"/>
    </row>
    <row r="126" spans="1:8" x14ac:dyDescent="0.15">
      <c r="A126" s="16"/>
      <c r="B126" s="16"/>
      <c r="C126" s="16"/>
      <c r="D126" s="16"/>
      <c r="E126" s="16"/>
      <c r="F126" s="16"/>
      <c r="G126" s="16"/>
      <c r="H126" s="16"/>
    </row>
    <row r="127" spans="1:8" x14ac:dyDescent="0.15">
      <c r="A127" s="16"/>
      <c r="B127" s="16"/>
      <c r="C127" s="16"/>
      <c r="D127" s="16"/>
      <c r="E127" s="16"/>
      <c r="F127" s="16"/>
      <c r="G127" s="16"/>
      <c r="H127" s="16"/>
    </row>
    <row r="128" spans="1:8" x14ac:dyDescent="0.15">
      <c r="A128" s="16"/>
      <c r="B128" s="16"/>
      <c r="C128" s="16"/>
      <c r="D128" s="16"/>
      <c r="E128" s="16"/>
      <c r="F128" s="16"/>
      <c r="G128" s="16"/>
      <c r="H128" s="16"/>
    </row>
    <row r="129" spans="1:8" x14ac:dyDescent="0.15">
      <c r="A129" s="16"/>
      <c r="B129" s="16"/>
      <c r="C129" s="16"/>
      <c r="D129" s="16"/>
      <c r="E129" s="16"/>
      <c r="F129" s="16"/>
      <c r="G129" s="16"/>
      <c r="H129" s="16"/>
    </row>
    <row r="130" spans="1:8" x14ac:dyDescent="0.15">
      <c r="A130" s="16"/>
      <c r="B130" s="16"/>
      <c r="C130" s="16"/>
      <c r="D130" s="16"/>
      <c r="E130" s="16"/>
      <c r="F130" s="16"/>
      <c r="G130" s="16"/>
      <c r="H130" s="16"/>
    </row>
    <row r="131" spans="1:8" x14ac:dyDescent="0.15">
      <c r="A131" s="16"/>
      <c r="B131" s="16"/>
      <c r="C131" s="16"/>
      <c r="D131" s="16"/>
      <c r="E131" s="16"/>
      <c r="F131" s="16"/>
      <c r="G131" s="16"/>
      <c r="H131" s="16"/>
    </row>
    <row r="132" spans="1:8" x14ac:dyDescent="0.15">
      <c r="A132" s="16"/>
      <c r="B132" s="16"/>
      <c r="C132" s="16"/>
      <c r="D132" s="16"/>
      <c r="E132" s="16"/>
      <c r="F132" s="16"/>
      <c r="G132" s="16"/>
      <c r="H132" s="16"/>
    </row>
    <row r="133" spans="1:8" x14ac:dyDescent="0.15">
      <c r="A133" s="16"/>
      <c r="B133" s="16"/>
      <c r="C133" s="16"/>
      <c r="D133" s="16"/>
      <c r="E133" s="16"/>
      <c r="F133" s="16"/>
      <c r="G133" s="16"/>
      <c r="H133" s="16"/>
    </row>
    <row r="134" spans="1:8" x14ac:dyDescent="0.15">
      <c r="A134" s="16"/>
      <c r="B134" s="16"/>
      <c r="C134" s="16"/>
      <c r="D134" s="16"/>
      <c r="E134" s="16"/>
      <c r="F134" s="16"/>
      <c r="G134" s="16"/>
      <c r="H134" s="16"/>
    </row>
    <row r="135" spans="1:8" x14ac:dyDescent="0.15">
      <c r="A135" s="16"/>
      <c r="B135" s="16"/>
      <c r="C135" s="16"/>
      <c r="D135" s="16"/>
      <c r="E135" s="16"/>
      <c r="F135" s="16"/>
      <c r="G135" s="16"/>
      <c r="H135" s="16"/>
    </row>
    <row r="136" spans="1:8" x14ac:dyDescent="0.15">
      <c r="A136" s="16"/>
      <c r="B136" s="16"/>
      <c r="C136" s="16"/>
      <c r="D136" s="16"/>
      <c r="E136" s="16"/>
      <c r="F136" s="16"/>
      <c r="G136" s="16"/>
      <c r="H136" s="16"/>
    </row>
    <row r="137" spans="1:8" x14ac:dyDescent="0.15">
      <c r="A137" s="16"/>
      <c r="B137" s="16"/>
      <c r="C137" s="16"/>
      <c r="D137" s="16"/>
      <c r="E137" s="16"/>
      <c r="F137" s="16"/>
      <c r="G137" s="16"/>
      <c r="H137" s="16"/>
    </row>
    <row r="138" spans="1:8" x14ac:dyDescent="0.15">
      <c r="A138" s="16"/>
      <c r="B138" s="16"/>
      <c r="C138" s="16"/>
      <c r="D138" s="16"/>
      <c r="E138" s="16"/>
      <c r="F138" s="16"/>
      <c r="G138" s="16"/>
      <c r="H138" s="16"/>
    </row>
    <row r="139" spans="1:8" x14ac:dyDescent="0.15">
      <c r="A139" s="16"/>
      <c r="B139" s="16"/>
      <c r="C139" s="16"/>
      <c r="D139" s="16"/>
      <c r="E139" s="16"/>
      <c r="F139" s="16"/>
      <c r="G139" s="16"/>
      <c r="H139" s="16"/>
    </row>
    <row r="140" spans="1:8" x14ac:dyDescent="0.15">
      <c r="A140" s="16"/>
      <c r="B140" s="16"/>
      <c r="C140" s="16"/>
      <c r="D140" s="16"/>
      <c r="E140" s="16"/>
      <c r="F140" s="16"/>
      <c r="G140" s="16"/>
      <c r="H140" s="16"/>
    </row>
    <row r="141" spans="1:8" x14ac:dyDescent="0.15">
      <c r="A141" s="16"/>
      <c r="B141" s="16"/>
      <c r="C141" s="16"/>
      <c r="D141" s="16"/>
      <c r="E141" s="16"/>
      <c r="F141" s="16"/>
      <c r="G141" s="16"/>
      <c r="H141" s="16"/>
    </row>
    <row r="142" spans="1:8" x14ac:dyDescent="0.15">
      <c r="A142" s="16"/>
      <c r="B142" s="16"/>
      <c r="C142" s="16"/>
      <c r="D142" s="16"/>
      <c r="E142" s="16"/>
      <c r="F142" s="16"/>
      <c r="G142" s="16"/>
      <c r="H142" s="16"/>
    </row>
    <row r="143" spans="1:8" x14ac:dyDescent="0.15">
      <c r="A143" s="16"/>
      <c r="B143" s="16"/>
      <c r="C143" s="16"/>
      <c r="D143" s="16"/>
      <c r="E143" s="16"/>
      <c r="F143" s="16"/>
      <c r="G143" s="16"/>
      <c r="H143" s="16"/>
    </row>
    <row r="144" spans="1:8" x14ac:dyDescent="0.15">
      <c r="A144" s="16"/>
      <c r="B144" s="16"/>
      <c r="C144" s="16"/>
      <c r="D144" s="16"/>
      <c r="E144" s="16"/>
      <c r="F144" s="16"/>
      <c r="G144" s="16"/>
      <c r="H144" s="16"/>
    </row>
    <row r="145" spans="1:8" x14ac:dyDescent="0.15">
      <c r="A145" s="16"/>
      <c r="B145" s="16"/>
      <c r="C145" s="16"/>
      <c r="D145" s="16"/>
      <c r="E145" s="16"/>
      <c r="F145" s="16"/>
      <c r="G145" s="16"/>
      <c r="H145" s="16"/>
    </row>
    <row r="146" spans="1:8" x14ac:dyDescent="0.15">
      <c r="A146" s="16"/>
      <c r="B146" s="16"/>
      <c r="C146" s="16"/>
      <c r="D146" s="16"/>
      <c r="E146" s="16"/>
      <c r="F146" s="16"/>
      <c r="G146" s="16"/>
      <c r="H146" s="16"/>
    </row>
    <row r="147" spans="1:8" x14ac:dyDescent="0.15">
      <c r="A147" s="16"/>
      <c r="B147" s="16"/>
      <c r="C147" s="16"/>
      <c r="D147" s="16"/>
      <c r="E147" s="16"/>
      <c r="F147" s="16"/>
      <c r="G147" s="16"/>
      <c r="H147" s="16"/>
    </row>
    <row r="148" spans="1:8" x14ac:dyDescent="0.15">
      <c r="A148" s="16"/>
      <c r="B148" s="16"/>
      <c r="C148" s="16"/>
      <c r="D148" s="16"/>
      <c r="E148" s="16"/>
      <c r="F148" s="16"/>
      <c r="G148" s="16"/>
      <c r="H148" s="16"/>
    </row>
    <row r="149" spans="1:8" x14ac:dyDescent="0.15">
      <c r="A149" s="16"/>
      <c r="B149" s="16"/>
      <c r="C149" s="16"/>
      <c r="D149" s="16"/>
      <c r="E149" s="16"/>
      <c r="F149" s="16"/>
      <c r="G149" s="16"/>
      <c r="H149" s="16"/>
    </row>
    <row r="150" spans="1:8" x14ac:dyDescent="0.15">
      <c r="A150" s="16"/>
      <c r="B150" s="16"/>
      <c r="C150" s="16"/>
      <c r="D150" s="16"/>
      <c r="E150" s="16"/>
      <c r="F150" s="16"/>
      <c r="G150" s="16"/>
      <c r="H150" s="16"/>
    </row>
    <row r="151" spans="1:8" x14ac:dyDescent="0.15">
      <c r="A151" s="16"/>
      <c r="B151" s="16"/>
      <c r="C151" s="16"/>
      <c r="D151" s="16"/>
      <c r="E151" s="16"/>
      <c r="F151" s="16"/>
      <c r="G151" s="16"/>
      <c r="H151" s="16"/>
    </row>
    <row r="152" spans="1:8" x14ac:dyDescent="0.15">
      <c r="A152" s="16"/>
      <c r="B152" s="16"/>
      <c r="C152" s="16"/>
      <c r="D152" s="16"/>
      <c r="E152" s="16"/>
      <c r="F152" s="16"/>
      <c r="G152" s="16"/>
      <c r="H152" s="16"/>
    </row>
    <row r="153" spans="1:8" x14ac:dyDescent="0.15">
      <c r="A153" s="16"/>
      <c r="B153" s="16"/>
      <c r="C153" s="16"/>
      <c r="D153" s="16"/>
      <c r="E153" s="16"/>
      <c r="F153" s="16"/>
      <c r="G153" s="16"/>
      <c r="H153" s="16"/>
    </row>
    <row r="154" spans="1:8" x14ac:dyDescent="0.15">
      <c r="A154" s="16"/>
      <c r="B154" s="16"/>
      <c r="C154" s="16"/>
      <c r="D154" s="16"/>
      <c r="E154" s="16"/>
      <c r="F154" s="16"/>
      <c r="G154" s="16"/>
      <c r="H154" s="16"/>
    </row>
    <row r="155" spans="1:8" x14ac:dyDescent="0.15">
      <c r="A155" s="16"/>
      <c r="B155" s="16"/>
      <c r="C155" s="16"/>
      <c r="D155" s="16"/>
      <c r="E155" s="16"/>
      <c r="F155" s="16"/>
      <c r="G155" s="16"/>
      <c r="H155" s="16"/>
    </row>
    <row r="156" spans="1:8" x14ac:dyDescent="0.15">
      <c r="A156" s="16"/>
      <c r="B156" s="16"/>
      <c r="C156" s="16"/>
      <c r="D156" s="16"/>
      <c r="E156" s="16"/>
      <c r="F156" s="16"/>
      <c r="G156" s="16"/>
      <c r="H156" s="16"/>
    </row>
    <row r="157" spans="1:8" x14ac:dyDescent="0.15">
      <c r="A157" s="16"/>
      <c r="B157" s="16"/>
      <c r="C157" s="16"/>
      <c r="D157" s="16"/>
      <c r="E157" s="16"/>
      <c r="F157" s="16"/>
      <c r="G157" s="16"/>
      <c r="H157" s="16"/>
    </row>
    <row r="158" spans="1:8" x14ac:dyDescent="0.15">
      <c r="A158" s="16"/>
      <c r="B158" s="16"/>
      <c r="C158" s="16"/>
      <c r="D158" s="16"/>
      <c r="E158" s="16"/>
      <c r="F158" s="16"/>
      <c r="G158" s="16"/>
      <c r="H158" s="16"/>
    </row>
    <row r="159" spans="1:8" x14ac:dyDescent="0.15">
      <c r="A159" s="16"/>
      <c r="B159" s="16"/>
      <c r="C159" s="16"/>
      <c r="D159" s="16"/>
      <c r="E159" s="16"/>
      <c r="F159" s="16"/>
      <c r="G159" s="16"/>
      <c r="H159" s="16"/>
    </row>
    <row r="160" spans="1:8" x14ac:dyDescent="0.15">
      <c r="A160" s="16"/>
      <c r="B160" s="16"/>
      <c r="C160" s="16"/>
      <c r="D160" s="16"/>
      <c r="E160" s="16"/>
      <c r="F160" s="16"/>
      <c r="G160" s="16"/>
      <c r="H160" s="16"/>
    </row>
    <row r="161" spans="1:8" x14ac:dyDescent="0.15">
      <c r="A161" s="16"/>
      <c r="B161" s="16"/>
      <c r="C161" s="16"/>
      <c r="D161" s="16"/>
      <c r="E161" s="16"/>
      <c r="F161" s="16"/>
      <c r="G161" s="16"/>
      <c r="H161" s="16"/>
    </row>
    <row r="162" spans="1:8" x14ac:dyDescent="0.15">
      <c r="A162" s="16"/>
      <c r="B162" s="16"/>
      <c r="C162" s="16"/>
      <c r="D162" s="16"/>
      <c r="E162" s="16"/>
      <c r="F162" s="16"/>
      <c r="G162" s="16"/>
      <c r="H162" s="16"/>
    </row>
    <row r="163" spans="1:8" x14ac:dyDescent="0.15">
      <c r="A163" s="16"/>
      <c r="B163" s="16"/>
      <c r="C163" s="16"/>
      <c r="D163" s="16"/>
      <c r="E163" s="16"/>
      <c r="F163" s="16"/>
      <c r="G163" s="16"/>
      <c r="H163" s="16"/>
    </row>
    <row r="164" spans="1:8" x14ac:dyDescent="0.15">
      <c r="A164" s="16"/>
      <c r="B164" s="16"/>
      <c r="C164" s="16"/>
      <c r="D164" s="16"/>
      <c r="E164" s="16"/>
      <c r="F164" s="16"/>
      <c r="G164" s="16"/>
      <c r="H164" s="16"/>
    </row>
    <row r="165" spans="1:8" x14ac:dyDescent="0.15">
      <c r="A165" s="16"/>
      <c r="B165" s="16"/>
      <c r="C165" s="16"/>
      <c r="D165" s="16"/>
      <c r="E165" s="16"/>
      <c r="F165" s="16"/>
      <c r="G165" s="16"/>
      <c r="H165" s="16"/>
    </row>
    <row r="166" spans="1:8" x14ac:dyDescent="0.15">
      <c r="A166" s="16"/>
      <c r="B166" s="16"/>
      <c r="C166" s="16"/>
      <c r="D166" s="16"/>
      <c r="E166" s="16"/>
      <c r="F166" s="16"/>
      <c r="G166" s="16"/>
      <c r="H166" s="16"/>
    </row>
    <row r="167" spans="1:8" x14ac:dyDescent="0.15">
      <c r="A167" s="16"/>
      <c r="B167" s="16"/>
      <c r="C167" s="16"/>
      <c r="D167" s="16"/>
      <c r="E167" s="16"/>
      <c r="F167" s="16"/>
      <c r="G167" s="16"/>
      <c r="H167" s="16"/>
    </row>
    <row r="168" spans="1:8" x14ac:dyDescent="0.15">
      <c r="A168" s="16"/>
      <c r="B168" s="16"/>
      <c r="C168" s="16"/>
      <c r="D168" s="16"/>
      <c r="E168" s="16"/>
      <c r="F168" s="16"/>
      <c r="G168" s="16"/>
      <c r="H168" s="16"/>
    </row>
    <row r="169" spans="1:8" x14ac:dyDescent="0.15">
      <c r="A169" s="16"/>
      <c r="B169" s="16"/>
      <c r="C169" s="16"/>
      <c r="D169" s="16"/>
      <c r="E169" s="16"/>
      <c r="F169" s="16"/>
      <c r="G169" s="16"/>
      <c r="H169" s="16"/>
    </row>
    <row r="170" spans="1:8" x14ac:dyDescent="0.15">
      <c r="A170" s="16"/>
      <c r="B170" s="16"/>
      <c r="C170" s="16"/>
      <c r="D170" s="16"/>
      <c r="E170" s="16"/>
      <c r="F170" s="16"/>
      <c r="G170" s="16"/>
      <c r="H170" s="16"/>
    </row>
    <row r="171" spans="1:8" x14ac:dyDescent="0.15">
      <c r="A171" s="16"/>
      <c r="B171" s="16"/>
      <c r="C171" s="16"/>
      <c r="D171" s="16"/>
      <c r="E171" s="16"/>
      <c r="F171" s="16"/>
      <c r="G171" s="16"/>
      <c r="H171" s="16"/>
    </row>
    <row r="172" spans="1:8" x14ac:dyDescent="0.15">
      <c r="A172" s="16"/>
      <c r="B172" s="16"/>
      <c r="C172" s="16"/>
      <c r="D172" s="16"/>
      <c r="E172" s="16"/>
      <c r="F172" s="16"/>
      <c r="G172" s="16"/>
      <c r="H172" s="16"/>
    </row>
    <row r="173" spans="1:8" x14ac:dyDescent="0.15">
      <c r="A173" s="16"/>
      <c r="B173" s="16"/>
      <c r="C173" s="16"/>
      <c r="D173" s="16"/>
      <c r="E173" s="16"/>
      <c r="F173" s="16"/>
      <c r="G173" s="16"/>
      <c r="H173" s="16"/>
    </row>
    <row r="174" spans="1:8" x14ac:dyDescent="0.15">
      <c r="A174" s="16"/>
      <c r="B174" s="16"/>
      <c r="C174" s="16"/>
      <c r="D174" s="16"/>
      <c r="E174" s="16"/>
      <c r="F174" s="16"/>
      <c r="G174" s="16"/>
      <c r="H174" s="16"/>
    </row>
    <row r="175" spans="1:8" x14ac:dyDescent="0.15">
      <c r="A175" s="16"/>
      <c r="B175" s="16"/>
      <c r="C175" s="16"/>
      <c r="D175" s="16"/>
      <c r="E175" s="16"/>
      <c r="F175" s="16"/>
      <c r="G175" s="16"/>
      <c r="H175" s="16"/>
    </row>
    <row r="176" spans="1:8" x14ac:dyDescent="0.15">
      <c r="A176" s="16"/>
      <c r="B176" s="16"/>
      <c r="C176" s="16"/>
      <c r="D176" s="16"/>
      <c r="E176" s="16"/>
      <c r="F176" s="16"/>
      <c r="G176" s="16"/>
      <c r="H176" s="16"/>
    </row>
    <row r="177" spans="1:8" x14ac:dyDescent="0.15">
      <c r="A177" s="16"/>
      <c r="B177" s="16"/>
      <c r="C177" s="16"/>
      <c r="D177" s="16"/>
      <c r="E177" s="16"/>
      <c r="F177" s="16"/>
      <c r="G177" s="16"/>
      <c r="H177" s="16"/>
    </row>
    <row r="178" spans="1:8" x14ac:dyDescent="0.15">
      <c r="A178" s="16"/>
      <c r="B178" s="16"/>
      <c r="C178" s="16"/>
      <c r="D178" s="16"/>
      <c r="E178" s="16"/>
      <c r="F178" s="16"/>
      <c r="G178" s="16"/>
      <c r="H178" s="16"/>
    </row>
    <row r="179" spans="1:8" x14ac:dyDescent="0.15">
      <c r="A179" s="16"/>
      <c r="B179" s="16"/>
      <c r="C179" s="16"/>
      <c r="D179" s="16"/>
      <c r="E179" s="16"/>
      <c r="F179" s="16"/>
      <c r="G179" s="16"/>
      <c r="H179" s="16"/>
    </row>
    <row r="180" spans="1:8" x14ac:dyDescent="0.15">
      <c r="A180" s="16"/>
      <c r="B180" s="16"/>
      <c r="C180" s="16"/>
      <c r="D180" s="16"/>
      <c r="E180" s="16"/>
      <c r="F180" s="16"/>
      <c r="G180" s="16"/>
      <c r="H180" s="16"/>
    </row>
    <row r="181" spans="1:8" x14ac:dyDescent="0.15">
      <c r="A181" s="16"/>
      <c r="B181" s="16"/>
      <c r="C181" s="16"/>
      <c r="D181" s="16"/>
      <c r="E181" s="16"/>
      <c r="F181" s="16"/>
      <c r="G181" s="16"/>
      <c r="H181" s="16"/>
    </row>
    <row r="182" spans="1:8" x14ac:dyDescent="0.15">
      <c r="A182" s="16"/>
      <c r="B182" s="16"/>
      <c r="C182" s="16"/>
      <c r="D182" s="16"/>
      <c r="E182" s="16"/>
      <c r="F182" s="16"/>
      <c r="G182" s="16"/>
      <c r="H182" s="16"/>
    </row>
    <row r="183" spans="1:8" x14ac:dyDescent="0.15">
      <c r="A183" s="16"/>
      <c r="B183" s="16"/>
      <c r="C183" s="16"/>
      <c r="D183" s="16"/>
      <c r="E183" s="16"/>
      <c r="F183" s="16"/>
      <c r="G183" s="16"/>
      <c r="H183" s="16"/>
    </row>
    <row r="184" spans="1:8" x14ac:dyDescent="0.15">
      <c r="A184" s="16"/>
      <c r="B184" s="16"/>
      <c r="C184" s="16"/>
      <c r="D184" s="16"/>
      <c r="E184" s="16"/>
      <c r="F184" s="16"/>
      <c r="G184" s="16"/>
      <c r="H184" s="16"/>
    </row>
    <row r="185" spans="1:8" x14ac:dyDescent="0.15">
      <c r="A185" s="16"/>
      <c r="B185" s="16"/>
      <c r="C185" s="16"/>
      <c r="D185" s="16"/>
      <c r="E185" s="16"/>
      <c r="F185" s="16"/>
      <c r="G185" s="16"/>
      <c r="H185" s="16"/>
    </row>
    <row r="186" spans="1:8" x14ac:dyDescent="0.15">
      <c r="A186" s="16"/>
      <c r="B186" s="16"/>
      <c r="C186" s="16"/>
      <c r="D186" s="16"/>
      <c r="E186" s="16"/>
      <c r="F186" s="16"/>
      <c r="G186" s="16"/>
      <c r="H186" s="16"/>
    </row>
    <row r="187" spans="1:8" x14ac:dyDescent="0.15">
      <c r="A187" s="16"/>
      <c r="B187" s="16"/>
      <c r="C187" s="16"/>
      <c r="D187" s="16"/>
      <c r="E187" s="16"/>
      <c r="F187" s="16"/>
      <c r="G187" s="16"/>
      <c r="H187" s="16"/>
    </row>
    <row r="188" spans="1:8" x14ac:dyDescent="0.15">
      <c r="A188" s="16"/>
      <c r="B188" s="16"/>
      <c r="C188" s="16"/>
      <c r="D188" s="16"/>
      <c r="E188" s="16"/>
      <c r="F188" s="16"/>
      <c r="G188" s="16"/>
      <c r="H188" s="16"/>
    </row>
    <row r="189" spans="1:8" x14ac:dyDescent="0.15">
      <c r="A189" s="16"/>
      <c r="B189" s="16"/>
      <c r="C189" s="16"/>
      <c r="D189" s="16"/>
      <c r="E189" s="16"/>
      <c r="F189" s="16"/>
      <c r="G189" s="16"/>
      <c r="H189" s="16"/>
    </row>
    <row r="190" spans="1:8" x14ac:dyDescent="0.15">
      <c r="A190" s="16"/>
      <c r="B190" s="16"/>
      <c r="C190" s="16"/>
      <c r="D190" s="16"/>
      <c r="E190" s="16"/>
      <c r="F190" s="16"/>
      <c r="G190" s="16"/>
      <c r="H190" s="16"/>
    </row>
    <row r="191" spans="1:8" x14ac:dyDescent="0.15">
      <c r="A191" s="16"/>
      <c r="B191" s="16"/>
      <c r="C191" s="16"/>
      <c r="D191" s="16"/>
      <c r="E191" s="16"/>
      <c r="F191" s="16"/>
      <c r="G191" s="16"/>
      <c r="H191" s="16"/>
    </row>
    <row r="192" spans="1:8" x14ac:dyDescent="0.15">
      <c r="A192" s="16"/>
      <c r="B192" s="16"/>
      <c r="C192" s="16"/>
      <c r="D192" s="16"/>
      <c r="E192" s="16"/>
      <c r="F192" s="16"/>
      <c r="G192" s="16"/>
      <c r="H192" s="16"/>
    </row>
    <row r="193" spans="1:8" x14ac:dyDescent="0.15">
      <c r="A193" s="16"/>
      <c r="B193" s="16"/>
      <c r="C193" s="16"/>
      <c r="D193" s="16"/>
      <c r="E193" s="16"/>
      <c r="F193" s="16"/>
      <c r="G193" s="16"/>
      <c r="H193" s="16"/>
    </row>
    <row r="194" spans="1:8" x14ac:dyDescent="0.15">
      <c r="A194" s="16"/>
      <c r="B194" s="16"/>
      <c r="C194" s="16"/>
      <c r="D194" s="16"/>
      <c r="E194" s="16"/>
      <c r="F194" s="16"/>
      <c r="G194" s="16"/>
      <c r="H194" s="16"/>
    </row>
    <row r="195" spans="1:8" x14ac:dyDescent="0.15">
      <c r="A195" s="16"/>
      <c r="B195" s="16"/>
      <c r="C195" s="16"/>
      <c r="D195" s="16"/>
      <c r="E195" s="16"/>
      <c r="F195" s="16"/>
      <c r="G195" s="16"/>
      <c r="H195" s="16"/>
    </row>
    <row r="196" spans="1:8" x14ac:dyDescent="0.15">
      <c r="A196" s="16"/>
      <c r="B196" s="16"/>
      <c r="C196" s="16"/>
      <c r="D196" s="16"/>
      <c r="E196" s="16"/>
      <c r="F196" s="16"/>
      <c r="G196" s="16"/>
      <c r="H196" s="16"/>
    </row>
    <row r="197" spans="1:8" x14ac:dyDescent="0.15">
      <c r="A197" s="16"/>
      <c r="B197" s="16"/>
      <c r="C197" s="16"/>
      <c r="D197" s="16"/>
      <c r="E197" s="16"/>
      <c r="F197" s="16"/>
      <c r="G197" s="16"/>
      <c r="H197" s="16"/>
    </row>
    <row r="198" spans="1:8" x14ac:dyDescent="0.15">
      <c r="A198" s="16"/>
      <c r="B198" s="16"/>
      <c r="C198" s="16"/>
      <c r="D198" s="16"/>
      <c r="E198" s="16"/>
      <c r="F198" s="16"/>
      <c r="G198" s="16"/>
      <c r="H198" s="16"/>
    </row>
    <row r="199" spans="1:8" x14ac:dyDescent="0.15">
      <c r="A199" s="16"/>
      <c r="B199" s="16"/>
      <c r="C199" s="16"/>
      <c r="D199" s="16"/>
      <c r="E199" s="16"/>
      <c r="F199" s="16"/>
      <c r="G199" s="16"/>
      <c r="H199" s="16"/>
    </row>
    <row r="200" spans="1:8" x14ac:dyDescent="0.15">
      <c r="A200" s="16"/>
      <c r="B200" s="16"/>
      <c r="C200" s="16"/>
      <c r="D200" s="16"/>
      <c r="E200" s="16"/>
      <c r="F200" s="16"/>
      <c r="G200" s="16"/>
      <c r="H200" s="16"/>
    </row>
    <row r="201" spans="1:8" x14ac:dyDescent="0.15">
      <c r="A201" s="16"/>
      <c r="B201" s="16"/>
      <c r="C201" s="16"/>
      <c r="D201" s="16"/>
      <c r="E201" s="16"/>
      <c r="F201" s="16"/>
      <c r="G201" s="16"/>
      <c r="H201" s="16"/>
    </row>
    <row r="202" spans="1:8" x14ac:dyDescent="0.15">
      <c r="A202" s="16"/>
      <c r="B202" s="16"/>
      <c r="C202" s="16"/>
      <c r="D202" s="16"/>
      <c r="E202" s="16"/>
      <c r="F202" s="16"/>
      <c r="G202" s="16"/>
      <c r="H202" s="16"/>
    </row>
    <row r="203" spans="1:8" x14ac:dyDescent="0.15">
      <c r="A203" s="16"/>
      <c r="B203" s="16"/>
      <c r="C203" s="16"/>
      <c r="D203" s="16"/>
      <c r="E203" s="16"/>
      <c r="F203" s="16"/>
      <c r="G203" s="16"/>
      <c r="H203" s="16"/>
    </row>
    <row r="204" spans="1:8" x14ac:dyDescent="0.15">
      <c r="A204" s="16"/>
      <c r="B204" s="16"/>
      <c r="C204" s="16"/>
      <c r="D204" s="16"/>
      <c r="E204" s="16"/>
      <c r="F204" s="16"/>
      <c r="G204" s="16"/>
      <c r="H204" s="16"/>
    </row>
    <row r="205" spans="1:8" x14ac:dyDescent="0.15">
      <c r="A205" s="16"/>
      <c r="B205" s="16"/>
      <c r="C205" s="16"/>
      <c r="D205" s="16"/>
      <c r="E205" s="16"/>
      <c r="F205" s="16"/>
      <c r="G205" s="16"/>
      <c r="H205" s="16"/>
    </row>
    <row r="206" spans="1:8" x14ac:dyDescent="0.15">
      <c r="A206" s="16"/>
      <c r="B206" s="16"/>
      <c r="C206" s="16"/>
      <c r="D206" s="16"/>
      <c r="E206" s="16"/>
      <c r="F206" s="16"/>
      <c r="G206" s="16"/>
      <c r="H206" s="16"/>
    </row>
    <row r="207" spans="1:8" x14ac:dyDescent="0.15">
      <c r="A207" s="16"/>
      <c r="B207" s="16"/>
      <c r="C207" s="16"/>
      <c r="D207" s="16"/>
      <c r="E207" s="16"/>
      <c r="F207" s="16"/>
      <c r="G207" s="16"/>
      <c r="H207" s="16"/>
    </row>
    <row r="208" spans="1:8" x14ac:dyDescent="0.15">
      <c r="A208" s="16"/>
      <c r="B208" s="16"/>
      <c r="C208" s="16"/>
      <c r="D208" s="16"/>
      <c r="E208" s="16"/>
      <c r="F208" s="16"/>
      <c r="G208" s="16"/>
      <c r="H208" s="16"/>
    </row>
    <row r="209" spans="1:8" x14ac:dyDescent="0.15">
      <c r="A209" s="16"/>
      <c r="B209" s="16"/>
      <c r="C209" s="16"/>
      <c r="D209" s="16"/>
      <c r="E209" s="16"/>
      <c r="F209" s="16"/>
      <c r="G209" s="16"/>
      <c r="H209" s="16"/>
    </row>
    <row r="210" spans="1:8" x14ac:dyDescent="0.15">
      <c r="A210" s="16"/>
      <c r="B210" s="16"/>
      <c r="C210" s="16"/>
      <c r="D210" s="16"/>
      <c r="E210" s="16"/>
      <c r="F210" s="16"/>
      <c r="G210" s="16"/>
      <c r="H210" s="16"/>
    </row>
    <row r="211" spans="1:8" x14ac:dyDescent="0.15">
      <c r="A211" s="16"/>
      <c r="B211" s="16"/>
      <c r="C211" s="16"/>
      <c r="D211" s="16"/>
      <c r="E211" s="16"/>
      <c r="F211" s="16"/>
      <c r="G211" s="16"/>
      <c r="H211" s="16"/>
    </row>
    <row r="212" spans="1:8" x14ac:dyDescent="0.15">
      <c r="A212" s="16"/>
      <c r="B212" s="16"/>
      <c r="C212" s="16"/>
      <c r="D212" s="16"/>
      <c r="E212" s="16"/>
      <c r="F212" s="16"/>
      <c r="G212" s="16"/>
      <c r="H212" s="16"/>
    </row>
    <row r="213" spans="1:8" x14ac:dyDescent="0.15">
      <c r="A213" s="16"/>
      <c r="B213" s="16"/>
      <c r="C213" s="16"/>
      <c r="D213" s="16"/>
      <c r="E213" s="16"/>
      <c r="F213" s="16"/>
      <c r="G213" s="16"/>
      <c r="H213" s="16"/>
    </row>
    <row r="214" spans="1:8" x14ac:dyDescent="0.15">
      <c r="A214" s="16"/>
      <c r="B214" s="16"/>
      <c r="C214" s="16"/>
      <c r="D214" s="16"/>
      <c r="E214" s="16"/>
      <c r="F214" s="16"/>
      <c r="G214" s="16"/>
      <c r="H214" s="16"/>
    </row>
    <row r="215" spans="1:8" x14ac:dyDescent="0.15">
      <c r="A215" s="16"/>
      <c r="B215" s="16"/>
      <c r="C215" s="16"/>
      <c r="D215" s="16"/>
      <c r="E215" s="16"/>
      <c r="F215" s="16"/>
      <c r="G215" s="16"/>
      <c r="H215" s="16"/>
    </row>
    <row r="216" spans="1:8" x14ac:dyDescent="0.15">
      <c r="A216" s="16"/>
      <c r="B216" s="16"/>
      <c r="C216" s="16"/>
      <c r="D216" s="16"/>
      <c r="E216" s="16"/>
      <c r="F216" s="16"/>
      <c r="G216" s="16"/>
      <c r="H216" s="16"/>
    </row>
    <row r="217" spans="1:8" x14ac:dyDescent="0.15">
      <c r="A217" s="16"/>
      <c r="B217" s="16"/>
      <c r="C217" s="16"/>
      <c r="D217" s="16"/>
      <c r="E217" s="16"/>
      <c r="F217" s="16"/>
      <c r="G217" s="16"/>
      <c r="H217" s="16"/>
    </row>
    <row r="218" spans="1:8" x14ac:dyDescent="0.15">
      <c r="A218" s="16"/>
      <c r="B218" s="16"/>
      <c r="C218" s="16"/>
      <c r="D218" s="16"/>
      <c r="E218" s="16"/>
      <c r="F218" s="16"/>
      <c r="G218" s="16"/>
      <c r="H218" s="16"/>
    </row>
    <row r="219" spans="1:8" x14ac:dyDescent="0.15">
      <c r="A219" s="16"/>
      <c r="B219" s="16"/>
      <c r="C219" s="16"/>
      <c r="D219" s="16"/>
      <c r="E219" s="16"/>
      <c r="F219" s="16"/>
      <c r="G219" s="16"/>
      <c r="H219" s="16"/>
    </row>
    <row r="220" spans="1:8" x14ac:dyDescent="0.15">
      <c r="A220" s="16"/>
      <c r="B220" s="16"/>
      <c r="C220" s="16"/>
      <c r="D220" s="16"/>
      <c r="E220" s="16"/>
      <c r="F220" s="16"/>
      <c r="G220" s="16"/>
      <c r="H220" s="16"/>
    </row>
    <row r="221" spans="1:8" x14ac:dyDescent="0.15">
      <c r="A221" s="16"/>
      <c r="B221" s="16"/>
      <c r="C221" s="16"/>
      <c r="D221" s="16"/>
      <c r="E221" s="16"/>
      <c r="F221" s="16"/>
      <c r="G221" s="16"/>
      <c r="H221" s="16"/>
    </row>
    <row r="222" spans="1:8" x14ac:dyDescent="0.15">
      <c r="A222" s="16"/>
      <c r="B222" s="16"/>
      <c r="C222" s="16"/>
      <c r="D222" s="16"/>
      <c r="E222" s="16"/>
      <c r="F222" s="16"/>
      <c r="G222" s="16"/>
      <c r="H222" s="16"/>
    </row>
    <row r="223" spans="1:8" x14ac:dyDescent="0.15">
      <c r="A223" s="16"/>
      <c r="B223" s="16"/>
      <c r="C223" s="16"/>
      <c r="D223" s="16"/>
      <c r="E223" s="16"/>
      <c r="F223" s="16"/>
      <c r="G223" s="16"/>
      <c r="H223" s="16"/>
    </row>
    <row r="224" spans="1:8" x14ac:dyDescent="0.15">
      <c r="A224" s="16"/>
      <c r="B224" s="16"/>
      <c r="C224" s="16"/>
      <c r="D224" s="16"/>
      <c r="E224" s="16"/>
      <c r="F224" s="16"/>
      <c r="G224" s="16"/>
      <c r="H224" s="16"/>
    </row>
    <row r="225" spans="1:8" x14ac:dyDescent="0.15">
      <c r="A225" s="16"/>
      <c r="B225" s="16"/>
      <c r="C225" s="16"/>
      <c r="D225" s="16"/>
      <c r="E225" s="16"/>
      <c r="F225" s="16"/>
      <c r="G225" s="16"/>
      <c r="H225" s="16"/>
    </row>
    <row r="226" spans="1:8" x14ac:dyDescent="0.15">
      <c r="A226" s="16"/>
      <c r="B226" s="16"/>
      <c r="C226" s="16"/>
      <c r="D226" s="16"/>
      <c r="E226" s="16"/>
      <c r="F226" s="16"/>
      <c r="G226" s="16"/>
      <c r="H226" s="16"/>
    </row>
    <row r="227" spans="1:8" x14ac:dyDescent="0.15">
      <c r="A227" s="16"/>
      <c r="B227" s="16"/>
      <c r="C227" s="16"/>
      <c r="D227" s="16"/>
      <c r="E227" s="16"/>
      <c r="F227" s="16"/>
      <c r="G227" s="16"/>
      <c r="H227" s="16"/>
    </row>
    <row r="228" spans="1:8" x14ac:dyDescent="0.15">
      <c r="A228" s="16"/>
      <c r="B228" s="16"/>
      <c r="C228" s="16"/>
      <c r="D228" s="16"/>
      <c r="E228" s="16"/>
      <c r="F228" s="16"/>
      <c r="G228" s="16"/>
      <c r="H228" s="16"/>
    </row>
    <row r="229" spans="1:8" x14ac:dyDescent="0.15">
      <c r="A229" s="16"/>
      <c r="B229" s="16"/>
      <c r="C229" s="16"/>
      <c r="D229" s="16"/>
      <c r="E229" s="16"/>
      <c r="F229" s="16"/>
      <c r="G229" s="16"/>
      <c r="H229" s="16"/>
    </row>
    <row r="230" spans="1:8" x14ac:dyDescent="0.15">
      <c r="A230" s="16"/>
      <c r="B230" s="16"/>
      <c r="C230" s="16"/>
      <c r="D230" s="16"/>
      <c r="E230" s="16"/>
      <c r="F230" s="16"/>
      <c r="G230" s="16"/>
      <c r="H230" s="16"/>
    </row>
    <row r="231" spans="1:8" x14ac:dyDescent="0.15">
      <c r="A231" s="16"/>
      <c r="B231" s="16"/>
      <c r="C231" s="16"/>
      <c r="D231" s="16"/>
      <c r="E231" s="16"/>
      <c r="F231" s="16"/>
      <c r="G231" s="16"/>
      <c r="H231" s="16"/>
    </row>
    <row r="232" spans="1:8" x14ac:dyDescent="0.15">
      <c r="A232" s="16"/>
      <c r="B232" s="16"/>
      <c r="C232" s="16"/>
      <c r="D232" s="16"/>
      <c r="E232" s="16"/>
      <c r="F232" s="16"/>
      <c r="G232" s="16"/>
      <c r="H232" s="16"/>
    </row>
    <row r="233" spans="1:8" x14ac:dyDescent="0.15">
      <c r="A233" s="16"/>
      <c r="B233" s="16"/>
      <c r="C233" s="16"/>
      <c r="D233" s="16"/>
      <c r="E233" s="16"/>
      <c r="F233" s="16"/>
      <c r="G233" s="16"/>
      <c r="H233" s="16"/>
    </row>
    <row r="234" spans="1:8" x14ac:dyDescent="0.15">
      <c r="A234" s="16"/>
      <c r="B234" s="16"/>
      <c r="C234" s="16"/>
      <c r="D234" s="16"/>
      <c r="E234" s="16"/>
      <c r="F234" s="16"/>
      <c r="G234" s="16"/>
      <c r="H234" s="16"/>
    </row>
    <row r="235" spans="1:8" x14ac:dyDescent="0.15">
      <c r="A235" s="16"/>
      <c r="B235" s="16"/>
      <c r="C235" s="16"/>
      <c r="D235" s="16"/>
      <c r="E235" s="16"/>
      <c r="F235" s="16"/>
      <c r="G235" s="16"/>
      <c r="H235" s="16"/>
    </row>
    <row r="236" spans="1:8" x14ac:dyDescent="0.15">
      <c r="A236" s="16"/>
      <c r="B236" s="16"/>
      <c r="C236" s="16"/>
      <c r="D236" s="16"/>
      <c r="E236" s="16"/>
      <c r="F236" s="16"/>
      <c r="G236" s="16"/>
      <c r="H236" s="16"/>
    </row>
    <row r="237" spans="1:8" x14ac:dyDescent="0.15">
      <c r="A237" s="16"/>
      <c r="B237" s="16"/>
      <c r="C237" s="16"/>
      <c r="D237" s="16"/>
      <c r="E237" s="16"/>
      <c r="F237" s="16"/>
      <c r="G237" s="16"/>
      <c r="H237" s="16"/>
    </row>
    <row r="238" spans="1:8" x14ac:dyDescent="0.15">
      <c r="A238" s="16"/>
      <c r="B238" s="16"/>
      <c r="C238" s="16"/>
      <c r="D238" s="16"/>
      <c r="E238" s="16"/>
      <c r="F238" s="16"/>
      <c r="G238" s="16"/>
      <c r="H238" s="16"/>
    </row>
    <row r="239" spans="1:8" x14ac:dyDescent="0.15">
      <c r="A239" s="16"/>
      <c r="B239" s="16"/>
      <c r="C239" s="16"/>
      <c r="D239" s="16"/>
      <c r="E239" s="16"/>
      <c r="F239" s="16"/>
      <c r="G239" s="16"/>
      <c r="H239" s="16"/>
    </row>
    <row r="240" spans="1:8" x14ac:dyDescent="0.15">
      <c r="A240" s="16"/>
      <c r="B240" s="16"/>
      <c r="C240" s="16"/>
      <c r="D240" s="16"/>
      <c r="E240" s="16"/>
      <c r="F240" s="16"/>
      <c r="G240" s="16"/>
      <c r="H240" s="16"/>
    </row>
    <row r="241" spans="1:8" x14ac:dyDescent="0.15">
      <c r="A241" s="16"/>
      <c r="B241" s="16"/>
      <c r="C241" s="16"/>
      <c r="D241" s="16"/>
      <c r="E241" s="16"/>
      <c r="F241" s="16"/>
      <c r="G241" s="16"/>
      <c r="H241" s="16"/>
    </row>
    <row r="242" spans="1:8" x14ac:dyDescent="0.15">
      <c r="A242" s="16"/>
      <c r="B242" s="16"/>
      <c r="C242" s="16"/>
      <c r="D242" s="16"/>
      <c r="E242" s="16"/>
      <c r="F242" s="16"/>
      <c r="G242" s="16"/>
      <c r="H242" s="16"/>
    </row>
    <row r="243" spans="1:8" x14ac:dyDescent="0.15">
      <c r="A243" s="16"/>
      <c r="B243" s="16"/>
      <c r="C243" s="16"/>
      <c r="D243" s="16"/>
      <c r="E243" s="16"/>
      <c r="F243" s="16"/>
      <c r="G243" s="16"/>
      <c r="H243" s="16"/>
    </row>
    <row r="244" spans="1:8" x14ac:dyDescent="0.15">
      <c r="A244" s="16"/>
      <c r="B244" s="16"/>
      <c r="C244" s="16"/>
      <c r="D244" s="16"/>
      <c r="E244" s="16"/>
      <c r="F244" s="16"/>
      <c r="G244" s="16"/>
      <c r="H244" s="16"/>
    </row>
    <row r="245" spans="1:8" x14ac:dyDescent="0.15">
      <c r="A245" s="16"/>
      <c r="B245" s="16"/>
      <c r="C245" s="16"/>
      <c r="D245" s="16"/>
      <c r="E245" s="16"/>
      <c r="F245" s="16"/>
      <c r="G245" s="16"/>
      <c r="H245" s="16"/>
    </row>
    <row r="246" spans="1:8" x14ac:dyDescent="0.15">
      <c r="A246" s="16"/>
      <c r="B246" s="16"/>
      <c r="C246" s="16"/>
      <c r="D246" s="16"/>
      <c r="E246" s="16"/>
      <c r="F246" s="16"/>
      <c r="G246" s="16"/>
      <c r="H246" s="16"/>
    </row>
    <row r="247" spans="1:8" x14ac:dyDescent="0.15">
      <c r="A247" s="16"/>
      <c r="B247" s="16"/>
      <c r="C247" s="16"/>
      <c r="D247" s="16"/>
      <c r="E247" s="16"/>
      <c r="F247" s="16"/>
      <c r="G247" s="16"/>
      <c r="H247" s="16"/>
    </row>
    <row r="248" spans="1:8" x14ac:dyDescent="0.15">
      <c r="A248" s="16"/>
      <c r="B248" s="16"/>
      <c r="C248" s="16"/>
      <c r="D248" s="16"/>
      <c r="E248" s="16"/>
      <c r="F248" s="16"/>
      <c r="G248" s="16"/>
      <c r="H248" s="16"/>
    </row>
    <row r="249" spans="1:8" x14ac:dyDescent="0.15">
      <c r="A249" s="16"/>
      <c r="B249" s="16"/>
      <c r="C249" s="16"/>
      <c r="D249" s="16"/>
      <c r="E249" s="16"/>
      <c r="F249" s="16"/>
      <c r="G249" s="16"/>
      <c r="H249" s="16"/>
    </row>
    <row r="250" spans="1:8" x14ac:dyDescent="0.15">
      <c r="A250" s="16"/>
      <c r="B250" s="16"/>
      <c r="C250" s="16"/>
      <c r="D250" s="16"/>
      <c r="E250" s="16"/>
      <c r="F250" s="16"/>
      <c r="G250" s="16"/>
      <c r="H250" s="16"/>
    </row>
    <row r="251" spans="1:8" x14ac:dyDescent="0.15">
      <c r="A251" s="16"/>
      <c r="B251" s="16"/>
      <c r="C251" s="16"/>
      <c r="D251" s="16"/>
      <c r="E251" s="16"/>
      <c r="F251" s="16"/>
      <c r="G251" s="16"/>
      <c r="H251" s="16"/>
    </row>
    <row r="252" spans="1:8" x14ac:dyDescent="0.15">
      <c r="A252" s="16"/>
      <c r="B252" s="16"/>
      <c r="C252" s="16"/>
      <c r="D252" s="16"/>
      <c r="E252" s="16"/>
      <c r="F252" s="16"/>
      <c r="G252" s="16"/>
      <c r="H252" s="16"/>
    </row>
    <row r="253" spans="1:8" x14ac:dyDescent="0.15">
      <c r="A253" s="16"/>
      <c r="B253" s="16"/>
      <c r="C253" s="16"/>
      <c r="D253" s="16"/>
      <c r="E253" s="16"/>
      <c r="F253" s="16"/>
      <c r="G253" s="16"/>
      <c r="H253" s="16"/>
    </row>
    <row r="254" spans="1:8" x14ac:dyDescent="0.15">
      <c r="A254" s="16"/>
      <c r="B254" s="16"/>
      <c r="C254" s="16"/>
      <c r="D254" s="16"/>
      <c r="E254" s="16"/>
      <c r="F254" s="16"/>
      <c r="G254" s="16"/>
      <c r="H254" s="16"/>
    </row>
    <row r="255" spans="1:8" x14ac:dyDescent="0.15">
      <c r="A255" s="16"/>
      <c r="B255" s="16"/>
      <c r="C255" s="16"/>
      <c r="D255" s="16"/>
      <c r="E255" s="16"/>
      <c r="F255" s="16"/>
      <c r="G255" s="16"/>
      <c r="H255" s="16"/>
    </row>
    <row r="256" spans="1:8" x14ac:dyDescent="0.15">
      <c r="A256" s="16"/>
      <c r="B256" s="16"/>
      <c r="C256" s="16"/>
      <c r="D256" s="16"/>
      <c r="E256" s="16"/>
      <c r="F256" s="16"/>
      <c r="G256" s="16"/>
      <c r="H256" s="16"/>
    </row>
    <row r="257" spans="1:8" x14ac:dyDescent="0.15">
      <c r="A257" s="16"/>
      <c r="B257" s="16"/>
      <c r="C257" s="16"/>
      <c r="D257" s="16"/>
      <c r="E257" s="16"/>
      <c r="F257" s="16"/>
      <c r="G257" s="16"/>
      <c r="H257" s="16"/>
    </row>
    <row r="258" spans="1:8" x14ac:dyDescent="0.15">
      <c r="A258" s="16"/>
      <c r="B258" s="16"/>
      <c r="C258" s="16"/>
      <c r="D258" s="16"/>
      <c r="E258" s="16"/>
      <c r="F258" s="16"/>
      <c r="G258" s="16"/>
      <c r="H258" s="16"/>
    </row>
    <row r="259" spans="1:8" x14ac:dyDescent="0.15">
      <c r="A259" s="16"/>
      <c r="B259" s="16"/>
      <c r="C259" s="16"/>
      <c r="D259" s="16"/>
      <c r="E259" s="16"/>
      <c r="F259" s="16"/>
      <c r="G259" s="16"/>
      <c r="H259" s="16"/>
    </row>
    <row r="260" spans="1:8" x14ac:dyDescent="0.15">
      <c r="A260" s="16"/>
      <c r="B260" s="16"/>
      <c r="C260" s="16"/>
      <c r="D260" s="16"/>
      <c r="E260" s="16"/>
      <c r="F260" s="16"/>
      <c r="G260" s="16"/>
      <c r="H260" s="16"/>
    </row>
    <row r="261" spans="1:8" x14ac:dyDescent="0.15">
      <c r="A261" s="16"/>
      <c r="B261" s="16"/>
      <c r="C261" s="16"/>
      <c r="D261" s="16"/>
      <c r="E261" s="16"/>
      <c r="F261" s="16"/>
      <c r="G261" s="16"/>
      <c r="H261" s="16"/>
    </row>
    <row r="262" spans="1:8" x14ac:dyDescent="0.15">
      <c r="A262" s="16"/>
      <c r="B262" s="16"/>
      <c r="C262" s="16"/>
      <c r="D262" s="16"/>
      <c r="E262" s="16"/>
      <c r="F262" s="16"/>
      <c r="G262" s="16"/>
      <c r="H262" s="16"/>
    </row>
    <row r="263" spans="1:8" x14ac:dyDescent="0.15">
      <c r="A263" s="16"/>
      <c r="B263" s="16"/>
      <c r="C263" s="16"/>
      <c r="D263" s="16"/>
      <c r="E263" s="16"/>
      <c r="F263" s="16"/>
      <c r="G263" s="16"/>
      <c r="H263" s="16"/>
    </row>
    <row r="264" spans="1:8" x14ac:dyDescent="0.15">
      <c r="A264" s="16"/>
      <c r="B264" s="16"/>
      <c r="C264" s="16"/>
      <c r="D264" s="16"/>
      <c r="E264" s="16"/>
      <c r="F264" s="16"/>
      <c r="G264" s="16"/>
      <c r="H264" s="16"/>
    </row>
    <row r="265" spans="1:8" x14ac:dyDescent="0.15">
      <c r="A265" s="16"/>
      <c r="B265" s="16"/>
      <c r="C265" s="16"/>
      <c r="D265" s="16"/>
      <c r="E265" s="16"/>
      <c r="F265" s="16"/>
      <c r="G265" s="16"/>
      <c r="H265" s="16"/>
    </row>
    <row r="266" spans="1:8" x14ac:dyDescent="0.15">
      <c r="A266" s="16"/>
      <c r="B266" s="16"/>
      <c r="C266" s="16"/>
      <c r="D266" s="16"/>
      <c r="E266" s="16"/>
      <c r="F266" s="16"/>
      <c r="G266" s="16"/>
      <c r="H266" s="16"/>
    </row>
    <row r="267" spans="1:8" x14ac:dyDescent="0.15">
      <c r="A267" s="16"/>
      <c r="B267" s="16"/>
      <c r="C267" s="16"/>
      <c r="D267" s="16"/>
      <c r="E267" s="16"/>
      <c r="F267" s="16"/>
      <c r="G267" s="16"/>
      <c r="H267" s="16"/>
    </row>
    <row r="268" spans="1:8" x14ac:dyDescent="0.15">
      <c r="A268" s="16"/>
      <c r="B268" s="16"/>
      <c r="C268" s="16"/>
      <c r="D268" s="16"/>
      <c r="E268" s="16"/>
      <c r="F268" s="16"/>
      <c r="G268" s="16"/>
      <c r="H268" s="16"/>
    </row>
    <row r="269" spans="1:8" x14ac:dyDescent="0.15">
      <c r="A269" s="16"/>
      <c r="B269" s="16"/>
      <c r="C269" s="16"/>
      <c r="D269" s="16"/>
      <c r="E269" s="16"/>
      <c r="F269" s="16"/>
      <c r="G269" s="16"/>
      <c r="H269" s="16"/>
    </row>
    <row r="270" spans="1:8" x14ac:dyDescent="0.15">
      <c r="A270" s="16"/>
      <c r="B270" s="16"/>
      <c r="C270" s="16"/>
      <c r="D270" s="16"/>
      <c r="E270" s="16"/>
      <c r="F270" s="16"/>
      <c r="G270" s="16"/>
      <c r="H270" s="16"/>
    </row>
    <row r="271" spans="1:8" x14ac:dyDescent="0.15">
      <c r="A271" s="16"/>
      <c r="B271" s="16"/>
      <c r="C271" s="16"/>
      <c r="D271" s="16"/>
      <c r="E271" s="16"/>
      <c r="F271" s="16"/>
      <c r="G271" s="16"/>
      <c r="H271" s="16"/>
    </row>
    <row r="272" spans="1:8" x14ac:dyDescent="0.15">
      <c r="A272" s="16"/>
      <c r="B272" s="16"/>
      <c r="C272" s="16"/>
      <c r="D272" s="16"/>
      <c r="E272" s="16"/>
      <c r="F272" s="16"/>
      <c r="G272" s="16"/>
      <c r="H272" s="16"/>
    </row>
    <row r="273" spans="1:8" x14ac:dyDescent="0.15">
      <c r="A273" s="16"/>
      <c r="B273" s="16"/>
      <c r="C273" s="16"/>
      <c r="D273" s="16"/>
      <c r="E273" s="16"/>
      <c r="F273" s="16"/>
      <c r="G273" s="16"/>
      <c r="H273" s="16"/>
    </row>
    <row r="274" spans="1:8" x14ac:dyDescent="0.15">
      <c r="A274" s="16"/>
      <c r="B274" s="16"/>
      <c r="C274" s="16"/>
      <c r="D274" s="16"/>
      <c r="E274" s="16"/>
      <c r="F274" s="16"/>
      <c r="G274" s="16"/>
      <c r="H274" s="16"/>
    </row>
    <row r="275" spans="1:8" x14ac:dyDescent="0.15">
      <c r="A275" s="16"/>
      <c r="B275" s="16"/>
      <c r="C275" s="16"/>
      <c r="D275" s="16"/>
      <c r="E275" s="16"/>
      <c r="F275" s="16"/>
      <c r="G275" s="16"/>
      <c r="H275" s="16"/>
    </row>
    <row r="276" spans="1:8" x14ac:dyDescent="0.15">
      <c r="A276" s="16"/>
      <c r="B276" s="16"/>
      <c r="C276" s="16"/>
      <c r="D276" s="16"/>
      <c r="E276" s="16"/>
      <c r="F276" s="16"/>
      <c r="G276" s="16"/>
      <c r="H276" s="16"/>
    </row>
    <row r="277" spans="1:8" x14ac:dyDescent="0.15">
      <c r="A277" s="16"/>
      <c r="B277" s="16"/>
      <c r="C277" s="16"/>
      <c r="D277" s="16"/>
      <c r="E277" s="16"/>
      <c r="F277" s="16"/>
      <c r="G277" s="16"/>
      <c r="H277" s="16"/>
    </row>
    <row r="278" spans="1:8" x14ac:dyDescent="0.15">
      <c r="A278" s="16"/>
      <c r="B278" s="16"/>
      <c r="C278" s="16"/>
      <c r="D278" s="16"/>
      <c r="E278" s="16"/>
      <c r="F278" s="16"/>
      <c r="G278" s="16"/>
      <c r="H278" s="16"/>
    </row>
    <row r="279" spans="1:8" x14ac:dyDescent="0.15">
      <c r="A279" s="16"/>
      <c r="B279" s="16"/>
      <c r="C279" s="16"/>
      <c r="D279" s="16"/>
      <c r="E279" s="16"/>
      <c r="F279" s="16"/>
      <c r="G279" s="16"/>
      <c r="H279" s="16"/>
    </row>
    <row r="280" spans="1:8" x14ac:dyDescent="0.15">
      <c r="A280" s="16"/>
      <c r="B280" s="16"/>
      <c r="C280" s="16"/>
      <c r="D280" s="16"/>
      <c r="E280" s="16"/>
      <c r="F280" s="16"/>
      <c r="G280" s="16"/>
      <c r="H280" s="16"/>
    </row>
    <row r="281" spans="1:8" x14ac:dyDescent="0.15">
      <c r="A281" s="16"/>
      <c r="B281" s="16"/>
      <c r="C281" s="16"/>
      <c r="D281" s="16"/>
      <c r="E281" s="16"/>
      <c r="F281" s="16"/>
      <c r="G281" s="16"/>
      <c r="H281" s="16"/>
    </row>
    <row r="282" spans="1:8" x14ac:dyDescent="0.15">
      <c r="A282" s="16"/>
      <c r="B282" s="16"/>
      <c r="C282" s="16"/>
      <c r="D282" s="16"/>
      <c r="E282" s="16"/>
      <c r="F282" s="16"/>
      <c r="G282" s="16"/>
      <c r="H282" s="16"/>
    </row>
    <row r="283" spans="1:8" x14ac:dyDescent="0.15">
      <c r="A283" s="16"/>
      <c r="B283" s="16"/>
      <c r="C283" s="16"/>
      <c r="D283" s="16"/>
      <c r="E283" s="16"/>
      <c r="F283" s="16"/>
      <c r="G283" s="16"/>
      <c r="H283" s="16"/>
    </row>
    <row r="284" spans="1:8" x14ac:dyDescent="0.15">
      <c r="A284" s="16"/>
      <c r="B284" s="16"/>
      <c r="C284" s="16"/>
      <c r="D284" s="16"/>
      <c r="E284" s="16"/>
      <c r="F284" s="16"/>
      <c r="G284" s="16"/>
      <c r="H284" s="16"/>
    </row>
    <row r="285" spans="1:8" x14ac:dyDescent="0.15">
      <c r="A285" s="16"/>
      <c r="B285" s="16"/>
      <c r="C285" s="16"/>
      <c r="D285" s="16"/>
      <c r="E285" s="16"/>
      <c r="F285" s="16"/>
      <c r="G285" s="16"/>
      <c r="H285" s="16"/>
    </row>
    <row r="286" spans="1:8" x14ac:dyDescent="0.15">
      <c r="A286" s="16"/>
      <c r="B286" s="16"/>
      <c r="C286" s="16"/>
      <c r="D286" s="16"/>
      <c r="E286" s="16"/>
      <c r="F286" s="16"/>
      <c r="G286" s="16"/>
      <c r="H286" s="16"/>
    </row>
    <row r="287" spans="1:8" x14ac:dyDescent="0.15">
      <c r="A287" s="16"/>
      <c r="B287" s="16"/>
      <c r="C287" s="16"/>
      <c r="D287" s="16"/>
      <c r="E287" s="16"/>
      <c r="F287" s="16"/>
      <c r="G287" s="16"/>
      <c r="H287" s="16"/>
    </row>
    <row r="288" spans="1:8" x14ac:dyDescent="0.15">
      <c r="A288" s="16"/>
      <c r="B288" s="16"/>
      <c r="C288" s="16"/>
      <c r="D288" s="16"/>
      <c r="E288" s="16"/>
      <c r="F288" s="16"/>
      <c r="G288" s="16"/>
      <c r="H288" s="16"/>
    </row>
    <row r="289" spans="1:8" x14ac:dyDescent="0.15">
      <c r="A289" s="16"/>
      <c r="B289" s="16"/>
      <c r="C289" s="16"/>
      <c r="D289" s="16"/>
      <c r="E289" s="16"/>
      <c r="F289" s="16"/>
      <c r="G289" s="16"/>
      <c r="H289" s="16"/>
    </row>
    <row r="290" spans="1:8" x14ac:dyDescent="0.15">
      <c r="A290" s="16"/>
      <c r="B290" s="16"/>
      <c r="C290" s="16"/>
      <c r="D290" s="16"/>
      <c r="E290" s="16"/>
      <c r="F290" s="16"/>
      <c r="G290" s="16"/>
      <c r="H290" s="16"/>
    </row>
    <row r="291" spans="1:8" x14ac:dyDescent="0.15">
      <c r="A291" s="16"/>
      <c r="B291" s="16"/>
      <c r="C291" s="16"/>
      <c r="D291" s="16"/>
      <c r="E291" s="16"/>
      <c r="F291" s="16"/>
      <c r="G291" s="16"/>
      <c r="H291" s="16"/>
    </row>
    <row r="292" spans="1:8" x14ac:dyDescent="0.15">
      <c r="A292" s="16"/>
      <c r="B292" s="16"/>
      <c r="C292" s="16"/>
      <c r="D292" s="16"/>
      <c r="E292" s="16"/>
      <c r="F292" s="16"/>
      <c r="G292" s="16"/>
      <c r="H292" s="16"/>
    </row>
    <row r="293" spans="1:8" x14ac:dyDescent="0.15">
      <c r="A293" s="16"/>
      <c r="B293" s="16"/>
      <c r="C293" s="16"/>
      <c r="D293" s="16"/>
      <c r="E293" s="16"/>
      <c r="F293" s="16"/>
      <c r="G293" s="16"/>
      <c r="H293" s="16"/>
    </row>
    <row r="294" spans="1:8" x14ac:dyDescent="0.15">
      <c r="A294" s="16"/>
      <c r="B294" s="16"/>
      <c r="C294" s="16"/>
      <c r="D294" s="16"/>
      <c r="E294" s="16"/>
      <c r="F294" s="16"/>
      <c r="G294" s="16"/>
      <c r="H294" s="16"/>
    </row>
    <row r="295" spans="1:8" x14ac:dyDescent="0.15">
      <c r="A295" s="16"/>
      <c r="B295" s="16"/>
      <c r="C295" s="16"/>
      <c r="D295" s="16"/>
      <c r="E295" s="16"/>
      <c r="F295" s="16"/>
      <c r="G295" s="16"/>
      <c r="H295" s="16"/>
    </row>
    <row r="296" spans="1:8" x14ac:dyDescent="0.15">
      <c r="A296" s="16"/>
      <c r="B296" s="16"/>
      <c r="C296" s="16"/>
      <c r="D296" s="16"/>
      <c r="E296" s="16"/>
      <c r="F296" s="16"/>
      <c r="G296" s="16"/>
      <c r="H296" s="16"/>
    </row>
    <row r="297" spans="1:8" x14ac:dyDescent="0.15">
      <c r="A297" s="16"/>
      <c r="B297" s="16"/>
      <c r="C297" s="16"/>
      <c r="D297" s="16"/>
      <c r="E297" s="16"/>
      <c r="F297" s="16"/>
      <c r="G297" s="16"/>
      <c r="H297" s="16"/>
    </row>
    <row r="298" spans="1:8" x14ac:dyDescent="0.15">
      <c r="A298" s="16"/>
      <c r="B298" s="16"/>
      <c r="C298" s="16"/>
      <c r="D298" s="16"/>
      <c r="E298" s="16"/>
      <c r="F298" s="16"/>
      <c r="G298" s="16"/>
      <c r="H298" s="16"/>
    </row>
    <row r="299" spans="1:8" x14ac:dyDescent="0.15">
      <c r="A299" s="16"/>
      <c r="B299" s="16"/>
      <c r="C299" s="16"/>
      <c r="D299" s="16"/>
      <c r="E299" s="16"/>
      <c r="F299" s="16"/>
      <c r="G299" s="16"/>
      <c r="H299" s="16"/>
    </row>
    <row r="300" spans="1:8" x14ac:dyDescent="0.15">
      <c r="A300" s="16"/>
      <c r="B300" s="16"/>
      <c r="C300" s="16"/>
      <c r="D300" s="16"/>
      <c r="E300" s="16"/>
      <c r="F300" s="16"/>
      <c r="G300" s="16"/>
      <c r="H300" s="16"/>
    </row>
  </sheetData>
  <dataValidations count="4">
    <dataValidation type="list" allowBlank="1" sqref="B2:B300" xr:uid="{00000000-0002-0000-0100-000000000000}">
      <formula1>"EQUITY,FI"</formula1>
    </dataValidation>
    <dataValidation type="list" allowBlank="1" sqref="C2:C300" xr:uid="{00000000-0002-0000-0100-000001000000}">
      <formula1>"AUTO,BASKET,PROXY"</formula1>
    </dataValidation>
    <dataValidation type="list" allowBlank="1" sqref="G2:G300" xr:uid="{00000000-0002-0000-0100-000002000000}">
      <formula1>"SPDR,INVESCO,YAHOO,MANUAL"</formula1>
    </dataValidation>
    <dataValidation type="list" allowBlank="1" sqref="H2:H300" xr:uid="{00000000-0002-0000-0100-000003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6"/>
  <sheetViews>
    <sheetView showGridLines="0" workbookViewId="0">
      <pane ySplit="1" topLeftCell="A688" activePane="bottomLeft" state="frozen"/>
      <selection pane="bottomLeft" activeCell="A688" sqref="A688"/>
    </sheetView>
  </sheetViews>
  <sheetFormatPr baseColWidth="10" defaultColWidth="8.83203125" defaultRowHeight="14" x14ac:dyDescent="0.15"/>
  <cols>
    <col min="1" max="1" width="7" customWidth="1"/>
    <col min="2" max="2" width="9" customWidth="1"/>
    <col min="3" max="3" width="30" customWidth="1"/>
    <col min="4" max="5" width="9" customWidth="1"/>
    <col min="6" max="6" width="11" customWidth="1"/>
    <col min="7" max="7" width="10" customWidth="1"/>
    <col min="8" max="8" width="9" customWidth="1"/>
    <col min="9" max="9" width="11" customWidth="1"/>
  </cols>
  <sheetData>
    <row r="1" spans="1:9" x14ac:dyDescent="0.15">
      <c r="A1" s="2" t="s">
        <v>28</v>
      </c>
      <c r="B1" s="2" t="s">
        <v>83</v>
      </c>
      <c r="C1" s="2" t="s">
        <v>84</v>
      </c>
      <c r="D1" s="3" t="s">
        <v>85</v>
      </c>
      <c r="E1" s="3" t="s">
        <v>9</v>
      </c>
      <c r="F1" s="3" t="s">
        <v>86</v>
      </c>
      <c r="G1" s="3" t="s">
        <v>87</v>
      </c>
      <c r="H1" s="3" t="s">
        <v>88</v>
      </c>
      <c r="I1" s="3" t="s">
        <v>89</v>
      </c>
    </row>
    <row r="2" spans="1:9" x14ac:dyDescent="0.15">
      <c r="A2" t="s">
        <v>36</v>
      </c>
      <c r="B2" t="s">
        <v>119</v>
      </c>
      <c r="C2" t="s">
        <v>120</v>
      </c>
      <c r="D2" s="22">
        <v>8.2767949999999993E-2</v>
      </c>
      <c r="E2" s="22">
        <f>IFERROR(_xlfn.LET(_xlpm.m,MATCH($B2,Feed!$A:$A,0),_xlpm.p,INDEX(Feed!$B:$B,_xlpm.m),_xlpm.c,INDEX(Feed!$G:$G,_xlpm.m),IF(AND(_xlpm.p&gt;0,_xlpm.c&gt;0),_xlpm.p/_xlpm.c-1,"")),"")</f>
        <v>2.7525981913888442E-2</v>
      </c>
      <c r="F2" s="23">
        <f>IF(ISNUMBER(E2),D2*E2,0)</f>
        <v>2.2782690947496225E-3</v>
      </c>
      <c r="G2" s="22">
        <f>IF(ISNUMBER(E2),D2,0)</f>
        <v>8.2767949999999993E-2</v>
      </c>
      <c r="H2" t="s">
        <v>40</v>
      </c>
      <c r="I2" s="21">
        <v>46288</v>
      </c>
    </row>
    <row r="3" spans="1:9" x14ac:dyDescent="0.15">
      <c r="A3" t="s">
        <v>36</v>
      </c>
      <c r="B3" t="s">
        <v>57</v>
      </c>
      <c r="C3" t="s">
        <v>121</v>
      </c>
      <c r="D3" s="22">
        <v>7.409621999999999E-2</v>
      </c>
      <c r="E3" s="22" t="str">
        <f>IFERROR(_xlfn.LET(_xlpm.m,MATCH($B3,Feed!$A:$A,0),_xlpm.p,INDEX(Feed!$B:$B,_xlpm.m),_xlpm.c,INDEX(Feed!$G:$G,_xlpm.m),IF(AND(_xlpm.p&gt;0,_xlpm.c&gt;0),_xlpm.p/_xlpm.c-1,"")),"")</f>
        <v/>
      </c>
      <c r="F3" s="23">
        <f>IF(ISNUMBER(E3),D3*E3,0)</f>
        <v>0</v>
      </c>
      <c r="G3" s="22">
        <f>IF(ISNUMBER(E3),D3,0)</f>
        <v>0</v>
      </c>
      <c r="H3" t="s">
        <v>40</v>
      </c>
      <c r="I3" s="21">
        <v>46288</v>
      </c>
    </row>
    <row r="4" spans="1:9" x14ac:dyDescent="0.15">
      <c r="A4" t="s">
        <v>36</v>
      </c>
      <c r="B4" t="s">
        <v>122</v>
      </c>
      <c r="C4" t="s">
        <v>123</v>
      </c>
      <c r="D4" s="22">
        <v>5.5259980000000007E-2</v>
      </c>
      <c r="E4" s="22">
        <f>IFERROR(_xlfn.LET(_xlpm.m,MATCH($B4,Feed!$A:$A,0),_xlpm.p,INDEX(Feed!$B:$B,_xlpm.m),_xlpm.c,INDEX(Feed!$G:$G,_xlpm.m),IF(AND(_xlpm.p&gt;0,_xlpm.c&gt;0),_xlpm.p/_xlpm.c-1,"")),"")</f>
        <v>-7.5307509818385299E-3</v>
      </c>
      <c r="F4" s="23">
        <f>IF(ISNUMBER(E4),D4*E4,0)</f>
        <v>-4.1614914864137757E-4</v>
      </c>
      <c r="G4" s="22">
        <f>IF(ISNUMBER(E4),D4,0)</f>
        <v>5.5259980000000007E-2</v>
      </c>
      <c r="H4" t="s">
        <v>40</v>
      </c>
      <c r="I4" s="21">
        <v>46288</v>
      </c>
    </row>
    <row r="5" spans="1:9" x14ac:dyDescent="0.15">
      <c r="A5" t="s">
        <v>36</v>
      </c>
      <c r="B5" t="s">
        <v>124</v>
      </c>
      <c r="C5" t="s">
        <v>125</v>
      </c>
      <c r="D5" s="22">
        <v>3.7401509999999999E-2</v>
      </c>
      <c r="E5" s="22">
        <f>IFERROR(_xlfn.LET(_xlpm.m,MATCH($B5,Feed!$A:$A,0),_xlpm.p,INDEX(Feed!$B:$B,_xlpm.m),_xlpm.c,INDEX(Feed!$G:$G,_xlpm.m),IF(AND(_xlpm.p&gt;0,_xlpm.c&gt;0),_xlpm.p/_xlpm.c-1,"")),"")</f>
        <v>5.1239604272594885E-3</v>
      </c>
      <c r="F5" s="23">
        <f>IF(ISNUMBER(E5),D5*E5,0)</f>
        <v>1.9164385715975002E-4</v>
      </c>
      <c r="G5" s="22">
        <f>IF(ISNUMBER(E5),D5,0)</f>
        <v>3.7401509999999999E-2</v>
      </c>
      <c r="H5" t="s">
        <v>40</v>
      </c>
      <c r="I5" s="21">
        <v>46288</v>
      </c>
    </row>
    <row r="6" spans="1:9" x14ac:dyDescent="0.15">
      <c r="A6" t="s">
        <v>36</v>
      </c>
      <c r="B6" t="s">
        <v>126</v>
      </c>
      <c r="C6" t="s">
        <v>127</v>
      </c>
      <c r="D6" s="22">
        <v>3.0791879999999997E-2</v>
      </c>
      <c r="E6" s="22">
        <f>IFERROR(_xlfn.LET(_xlpm.m,MATCH($B6,Feed!$A:$A,0),_xlpm.p,INDEX(Feed!$B:$B,_xlpm.m),_xlpm.c,INDEX(Feed!$G:$G,_xlpm.m),IF(AND(_xlpm.p&gt;0,_xlpm.c&gt;0),_xlpm.p/_xlpm.c-1,"")),"")</f>
        <v>5.1496252217198002E-3</v>
      </c>
      <c r="F6" s="23">
        <f>IF(ISNUMBER(E6),D6*E6,0)</f>
        <v>1.5856664187216947E-4</v>
      </c>
      <c r="G6" s="22">
        <f>IF(ISNUMBER(E6),D6,0)</f>
        <v>3.0791879999999997E-2</v>
      </c>
      <c r="H6" t="s">
        <v>40</v>
      </c>
      <c r="I6" s="21">
        <v>46288</v>
      </c>
    </row>
    <row r="7" spans="1:9" x14ac:dyDescent="0.15">
      <c r="A7" t="s">
        <v>36</v>
      </c>
      <c r="B7" t="s">
        <v>128</v>
      </c>
      <c r="C7" t="s">
        <v>129</v>
      </c>
      <c r="D7" s="22">
        <v>2.591796E-2</v>
      </c>
      <c r="E7" s="22">
        <f>IFERROR(_xlfn.LET(_xlpm.m,MATCH($B7,Feed!$A:$A,0),_xlpm.p,INDEX(Feed!$B:$B,_xlpm.m),_xlpm.c,INDEX(Feed!$G:$G,_xlpm.m),IF(AND(_xlpm.p&gt;0,_xlpm.c&gt;0),_xlpm.p/_xlpm.c-1,"")),"")</f>
        <v>2.0170327207530425E-2</v>
      </c>
      <c r="F7" s="23">
        <f>IF(ISNUMBER(E7),D7*E7,0)</f>
        <v>5.2277373375168531E-4</v>
      </c>
      <c r="G7" s="22">
        <f>IF(ISNUMBER(E7),D7,0)</f>
        <v>2.591796E-2</v>
      </c>
      <c r="H7" t="s">
        <v>40</v>
      </c>
      <c r="I7" s="21">
        <v>46288</v>
      </c>
    </row>
    <row r="8" spans="1:9" x14ac:dyDescent="0.15">
      <c r="A8" t="s">
        <v>36</v>
      </c>
      <c r="B8" t="s">
        <v>130</v>
      </c>
      <c r="C8" t="s">
        <v>131</v>
      </c>
      <c r="D8" s="22">
        <v>2.4677340000000002E-2</v>
      </c>
      <c r="E8" s="22">
        <f>IFERROR(_xlfn.LET(_xlpm.m,MATCH($B8,Feed!$A:$A,0),_xlpm.p,INDEX(Feed!$B:$B,_xlpm.m),_xlpm.c,INDEX(Feed!$G:$G,_xlpm.m),IF(AND(_xlpm.p&gt;0,_xlpm.c&gt;0),_xlpm.p/_xlpm.c-1,"")),"")</f>
        <v>9.2622165442350912E-3</v>
      </c>
      <c r="F8" s="23">
        <f>IF(ISNUMBER(E8),D8*E8,0)</f>
        <v>2.285668668157144E-4</v>
      </c>
      <c r="G8" s="22">
        <f>IF(ISNUMBER(E8),D8,0)</f>
        <v>2.4677340000000002E-2</v>
      </c>
      <c r="H8" t="s">
        <v>40</v>
      </c>
      <c r="I8" s="21">
        <v>46288</v>
      </c>
    </row>
    <row r="9" spans="1:9" x14ac:dyDescent="0.15">
      <c r="A9" t="s">
        <v>36</v>
      </c>
      <c r="B9" t="s">
        <v>132</v>
      </c>
      <c r="C9" t="s">
        <v>133</v>
      </c>
      <c r="D9" s="22">
        <v>2.4273300000000001E-2</v>
      </c>
      <c r="E9" s="22">
        <f>IFERROR(_xlfn.LET(_xlpm.m,MATCH($B9,Feed!$A:$A,0),_xlpm.p,INDEX(Feed!$B:$B,_xlpm.m),_xlpm.c,INDEX(Feed!$G:$G,_xlpm.m),IF(AND(_xlpm.p&gt;0,_xlpm.c&gt;0),_xlpm.p/_xlpm.c-1,"")),"")</f>
        <v>0.10754857379082261</v>
      </c>
      <c r="F9" s="23">
        <f>IF(ISNUMBER(E9),D9*E9,0)</f>
        <v>2.6105587961967745E-3</v>
      </c>
      <c r="G9" s="22">
        <f>IF(ISNUMBER(E9),D9,0)</f>
        <v>2.4273300000000001E-2</v>
      </c>
      <c r="H9" t="s">
        <v>40</v>
      </c>
      <c r="I9" s="21">
        <v>46288</v>
      </c>
    </row>
    <row r="10" spans="1:9" x14ac:dyDescent="0.15">
      <c r="A10" t="s">
        <v>36</v>
      </c>
      <c r="B10" t="s">
        <v>134</v>
      </c>
      <c r="C10" t="s">
        <v>135</v>
      </c>
      <c r="D10" s="22">
        <v>1.8500779999999998E-2</v>
      </c>
      <c r="E10" s="22">
        <f>IFERROR(_xlfn.LET(_xlpm.m,MATCH($B10,Feed!$A:$A,0),_xlpm.p,INDEX(Feed!$B:$B,_xlpm.m),_xlpm.c,INDEX(Feed!$G:$G,_xlpm.m),IF(AND(_xlpm.p&gt;0,_xlpm.c&gt;0),_xlpm.p/_xlpm.c-1,"")),"")</f>
        <v>7.7761370348493841E-2</v>
      </c>
      <c r="F10" s="23">
        <f>IF(ISNUMBER(E10),D10*E10,0)</f>
        <v>1.4386460053160076E-3</v>
      </c>
      <c r="G10" s="22">
        <f>IF(ISNUMBER(E10),D10,0)</f>
        <v>1.8500779999999998E-2</v>
      </c>
      <c r="H10" t="s">
        <v>40</v>
      </c>
      <c r="I10" s="21">
        <v>46288</v>
      </c>
    </row>
    <row r="11" spans="1:9" x14ac:dyDescent="0.15">
      <c r="A11" t="s">
        <v>36</v>
      </c>
      <c r="B11" t="s">
        <v>136</v>
      </c>
      <c r="C11" t="s">
        <v>137</v>
      </c>
      <c r="D11" s="22">
        <v>1.5955850000000001E-2</v>
      </c>
      <c r="E11" s="22" t="str">
        <f>IFERROR(_xlfn.LET(_xlpm.m,MATCH($B11,Feed!$A:$A,0),_xlpm.p,INDEX(Feed!$B:$B,_xlpm.m),_xlpm.c,INDEX(Feed!$G:$G,_xlpm.m),IF(AND(_xlpm.p&gt;0,_xlpm.c&gt;0),_xlpm.p/_xlpm.c-1,"")),"")</f>
        <v/>
      </c>
      <c r="F11" s="23">
        <f>IF(ISNUMBER(E11),D11*E11,0)</f>
        <v>0</v>
      </c>
      <c r="G11" s="22">
        <f>IF(ISNUMBER(E11),D11,0)</f>
        <v>0</v>
      </c>
      <c r="H11" t="s">
        <v>40</v>
      </c>
      <c r="I11" s="21">
        <v>46288</v>
      </c>
    </row>
    <row r="12" spans="1:9" x14ac:dyDescent="0.15">
      <c r="A12" t="s">
        <v>36</v>
      </c>
      <c r="B12" t="s">
        <v>144</v>
      </c>
      <c r="C12" t="s">
        <v>145</v>
      </c>
      <c r="D12" s="22">
        <v>1.521514E-2</v>
      </c>
      <c r="E12" s="22">
        <f>IFERROR(_xlfn.LET(_xlpm.m,MATCH($B12,Feed!$A:$A,0),_xlpm.p,INDEX(Feed!$B:$B,_xlpm.m),_xlpm.c,INDEX(Feed!$G:$G,_xlpm.m),IF(AND(_xlpm.p&gt;0,_xlpm.c&gt;0),_xlpm.p/_xlpm.c-1,"")),"")</f>
        <v>0.11258976099460538</v>
      </c>
      <c r="F12" s="23">
        <f>IF(ISNUMBER(E12),D12*E12,0)</f>
        <v>1.7130689760994603E-3</v>
      </c>
      <c r="G12" s="22">
        <f>IF(ISNUMBER(E12),D12,0)</f>
        <v>1.521514E-2</v>
      </c>
      <c r="H12" t="s">
        <v>40</v>
      </c>
      <c r="I12" s="21">
        <v>46288</v>
      </c>
    </row>
    <row r="13" spans="1:9" x14ac:dyDescent="0.15">
      <c r="A13" t="s">
        <v>36</v>
      </c>
      <c r="B13" t="s">
        <v>138</v>
      </c>
      <c r="C13" t="s">
        <v>139</v>
      </c>
      <c r="D13" s="22">
        <v>1.4013080000000001E-2</v>
      </c>
      <c r="E13" s="22">
        <f>IFERROR(_xlfn.LET(_xlpm.m,MATCH($B13,Feed!$A:$A,0),_xlpm.p,INDEX(Feed!$B:$B,_xlpm.m),_xlpm.c,INDEX(Feed!$G:$G,_xlpm.m),IF(AND(_xlpm.p&gt;0,_xlpm.c&gt;0),_xlpm.p/_xlpm.c-1,"")),"")</f>
        <v>-1.2162347725444778E-2</v>
      </c>
      <c r="F13" s="23">
        <f>IF(ISNUMBER(E13),D13*E13,0)</f>
        <v>-1.7043195166447571E-4</v>
      </c>
      <c r="G13" s="22">
        <f>IF(ISNUMBER(E13),D13,0)</f>
        <v>1.4013080000000001E-2</v>
      </c>
      <c r="H13" t="s">
        <v>40</v>
      </c>
      <c r="I13" s="21">
        <v>46288</v>
      </c>
    </row>
    <row r="14" spans="1:9" x14ac:dyDescent="0.15">
      <c r="A14" t="s">
        <v>36</v>
      </c>
      <c r="B14" t="s">
        <v>142</v>
      </c>
      <c r="C14" t="s">
        <v>143</v>
      </c>
      <c r="D14" s="22">
        <v>1.3991739999999999E-2</v>
      </c>
      <c r="E14" s="22">
        <f>IFERROR(_xlfn.LET(_xlpm.m,MATCH($B14,Feed!$A:$A,0),_xlpm.p,INDEX(Feed!$B:$B,_xlpm.m),_xlpm.c,INDEX(Feed!$G:$G,_xlpm.m),IF(AND(_xlpm.p&gt;0,_xlpm.c&gt;0),_xlpm.p/_xlpm.c-1,"")),"")</f>
        <v>1.3938400423269437E-2</v>
      </c>
      <c r="F14" s="23">
        <f>IF(ISNUMBER(E14),D14*E14,0)</f>
        <v>1.9502247473827589E-4</v>
      </c>
      <c r="G14" s="22">
        <f>IF(ISNUMBER(E14),D14,0)</f>
        <v>1.3991739999999999E-2</v>
      </c>
      <c r="H14" t="s">
        <v>40</v>
      </c>
      <c r="I14" s="21">
        <v>46288</v>
      </c>
    </row>
    <row r="15" spans="1:9" x14ac:dyDescent="0.15">
      <c r="A15" t="s">
        <v>36</v>
      </c>
      <c r="B15" t="s">
        <v>140</v>
      </c>
      <c r="C15" t="s">
        <v>141</v>
      </c>
      <c r="D15" s="22">
        <v>1.3504259999999999E-2</v>
      </c>
      <c r="E15" s="22">
        <f>IFERROR(_xlfn.LET(_xlpm.m,MATCH($B15,Feed!$A:$A,0),_xlpm.p,INDEX(Feed!$B:$B,_xlpm.m),_xlpm.c,INDEX(Feed!$G:$G,_xlpm.m),IF(AND(_xlpm.p&gt;0,_xlpm.c&gt;0),_xlpm.p/_xlpm.c-1,"")),"")</f>
        <v>-2.711127634626942E-2</v>
      </c>
      <c r="F15" s="23">
        <f>IF(ISNUMBER(E15),D15*E15,0)</f>
        <v>-3.6611772471187222E-4</v>
      </c>
      <c r="G15" s="22">
        <f>IF(ISNUMBER(E15),D15,0)</f>
        <v>1.3504259999999999E-2</v>
      </c>
      <c r="H15" t="s">
        <v>40</v>
      </c>
      <c r="I15" s="21">
        <v>46288</v>
      </c>
    </row>
    <row r="16" spans="1:9" x14ac:dyDescent="0.15">
      <c r="A16" t="s">
        <v>36</v>
      </c>
      <c r="B16" t="s">
        <v>146</v>
      </c>
      <c r="C16" t="s">
        <v>147</v>
      </c>
      <c r="D16" s="22">
        <v>9.7506399999999997E-3</v>
      </c>
      <c r="E16" s="22" t="str">
        <f>IFERROR(_xlfn.LET(_xlpm.m,MATCH($B16,Feed!$A:$A,0),_xlpm.p,INDEX(Feed!$B:$B,_xlpm.m),_xlpm.c,INDEX(Feed!$G:$G,_xlpm.m),IF(AND(_xlpm.p&gt;0,_xlpm.c&gt;0),_xlpm.p/_xlpm.c-1,"")),"")</f>
        <v/>
      </c>
      <c r="F16" s="23">
        <f>IF(ISNUMBER(E16),D16*E16,0)</f>
        <v>0</v>
      </c>
      <c r="G16" s="22">
        <f>IF(ISNUMBER(E16),D16,0)</f>
        <v>0</v>
      </c>
      <c r="H16" t="s">
        <v>40</v>
      </c>
      <c r="I16" s="21">
        <v>46288</v>
      </c>
    </row>
    <row r="17" spans="1:9" x14ac:dyDescent="0.15">
      <c r="A17" t="s">
        <v>36</v>
      </c>
      <c r="B17" t="s">
        <v>148</v>
      </c>
      <c r="C17" t="s">
        <v>149</v>
      </c>
      <c r="D17" s="22">
        <v>9.6926300000000007E-3</v>
      </c>
      <c r="E17" s="22">
        <f>IFERROR(_xlfn.LET(_xlpm.m,MATCH($B17,Feed!$A:$A,0),_xlpm.p,INDEX(Feed!$B:$B,_xlpm.m),_xlpm.c,INDEX(Feed!$G:$G,_xlpm.m),IF(AND(_xlpm.p&gt;0,_xlpm.c&gt;0),_xlpm.p/_xlpm.c-1,"")),"")</f>
        <v>-2.9630727063966189E-3</v>
      </c>
      <c r="F17" s="23">
        <f>IF(ISNUMBER(E17),D17*E17,0)</f>
        <v>-2.8719967406201063E-5</v>
      </c>
      <c r="G17" s="22">
        <f>IF(ISNUMBER(E17),D17,0)</f>
        <v>9.6926300000000007E-3</v>
      </c>
      <c r="H17" t="s">
        <v>40</v>
      </c>
      <c r="I17" s="21">
        <v>46288</v>
      </c>
    </row>
    <row r="18" spans="1:9" x14ac:dyDescent="0.15">
      <c r="A18" t="s">
        <v>36</v>
      </c>
      <c r="B18" t="s">
        <v>150</v>
      </c>
      <c r="C18" t="s">
        <v>151</v>
      </c>
      <c r="D18" s="22">
        <v>9.2198599999999999E-3</v>
      </c>
      <c r="E18" s="22" t="str">
        <f>IFERROR(_xlfn.LET(_xlpm.m,MATCH($B18,Feed!$A:$A,0),_xlpm.p,INDEX(Feed!$B:$B,_xlpm.m),_xlpm.c,INDEX(Feed!$G:$G,_xlpm.m),IF(AND(_xlpm.p&gt;0,_xlpm.c&gt;0),_xlpm.p/_xlpm.c-1,"")),"")</f>
        <v/>
      </c>
      <c r="F18" s="23">
        <f>IF(ISNUMBER(E18),D18*E18,0)</f>
        <v>0</v>
      </c>
      <c r="G18" s="22">
        <f>IF(ISNUMBER(E18),D18,0)</f>
        <v>0</v>
      </c>
      <c r="H18" t="s">
        <v>40</v>
      </c>
      <c r="I18" s="21">
        <v>46288</v>
      </c>
    </row>
    <row r="19" spans="1:9" x14ac:dyDescent="0.15">
      <c r="A19" t="s">
        <v>36</v>
      </c>
      <c r="B19" t="s">
        <v>152</v>
      </c>
      <c r="C19" t="s">
        <v>153</v>
      </c>
      <c r="D19" s="22">
        <v>9.1973699999999999E-3</v>
      </c>
      <c r="E19" s="22">
        <f>IFERROR(_xlfn.LET(_xlpm.m,MATCH($B19,Feed!$A:$A,0),_xlpm.p,INDEX(Feed!$B:$B,_xlpm.m),_xlpm.c,INDEX(Feed!$G:$G,_xlpm.m),IF(AND(_xlpm.p&gt;0,_xlpm.c&gt;0),_xlpm.p/_xlpm.c-1,"")),"")</f>
        <v>1.5766135654458946E-2</v>
      </c>
      <c r="F19" s="23">
        <f>IF(ISNUMBER(E19),D19*E19,0)</f>
        <v>1.4500698308425106E-4</v>
      </c>
      <c r="G19" s="22">
        <f>IF(ISNUMBER(E19),D19,0)</f>
        <v>9.1973699999999999E-3</v>
      </c>
      <c r="H19" t="s">
        <v>40</v>
      </c>
      <c r="I19" s="21">
        <v>46288</v>
      </c>
    </row>
    <row r="20" spans="1:9" x14ac:dyDescent="0.15">
      <c r="A20" t="s">
        <v>36</v>
      </c>
      <c r="B20" t="s">
        <v>154</v>
      </c>
      <c r="C20" t="s">
        <v>155</v>
      </c>
      <c r="D20" s="22">
        <v>7.3338499999999994E-3</v>
      </c>
      <c r="E20" s="22" t="str">
        <f>IFERROR(_xlfn.LET(_xlpm.m,MATCH($B20,Feed!$A:$A,0),_xlpm.p,INDEX(Feed!$B:$B,_xlpm.m),_xlpm.c,INDEX(Feed!$G:$G,_xlpm.m),IF(AND(_xlpm.p&gt;0,_xlpm.c&gt;0),_xlpm.p/_xlpm.c-1,"")),"")</f>
        <v/>
      </c>
      <c r="F20" s="23">
        <f>IF(ISNUMBER(E20),D20*E20,0)</f>
        <v>0</v>
      </c>
      <c r="G20" s="22">
        <f>IF(ISNUMBER(E20),D20,0)</f>
        <v>0</v>
      </c>
      <c r="H20" t="s">
        <v>40</v>
      </c>
      <c r="I20" s="21">
        <v>46288</v>
      </c>
    </row>
    <row r="21" spans="1:9" x14ac:dyDescent="0.15">
      <c r="A21" t="s">
        <v>36</v>
      </c>
      <c r="B21" t="s">
        <v>156</v>
      </c>
      <c r="C21" t="s">
        <v>157</v>
      </c>
      <c r="D21" s="22">
        <v>7.0016599999999998E-3</v>
      </c>
      <c r="E21" s="22">
        <f>IFERROR(_xlfn.LET(_xlpm.m,MATCH($B21,Feed!$A:$A,0),_xlpm.p,INDEX(Feed!$B:$B,_xlpm.m),_xlpm.c,INDEX(Feed!$G:$G,_xlpm.m),IF(AND(_xlpm.p&gt;0,_xlpm.c&gt;0),_xlpm.p/_xlpm.c-1,"")),"")</f>
        <v>4.7355659948478124E-3</v>
      </c>
      <c r="F21" s="23">
        <f>IF(ISNUMBER(E21),D21*E21,0)</f>
        <v>3.3156823003486134E-5</v>
      </c>
      <c r="G21" s="22">
        <f>IF(ISNUMBER(E21),D21,0)</f>
        <v>7.0016599999999998E-3</v>
      </c>
      <c r="H21" t="s">
        <v>40</v>
      </c>
      <c r="I21" s="21">
        <v>46288</v>
      </c>
    </row>
    <row r="22" spans="1:9" x14ac:dyDescent="0.15">
      <c r="A22" t="s">
        <v>36</v>
      </c>
      <c r="B22" t="s">
        <v>158</v>
      </c>
      <c r="C22" t="s">
        <v>159</v>
      </c>
      <c r="D22" s="22">
        <v>6.7171599999999998E-3</v>
      </c>
      <c r="E22" s="22">
        <f>IFERROR(_xlfn.LET(_xlpm.m,MATCH($B22,Feed!$A:$A,0),_xlpm.p,INDEX(Feed!$B:$B,_xlpm.m),_xlpm.c,INDEX(Feed!$G:$G,_xlpm.m),IF(AND(_xlpm.p&gt;0,_xlpm.c&gt;0),_xlpm.p/_xlpm.c-1,"")),"")</f>
        <v>-1.302101762083363E-2</v>
      </c>
      <c r="F22" s="23">
        <f>IF(ISNUMBER(E22),D22*E22,0)</f>
        <v>-8.746425872195883E-5</v>
      </c>
      <c r="G22" s="22">
        <f>IF(ISNUMBER(E22),D22,0)</f>
        <v>6.7171599999999998E-3</v>
      </c>
      <c r="H22" t="s">
        <v>40</v>
      </c>
      <c r="I22" s="21">
        <v>46288</v>
      </c>
    </row>
    <row r="23" spans="1:9" x14ac:dyDescent="0.15">
      <c r="A23" t="s">
        <v>36</v>
      </c>
      <c r="B23" t="s">
        <v>164</v>
      </c>
      <c r="C23" t="s">
        <v>165</v>
      </c>
      <c r="D23" s="22">
        <v>6.36032E-3</v>
      </c>
      <c r="E23" s="22" t="str">
        <f>IFERROR(_xlfn.LET(_xlpm.m,MATCH($B23,Feed!$A:$A,0),_xlpm.p,INDEX(Feed!$B:$B,_xlpm.m),_xlpm.c,INDEX(Feed!$G:$G,_xlpm.m),IF(AND(_xlpm.p&gt;0,_xlpm.c&gt;0),_xlpm.p/_xlpm.c-1,"")),"")</f>
        <v/>
      </c>
      <c r="F23" s="23">
        <f>IF(ISNUMBER(E23),D23*E23,0)</f>
        <v>0</v>
      </c>
      <c r="G23" s="22">
        <f>IF(ISNUMBER(E23),D23,0)</f>
        <v>0</v>
      </c>
      <c r="H23" t="s">
        <v>40</v>
      </c>
      <c r="I23" s="21">
        <v>46288</v>
      </c>
    </row>
    <row r="24" spans="1:9" x14ac:dyDescent="0.15">
      <c r="A24" t="s">
        <v>36</v>
      </c>
      <c r="B24" t="s">
        <v>160</v>
      </c>
      <c r="C24" t="s">
        <v>161</v>
      </c>
      <c r="D24" s="22">
        <v>6.2675499999999993E-3</v>
      </c>
      <c r="E24" s="22">
        <f>IFERROR(_xlfn.LET(_xlpm.m,MATCH($B24,Feed!$A:$A,0),_xlpm.p,INDEX(Feed!$B:$B,_xlpm.m),_xlpm.c,INDEX(Feed!$G:$G,_xlpm.m),IF(AND(_xlpm.p&gt;0,_xlpm.c&gt;0),_xlpm.p/_xlpm.c-1,"")),"")</f>
        <v>-2.9312391562414497E-2</v>
      </c>
      <c r="F24" s="23">
        <f>IF(ISNUMBER(E24),D24*E24,0)</f>
        <v>-1.8371687973701097E-4</v>
      </c>
      <c r="G24" s="22">
        <f>IF(ISNUMBER(E24),D24,0)</f>
        <v>6.2675499999999993E-3</v>
      </c>
      <c r="H24" t="s">
        <v>40</v>
      </c>
      <c r="I24" s="21">
        <v>46288</v>
      </c>
    </row>
    <row r="25" spans="1:9" x14ac:dyDescent="0.15">
      <c r="A25" t="s">
        <v>36</v>
      </c>
      <c r="B25" t="s">
        <v>162</v>
      </c>
      <c r="C25" t="s">
        <v>163</v>
      </c>
      <c r="D25" s="22">
        <v>5.9763699999999999E-3</v>
      </c>
      <c r="E25" s="22">
        <f>IFERROR(_xlfn.LET(_xlpm.m,MATCH($B25,Feed!$A:$A,0),_xlpm.p,INDEX(Feed!$B:$B,_xlpm.m),_xlpm.c,INDEX(Feed!$G:$G,_xlpm.m),IF(AND(_xlpm.p&gt;0,_xlpm.c&gt;0),_xlpm.p/_xlpm.c-1,"")),"")</f>
        <v>-3.3888597202997417E-2</v>
      </c>
      <c r="F25" s="23">
        <f>IF(ISNUMBER(E25),D25*E25,0)</f>
        <v>-2.0253079566607768E-4</v>
      </c>
      <c r="G25" s="22">
        <f>IF(ISNUMBER(E25),D25,0)</f>
        <v>5.9763699999999999E-3</v>
      </c>
      <c r="H25" t="s">
        <v>40</v>
      </c>
      <c r="I25" s="21">
        <v>46288</v>
      </c>
    </row>
    <row r="26" spans="1:9" x14ac:dyDescent="0.15">
      <c r="A26" t="s">
        <v>36</v>
      </c>
      <c r="B26" t="s">
        <v>166</v>
      </c>
      <c r="C26" t="s">
        <v>167</v>
      </c>
      <c r="D26" s="22">
        <v>5.9586799999999992E-3</v>
      </c>
      <c r="E26" s="22">
        <f>IFERROR(_xlfn.LET(_xlpm.m,MATCH($B26,Feed!$A:$A,0),_xlpm.p,INDEX(Feed!$B:$B,_xlpm.m),_xlpm.c,INDEX(Feed!$G:$G,_xlpm.m),IF(AND(_xlpm.p&gt;0,_xlpm.c&gt;0),_xlpm.p/_xlpm.c-1,"")),"")</f>
        <v>4.5794194189723303E-3</v>
      </c>
      <c r="F26" s="23">
        <f>IF(ISNUMBER(E26),D26*E26,0)</f>
        <v>2.7287294903442041E-5</v>
      </c>
      <c r="G26" s="22">
        <f>IF(ISNUMBER(E26),D26,0)</f>
        <v>5.9586799999999992E-3</v>
      </c>
      <c r="H26" t="s">
        <v>40</v>
      </c>
      <c r="I26" s="21">
        <v>46288</v>
      </c>
    </row>
    <row r="27" spans="1:9" x14ac:dyDescent="0.15">
      <c r="A27" t="s">
        <v>36</v>
      </c>
      <c r="B27" t="s">
        <v>174</v>
      </c>
      <c r="C27" t="s">
        <v>175</v>
      </c>
      <c r="D27" s="22">
        <v>5.8086700000000002E-3</v>
      </c>
      <c r="E27" s="22">
        <f>IFERROR(_xlfn.LET(_xlpm.m,MATCH($B27,Feed!$A:$A,0),_xlpm.p,INDEX(Feed!$B:$B,_xlpm.m),_xlpm.c,INDEX(Feed!$G:$G,_xlpm.m),IF(AND(_xlpm.p&gt;0,_xlpm.c&gt;0),_xlpm.p/_xlpm.c-1,"")),"")</f>
        <v>7.6602686473916215E-2</v>
      </c>
      <c r="F27" s="23">
        <f>IF(ISNUMBER(E27),D27*E27,0)</f>
        <v>4.449597268404429E-4</v>
      </c>
      <c r="G27" s="22">
        <f>IF(ISNUMBER(E27),D27,0)</f>
        <v>5.8086700000000002E-3</v>
      </c>
      <c r="H27" t="s">
        <v>40</v>
      </c>
      <c r="I27" s="21">
        <v>46288</v>
      </c>
    </row>
    <row r="28" spans="1:9" x14ac:dyDescent="0.15">
      <c r="A28" t="s">
        <v>36</v>
      </c>
      <c r="B28" t="s">
        <v>176</v>
      </c>
      <c r="C28" t="s">
        <v>177</v>
      </c>
      <c r="D28" s="22">
        <v>5.6035500000000005E-3</v>
      </c>
      <c r="E28" s="22">
        <f>IFERROR(_xlfn.LET(_xlpm.m,MATCH($B28,Feed!$A:$A,0),_xlpm.p,INDEX(Feed!$B:$B,_xlpm.m),_xlpm.c,INDEX(Feed!$G:$G,_xlpm.m),IF(AND(_xlpm.p&gt;0,_xlpm.c&gt;0),_xlpm.p/_xlpm.c-1,"")),"")</f>
        <v>6.2734777425377253E-2</v>
      </c>
      <c r="F28" s="23">
        <f>IF(ISNUMBER(E28),D28*E28,0)</f>
        <v>3.5153746204197273E-4</v>
      </c>
      <c r="G28" s="22">
        <f>IF(ISNUMBER(E28),D28,0)</f>
        <v>5.6035500000000005E-3</v>
      </c>
      <c r="H28" t="s">
        <v>40</v>
      </c>
      <c r="I28" s="21">
        <v>46288</v>
      </c>
    </row>
    <row r="29" spans="1:9" x14ac:dyDescent="0.15">
      <c r="A29" t="s">
        <v>36</v>
      </c>
      <c r="B29" t="s">
        <v>172</v>
      </c>
      <c r="C29" t="s">
        <v>173</v>
      </c>
      <c r="D29" s="22">
        <v>5.5620000000000001E-3</v>
      </c>
      <c r="E29" s="22">
        <f>IFERROR(_xlfn.LET(_xlpm.m,MATCH($B29,Feed!$A:$A,0),_xlpm.p,INDEX(Feed!$B:$B,_xlpm.m),_xlpm.c,INDEX(Feed!$G:$G,_xlpm.m),IF(AND(_xlpm.p&gt;0,_xlpm.c&gt;0),_xlpm.p/_xlpm.c-1,"")),"")</f>
        <v>2.7507319398107022E-2</v>
      </c>
      <c r="F29" s="23">
        <f>IF(ISNUMBER(E29),D29*E29,0)</f>
        <v>1.5299571049227125E-4</v>
      </c>
      <c r="G29" s="22">
        <f>IF(ISNUMBER(E29),D29,0)</f>
        <v>5.5620000000000001E-3</v>
      </c>
      <c r="H29" t="s">
        <v>40</v>
      </c>
      <c r="I29" s="21">
        <v>46288</v>
      </c>
    </row>
    <row r="30" spans="1:9" x14ac:dyDescent="0.15">
      <c r="A30" t="s">
        <v>36</v>
      </c>
      <c r="B30" t="s">
        <v>170</v>
      </c>
      <c r="C30" t="s">
        <v>171</v>
      </c>
      <c r="D30" s="22">
        <v>5.5487100000000001E-3</v>
      </c>
      <c r="E30" s="22">
        <f>IFERROR(_xlfn.LET(_xlpm.m,MATCH($B30,Feed!$A:$A,0),_xlpm.p,INDEX(Feed!$B:$B,_xlpm.m),_xlpm.c,INDEX(Feed!$G:$G,_xlpm.m),IF(AND(_xlpm.p&gt;0,_xlpm.c&gt;0),_xlpm.p/_xlpm.c-1,"")),"")</f>
        <v>-2.4722184452152796E-5</v>
      </c>
      <c r="F30" s="23">
        <f>IF(ISNUMBER(E30),D30*E30,0)</f>
        <v>-1.3717623209150474E-7</v>
      </c>
      <c r="G30" s="22">
        <f>IF(ISNUMBER(E30),D30,0)</f>
        <v>5.5487100000000001E-3</v>
      </c>
      <c r="H30" t="s">
        <v>40</v>
      </c>
      <c r="I30" s="21">
        <v>46288</v>
      </c>
    </row>
    <row r="31" spans="1:9" x14ac:dyDescent="0.15">
      <c r="A31" t="s">
        <v>36</v>
      </c>
      <c r="B31" t="s">
        <v>168</v>
      </c>
      <c r="C31" t="s">
        <v>169</v>
      </c>
      <c r="D31" s="22">
        <v>5.4599299999999991E-3</v>
      </c>
      <c r="E31" s="22">
        <f>IFERROR(_xlfn.LET(_xlpm.m,MATCH($B31,Feed!$A:$A,0),_xlpm.p,INDEX(Feed!$B:$B,_xlpm.m),_xlpm.c,INDEX(Feed!$G:$G,_xlpm.m),IF(AND(_xlpm.p&gt;0,_xlpm.c&gt;0),_xlpm.p/_xlpm.c-1,"")),"")</f>
        <v>-2.6502684912523722E-2</v>
      </c>
      <c r="F31" s="23">
        <f>IF(ISNUMBER(E31),D31*E31,0)</f>
        <v>-1.4470280443443562E-4</v>
      </c>
      <c r="G31" s="22">
        <f>IF(ISNUMBER(E31),D31,0)</f>
        <v>5.4599299999999991E-3</v>
      </c>
      <c r="H31" t="s">
        <v>40</v>
      </c>
      <c r="I31" s="21">
        <v>46288</v>
      </c>
    </row>
    <row r="32" spans="1:9" x14ac:dyDescent="0.15">
      <c r="A32" t="s">
        <v>36</v>
      </c>
      <c r="B32" t="s">
        <v>180</v>
      </c>
      <c r="C32" t="s">
        <v>181</v>
      </c>
      <c r="D32" s="22">
        <v>5.1466699999999999E-3</v>
      </c>
      <c r="E32" s="22">
        <f>IFERROR(_xlfn.LET(_xlpm.m,MATCH($B32,Feed!$A:$A,0),_xlpm.p,INDEX(Feed!$B:$B,_xlpm.m),_xlpm.c,INDEX(Feed!$G:$G,_xlpm.m),IF(AND(_xlpm.p&gt;0,_xlpm.c&gt;0),_xlpm.p/_xlpm.c-1,"")),"")</f>
        <v>1.2500853883462115E-2</v>
      </c>
      <c r="F32" s="23">
        <f>IF(ISNUMBER(E32),D32*E32,0)</f>
        <v>6.4337769656397958E-5</v>
      </c>
      <c r="G32" s="22">
        <f>IF(ISNUMBER(E32),D32,0)</f>
        <v>5.1466699999999999E-3</v>
      </c>
      <c r="H32" t="s">
        <v>40</v>
      </c>
      <c r="I32" s="21">
        <v>46288</v>
      </c>
    </row>
    <row r="33" spans="1:9" x14ac:dyDescent="0.15">
      <c r="A33" t="s">
        <v>36</v>
      </c>
      <c r="B33" t="s">
        <v>178</v>
      </c>
      <c r="C33" t="s">
        <v>179</v>
      </c>
      <c r="D33" s="22">
        <v>5.1257100000000003E-3</v>
      </c>
      <c r="E33" s="22">
        <f>IFERROR(_xlfn.LET(_xlpm.m,MATCH($B33,Feed!$A:$A,0),_xlpm.p,INDEX(Feed!$B:$B,_xlpm.m),_xlpm.c,INDEX(Feed!$G:$G,_xlpm.m),IF(AND(_xlpm.p&gt;0,_xlpm.c&gt;0),_xlpm.p/_xlpm.c-1,"")),"")</f>
        <v>4.1246458923513973E-3</v>
      </c>
      <c r="F33" s="23">
        <f>IF(ISNUMBER(E33),D33*E33,0)</f>
        <v>2.1141738696884484E-5</v>
      </c>
      <c r="G33" s="22">
        <f>IF(ISNUMBER(E33),D33,0)</f>
        <v>5.1257100000000003E-3</v>
      </c>
      <c r="H33" t="s">
        <v>40</v>
      </c>
      <c r="I33" s="21">
        <v>46288</v>
      </c>
    </row>
    <row r="34" spans="1:9" x14ac:dyDescent="0.15">
      <c r="A34" t="s">
        <v>36</v>
      </c>
      <c r="B34" t="s">
        <v>182</v>
      </c>
      <c r="C34" t="s">
        <v>183</v>
      </c>
      <c r="D34" s="22">
        <v>5.0007500000000009E-3</v>
      </c>
      <c r="E34" s="22" t="str">
        <f>IFERROR(_xlfn.LET(_xlpm.m,MATCH($B34,Feed!$A:$A,0),_xlpm.p,INDEX(Feed!$B:$B,_xlpm.m),_xlpm.c,INDEX(Feed!$G:$G,_xlpm.m),IF(AND(_xlpm.p&gt;0,_xlpm.c&gt;0),_xlpm.p/_xlpm.c-1,"")),"")</f>
        <v/>
      </c>
      <c r="F34" s="23">
        <f>IF(ISNUMBER(E34),D34*E34,0)</f>
        <v>0</v>
      </c>
      <c r="G34" s="22">
        <f>IF(ISNUMBER(E34),D34,0)</f>
        <v>0</v>
      </c>
      <c r="H34" t="s">
        <v>40</v>
      </c>
      <c r="I34" s="21">
        <v>46288</v>
      </c>
    </row>
    <row r="35" spans="1:9" x14ac:dyDescent="0.15">
      <c r="A35" t="s">
        <v>36</v>
      </c>
      <c r="B35" t="s">
        <v>184</v>
      </c>
      <c r="C35" t="s">
        <v>185</v>
      </c>
      <c r="D35" s="22">
        <v>4.9477100000000001E-3</v>
      </c>
      <c r="E35" s="22">
        <f>IFERROR(_xlfn.LET(_xlpm.m,MATCH($B35,Feed!$A:$A,0),_xlpm.p,INDEX(Feed!$B:$B,_xlpm.m),_xlpm.c,INDEX(Feed!$G:$G,_xlpm.m),IF(AND(_xlpm.p&gt;0,_xlpm.c&gt;0),_xlpm.p/_xlpm.c-1,"")),"")</f>
        <v>1.8232729818309146E-2</v>
      </c>
      <c r="F35" s="23">
        <f>IF(ISNUMBER(E35),D35*E35,0)</f>
        <v>9.021025964934634E-5</v>
      </c>
      <c r="G35" s="22">
        <f>IF(ISNUMBER(E35),D35,0)</f>
        <v>4.9477100000000001E-3</v>
      </c>
      <c r="H35" t="s">
        <v>40</v>
      </c>
      <c r="I35" s="21">
        <v>46288</v>
      </c>
    </row>
    <row r="36" spans="1:9" x14ac:dyDescent="0.15">
      <c r="A36" t="s">
        <v>36</v>
      </c>
      <c r="B36" t="s">
        <v>190</v>
      </c>
      <c r="C36" t="s">
        <v>191</v>
      </c>
      <c r="D36" s="22">
        <v>4.5620299999999999E-3</v>
      </c>
      <c r="E36" s="22">
        <f>IFERROR(_xlfn.LET(_xlpm.m,MATCH($B36,Feed!$A:$A,0),_xlpm.p,INDEX(Feed!$B:$B,_xlpm.m),_xlpm.c,INDEX(Feed!$G:$G,_xlpm.m),IF(AND(_xlpm.p&gt;0,_xlpm.c&gt;0),_xlpm.p/_xlpm.c-1,"")),"")</f>
        <v>3.0584740634798324E-2</v>
      </c>
      <c r="F36" s="23">
        <f>IF(ISNUMBER(E36),D36*E36,0)</f>
        <v>1.39528504318169E-4</v>
      </c>
      <c r="G36" s="22">
        <f>IF(ISNUMBER(E36),D36,0)</f>
        <v>4.5620299999999999E-3</v>
      </c>
      <c r="H36" t="s">
        <v>40</v>
      </c>
      <c r="I36" s="21">
        <v>46288</v>
      </c>
    </row>
    <row r="37" spans="1:9" x14ac:dyDescent="0.15">
      <c r="A37" t="s">
        <v>36</v>
      </c>
      <c r="B37" t="s">
        <v>186</v>
      </c>
      <c r="C37" t="s">
        <v>187</v>
      </c>
      <c r="D37" s="22">
        <v>4.5512199999999999E-3</v>
      </c>
      <c r="E37" s="22">
        <f>IFERROR(_xlfn.LET(_xlpm.m,MATCH($B37,Feed!$A:$A,0),_xlpm.p,INDEX(Feed!$B:$B,_xlpm.m),_xlpm.c,INDEX(Feed!$G:$G,_xlpm.m),IF(AND(_xlpm.p&gt;0,_xlpm.c&gt;0),_xlpm.p/_xlpm.c-1,"")),"")</f>
        <v>1.8367891192746066E-2</v>
      </c>
      <c r="F37" s="23">
        <f>IF(ISNUMBER(E37),D37*E37,0)</f>
        <v>8.3596313754249744E-5</v>
      </c>
      <c r="G37" s="22">
        <f>IF(ISNUMBER(E37),D37,0)</f>
        <v>4.5512199999999999E-3</v>
      </c>
      <c r="H37" t="s">
        <v>40</v>
      </c>
      <c r="I37" s="21">
        <v>46288</v>
      </c>
    </row>
    <row r="38" spans="1:9" x14ac:dyDescent="0.15">
      <c r="A38" t="s">
        <v>36</v>
      </c>
      <c r="B38" t="s">
        <v>188</v>
      </c>
      <c r="C38" t="s">
        <v>189</v>
      </c>
      <c r="D38" s="22">
        <v>4.4883800000000001E-3</v>
      </c>
      <c r="E38" s="22">
        <f>IFERROR(_xlfn.LET(_xlpm.m,MATCH($B38,Feed!$A:$A,0),_xlpm.p,INDEX(Feed!$B:$B,_xlpm.m),_xlpm.c,INDEX(Feed!$G:$G,_xlpm.m),IF(AND(_xlpm.p&gt;0,_xlpm.c&gt;0),_xlpm.p/_xlpm.c-1,"")),"")</f>
        <v>4.7360356595624875E-3</v>
      </c>
      <c r="F38" s="23">
        <f>IF(ISNUMBER(E38),D38*E38,0)</f>
        <v>2.1257127733667078E-5</v>
      </c>
      <c r="G38" s="22">
        <f>IF(ISNUMBER(E38),D38,0)</f>
        <v>4.4883800000000001E-3</v>
      </c>
      <c r="H38" t="s">
        <v>40</v>
      </c>
      <c r="I38" s="21">
        <v>46288</v>
      </c>
    </row>
    <row r="39" spans="1:9" x14ac:dyDescent="0.15">
      <c r="A39" t="s">
        <v>36</v>
      </c>
      <c r="B39" t="s">
        <v>192</v>
      </c>
      <c r="C39" t="s">
        <v>193</v>
      </c>
      <c r="D39" s="22">
        <v>4.4289300000000002E-3</v>
      </c>
      <c r="E39" s="22" t="str">
        <f>IFERROR(_xlfn.LET(_xlpm.m,MATCH($B39,Feed!$A:$A,0),_xlpm.p,INDEX(Feed!$B:$B,_xlpm.m),_xlpm.c,INDEX(Feed!$G:$G,_xlpm.m),IF(AND(_xlpm.p&gt;0,_xlpm.c&gt;0),_xlpm.p/_xlpm.c-1,"")),"")</f>
        <v/>
      </c>
      <c r="F39" s="23">
        <f>IF(ISNUMBER(E39),D39*E39,0)</f>
        <v>0</v>
      </c>
      <c r="G39" s="22">
        <f>IF(ISNUMBER(E39),D39,0)</f>
        <v>0</v>
      </c>
      <c r="H39" t="s">
        <v>40</v>
      </c>
      <c r="I39" s="21">
        <v>46288</v>
      </c>
    </row>
    <row r="40" spans="1:9" x14ac:dyDescent="0.15">
      <c r="A40" t="s">
        <v>36</v>
      </c>
      <c r="B40" t="s">
        <v>194</v>
      </c>
      <c r="C40" t="s">
        <v>195</v>
      </c>
      <c r="D40" s="22">
        <v>4.1313499999999998E-3</v>
      </c>
      <c r="E40" s="22">
        <f>IFERROR(_xlfn.LET(_xlpm.m,MATCH($B40,Feed!$A:$A,0),_xlpm.p,INDEX(Feed!$B:$B,_xlpm.m),_xlpm.c,INDEX(Feed!$G:$G,_xlpm.m),IF(AND(_xlpm.p&gt;0,_xlpm.c&gt;0),_xlpm.p/_xlpm.c-1,"")),"")</f>
        <v>7.9511677282377846E-3</v>
      </c>
      <c r="F40" s="23">
        <f>IF(ISNUMBER(E40),D40*E40,0)</f>
        <v>3.2849056794055166E-5</v>
      </c>
      <c r="G40" s="22">
        <f>IF(ISNUMBER(E40),D40,0)</f>
        <v>4.1313499999999998E-3</v>
      </c>
      <c r="H40" t="s">
        <v>40</v>
      </c>
      <c r="I40" s="21">
        <v>46288</v>
      </c>
    </row>
    <row r="41" spans="1:9" x14ac:dyDescent="0.15">
      <c r="A41" t="s">
        <v>36</v>
      </c>
      <c r="B41" t="s">
        <v>196</v>
      </c>
      <c r="C41" t="s">
        <v>197</v>
      </c>
      <c r="D41" s="22">
        <v>4.11686E-3</v>
      </c>
      <c r="E41" s="22">
        <f>IFERROR(_xlfn.LET(_xlpm.m,MATCH($B41,Feed!$A:$A,0),_xlpm.p,INDEX(Feed!$B:$B,_xlpm.m),_xlpm.c,INDEX(Feed!$G:$G,_xlpm.m),IF(AND(_xlpm.p&gt;0,_xlpm.c&gt;0),_xlpm.p/_xlpm.c-1,"")),"")</f>
        <v>4.985712850621149E-2</v>
      </c>
      <c r="F41" s="23">
        <f>IF(ISNUMBER(E41),D41*E41,0)</f>
        <v>2.0525481806208184E-4</v>
      </c>
      <c r="G41" s="22">
        <f>IF(ISNUMBER(E41),D41,0)</f>
        <v>4.11686E-3</v>
      </c>
      <c r="H41" t="s">
        <v>40</v>
      </c>
      <c r="I41" s="21">
        <v>46288</v>
      </c>
    </row>
    <row r="42" spans="1:9" x14ac:dyDescent="0.15">
      <c r="A42" t="s">
        <v>36</v>
      </c>
      <c r="B42" t="s">
        <v>202</v>
      </c>
      <c r="C42" t="s">
        <v>203</v>
      </c>
      <c r="D42" s="22">
        <v>3.8534800000000003E-3</v>
      </c>
      <c r="E42" s="22">
        <f>IFERROR(_xlfn.LET(_xlpm.m,MATCH($B42,Feed!$A:$A,0),_xlpm.p,INDEX(Feed!$B:$B,_xlpm.m),_xlpm.c,INDEX(Feed!$G:$G,_xlpm.m),IF(AND(_xlpm.p&gt;0,_xlpm.c&gt;0),_xlpm.p/_xlpm.c-1,"")),"")</f>
        <v>1.0577874127769116E-2</v>
      </c>
      <c r="F42" s="23">
        <f>IF(ISNUMBER(E42),D42*E42,0)</f>
        <v>4.0761626393875732E-5</v>
      </c>
      <c r="G42" s="22">
        <f>IF(ISNUMBER(E42),D42,0)</f>
        <v>3.8534800000000003E-3</v>
      </c>
      <c r="H42" t="s">
        <v>40</v>
      </c>
      <c r="I42" s="21">
        <v>46288</v>
      </c>
    </row>
    <row r="43" spans="1:9" x14ac:dyDescent="0.15">
      <c r="A43" t="s">
        <v>36</v>
      </c>
      <c r="B43" t="s">
        <v>198</v>
      </c>
      <c r="C43" t="s">
        <v>199</v>
      </c>
      <c r="D43" s="22">
        <v>3.84673E-3</v>
      </c>
      <c r="E43" s="22">
        <f>IFERROR(_xlfn.LET(_xlpm.m,MATCH($B43,Feed!$A:$A,0),_xlpm.p,INDEX(Feed!$B:$B,_xlpm.m),_xlpm.c,INDEX(Feed!$G:$G,_xlpm.m),IF(AND(_xlpm.p&gt;0,_xlpm.c&gt;0),_xlpm.p/_xlpm.c-1,"")),"")</f>
        <v>-1.5515463917525674E-2</v>
      </c>
      <c r="F43" s="23">
        <f>IF(ISNUMBER(E43),D43*E43,0)</f>
        <v>-5.9683800515463532E-5</v>
      </c>
      <c r="G43" s="22">
        <f>IF(ISNUMBER(E43),D43,0)</f>
        <v>3.84673E-3</v>
      </c>
      <c r="H43" t="s">
        <v>40</v>
      </c>
      <c r="I43" s="21">
        <v>46288</v>
      </c>
    </row>
    <row r="44" spans="1:9" x14ac:dyDescent="0.15">
      <c r="A44" t="s">
        <v>36</v>
      </c>
      <c r="B44" t="s">
        <v>208</v>
      </c>
      <c r="C44" t="s">
        <v>209</v>
      </c>
      <c r="D44" s="22">
        <v>3.8034600000000003E-3</v>
      </c>
      <c r="E44" s="22">
        <f>IFERROR(_xlfn.LET(_xlpm.m,MATCH($B44,Feed!$A:$A,0),_xlpm.p,INDEX(Feed!$B:$B,_xlpm.m),_xlpm.c,INDEX(Feed!$G:$G,_xlpm.m),IF(AND(_xlpm.p&gt;0,_xlpm.c&gt;0),_xlpm.p/_xlpm.c-1,"")),"")</f>
        <v>5.1030927835051587E-2</v>
      </c>
      <c r="F44" s="23">
        <f>IF(ISNUMBER(E44),D44*E44,0)</f>
        <v>1.9409409278350531E-4</v>
      </c>
      <c r="G44" s="22">
        <f>IF(ISNUMBER(E44),D44,0)</f>
        <v>3.8034600000000003E-3</v>
      </c>
      <c r="H44" t="s">
        <v>40</v>
      </c>
      <c r="I44" s="21">
        <v>46288</v>
      </c>
    </row>
    <row r="45" spans="1:9" x14ac:dyDescent="0.15">
      <c r="A45" t="s">
        <v>36</v>
      </c>
      <c r="B45" t="s">
        <v>204</v>
      </c>
      <c r="C45" t="s">
        <v>205</v>
      </c>
      <c r="D45" s="22">
        <v>3.7802599999999997E-3</v>
      </c>
      <c r="E45" s="22">
        <f>IFERROR(_xlfn.LET(_xlpm.m,MATCH($B45,Feed!$A:$A,0),_xlpm.p,INDEX(Feed!$B:$B,_xlpm.m),_xlpm.c,INDEX(Feed!$G:$G,_xlpm.m),IF(AND(_xlpm.p&gt;0,_xlpm.c&gt;0),_xlpm.p/_xlpm.c-1,"")),"")</f>
        <v>1.058139163910532E-2</v>
      </c>
      <c r="F45" s="23">
        <f>IF(ISNUMBER(E45),D45*E45,0)</f>
        <v>4.000041155764427E-5</v>
      </c>
      <c r="G45" s="22">
        <f>IF(ISNUMBER(E45),D45,0)</f>
        <v>3.7802599999999997E-3</v>
      </c>
      <c r="H45" t="s">
        <v>40</v>
      </c>
      <c r="I45" s="21">
        <v>46288</v>
      </c>
    </row>
    <row r="46" spans="1:9" x14ac:dyDescent="0.15">
      <c r="A46" t="s">
        <v>36</v>
      </c>
      <c r="B46" t="s">
        <v>200</v>
      </c>
      <c r="C46" t="s">
        <v>201</v>
      </c>
      <c r="D46" s="22">
        <v>3.7557699999999999E-3</v>
      </c>
      <c r="E46" s="22" t="str">
        <f>IFERROR(_xlfn.LET(_xlpm.m,MATCH($B46,Feed!$A:$A,0),_xlpm.p,INDEX(Feed!$B:$B,_xlpm.m),_xlpm.c,INDEX(Feed!$G:$G,_xlpm.m),IF(AND(_xlpm.p&gt;0,_xlpm.c&gt;0),_xlpm.p/_xlpm.c-1,"")),"")</f>
        <v/>
      </c>
      <c r="F46" s="23">
        <f>IF(ISNUMBER(E46),D46*E46,0)</f>
        <v>0</v>
      </c>
      <c r="G46" s="22">
        <f>IF(ISNUMBER(E46),D46,0)</f>
        <v>0</v>
      </c>
      <c r="H46" t="s">
        <v>40</v>
      </c>
      <c r="I46" s="21">
        <v>46288</v>
      </c>
    </row>
    <row r="47" spans="1:9" x14ac:dyDescent="0.15">
      <c r="A47" t="s">
        <v>36</v>
      </c>
      <c r="B47" t="s">
        <v>206</v>
      </c>
      <c r="C47" t="s">
        <v>207</v>
      </c>
      <c r="D47" s="22">
        <v>3.7041400000000003E-3</v>
      </c>
      <c r="E47" s="22" t="str">
        <f>IFERROR(_xlfn.LET(_xlpm.m,MATCH($B47,Feed!$A:$A,0),_xlpm.p,INDEX(Feed!$B:$B,_xlpm.m),_xlpm.c,INDEX(Feed!$G:$G,_xlpm.m),IF(AND(_xlpm.p&gt;0,_xlpm.c&gt;0),_xlpm.p/_xlpm.c-1,"")),"")</f>
        <v/>
      </c>
      <c r="F47" s="23">
        <f>IF(ISNUMBER(E47),D47*E47,0)</f>
        <v>0</v>
      </c>
      <c r="G47" s="22">
        <f>IF(ISNUMBER(E47),D47,0)</f>
        <v>0</v>
      </c>
      <c r="H47" t="s">
        <v>40</v>
      </c>
      <c r="I47" s="21">
        <v>46288</v>
      </c>
    </row>
    <row r="48" spans="1:9" x14ac:dyDescent="0.15">
      <c r="A48" t="s">
        <v>36</v>
      </c>
      <c r="B48" t="s">
        <v>214</v>
      </c>
      <c r="C48" t="s">
        <v>215</v>
      </c>
      <c r="D48" s="22">
        <v>3.67695E-3</v>
      </c>
      <c r="E48" s="22">
        <f>IFERROR(_xlfn.LET(_xlpm.m,MATCH($B48,Feed!$A:$A,0),_xlpm.p,INDEX(Feed!$B:$B,_xlpm.m),_xlpm.c,INDEX(Feed!$G:$G,_xlpm.m),IF(AND(_xlpm.p&gt;0,_xlpm.c&gt;0),_xlpm.p/_xlpm.c-1,"")),"")</f>
        <v>6.3167410588168771E-2</v>
      </c>
      <c r="F48" s="23">
        <f>IF(ISNUMBER(E48),D48*E48,0)</f>
        <v>2.3226341036216718E-4</v>
      </c>
      <c r="G48" s="22">
        <f>IF(ISNUMBER(E48),D48,0)</f>
        <v>3.67695E-3</v>
      </c>
      <c r="H48" t="s">
        <v>40</v>
      </c>
      <c r="I48" s="21">
        <v>46288</v>
      </c>
    </row>
    <row r="49" spans="1:9" x14ac:dyDescent="0.15">
      <c r="A49" t="s">
        <v>36</v>
      </c>
      <c r="B49" t="s">
        <v>212</v>
      </c>
      <c r="C49" t="s">
        <v>213</v>
      </c>
      <c r="D49" s="22">
        <v>3.6368299999999998E-3</v>
      </c>
      <c r="E49" s="22">
        <f>IFERROR(_xlfn.LET(_xlpm.m,MATCH($B49,Feed!$A:$A,0),_xlpm.p,INDEX(Feed!$B:$B,_xlpm.m),_xlpm.c,INDEX(Feed!$G:$G,_xlpm.m),IF(AND(_xlpm.p&gt;0,_xlpm.c&gt;0),_xlpm.p/_xlpm.c-1,"")),"")</f>
        <v>1.0852713178294504E-2</v>
      </c>
      <c r="F49" s="23">
        <f>IF(ISNUMBER(E49),D49*E49,0)</f>
        <v>3.9469472868216796E-5</v>
      </c>
      <c r="G49" s="22">
        <f>IF(ISNUMBER(E49),D49,0)</f>
        <v>3.6368299999999998E-3</v>
      </c>
      <c r="H49" t="s">
        <v>40</v>
      </c>
      <c r="I49" s="21">
        <v>46288</v>
      </c>
    </row>
    <row r="50" spans="1:9" x14ac:dyDescent="0.15">
      <c r="A50" t="s">
        <v>36</v>
      </c>
      <c r="B50" t="s">
        <v>210</v>
      </c>
      <c r="C50" t="s">
        <v>211</v>
      </c>
      <c r="D50" s="22">
        <v>3.5688599999999997E-3</v>
      </c>
      <c r="E50" s="22">
        <f>IFERROR(_xlfn.LET(_xlpm.m,MATCH($B50,Feed!$A:$A,0),_xlpm.p,INDEX(Feed!$B:$B,_xlpm.m),_xlpm.c,INDEX(Feed!$G:$G,_xlpm.m),IF(AND(_xlpm.p&gt;0,_xlpm.c&gt;0),_xlpm.p/_xlpm.c-1,"")),"")</f>
        <v>-1.184717148780734E-2</v>
      </c>
      <c r="F50" s="23">
        <f>IF(ISNUMBER(E50),D50*E50,0)</f>
        <v>-4.2280896435976097E-5</v>
      </c>
      <c r="G50" s="22">
        <f>IF(ISNUMBER(E50),D50,0)</f>
        <v>3.5688599999999997E-3</v>
      </c>
      <c r="H50" t="s">
        <v>40</v>
      </c>
      <c r="I50" s="21">
        <v>46288</v>
      </c>
    </row>
    <row r="51" spans="1:9" x14ac:dyDescent="0.15">
      <c r="A51" t="s">
        <v>36</v>
      </c>
      <c r="B51" t="s">
        <v>220</v>
      </c>
      <c r="C51" t="s">
        <v>221</v>
      </c>
      <c r="D51" s="22">
        <v>3.4366999999999996E-3</v>
      </c>
      <c r="E51" s="22">
        <f>IFERROR(_xlfn.LET(_xlpm.m,MATCH($B51,Feed!$A:$A,0),_xlpm.p,INDEX(Feed!$B:$B,_xlpm.m),_xlpm.c,INDEX(Feed!$G:$G,_xlpm.m),IF(AND(_xlpm.p&gt;0,_xlpm.c&gt;0),_xlpm.p/_xlpm.c-1,"")),"")</f>
        <v>7.2056908904810646E-2</v>
      </c>
      <c r="F51" s="23">
        <f>IF(ISNUMBER(E51),D51*E51,0)</f>
        <v>2.4763797883316273E-4</v>
      </c>
      <c r="G51" s="22">
        <f>IF(ISNUMBER(E51),D51,0)</f>
        <v>3.4366999999999996E-3</v>
      </c>
      <c r="H51" t="s">
        <v>40</v>
      </c>
      <c r="I51" s="21">
        <v>46288</v>
      </c>
    </row>
    <row r="52" spans="1:9" x14ac:dyDescent="0.15">
      <c r="A52" t="s">
        <v>36</v>
      </c>
      <c r="B52" t="s">
        <v>216</v>
      </c>
      <c r="C52" t="s">
        <v>217</v>
      </c>
      <c r="D52" s="22">
        <v>3.3187899999999998E-3</v>
      </c>
      <c r="E52" s="22">
        <f>IFERROR(_xlfn.LET(_xlpm.m,MATCH($B52,Feed!$A:$A,0),_xlpm.p,INDEX(Feed!$B:$B,_xlpm.m),_xlpm.c,INDEX(Feed!$G:$G,_xlpm.m),IF(AND(_xlpm.p&gt;0,_xlpm.c&gt;0),_xlpm.p/_xlpm.c-1,"")),"")</f>
        <v>6.4407680048568228E-3</v>
      </c>
      <c r="F52" s="23">
        <f>IF(ISNUMBER(E52),D52*E52,0)</f>
        <v>2.1375556446838772E-5</v>
      </c>
      <c r="G52" s="22">
        <f>IF(ISNUMBER(E52),D52,0)</f>
        <v>3.3187899999999998E-3</v>
      </c>
      <c r="H52" t="s">
        <v>40</v>
      </c>
      <c r="I52" s="21">
        <v>46288</v>
      </c>
    </row>
    <row r="53" spans="1:9" x14ac:dyDescent="0.15">
      <c r="A53" t="s">
        <v>36</v>
      </c>
      <c r="B53" t="s">
        <v>226</v>
      </c>
      <c r="C53" t="s">
        <v>227</v>
      </c>
      <c r="D53" s="22">
        <v>3.3149200000000003E-3</v>
      </c>
      <c r="E53" s="22">
        <f>IFERROR(_xlfn.LET(_xlpm.m,MATCH($B53,Feed!$A:$A,0),_xlpm.p,INDEX(Feed!$B:$B,_xlpm.m),_xlpm.c,INDEX(Feed!$G:$G,_xlpm.m),IF(AND(_xlpm.p&gt;0,_xlpm.c&gt;0),_xlpm.p/_xlpm.c-1,"")),"")</f>
        <v>6.3762478931673972E-2</v>
      </c>
      <c r="F53" s="23">
        <f>IF(ISNUMBER(E53),D53*E53,0)</f>
        <v>2.113675166601847E-4</v>
      </c>
      <c r="G53" s="22">
        <f>IF(ISNUMBER(E53),D53,0)</f>
        <v>3.3149200000000003E-3</v>
      </c>
      <c r="H53" t="s">
        <v>40</v>
      </c>
      <c r="I53" s="21">
        <v>46288</v>
      </c>
    </row>
    <row r="54" spans="1:9" x14ac:dyDescent="0.15">
      <c r="A54" t="s">
        <v>36</v>
      </c>
      <c r="B54" t="s">
        <v>218</v>
      </c>
      <c r="C54" t="s">
        <v>219</v>
      </c>
      <c r="D54" s="22">
        <v>3.2576599999999999E-3</v>
      </c>
      <c r="E54" s="22">
        <f>IFERROR(_xlfn.LET(_xlpm.m,MATCH($B54,Feed!$A:$A,0),_xlpm.p,INDEX(Feed!$B:$B,_xlpm.m),_xlpm.c,INDEX(Feed!$G:$G,_xlpm.m),IF(AND(_xlpm.p&gt;0,_xlpm.c&gt;0),_xlpm.p/_xlpm.c-1,"")),"")</f>
        <v>7.9721193639730181E-3</v>
      </c>
      <c r="F54" s="23">
        <f>IF(ISNUMBER(E54),D54*E54,0)</f>
        <v>2.5970454367240342E-5</v>
      </c>
      <c r="G54" s="22">
        <f>IF(ISNUMBER(E54),D54,0)</f>
        <v>3.2576599999999999E-3</v>
      </c>
      <c r="H54" t="s">
        <v>40</v>
      </c>
      <c r="I54" s="21">
        <v>46288</v>
      </c>
    </row>
    <row r="55" spans="1:9" x14ac:dyDescent="0.15">
      <c r="A55" t="s">
        <v>36</v>
      </c>
      <c r="B55" t="s">
        <v>224</v>
      </c>
      <c r="C55" t="s">
        <v>225</v>
      </c>
      <c r="D55" s="22">
        <v>3.2099299999999997E-3</v>
      </c>
      <c r="E55" s="22">
        <f>IFERROR(_xlfn.LET(_xlpm.m,MATCH($B55,Feed!$A:$A,0),_xlpm.p,INDEX(Feed!$B:$B,_xlpm.m),_xlpm.c,INDEX(Feed!$G:$G,_xlpm.m),IF(AND(_xlpm.p&gt;0,_xlpm.c&gt;0),_xlpm.p/_xlpm.c-1,"")),"")</f>
        <v>2.5473694769045707E-2</v>
      </c>
      <c r="F55" s="23">
        <f>IF(ISNUMBER(E55),D55*E55,0)</f>
        <v>8.1768777050002882E-5</v>
      </c>
      <c r="G55" s="22">
        <f>IF(ISNUMBER(E55),D55,0)</f>
        <v>3.2099299999999997E-3</v>
      </c>
      <c r="H55" t="s">
        <v>40</v>
      </c>
      <c r="I55" s="21">
        <v>46288</v>
      </c>
    </row>
    <row r="56" spans="1:9" x14ac:dyDescent="0.15">
      <c r="A56" t="s">
        <v>36</v>
      </c>
      <c r="B56" t="s">
        <v>222</v>
      </c>
      <c r="C56" t="s">
        <v>223</v>
      </c>
      <c r="D56" s="22">
        <v>3.20068E-3</v>
      </c>
      <c r="E56" s="22">
        <f>IFERROR(_xlfn.LET(_xlpm.m,MATCH($B56,Feed!$A:$A,0),_xlpm.p,INDEX(Feed!$B:$B,_xlpm.m),_xlpm.c,INDEX(Feed!$G:$G,_xlpm.m),IF(AND(_xlpm.p&gt;0,_xlpm.c&gt;0),_xlpm.p/_xlpm.c-1,"")),"")</f>
        <v>9.7958297132929584E-3</v>
      </c>
      <c r="F56" s="23">
        <f>IF(ISNUMBER(E56),D56*E56,0)</f>
        <v>3.1353316246742507E-5</v>
      </c>
      <c r="G56" s="22">
        <f>IF(ISNUMBER(E56),D56,0)</f>
        <v>3.20068E-3</v>
      </c>
      <c r="H56" t="s">
        <v>40</v>
      </c>
      <c r="I56" s="21">
        <v>46288</v>
      </c>
    </row>
    <row r="57" spans="1:9" x14ac:dyDescent="0.15">
      <c r="A57" t="s">
        <v>36</v>
      </c>
      <c r="B57" t="s">
        <v>236</v>
      </c>
      <c r="C57" t="s">
        <v>237</v>
      </c>
      <c r="D57" s="22">
        <v>3.1646000000000001E-3</v>
      </c>
      <c r="E57" s="22" t="str">
        <f>IFERROR(_xlfn.LET(_xlpm.m,MATCH($B57,Feed!$A:$A,0),_xlpm.p,INDEX(Feed!$B:$B,_xlpm.m),_xlpm.c,INDEX(Feed!$G:$G,_xlpm.m),IF(AND(_xlpm.p&gt;0,_xlpm.c&gt;0),_xlpm.p/_xlpm.c-1,"")),"")</f>
        <v/>
      </c>
      <c r="F57" s="23">
        <f>IF(ISNUMBER(E57),D57*E57,0)</f>
        <v>0</v>
      </c>
      <c r="G57" s="22">
        <f>IF(ISNUMBER(E57),D57,0)</f>
        <v>0</v>
      </c>
      <c r="H57" t="s">
        <v>40</v>
      </c>
      <c r="I57" s="21">
        <v>46288</v>
      </c>
    </row>
    <row r="58" spans="1:9" x14ac:dyDescent="0.15">
      <c r="A58" t="s">
        <v>36</v>
      </c>
      <c r="B58" t="s">
        <v>232</v>
      </c>
      <c r="C58" t="s">
        <v>233</v>
      </c>
      <c r="D58" s="22">
        <v>3.1155200000000001E-3</v>
      </c>
      <c r="E58" s="22">
        <f>IFERROR(_xlfn.LET(_xlpm.m,MATCH($B58,Feed!$A:$A,0),_xlpm.p,INDEX(Feed!$B:$B,_xlpm.m),_xlpm.c,INDEX(Feed!$G:$G,_xlpm.m),IF(AND(_xlpm.p&gt;0,_xlpm.c&gt;0),_xlpm.p/_xlpm.c-1,"")),"")</f>
        <v>4.6533496708745181E-2</v>
      </c>
      <c r="F58" s="23">
        <f>IF(ISNUMBER(E58),D58*E58,0)</f>
        <v>1.4497603966602979E-4</v>
      </c>
      <c r="G58" s="22">
        <f>IF(ISNUMBER(E58),D58,0)</f>
        <v>3.1155200000000001E-3</v>
      </c>
      <c r="H58" t="s">
        <v>40</v>
      </c>
      <c r="I58" s="21">
        <v>46288</v>
      </c>
    </row>
    <row r="59" spans="1:9" x14ac:dyDescent="0.15">
      <c r="A59" t="s">
        <v>36</v>
      </c>
      <c r="B59" t="s">
        <v>234</v>
      </c>
      <c r="C59" t="s">
        <v>235</v>
      </c>
      <c r="D59" s="22">
        <v>3.0507800000000003E-3</v>
      </c>
      <c r="E59" s="22">
        <f>IFERROR(_xlfn.LET(_xlpm.m,MATCH($B59,Feed!$A:$A,0),_xlpm.p,INDEX(Feed!$B:$B,_xlpm.m),_xlpm.c,INDEX(Feed!$G:$G,_xlpm.m),IF(AND(_xlpm.p&gt;0,_xlpm.c&gt;0),_xlpm.p/_xlpm.c-1,"")),"")</f>
        <v>6.821405544809811E-2</v>
      </c>
      <c r="F59" s="23">
        <f>IF(ISNUMBER(E59),D59*E59,0)</f>
        <v>2.0810607607994877E-4</v>
      </c>
      <c r="G59" s="22">
        <f>IF(ISNUMBER(E59),D59,0)</f>
        <v>3.0507800000000003E-3</v>
      </c>
      <c r="H59" t="s">
        <v>40</v>
      </c>
      <c r="I59" s="21">
        <v>46288</v>
      </c>
    </row>
    <row r="60" spans="1:9" x14ac:dyDescent="0.15">
      <c r="A60" t="s">
        <v>36</v>
      </c>
      <c r="B60" t="s">
        <v>228</v>
      </c>
      <c r="C60" t="s">
        <v>229</v>
      </c>
      <c r="D60" s="22">
        <v>2.8821799999999998E-3</v>
      </c>
      <c r="E60" s="22" t="str">
        <f>IFERROR(_xlfn.LET(_xlpm.m,MATCH($B60,Feed!$A:$A,0),_xlpm.p,INDEX(Feed!$B:$B,_xlpm.m),_xlpm.c,INDEX(Feed!$G:$G,_xlpm.m),IF(AND(_xlpm.p&gt;0,_xlpm.c&gt;0),_xlpm.p/_xlpm.c-1,"")),"")</f>
        <v/>
      </c>
      <c r="F60" s="23">
        <f>IF(ISNUMBER(E60),D60*E60,0)</f>
        <v>0</v>
      </c>
      <c r="G60" s="22">
        <f>IF(ISNUMBER(E60),D60,0)</f>
        <v>0</v>
      </c>
      <c r="H60" t="s">
        <v>40</v>
      </c>
      <c r="I60" s="21">
        <v>46288</v>
      </c>
    </row>
    <row r="61" spans="1:9" x14ac:dyDescent="0.15">
      <c r="A61" t="s">
        <v>36</v>
      </c>
      <c r="B61" t="s">
        <v>230</v>
      </c>
      <c r="C61" t="s">
        <v>231</v>
      </c>
      <c r="D61" s="22">
        <v>2.85571E-3</v>
      </c>
      <c r="E61" s="22">
        <f>IFERROR(_xlfn.LET(_xlpm.m,MATCH($B61,Feed!$A:$A,0),_xlpm.p,INDEX(Feed!$B:$B,_xlpm.m),_xlpm.c,INDEX(Feed!$G:$G,_xlpm.m),IF(AND(_xlpm.p&gt;0,_xlpm.c&gt;0),_xlpm.p/_xlpm.c-1,"")),"")</f>
        <v>-2.0679219905850643E-2</v>
      </c>
      <c r="F61" s="23">
        <f>IF(ISNUMBER(E61),D61*E61,0)</f>
        <v>-5.9053855077336741E-5</v>
      </c>
      <c r="G61" s="22">
        <f>IF(ISNUMBER(E61),D61,0)</f>
        <v>2.85571E-3</v>
      </c>
      <c r="H61" t="s">
        <v>40</v>
      </c>
      <c r="I61" s="21">
        <v>46288</v>
      </c>
    </row>
    <row r="62" spans="1:9" x14ac:dyDescent="0.15">
      <c r="A62" t="s">
        <v>36</v>
      </c>
      <c r="B62" t="s">
        <v>240</v>
      </c>
      <c r="C62" t="s">
        <v>241</v>
      </c>
      <c r="D62" s="22">
        <v>2.8394399999999999E-3</v>
      </c>
      <c r="E62" s="22">
        <f>IFERROR(_xlfn.LET(_xlpm.m,MATCH($B62,Feed!$A:$A,0),_xlpm.p,INDEX(Feed!$B:$B,_xlpm.m),_xlpm.c,INDEX(Feed!$G:$G,_xlpm.m),IF(AND(_xlpm.p&gt;0,_xlpm.c&gt;0),_xlpm.p/_xlpm.c-1,"")),"")</f>
        <v>3.8991802406046938E-2</v>
      </c>
      <c r="F62" s="23">
        <f>IF(ISNUMBER(E62),D62*E62,0)</f>
        <v>1.1071488342382591E-4</v>
      </c>
      <c r="G62" s="22">
        <f>IF(ISNUMBER(E62),D62,0)</f>
        <v>2.8394399999999999E-3</v>
      </c>
      <c r="H62" t="s">
        <v>40</v>
      </c>
      <c r="I62" s="21">
        <v>46288</v>
      </c>
    </row>
    <row r="63" spans="1:9" x14ac:dyDescent="0.15">
      <c r="A63" t="s">
        <v>36</v>
      </c>
      <c r="B63" t="s">
        <v>238</v>
      </c>
      <c r="C63" t="s">
        <v>239</v>
      </c>
      <c r="D63" s="22">
        <v>2.8270299999999999E-3</v>
      </c>
      <c r="E63" s="22">
        <f>IFERROR(_xlfn.LET(_xlpm.m,MATCH($B63,Feed!$A:$A,0),_xlpm.p,INDEX(Feed!$B:$B,_xlpm.m),_xlpm.c,INDEX(Feed!$G:$G,_xlpm.m),IF(AND(_xlpm.p&gt;0,_xlpm.c&gt;0),_xlpm.p/_xlpm.c-1,"")),"")</f>
        <v>1.705416028245943E-2</v>
      </c>
      <c r="F63" s="23">
        <f>IF(ISNUMBER(E63),D63*E63,0)</f>
        <v>4.8212622743321278E-5</v>
      </c>
      <c r="G63" s="22">
        <f>IF(ISNUMBER(E63),D63,0)</f>
        <v>2.8270299999999999E-3</v>
      </c>
      <c r="H63" t="s">
        <v>40</v>
      </c>
      <c r="I63" s="21">
        <v>46288</v>
      </c>
    </row>
    <row r="64" spans="1:9" x14ac:dyDescent="0.15">
      <c r="A64" t="s">
        <v>36</v>
      </c>
      <c r="B64" t="s">
        <v>242</v>
      </c>
      <c r="C64" t="s">
        <v>243</v>
      </c>
      <c r="D64" s="22">
        <v>2.6812999999999997E-3</v>
      </c>
      <c r="E64" s="22">
        <f>IFERROR(_xlfn.LET(_xlpm.m,MATCH($B64,Feed!$A:$A,0),_xlpm.p,INDEX(Feed!$B:$B,_xlpm.m),_xlpm.c,INDEX(Feed!$G:$G,_xlpm.m),IF(AND(_xlpm.p&gt;0,_xlpm.c&gt;0),_xlpm.p/_xlpm.c-1,"")),"")</f>
        <v>1.0525289932755033E-2</v>
      </c>
      <c r="F64" s="23">
        <f>IF(ISNUMBER(E64),D64*E64,0)</f>
        <v>2.8221459896696066E-5</v>
      </c>
      <c r="G64" s="22">
        <f>IF(ISNUMBER(E64),D64,0)</f>
        <v>2.6812999999999997E-3</v>
      </c>
      <c r="H64" t="s">
        <v>40</v>
      </c>
      <c r="I64" s="21">
        <v>46288</v>
      </c>
    </row>
    <row r="65" spans="1:9" x14ac:dyDescent="0.15">
      <c r="A65" t="s">
        <v>36</v>
      </c>
      <c r="B65" t="s">
        <v>244</v>
      </c>
      <c r="C65" t="s">
        <v>245</v>
      </c>
      <c r="D65" s="22">
        <v>2.6770399999999999E-3</v>
      </c>
      <c r="E65" s="22">
        <f>IFERROR(_xlfn.LET(_xlpm.m,MATCH($B65,Feed!$A:$A,0),_xlpm.p,INDEX(Feed!$B:$B,_xlpm.m),_xlpm.c,INDEX(Feed!$G:$G,_xlpm.m),IF(AND(_xlpm.p&gt;0,_xlpm.c&gt;0),_xlpm.p/_xlpm.c-1,"")),"")</f>
        <v>1.4220317522158243E-2</v>
      </c>
      <c r="F65" s="23">
        <f>IF(ISNUMBER(E65),D65*E65,0)</f>
        <v>3.80683588195185E-5</v>
      </c>
      <c r="G65" s="22">
        <f>IF(ISNUMBER(E65),D65,0)</f>
        <v>2.6770399999999999E-3</v>
      </c>
      <c r="H65" t="s">
        <v>40</v>
      </c>
      <c r="I65" s="21">
        <v>46288</v>
      </c>
    </row>
    <row r="66" spans="1:9" x14ac:dyDescent="0.15">
      <c r="A66" t="s">
        <v>36</v>
      </c>
      <c r="B66" t="s">
        <v>246</v>
      </c>
      <c r="C66" t="s">
        <v>247</v>
      </c>
      <c r="D66" s="22">
        <v>2.6740000000000002E-3</v>
      </c>
      <c r="E66" s="22">
        <f>IFERROR(_xlfn.LET(_xlpm.m,MATCH($B66,Feed!$A:$A,0),_xlpm.p,INDEX(Feed!$B:$B,_xlpm.m),_xlpm.c,INDEX(Feed!$G:$G,_xlpm.m),IF(AND(_xlpm.p&gt;0,_xlpm.c&gt;0),_xlpm.p/_xlpm.c-1,"")),"")</f>
        <v>1.1098265895953752E-2</v>
      </c>
      <c r="F66" s="23">
        <f>IF(ISNUMBER(E66),D66*E66,0)</f>
        <v>2.9676763005780335E-5</v>
      </c>
      <c r="G66" s="22">
        <f>IF(ISNUMBER(E66),D66,0)</f>
        <v>2.6740000000000002E-3</v>
      </c>
      <c r="H66" t="s">
        <v>40</v>
      </c>
      <c r="I66" s="21">
        <v>46288</v>
      </c>
    </row>
    <row r="67" spans="1:9" x14ac:dyDescent="0.15">
      <c r="A67" t="s">
        <v>36</v>
      </c>
      <c r="B67" t="s">
        <v>248</v>
      </c>
      <c r="C67" t="s">
        <v>249</v>
      </c>
      <c r="D67" s="22">
        <v>2.6455099999999998E-3</v>
      </c>
      <c r="E67" s="22">
        <f>IFERROR(_xlfn.LET(_xlpm.m,MATCH($B67,Feed!$A:$A,0),_xlpm.p,INDEX(Feed!$B:$B,_xlpm.m),_xlpm.c,INDEX(Feed!$G:$G,_xlpm.m),IF(AND(_xlpm.p&gt;0,_xlpm.c&gt;0),_xlpm.p/_xlpm.c-1,"")),"")</f>
        <v>8.4998388656138957E-3</v>
      </c>
      <c r="F67" s="23">
        <f>IF(ISNUMBER(E67),D67*E67,0)</f>
        <v>2.2486408717370215E-5</v>
      </c>
      <c r="G67" s="22">
        <f>IF(ISNUMBER(E67),D67,0)</f>
        <v>2.6455099999999998E-3</v>
      </c>
      <c r="H67" t="s">
        <v>40</v>
      </c>
      <c r="I67" s="21">
        <v>46288</v>
      </c>
    </row>
    <row r="68" spans="1:9" x14ac:dyDescent="0.15">
      <c r="A68" t="s">
        <v>36</v>
      </c>
      <c r="B68" t="s">
        <v>254</v>
      </c>
      <c r="C68" t="s">
        <v>255</v>
      </c>
      <c r="D68" s="22">
        <v>2.6357999999999998E-3</v>
      </c>
      <c r="E68" s="22">
        <f>IFERROR(_xlfn.LET(_xlpm.m,MATCH($B68,Feed!$A:$A,0),_xlpm.p,INDEX(Feed!$B:$B,_xlpm.m),_xlpm.c,INDEX(Feed!$G:$G,_xlpm.m),IF(AND(_xlpm.p&gt;0,_xlpm.c&gt;0),_xlpm.p/_xlpm.c-1,"")),"")</f>
        <v>2.7968245149782911E-2</v>
      </c>
      <c r="F68" s="23">
        <f>IF(ISNUMBER(E68),D68*E68,0)</f>
        <v>7.3718700565797784E-5</v>
      </c>
      <c r="G68" s="22">
        <f>IF(ISNUMBER(E68),D68,0)</f>
        <v>2.6357999999999998E-3</v>
      </c>
      <c r="H68" t="s">
        <v>40</v>
      </c>
      <c r="I68" s="21">
        <v>46288</v>
      </c>
    </row>
    <row r="69" spans="1:9" x14ac:dyDescent="0.15">
      <c r="A69" t="s">
        <v>36</v>
      </c>
      <c r="B69" t="s">
        <v>262</v>
      </c>
      <c r="C69" t="s">
        <v>263</v>
      </c>
      <c r="D69" s="22">
        <v>2.5712499999999998E-3</v>
      </c>
      <c r="E69" s="22">
        <f>IFERROR(_xlfn.LET(_xlpm.m,MATCH($B69,Feed!$A:$A,0),_xlpm.p,INDEX(Feed!$B:$B,_xlpm.m),_xlpm.c,INDEX(Feed!$G:$G,_xlpm.m),IF(AND(_xlpm.p&gt;0,_xlpm.c&gt;0),_xlpm.p/_xlpm.c-1,"")),"")</f>
        <v>4.1716693740141864E-2</v>
      </c>
      <c r="F69" s="23">
        <f>IF(ISNUMBER(E69),D69*E69,0)</f>
        <v>1.0726404877933976E-4</v>
      </c>
      <c r="G69" s="22">
        <f>IF(ISNUMBER(E69),D69,0)</f>
        <v>2.5712499999999998E-3</v>
      </c>
      <c r="H69" t="s">
        <v>40</v>
      </c>
      <c r="I69" s="21">
        <v>46288</v>
      </c>
    </row>
    <row r="70" spans="1:9" x14ac:dyDescent="0.15">
      <c r="A70" t="s">
        <v>36</v>
      </c>
      <c r="B70" t="s">
        <v>250</v>
      </c>
      <c r="C70" t="s">
        <v>251</v>
      </c>
      <c r="D70" s="22">
        <v>2.5683800000000003E-3</v>
      </c>
      <c r="E70" s="22">
        <f>IFERROR(_xlfn.LET(_xlpm.m,MATCH($B70,Feed!$A:$A,0),_xlpm.p,INDEX(Feed!$B:$B,_xlpm.m),_xlpm.c,INDEX(Feed!$G:$G,_xlpm.m),IF(AND(_xlpm.p&gt;0,_xlpm.c&gt;0),_xlpm.p/_xlpm.c-1,"")),"")</f>
        <v>-9.7086614173227392E-3</v>
      </c>
      <c r="F70" s="23">
        <f>IF(ISNUMBER(E70),D70*E70,0)</f>
        <v>-2.4935531811023381E-5</v>
      </c>
      <c r="G70" s="22">
        <f>IF(ISNUMBER(E70),D70,0)</f>
        <v>2.5683800000000003E-3</v>
      </c>
      <c r="H70" t="s">
        <v>40</v>
      </c>
      <c r="I70" s="21">
        <v>46288</v>
      </c>
    </row>
    <row r="71" spans="1:9" x14ac:dyDescent="0.15">
      <c r="A71" t="s">
        <v>36</v>
      </c>
      <c r="B71" t="s">
        <v>268</v>
      </c>
      <c r="C71" t="s">
        <v>269</v>
      </c>
      <c r="D71" s="22">
        <v>2.5031799999999998E-3</v>
      </c>
      <c r="E71" s="22" t="str">
        <f>IFERROR(_xlfn.LET(_xlpm.m,MATCH($B71,Feed!$A:$A,0),_xlpm.p,INDEX(Feed!$B:$B,_xlpm.m),_xlpm.c,INDEX(Feed!$G:$G,_xlpm.m),IF(AND(_xlpm.p&gt;0,_xlpm.c&gt;0),_xlpm.p/_xlpm.c-1,"")),"")</f>
        <v/>
      </c>
      <c r="F71" s="23">
        <f>IF(ISNUMBER(E71),D71*E71,0)</f>
        <v>0</v>
      </c>
      <c r="G71" s="22">
        <f>IF(ISNUMBER(E71),D71,0)</f>
        <v>0</v>
      </c>
      <c r="H71" t="s">
        <v>40</v>
      </c>
      <c r="I71" s="21">
        <v>46288</v>
      </c>
    </row>
    <row r="72" spans="1:9" x14ac:dyDescent="0.15">
      <c r="A72" t="s">
        <v>36</v>
      </c>
      <c r="B72" t="s">
        <v>264</v>
      </c>
      <c r="C72" t="s">
        <v>265</v>
      </c>
      <c r="D72" s="22">
        <v>2.48154E-3</v>
      </c>
      <c r="E72" s="22" t="str">
        <f>IFERROR(_xlfn.LET(_xlpm.m,MATCH($B72,Feed!$A:$A,0),_xlpm.p,INDEX(Feed!$B:$B,_xlpm.m),_xlpm.c,INDEX(Feed!$G:$G,_xlpm.m),IF(AND(_xlpm.p&gt;0,_xlpm.c&gt;0),_xlpm.p/_xlpm.c-1,"")),"")</f>
        <v/>
      </c>
      <c r="F72" s="23">
        <f>IF(ISNUMBER(E72),D72*E72,0)</f>
        <v>0</v>
      </c>
      <c r="G72" s="22">
        <f>IF(ISNUMBER(E72),D72,0)</f>
        <v>0</v>
      </c>
      <c r="H72" t="s">
        <v>40</v>
      </c>
      <c r="I72" s="21">
        <v>46288</v>
      </c>
    </row>
    <row r="73" spans="1:9" x14ac:dyDescent="0.15">
      <c r="A73" t="s">
        <v>36</v>
      </c>
      <c r="B73" t="s">
        <v>252</v>
      </c>
      <c r="C73" t="s">
        <v>253</v>
      </c>
      <c r="D73" s="22">
        <v>2.47978E-3</v>
      </c>
      <c r="E73" s="22">
        <f>IFERROR(_xlfn.LET(_xlpm.m,MATCH($B73,Feed!$A:$A,0),_xlpm.p,INDEX(Feed!$B:$B,_xlpm.m),_xlpm.c,INDEX(Feed!$G:$G,_xlpm.m),IF(AND(_xlpm.p&gt;0,_xlpm.c&gt;0),_xlpm.p/_xlpm.c-1,"")),"")</f>
        <v>-4.4880151570457549E-2</v>
      </c>
      <c r="F73" s="23">
        <f>IF(ISNUMBER(E73),D73*E73,0)</f>
        <v>-1.1129290226138922E-4</v>
      </c>
      <c r="G73" s="22">
        <f>IF(ISNUMBER(E73),D73,0)</f>
        <v>2.47978E-3</v>
      </c>
      <c r="H73" t="s">
        <v>40</v>
      </c>
      <c r="I73" s="21">
        <v>46288</v>
      </c>
    </row>
    <row r="74" spans="1:9" x14ac:dyDescent="0.15">
      <c r="A74" t="s">
        <v>36</v>
      </c>
      <c r="B74" t="s">
        <v>258</v>
      </c>
      <c r="C74" t="s">
        <v>259</v>
      </c>
      <c r="D74" s="22">
        <v>2.47364E-3</v>
      </c>
      <c r="E74" s="22">
        <f>IFERROR(_xlfn.LET(_xlpm.m,MATCH($B74,Feed!$A:$A,0),_xlpm.p,INDEX(Feed!$B:$B,_xlpm.m),_xlpm.c,INDEX(Feed!$G:$G,_xlpm.m),IF(AND(_xlpm.p&gt;0,_xlpm.c&gt;0),_xlpm.p/_xlpm.c-1,"")),"")</f>
        <v>-1.5036659624704796E-2</v>
      </c>
      <c r="F74" s="23">
        <f>IF(ISNUMBER(E74),D74*E74,0)</f>
        <v>-3.7195282714054768E-5</v>
      </c>
      <c r="G74" s="22">
        <f>IF(ISNUMBER(E74),D74,0)</f>
        <v>2.47364E-3</v>
      </c>
      <c r="H74" t="s">
        <v>40</v>
      </c>
      <c r="I74" s="21">
        <v>46288</v>
      </c>
    </row>
    <row r="75" spans="1:9" x14ac:dyDescent="0.15">
      <c r="A75" t="s">
        <v>36</v>
      </c>
      <c r="B75" t="s">
        <v>260</v>
      </c>
      <c r="C75" t="s">
        <v>261</v>
      </c>
      <c r="D75" s="22">
        <v>2.4381200000000002E-3</v>
      </c>
      <c r="E75" s="22" t="str">
        <f>IFERROR(_xlfn.LET(_xlpm.m,MATCH($B75,Feed!$A:$A,0),_xlpm.p,INDEX(Feed!$B:$B,_xlpm.m),_xlpm.c,INDEX(Feed!$G:$G,_xlpm.m),IF(AND(_xlpm.p&gt;0,_xlpm.c&gt;0),_xlpm.p/_xlpm.c-1,"")),"")</f>
        <v/>
      </c>
      <c r="F75" s="23">
        <f>IF(ISNUMBER(E75),D75*E75,0)</f>
        <v>0</v>
      </c>
      <c r="G75" s="22">
        <f>IF(ISNUMBER(E75),D75,0)</f>
        <v>0</v>
      </c>
      <c r="H75" t="s">
        <v>40</v>
      </c>
      <c r="I75" s="21">
        <v>46288</v>
      </c>
    </row>
    <row r="76" spans="1:9" x14ac:dyDescent="0.15">
      <c r="A76" t="s">
        <v>36</v>
      </c>
      <c r="B76" t="s">
        <v>256</v>
      </c>
      <c r="C76" t="s">
        <v>257</v>
      </c>
      <c r="D76" s="22">
        <v>2.4359199999999998E-3</v>
      </c>
      <c r="E76" s="22">
        <f>IFERROR(_xlfn.LET(_xlpm.m,MATCH($B76,Feed!$A:$A,0),_xlpm.p,INDEX(Feed!$B:$B,_xlpm.m),_xlpm.c,INDEX(Feed!$G:$G,_xlpm.m),IF(AND(_xlpm.p&gt;0,_xlpm.c&gt;0),_xlpm.p/_xlpm.c-1,"")),"")</f>
        <v>-4.2280285035629528E-2</v>
      </c>
      <c r="F76" s="23">
        <f>IF(ISNUMBER(E76),D76*E76,0)</f>
        <v>-1.0299139192399067E-4</v>
      </c>
      <c r="G76" s="22">
        <f>IF(ISNUMBER(E76),D76,0)</f>
        <v>2.4359199999999998E-3</v>
      </c>
      <c r="H76" t="s">
        <v>40</v>
      </c>
      <c r="I76" s="21">
        <v>46288</v>
      </c>
    </row>
    <row r="77" spans="1:9" x14ac:dyDescent="0.15">
      <c r="A77" t="s">
        <v>36</v>
      </c>
      <c r="B77" t="s">
        <v>266</v>
      </c>
      <c r="C77" t="s">
        <v>267</v>
      </c>
      <c r="D77" s="22">
        <v>2.40135E-3</v>
      </c>
      <c r="E77" s="22">
        <f>IFERROR(_xlfn.LET(_xlpm.m,MATCH($B77,Feed!$A:$A,0),_xlpm.p,INDEX(Feed!$B:$B,_xlpm.m),_xlpm.c,INDEX(Feed!$G:$G,_xlpm.m),IF(AND(_xlpm.p&gt;0,_xlpm.c&gt;0),_xlpm.p/_xlpm.c-1,"")),"")</f>
        <v>-1.9129541661317195E-2</v>
      </c>
      <c r="F77" s="23">
        <f>IF(ISNUMBER(E77),D77*E77,0)</f>
        <v>-4.5936724868404045E-5</v>
      </c>
      <c r="G77" s="22">
        <f>IF(ISNUMBER(E77),D77,0)</f>
        <v>2.40135E-3</v>
      </c>
      <c r="H77" t="s">
        <v>40</v>
      </c>
      <c r="I77" s="21">
        <v>46288</v>
      </c>
    </row>
    <row r="78" spans="1:9" x14ac:dyDescent="0.15">
      <c r="A78" t="s">
        <v>36</v>
      </c>
      <c r="B78" t="s">
        <v>272</v>
      </c>
      <c r="C78" t="s">
        <v>273</v>
      </c>
      <c r="D78" s="22">
        <v>2.3811399999999999E-3</v>
      </c>
      <c r="E78" s="22">
        <f>IFERROR(_xlfn.LET(_xlpm.m,MATCH($B78,Feed!$A:$A,0),_xlpm.p,INDEX(Feed!$B:$B,_xlpm.m),_xlpm.c,INDEX(Feed!$G:$G,_xlpm.m),IF(AND(_xlpm.p&gt;0,_xlpm.c&gt;0),_xlpm.p/_xlpm.c-1,"")),"")</f>
        <v>9.761388286334105E-3</v>
      </c>
      <c r="F78" s="23">
        <f>IF(ISNUMBER(E78),D78*E78,0)</f>
        <v>2.3243232104121592E-5</v>
      </c>
      <c r="G78" s="22">
        <f>IF(ISNUMBER(E78),D78,0)</f>
        <v>2.3811399999999999E-3</v>
      </c>
      <c r="H78" t="s">
        <v>40</v>
      </c>
      <c r="I78" s="21">
        <v>46288</v>
      </c>
    </row>
    <row r="79" spans="1:9" x14ac:dyDescent="0.15">
      <c r="A79" t="s">
        <v>36</v>
      </c>
      <c r="B79" t="s">
        <v>274</v>
      </c>
      <c r="C79" t="s">
        <v>275</v>
      </c>
      <c r="D79" s="22">
        <v>2.3353599999999999E-3</v>
      </c>
      <c r="E79" s="22">
        <f>IFERROR(_xlfn.LET(_xlpm.m,MATCH($B79,Feed!$A:$A,0),_xlpm.p,INDEX(Feed!$B:$B,_xlpm.m),_xlpm.c,INDEX(Feed!$G:$G,_xlpm.m),IF(AND(_xlpm.p&gt;0,_xlpm.c&gt;0),_xlpm.p/_xlpm.c-1,"")),"")</f>
        <v>-4.0363269424814607E-4</v>
      </c>
      <c r="F79" s="23">
        <f>IF(ISNUMBER(E79),D79*E79,0)</f>
        <v>-9.4262764883935037E-7</v>
      </c>
      <c r="G79" s="22">
        <f>IF(ISNUMBER(E79),D79,0)</f>
        <v>2.3353599999999999E-3</v>
      </c>
      <c r="H79" t="s">
        <v>40</v>
      </c>
      <c r="I79" s="21">
        <v>46288</v>
      </c>
    </row>
    <row r="80" spans="1:9" x14ac:dyDescent="0.15">
      <c r="A80" t="s">
        <v>36</v>
      </c>
      <c r="B80" t="s">
        <v>276</v>
      </c>
      <c r="C80" t="s">
        <v>277</v>
      </c>
      <c r="D80" s="22">
        <v>2.2957199999999998E-3</v>
      </c>
      <c r="E80" s="22">
        <f>IFERROR(_xlfn.LET(_xlpm.m,MATCH($B80,Feed!$A:$A,0),_xlpm.p,INDEX(Feed!$B:$B,_xlpm.m),_xlpm.c,INDEX(Feed!$G:$G,_xlpm.m),IF(AND(_xlpm.p&gt;0,_xlpm.c&gt;0),_xlpm.p/_xlpm.c-1,"")),"")</f>
        <v>-2.91648750210316E-3</v>
      </c>
      <c r="F80" s="23">
        <f>IF(ISNUMBER(E80),D80*E80,0)</f>
        <v>-6.695438688328266E-6</v>
      </c>
      <c r="G80" s="22">
        <f>IF(ISNUMBER(E80),D80,0)</f>
        <v>2.2957199999999998E-3</v>
      </c>
      <c r="H80" t="s">
        <v>40</v>
      </c>
      <c r="I80" s="21">
        <v>46288</v>
      </c>
    </row>
    <row r="81" spans="1:9" x14ac:dyDescent="0.15">
      <c r="A81" t="s">
        <v>36</v>
      </c>
      <c r="B81" t="s">
        <v>270</v>
      </c>
      <c r="C81" t="s">
        <v>271</v>
      </c>
      <c r="D81" s="22">
        <v>2.2489400000000001E-3</v>
      </c>
      <c r="E81" s="22">
        <f>IFERROR(_xlfn.LET(_xlpm.m,MATCH($B81,Feed!$A:$A,0),_xlpm.p,INDEX(Feed!$B:$B,_xlpm.m),_xlpm.c,INDEX(Feed!$G:$G,_xlpm.m),IF(AND(_xlpm.p&gt;0,_xlpm.c&gt;0),_xlpm.p/_xlpm.c-1,"")),"")</f>
        <v>-4.9761055905332752E-2</v>
      </c>
      <c r="F81" s="23">
        <f>IF(ISNUMBER(E81),D81*E81,0)</f>
        <v>-1.1190962906773904E-4</v>
      </c>
      <c r="G81" s="22">
        <f>IF(ISNUMBER(E81),D81,0)</f>
        <v>2.2489400000000001E-3</v>
      </c>
      <c r="H81" t="s">
        <v>40</v>
      </c>
      <c r="I81" s="21">
        <v>46288</v>
      </c>
    </row>
    <row r="82" spans="1:9" x14ac:dyDescent="0.15">
      <c r="A82" t="s">
        <v>36</v>
      </c>
      <c r="B82" t="s">
        <v>280</v>
      </c>
      <c r="C82" t="s">
        <v>281</v>
      </c>
      <c r="D82" s="22">
        <v>2.1591499999999999E-3</v>
      </c>
      <c r="E82" s="22">
        <f>IFERROR(_xlfn.LET(_xlpm.m,MATCH($B82,Feed!$A:$A,0),_xlpm.p,INDEX(Feed!$B:$B,_xlpm.m),_xlpm.c,INDEX(Feed!$G:$G,_xlpm.m),IF(AND(_xlpm.p&gt;0,_xlpm.c&gt;0),_xlpm.p/_xlpm.c-1,"")),"")</f>
        <v>2.7900031436655093E-2</v>
      </c>
      <c r="F82" s="23">
        <f>IF(ISNUMBER(E82),D82*E82,0)</f>
        <v>6.0240352876453839E-5</v>
      </c>
      <c r="G82" s="22">
        <f>IF(ISNUMBER(E82),D82,0)</f>
        <v>2.1591499999999999E-3</v>
      </c>
      <c r="H82" t="s">
        <v>40</v>
      </c>
      <c r="I82" s="21">
        <v>46288</v>
      </c>
    </row>
    <row r="83" spans="1:9" x14ac:dyDescent="0.15">
      <c r="A83" t="s">
        <v>36</v>
      </c>
      <c r="B83" t="s">
        <v>278</v>
      </c>
      <c r="C83" t="s">
        <v>279</v>
      </c>
      <c r="D83" s="22">
        <v>2.1333300000000001E-3</v>
      </c>
      <c r="E83" s="22" t="str">
        <f>IFERROR(_xlfn.LET(_xlpm.m,MATCH($B83,Feed!$A:$A,0),_xlpm.p,INDEX(Feed!$B:$B,_xlpm.m),_xlpm.c,INDEX(Feed!$G:$G,_xlpm.m),IF(AND(_xlpm.p&gt;0,_xlpm.c&gt;0),_xlpm.p/_xlpm.c-1,"")),"")</f>
        <v/>
      </c>
      <c r="F83" s="23">
        <f>IF(ISNUMBER(E83),D83*E83,0)</f>
        <v>0</v>
      </c>
      <c r="G83" s="22">
        <f>IF(ISNUMBER(E83),D83,0)</f>
        <v>0</v>
      </c>
      <c r="H83" t="s">
        <v>40</v>
      </c>
      <c r="I83" s="21">
        <v>46288</v>
      </c>
    </row>
    <row r="84" spans="1:9" x14ac:dyDescent="0.15">
      <c r="A84" t="s">
        <v>36</v>
      </c>
      <c r="B84" t="s">
        <v>284</v>
      </c>
      <c r="C84" t="s">
        <v>285</v>
      </c>
      <c r="D84" s="22">
        <v>2.12276E-3</v>
      </c>
      <c r="E84" s="22">
        <f>IFERROR(_xlfn.LET(_xlpm.m,MATCH($B84,Feed!$A:$A,0),_xlpm.p,INDEX(Feed!$B:$B,_xlpm.m),_xlpm.c,INDEX(Feed!$G:$G,_xlpm.m),IF(AND(_xlpm.p&gt;0,_xlpm.c&gt;0),_xlpm.p/_xlpm.c-1,"")),"")</f>
        <v>2.2271375181145636E-2</v>
      </c>
      <c r="F84" s="23">
        <f>IF(ISNUMBER(E84),D84*E84,0)</f>
        <v>4.7276784379528708E-5</v>
      </c>
      <c r="G84" s="22">
        <f>IF(ISNUMBER(E84),D84,0)</f>
        <v>2.12276E-3</v>
      </c>
      <c r="H84" t="s">
        <v>40</v>
      </c>
      <c r="I84" s="21">
        <v>46288</v>
      </c>
    </row>
    <row r="85" spans="1:9" x14ac:dyDescent="0.15">
      <c r="A85" t="s">
        <v>36</v>
      </c>
      <c r="B85" t="s">
        <v>282</v>
      </c>
      <c r="C85" t="s">
        <v>283</v>
      </c>
      <c r="D85" s="22">
        <v>2.1166599999999998E-3</v>
      </c>
      <c r="E85" s="22">
        <f>IFERROR(_xlfn.LET(_xlpm.m,MATCH($B85,Feed!$A:$A,0),_xlpm.p,INDEX(Feed!$B:$B,_xlpm.m),_xlpm.c,INDEX(Feed!$G:$G,_xlpm.m),IF(AND(_xlpm.p&gt;0,_xlpm.c&gt;0),_xlpm.p/_xlpm.c-1,"")),"")</f>
        <v>1.0482025540710094E-2</v>
      </c>
      <c r="F85" s="23">
        <f>IF(ISNUMBER(E85),D85*E85,0)</f>
        <v>2.2186884180999423E-5</v>
      </c>
      <c r="G85" s="22">
        <f>IF(ISNUMBER(E85),D85,0)</f>
        <v>2.1166599999999998E-3</v>
      </c>
      <c r="H85" t="s">
        <v>40</v>
      </c>
      <c r="I85" s="21">
        <v>46288</v>
      </c>
    </row>
    <row r="86" spans="1:9" x14ac:dyDescent="0.15">
      <c r="A86" t="s">
        <v>36</v>
      </c>
      <c r="B86" t="s">
        <v>286</v>
      </c>
      <c r="C86" t="s">
        <v>287</v>
      </c>
      <c r="D86" s="22">
        <v>2.06719E-3</v>
      </c>
      <c r="E86" s="22">
        <f>IFERROR(_xlfn.LET(_xlpm.m,MATCH($B86,Feed!$A:$A,0),_xlpm.p,INDEX(Feed!$B:$B,_xlpm.m),_xlpm.c,INDEX(Feed!$G:$G,_xlpm.m),IF(AND(_xlpm.p&gt;0,_xlpm.c&gt;0),_xlpm.p/_xlpm.c-1,"")),"")</f>
        <v>4.3812851140172748E-2</v>
      </c>
      <c r="F86" s="23">
        <f>IF(ISNUMBER(E86),D86*E86,0)</f>
        <v>9.0569487748453706E-5</v>
      </c>
      <c r="G86" s="22">
        <f>IF(ISNUMBER(E86),D86,0)</f>
        <v>2.06719E-3</v>
      </c>
      <c r="H86" t="s">
        <v>40</v>
      </c>
      <c r="I86" s="21">
        <v>46288</v>
      </c>
    </row>
    <row r="87" spans="1:9" x14ac:dyDescent="0.15">
      <c r="A87" t="s">
        <v>36</v>
      </c>
      <c r="B87" t="s">
        <v>288</v>
      </c>
      <c r="C87" t="s">
        <v>289</v>
      </c>
      <c r="D87" s="22">
        <v>2.0019199999999999E-3</v>
      </c>
      <c r="E87" s="22">
        <f>IFERROR(_xlfn.LET(_xlpm.m,MATCH($B87,Feed!$A:$A,0),_xlpm.p,INDEX(Feed!$B:$B,_xlpm.m),_xlpm.c,INDEX(Feed!$G:$G,_xlpm.m),IF(AND(_xlpm.p&gt;0,_xlpm.c&gt;0),_xlpm.p/_xlpm.c-1,"")),"")</f>
        <v>3.0508872862815117E-2</v>
      </c>
      <c r="F87" s="23">
        <f>IF(ISNUMBER(E87),D87*E87,0)</f>
        <v>6.1076322761526838E-5</v>
      </c>
      <c r="G87" s="22">
        <f>IF(ISNUMBER(E87),D87,0)</f>
        <v>2.0019199999999999E-3</v>
      </c>
      <c r="H87" t="s">
        <v>40</v>
      </c>
      <c r="I87" s="21">
        <v>46288</v>
      </c>
    </row>
    <row r="88" spans="1:9" x14ac:dyDescent="0.15">
      <c r="A88" t="s">
        <v>36</v>
      </c>
      <c r="B88" t="s">
        <v>292</v>
      </c>
      <c r="C88" t="s">
        <v>293</v>
      </c>
      <c r="D88" s="22">
        <v>1.95054E-3</v>
      </c>
      <c r="E88" s="22" t="str">
        <f>IFERROR(_xlfn.LET(_xlpm.m,MATCH($B88,Feed!$A:$A,0),_xlpm.p,INDEX(Feed!$B:$B,_xlpm.m),_xlpm.c,INDEX(Feed!$G:$G,_xlpm.m),IF(AND(_xlpm.p&gt;0,_xlpm.c&gt;0),_xlpm.p/_xlpm.c-1,"")),"")</f>
        <v/>
      </c>
      <c r="F88" s="23">
        <f>IF(ISNUMBER(E88),D88*E88,0)</f>
        <v>0</v>
      </c>
      <c r="G88" s="22">
        <f>IF(ISNUMBER(E88),D88,0)</f>
        <v>0</v>
      </c>
      <c r="H88" t="s">
        <v>40</v>
      </c>
      <c r="I88" s="21">
        <v>46288</v>
      </c>
    </row>
    <row r="89" spans="1:9" x14ac:dyDescent="0.15">
      <c r="A89" t="s">
        <v>36</v>
      </c>
      <c r="B89" t="s">
        <v>294</v>
      </c>
      <c r="C89" t="s">
        <v>295</v>
      </c>
      <c r="D89" s="22">
        <v>1.92972E-3</v>
      </c>
      <c r="E89" s="22" t="str">
        <f>IFERROR(_xlfn.LET(_xlpm.m,MATCH($B89,Feed!$A:$A,0),_xlpm.p,INDEX(Feed!$B:$B,_xlpm.m),_xlpm.c,INDEX(Feed!$G:$G,_xlpm.m),IF(AND(_xlpm.p&gt;0,_xlpm.c&gt;0),_xlpm.p/_xlpm.c-1,"")),"")</f>
        <v/>
      </c>
      <c r="F89" s="23">
        <f>IF(ISNUMBER(E89),D89*E89,0)</f>
        <v>0</v>
      </c>
      <c r="G89" s="22">
        <f>IF(ISNUMBER(E89),D89,0)</f>
        <v>0</v>
      </c>
      <c r="H89" t="s">
        <v>40</v>
      </c>
      <c r="I89" s="21">
        <v>46288</v>
      </c>
    </row>
    <row r="90" spans="1:9" x14ac:dyDescent="0.15">
      <c r="A90" t="s">
        <v>36</v>
      </c>
      <c r="B90" t="s">
        <v>290</v>
      </c>
      <c r="C90" t="s">
        <v>291</v>
      </c>
      <c r="D90" s="22">
        <v>1.9012299999999998E-3</v>
      </c>
      <c r="E90" s="22">
        <f>IFERROR(_xlfn.LET(_xlpm.m,MATCH($B90,Feed!$A:$A,0),_xlpm.p,INDEX(Feed!$B:$B,_xlpm.m),_xlpm.c,INDEX(Feed!$G:$G,_xlpm.m),IF(AND(_xlpm.p&gt;0,_xlpm.c&gt;0),_xlpm.p/_xlpm.c-1,"")),"")</f>
        <v>-1.2844909609895372E-2</v>
      </c>
      <c r="F90" s="23">
        <f>IF(ISNUMBER(E90),D90*E90,0)</f>
        <v>-2.4421127497621377E-5</v>
      </c>
      <c r="G90" s="22">
        <f>IF(ISNUMBER(E90),D90,0)</f>
        <v>1.9012299999999998E-3</v>
      </c>
      <c r="H90" t="s">
        <v>40</v>
      </c>
      <c r="I90" s="21">
        <v>46288</v>
      </c>
    </row>
    <row r="91" spans="1:9" x14ac:dyDescent="0.15">
      <c r="A91" t="s">
        <v>36</v>
      </c>
      <c r="B91" t="s">
        <v>312</v>
      </c>
      <c r="C91" t="s">
        <v>313</v>
      </c>
      <c r="D91" s="22">
        <v>1.8911800000000001E-3</v>
      </c>
      <c r="E91" s="22">
        <f>IFERROR(_xlfn.LET(_xlpm.m,MATCH($B91,Feed!$A:$A,0),_xlpm.p,INDEX(Feed!$B:$B,_xlpm.m),_xlpm.c,INDEX(Feed!$G:$G,_xlpm.m),IF(AND(_xlpm.p&gt;0,_xlpm.c&gt;0),_xlpm.p/_xlpm.c-1,"")),"")</f>
        <v>6.3744754546060101E-2</v>
      </c>
      <c r="F91" s="23">
        <f>IF(ISNUMBER(E91),D91*E91,0)</f>
        <v>1.2055280490241794E-4</v>
      </c>
      <c r="G91" s="22">
        <f>IF(ISNUMBER(E91),D91,0)</f>
        <v>1.8911800000000001E-3</v>
      </c>
      <c r="H91" t="s">
        <v>40</v>
      </c>
      <c r="I91" s="21">
        <v>46288</v>
      </c>
    </row>
    <row r="92" spans="1:9" x14ac:dyDescent="0.15">
      <c r="A92" t="s">
        <v>36</v>
      </c>
      <c r="B92" t="s">
        <v>296</v>
      </c>
      <c r="C92" t="s">
        <v>297</v>
      </c>
      <c r="D92" s="22">
        <v>1.8420900000000002E-3</v>
      </c>
      <c r="E92" s="22">
        <f>IFERROR(_xlfn.LET(_xlpm.m,MATCH($B92,Feed!$A:$A,0),_xlpm.p,INDEX(Feed!$B:$B,_xlpm.m),_xlpm.c,INDEX(Feed!$G:$G,_xlpm.m),IF(AND(_xlpm.p&gt;0,_xlpm.c&gt;0),_xlpm.p/_xlpm.c-1,"")),"")</f>
        <v>-2.1917808219178103E-2</v>
      </c>
      <c r="F92" s="23">
        <f>IF(ISNUMBER(E92),D92*E92,0)</f>
        <v>-4.0374575342465798E-5</v>
      </c>
      <c r="G92" s="22">
        <f>IF(ISNUMBER(E92),D92,0)</f>
        <v>1.8420900000000002E-3</v>
      </c>
      <c r="H92" t="s">
        <v>40</v>
      </c>
      <c r="I92" s="21">
        <v>46288</v>
      </c>
    </row>
    <row r="93" spans="1:9" x14ac:dyDescent="0.15">
      <c r="A93" t="s">
        <v>36</v>
      </c>
      <c r="B93" t="s">
        <v>300</v>
      </c>
      <c r="C93" t="s">
        <v>301</v>
      </c>
      <c r="D93" s="22">
        <v>1.83676E-3</v>
      </c>
      <c r="E93" s="22">
        <f>IFERROR(_xlfn.LET(_xlpm.m,MATCH($B93,Feed!$A:$A,0),_xlpm.p,INDEX(Feed!$B:$B,_xlpm.m),_xlpm.c,INDEX(Feed!$G:$G,_xlpm.m),IF(AND(_xlpm.p&gt;0,_xlpm.c&gt;0),_xlpm.p/_xlpm.c-1,"")),"")</f>
        <v>-9.2871609939237931E-3</v>
      </c>
      <c r="F93" s="23">
        <f>IF(ISNUMBER(E93),D93*E93,0)</f>
        <v>-1.7058285827199465E-5</v>
      </c>
      <c r="G93" s="22">
        <f>IF(ISNUMBER(E93),D93,0)</f>
        <v>1.83676E-3</v>
      </c>
      <c r="H93" t="s">
        <v>40</v>
      </c>
      <c r="I93" s="21">
        <v>46288</v>
      </c>
    </row>
    <row r="94" spans="1:9" x14ac:dyDescent="0.15">
      <c r="A94" t="s">
        <v>36</v>
      </c>
      <c r="B94" t="s">
        <v>308</v>
      </c>
      <c r="C94" t="s">
        <v>309</v>
      </c>
      <c r="D94" s="22">
        <v>1.81953E-3</v>
      </c>
      <c r="E94" s="22">
        <f>IFERROR(_xlfn.LET(_xlpm.m,MATCH($B94,Feed!$A:$A,0),_xlpm.p,INDEX(Feed!$B:$B,_xlpm.m),_xlpm.c,INDEX(Feed!$G:$G,_xlpm.m),IF(AND(_xlpm.p&gt;0,_xlpm.c&gt;0),_xlpm.p/_xlpm.c-1,"")),"")</f>
        <v>1.6385102910316585E-2</v>
      </c>
      <c r="F94" s="23">
        <f>IF(ISNUMBER(E94),D94*E94,0)</f>
        <v>2.9813186298408335E-5</v>
      </c>
      <c r="G94" s="22">
        <f>IF(ISNUMBER(E94),D94,0)</f>
        <v>1.81953E-3</v>
      </c>
      <c r="H94" t="s">
        <v>40</v>
      </c>
      <c r="I94" s="21">
        <v>46288</v>
      </c>
    </row>
    <row r="95" spans="1:9" x14ac:dyDescent="0.15">
      <c r="A95" t="s">
        <v>36</v>
      </c>
      <c r="B95" t="s">
        <v>302</v>
      </c>
      <c r="C95" t="s">
        <v>303</v>
      </c>
      <c r="D95" s="22">
        <v>1.8163299999999999E-3</v>
      </c>
      <c r="E95" s="22">
        <f>IFERROR(_xlfn.LET(_xlpm.m,MATCH($B95,Feed!$A:$A,0),_xlpm.p,INDEX(Feed!$B:$B,_xlpm.m),_xlpm.c,INDEX(Feed!$G:$G,_xlpm.m),IF(AND(_xlpm.p&gt;0,_xlpm.c&gt;0),_xlpm.p/_xlpm.c-1,"")),"")</f>
        <v>-7.1054968913450978E-3</v>
      </c>
      <c r="F95" s="23">
        <f>IF(ISNUMBER(E95),D95*E95,0)</f>
        <v>-1.290592716865684E-5</v>
      </c>
      <c r="G95" s="22">
        <f>IF(ISNUMBER(E95),D95,0)</f>
        <v>1.8163299999999999E-3</v>
      </c>
      <c r="H95" t="s">
        <v>40</v>
      </c>
      <c r="I95" s="21">
        <v>46288</v>
      </c>
    </row>
    <row r="96" spans="1:9" x14ac:dyDescent="0.15">
      <c r="A96" t="s">
        <v>36</v>
      </c>
      <c r="B96" t="s">
        <v>298</v>
      </c>
      <c r="C96" t="s">
        <v>299</v>
      </c>
      <c r="D96" s="22">
        <v>1.79791E-3</v>
      </c>
      <c r="E96" s="22">
        <f>IFERROR(_xlfn.LET(_xlpm.m,MATCH($B96,Feed!$A:$A,0),_xlpm.p,INDEX(Feed!$B:$B,_xlpm.m),_xlpm.c,INDEX(Feed!$G:$G,_xlpm.m),IF(AND(_xlpm.p&gt;0,_xlpm.c&gt;0),_xlpm.p/_xlpm.c-1,"")),"")</f>
        <v>-3.0635188308038241E-2</v>
      </c>
      <c r="F96" s="23">
        <f>IF(ISNUMBER(E96),D96*E96,0)</f>
        <v>-5.5079311410905037E-5</v>
      </c>
      <c r="G96" s="22">
        <f>IF(ISNUMBER(E96),D96,0)</f>
        <v>1.79791E-3</v>
      </c>
      <c r="H96" t="s">
        <v>40</v>
      </c>
      <c r="I96" s="21">
        <v>46288</v>
      </c>
    </row>
    <row r="97" spans="1:9" x14ac:dyDescent="0.15">
      <c r="A97" t="s">
        <v>36</v>
      </c>
      <c r="B97" t="s">
        <v>304</v>
      </c>
      <c r="C97" t="s">
        <v>305</v>
      </c>
      <c r="D97" s="22">
        <v>1.7597399999999999E-3</v>
      </c>
      <c r="E97" s="22">
        <f>IFERROR(_xlfn.LET(_xlpm.m,MATCH($B97,Feed!$A:$A,0),_xlpm.p,INDEX(Feed!$B:$B,_xlpm.m),_xlpm.c,INDEX(Feed!$G:$G,_xlpm.m),IF(AND(_xlpm.p&gt;0,_xlpm.c&gt;0),_xlpm.p/_xlpm.c-1,"")),"")</f>
        <v>-7.7504109910755403E-3</v>
      </c>
      <c r="F97" s="23">
        <f>IF(ISNUMBER(E97),D97*E97,0)</f>
        <v>-1.363870823743527E-5</v>
      </c>
      <c r="G97" s="22">
        <f>IF(ISNUMBER(E97),D97,0)</f>
        <v>1.7597399999999999E-3</v>
      </c>
      <c r="H97" t="s">
        <v>40</v>
      </c>
      <c r="I97" s="21">
        <v>46288</v>
      </c>
    </row>
    <row r="98" spans="1:9" x14ac:dyDescent="0.15">
      <c r="A98" t="s">
        <v>36</v>
      </c>
      <c r="B98" t="s">
        <v>314</v>
      </c>
      <c r="C98" t="s">
        <v>315</v>
      </c>
      <c r="D98" s="22">
        <v>1.73446E-3</v>
      </c>
      <c r="E98" s="22">
        <f>IFERROR(_xlfn.LET(_xlpm.m,MATCH($B98,Feed!$A:$A,0),_xlpm.p,INDEX(Feed!$B:$B,_xlpm.m),_xlpm.c,INDEX(Feed!$G:$G,_xlpm.m),IF(AND(_xlpm.p&gt;0,_xlpm.c&gt;0),_xlpm.p/_xlpm.c-1,"")),"")</f>
        <v>-1.1455551937479602E-2</v>
      </c>
      <c r="F98" s="23">
        <f>IF(ISNUMBER(E98),D98*E98,0)</f>
        <v>-1.986919661348087E-5</v>
      </c>
      <c r="G98" s="22">
        <f>IF(ISNUMBER(E98),D98,0)</f>
        <v>1.73446E-3</v>
      </c>
      <c r="H98" t="s">
        <v>40</v>
      </c>
      <c r="I98" s="21">
        <v>46288</v>
      </c>
    </row>
    <row r="99" spans="1:9" x14ac:dyDescent="0.15">
      <c r="A99" t="s">
        <v>36</v>
      </c>
      <c r="B99" t="s">
        <v>316</v>
      </c>
      <c r="C99" t="s">
        <v>317</v>
      </c>
      <c r="D99" s="22">
        <v>1.7139299999999998E-3</v>
      </c>
      <c r="E99" s="22">
        <f>IFERROR(_xlfn.LET(_xlpm.m,MATCH($B99,Feed!$A:$A,0),_xlpm.p,INDEX(Feed!$B:$B,_xlpm.m),_xlpm.c,INDEX(Feed!$G:$G,_xlpm.m),IF(AND(_xlpm.p&gt;0,_xlpm.c&gt;0),_xlpm.p/_xlpm.c-1,"")),"")</f>
        <v>-1.2658227848101222E-2</v>
      </c>
      <c r="F99" s="23">
        <f>IF(ISNUMBER(E99),D99*E99,0)</f>
        <v>-2.1695316455696125E-5</v>
      </c>
      <c r="G99" s="22">
        <f>IF(ISNUMBER(E99),D99,0)</f>
        <v>1.7139299999999998E-3</v>
      </c>
      <c r="H99" t="s">
        <v>40</v>
      </c>
      <c r="I99" s="21">
        <v>46288</v>
      </c>
    </row>
    <row r="100" spans="1:9" x14ac:dyDescent="0.15">
      <c r="A100" t="s">
        <v>36</v>
      </c>
      <c r="B100" t="s">
        <v>320</v>
      </c>
      <c r="C100" t="s">
        <v>321</v>
      </c>
      <c r="D100" s="22">
        <v>1.67826E-3</v>
      </c>
      <c r="E100" s="22">
        <f>IFERROR(_xlfn.LET(_xlpm.m,MATCH($B100,Feed!$A:$A,0),_xlpm.p,INDEX(Feed!$B:$B,_xlpm.m),_xlpm.c,INDEX(Feed!$G:$G,_xlpm.m),IF(AND(_xlpm.p&gt;0,_xlpm.c&gt;0),_xlpm.p/_xlpm.c-1,"")),"")</f>
        <v>4.7437806828838358E-3</v>
      </c>
      <c r="F100" s="23">
        <f>IF(ISNUMBER(E100),D100*E100,0)</f>
        <v>7.9612973688566257E-6</v>
      </c>
      <c r="G100" s="22">
        <f>IF(ISNUMBER(E100),D100,0)</f>
        <v>1.67826E-3</v>
      </c>
      <c r="H100" t="s">
        <v>40</v>
      </c>
      <c r="I100" s="21">
        <v>46288</v>
      </c>
    </row>
    <row r="101" spans="1:9" x14ac:dyDescent="0.15">
      <c r="A101" t="s">
        <v>36</v>
      </c>
      <c r="B101" t="s">
        <v>318</v>
      </c>
      <c r="C101" t="s">
        <v>319</v>
      </c>
      <c r="D101" s="22">
        <v>1.6647300000000001E-3</v>
      </c>
      <c r="E101" s="22">
        <f>IFERROR(_xlfn.LET(_xlpm.m,MATCH($B101,Feed!$A:$A,0),_xlpm.p,INDEX(Feed!$B:$B,_xlpm.m),_xlpm.c,INDEX(Feed!$G:$G,_xlpm.m),IF(AND(_xlpm.p&gt;0,_xlpm.c&gt;0),_xlpm.p/_xlpm.c-1,"")),"")</f>
        <v>-1.9099504727600247E-2</v>
      </c>
      <c r="F101" s="23">
        <f>IF(ISNUMBER(E101),D101*E101,0)</f>
        <v>-3.1795518505177965E-5</v>
      </c>
      <c r="G101" s="22">
        <f>IF(ISNUMBER(E101),D101,0)</f>
        <v>1.6647300000000001E-3</v>
      </c>
      <c r="H101" t="s">
        <v>40</v>
      </c>
      <c r="I101" s="21">
        <v>46288</v>
      </c>
    </row>
    <row r="102" spans="1:9" x14ac:dyDescent="0.15">
      <c r="A102" t="s">
        <v>36</v>
      </c>
      <c r="B102" t="s">
        <v>328</v>
      </c>
      <c r="C102" t="s">
        <v>329</v>
      </c>
      <c r="D102" s="22">
        <v>1.64237E-3</v>
      </c>
      <c r="E102" s="22">
        <f>IFERROR(_xlfn.LET(_xlpm.m,MATCH($B102,Feed!$A:$A,0),_xlpm.p,INDEX(Feed!$B:$B,_xlpm.m),_xlpm.c,INDEX(Feed!$G:$G,_xlpm.m),IF(AND(_xlpm.p&gt;0,_xlpm.c&gt;0),_xlpm.p/_xlpm.c-1,"")),"")</f>
        <v>1.8650319497116818E-2</v>
      </c>
      <c r="F102" s="23">
        <f>IF(ISNUMBER(E102),D102*E102,0)</f>
        <v>3.0630725232479746E-5</v>
      </c>
      <c r="G102" s="22">
        <f>IF(ISNUMBER(E102),D102,0)</f>
        <v>1.64237E-3</v>
      </c>
      <c r="H102" t="s">
        <v>40</v>
      </c>
      <c r="I102" s="21">
        <v>46288</v>
      </c>
    </row>
    <row r="103" spans="1:9" x14ac:dyDescent="0.15">
      <c r="A103" t="s">
        <v>36</v>
      </c>
      <c r="B103" t="s">
        <v>306</v>
      </c>
      <c r="C103" t="s">
        <v>307</v>
      </c>
      <c r="D103" s="22">
        <v>1.6335399999999999E-3</v>
      </c>
      <c r="E103" s="22">
        <f>IFERROR(_xlfn.LET(_xlpm.m,MATCH($B103,Feed!$A:$A,0),_xlpm.p,INDEX(Feed!$B:$B,_xlpm.m),_xlpm.c,INDEX(Feed!$G:$G,_xlpm.m),IF(AND(_xlpm.p&gt;0,_xlpm.c&gt;0),_xlpm.p/_xlpm.c-1,"")),"")</f>
        <v>-8.1009202381792877E-2</v>
      </c>
      <c r="F103" s="23">
        <f>IF(ISNUMBER(E103),D103*E103,0)</f>
        <v>-1.3233177245875393E-4</v>
      </c>
      <c r="G103" s="22">
        <f>IF(ISNUMBER(E103),D103,0)</f>
        <v>1.6335399999999999E-3</v>
      </c>
      <c r="H103" t="s">
        <v>40</v>
      </c>
      <c r="I103" s="21">
        <v>46288</v>
      </c>
    </row>
    <row r="104" spans="1:9" x14ac:dyDescent="0.15">
      <c r="A104" t="s">
        <v>36</v>
      </c>
      <c r="B104" t="s">
        <v>310</v>
      </c>
      <c r="C104" t="s">
        <v>311</v>
      </c>
      <c r="D104" s="22">
        <v>1.6226699999999999E-3</v>
      </c>
      <c r="E104" s="22" t="str">
        <f>IFERROR(_xlfn.LET(_xlpm.m,MATCH($B104,Feed!$A:$A,0),_xlpm.p,INDEX(Feed!$B:$B,_xlpm.m),_xlpm.c,INDEX(Feed!$G:$G,_xlpm.m),IF(AND(_xlpm.p&gt;0,_xlpm.c&gt;0),_xlpm.p/_xlpm.c-1,"")),"")</f>
        <v/>
      </c>
      <c r="F104" s="23">
        <f>IF(ISNUMBER(E104),D104*E104,0)</f>
        <v>0</v>
      </c>
      <c r="G104" s="22">
        <f>IF(ISNUMBER(E104),D104,0)</f>
        <v>0</v>
      </c>
      <c r="H104" t="s">
        <v>40</v>
      </c>
      <c r="I104" s="21">
        <v>46288</v>
      </c>
    </row>
    <row r="105" spans="1:9" x14ac:dyDescent="0.15">
      <c r="A105" t="s">
        <v>36</v>
      </c>
      <c r="B105" t="s">
        <v>322</v>
      </c>
      <c r="C105" t="s">
        <v>323</v>
      </c>
      <c r="D105" s="22">
        <v>1.6210899999999999E-3</v>
      </c>
      <c r="E105" s="22">
        <f>IFERROR(_xlfn.LET(_xlpm.m,MATCH($B105,Feed!$A:$A,0),_xlpm.p,INDEX(Feed!$B:$B,_xlpm.m),_xlpm.c,INDEX(Feed!$G:$G,_xlpm.m),IF(AND(_xlpm.p&gt;0,_xlpm.c&gt;0),_xlpm.p/_xlpm.c-1,"")),"")</f>
        <v>-6.8871960763852158E-3</v>
      </c>
      <c r="F105" s="23">
        <f>IF(ISNUMBER(E105),D105*E105,0)</f>
        <v>-1.1164764687467309E-5</v>
      </c>
      <c r="G105" s="22">
        <f>IF(ISNUMBER(E105),D105,0)</f>
        <v>1.6210899999999999E-3</v>
      </c>
      <c r="H105" t="s">
        <v>40</v>
      </c>
      <c r="I105" s="21">
        <v>46288</v>
      </c>
    </row>
    <row r="106" spans="1:9" x14ac:dyDescent="0.15">
      <c r="A106" t="s">
        <v>36</v>
      </c>
      <c r="B106" t="s">
        <v>332</v>
      </c>
      <c r="C106" t="s">
        <v>333</v>
      </c>
      <c r="D106" s="22">
        <v>1.6049700000000001E-3</v>
      </c>
      <c r="E106" s="22">
        <f>IFERROR(_xlfn.LET(_xlpm.m,MATCH($B106,Feed!$A:$A,0),_xlpm.p,INDEX(Feed!$B:$B,_xlpm.m),_xlpm.c,INDEX(Feed!$G:$G,_xlpm.m),IF(AND(_xlpm.p&gt;0,_xlpm.c&gt;0),_xlpm.p/_xlpm.c-1,"")),"")</f>
        <v>3.1559114460668836E-2</v>
      </c>
      <c r="F106" s="23">
        <f>IF(ISNUMBER(E106),D106*E106,0)</f>
        <v>5.0651431935939666E-5</v>
      </c>
      <c r="G106" s="22">
        <f>IF(ISNUMBER(E106),D106,0)</f>
        <v>1.6049700000000001E-3</v>
      </c>
      <c r="H106" t="s">
        <v>40</v>
      </c>
      <c r="I106" s="21">
        <v>46288</v>
      </c>
    </row>
    <row r="107" spans="1:9" x14ac:dyDescent="0.15">
      <c r="A107" t="s">
        <v>36</v>
      </c>
      <c r="B107" t="s">
        <v>330</v>
      </c>
      <c r="C107" t="s">
        <v>331</v>
      </c>
      <c r="D107" s="22">
        <v>1.6008300000000001E-3</v>
      </c>
      <c r="E107" s="22">
        <f>IFERROR(_xlfn.LET(_xlpm.m,MATCH($B107,Feed!$A:$A,0),_xlpm.p,INDEX(Feed!$B:$B,_xlpm.m),_xlpm.c,INDEX(Feed!$G:$G,_xlpm.m),IF(AND(_xlpm.p&gt;0,_xlpm.c&gt;0),_xlpm.p/_xlpm.c-1,"")),"")</f>
        <v>-5.8255290907751611E-3</v>
      </c>
      <c r="F107" s="23">
        <f>IF(ISNUMBER(E107),D107*E107,0)</f>
        <v>-9.3256817343856028E-6</v>
      </c>
      <c r="G107" s="22">
        <f>IF(ISNUMBER(E107),D107,0)</f>
        <v>1.6008300000000001E-3</v>
      </c>
      <c r="H107" t="s">
        <v>40</v>
      </c>
      <c r="I107" s="21">
        <v>46288</v>
      </c>
    </row>
    <row r="108" spans="1:9" x14ac:dyDescent="0.15">
      <c r="A108" t="s">
        <v>36</v>
      </c>
      <c r="B108" t="s">
        <v>336</v>
      </c>
      <c r="C108" t="s">
        <v>337</v>
      </c>
      <c r="D108" s="22">
        <v>1.59352E-3</v>
      </c>
      <c r="E108" s="22">
        <f>IFERROR(_xlfn.LET(_xlpm.m,MATCH($B108,Feed!$A:$A,0),_xlpm.p,INDEX(Feed!$B:$B,_xlpm.m),_xlpm.c,INDEX(Feed!$G:$G,_xlpm.m),IF(AND(_xlpm.p&gt;0,_xlpm.c&gt;0),_xlpm.p/_xlpm.c-1,"")),"")</f>
        <v>4.0117416829745567E-2</v>
      </c>
      <c r="F108" s="23">
        <f>IF(ISNUMBER(E108),D108*E108,0)</f>
        <v>6.3927906066536157E-5</v>
      </c>
      <c r="G108" s="22">
        <f>IF(ISNUMBER(E108),D108,0)</f>
        <v>1.59352E-3</v>
      </c>
      <c r="H108" t="s">
        <v>40</v>
      </c>
      <c r="I108" s="21">
        <v>46288</v>
      </c>
    </row>
    <row r="109" spans="1:9" x14ac:dyDescent="0.15">
      <c r="A109" t="s">
        <v>36</v>
      </c>
      <c r="B109" t="s">
        <v>326</v>
      </c>
      <c r="C109" t="s">
        <v>327</v>
      </c>
      <c r="D109" s="22">
        <v>1.58603E-3</v>
      </c>
      <c r="E109" s="22">
        <f>IFERROR(_xlfn.LET(_xlpm.m,MATCH($B109,Feed!$A:$A,0),_xlpm.p,INDEX(Feed!$B:$B,_xlpm.m),_xlpm.c,INDEX(Feed!$G:$G,_xlpm.m),IF(AND(_xlpm.p&gt;0,_xlpm.c&gt;0),_xlpm.p/_xlpm.c-1,"")),"")</f>
        <v>-2.0698188908470416E-2</v>
      </c>
      <c r="F109" s="23">
        <f>IF(ISNUMBER(E109),D109*E109,0)</f>
        <v>-3.2827948554501333E-5</v>
      </c>
      <c r="G109" s="22">
        <f>IF(ISNUMBER(E109),D109,0)</f>
        <v>1.58603E-3</v>
      </c>
      <c r="H109" t="s">
        <v>40</v>
      </c>
      <c r="I109" s="21">
        <v>46288</v>
      </c>
    </row>
    <row r="110" spans="1:9" x14ac:dyDescent="0.15">
      <c r="A110" t="s">
        <v>36</v>
      </c>
      <c r="B110" t="s">
        <v>340</v>
      </c>
      <c r="C110" t="s">
        <v>341</v>
      </c>
      <c r="D110" s="22">
        <v>1.5640699999999999E-3</v>
      </c>
      <c r="E110" s="22">
        <f>IFERROR(_xlfn.LET(_xlpm.m,MATCH($B110,Feed!$A:$A,0),_xlpm.p,INDEX(Feed!$B:$B,_xlpm.m),_xlpm.c,INDEX(Feed!$G:$G,_xlpm.m),IF(AND(_xlpm.p&gt;0,_xlpm.c&gt;0),_xlpm.p/_xlpm.c-1,"")),"")</f>
        <v>3.7127694988936089E-2</v>
      </c>
      <c r="F110" s="23">
        <f>IF(ISNUMBER(E110),D110*E110,0)</f>
        <v>5.8070313901345263E-5</v>
      </c>
      <c r="G110" s="22">
        <f>IF(ISNUMBER(E110),D110,0)</f>
        <v>1.5640699999999999E-3</v>
      </c>
      <c r="H110" t="s">
        <v>40</v>
      </c>
      <c r="I110" s="21">
        <v>46288</v>
      </c>
    </row>
    <row r="111" spans="1:9" x14ac:dyDescent="0.15">
      <c r="A111" t="s">
        <v>36</v>
      </c>
      <c r="B111" t="s">
        <v>338</v>
      </c>
      <c r="C111" t="s">
        <v>339</v>
      </c>
      <c r="D111" s="22">
        <v>1.5507099999999998E-3</v>
      </c>
      <c r="E111" s="22">
        <f>IFERROR(_xlfn.LET(_xlpm.m,MATCH($B111,Feed!$A:$A,0),_xlpm.p,INDEX(Feed!$B:$B,_xlpm.m),_xlpm.c,INDEX(Feed!$G:$G,_xlpm.m),IF(AND(_xlpm.p&gt;0,_xlpm.c&gt;0),_xlpm.p/_xlpm.c-1,"")),"")</f>
        <v>1.8956153890127503E-2</v>
      </c>
      <c r="F111" s="23">
        <f>IF(ISNUMBER(E111),D111*E111,0)</f>
        <v>2.9395497398959618E-5</v>
      </c>
      <c r="G111" s="22">
        <f>IF(ISNUMBER(E111),D111,0)</f>
        <v>1.5507099999999998E-3</v>
      </c>
      <c r="H111" t="s">
        <v>40</v>
      </c>
      <c r="I111" s="21">
        <v>46288</v>
      </c>
    </row>
    <row r="112" spans="1:9" x14ac:dyDescent="0.15">
      <c r="A112" t="s">
        <v>36</v>
      </c>
      <c r="B112" t="s">
        <v>324</v>
      </c>
      <c r="C112" t="s">
        <v>325</v>
      </c>
      <c r="D112" s="22">
        <v>1.5294099999999999E-3</v>
      </c>
      <c r="E112" s="22" t="str">
        <f>IFERROR(_xlfn.LET(_xlpm.m,MATCH($B112,Feed!$A:$A,0),_xlpm.p,INDEX(Feed!$B:$B,_xlpm.m),_xlpm.c,INDEX(Feed!$G:$G,_xlpm.m),IF(AND(_xlpm.p&gt;0,_xlpm.c&gt;0),_xlpm.p/_xlpm.c-1,"")),"")</f>
        <v/>
      </c>
      <c r="F112" s="23">
        <f>IF(ISNUMBER(E112),D112*E112,0)</f>
        <v>0</v>
      </c>
      <c r="G112" s="22">
        <f>IF(ISNUMBER(E112),D112,0)</f>
        <v>0</v>
      </c>
      <c r="H112" t="s">
        <v>40</v>
      </c>
      <c r="I112" s="21">
        <v>46288</v>
      </c>
    </row>
    <row r="113" spans="1:9" x14ac:dyDescent="0.15">
      <c r="A113" t="s">
        <v>36</v>
      </c>
      <c r="B113" t="s">
        <v>334</v>
      </c>
      <c r="C113" t="s">
        <v>335</v>
      </c>
      <c r="D113" s="22">
        <v>1.5207599999999999E-3</v>
      </c>
      <c r="E113" s="22">
        <f>IFERROR(_xlfn.LET(_xlpm.m,MATCH($B113,Feed!$A:$A,0),_xlpm.p,INDEX(Feed!$B:$B,_xlpm.m),_xlpm.c,INDEX(Feed!$G:$G,_xlpm.m),IF(AND(_xlpm.p&gt;0,_xlpm.c&gt;0),_xlpm.p/_xlpm.c-1,"")),"")</f>
        <v>-2.3538591585928859E-2</v>
      </c>
      <c r="F113" s="23">
        <f>IF(ISNUMBER(E113),D113*E113,0)</f>
        <v>-3.579654854021717E-5</v>
      </c>
      <c r="G113" s="22">
        <f>IF(ISNUMBER(E113),D113,0)</f>
        <v>1.5207599999999999E-3</v>
      </c>
      <c r="H113" t="s">
        <v>40</v>
      </c>
      <c r="I113" s="21">
        <v>46288</v>
      </c>
    </row>
    <row r="114" spans="1:9" x14ac:dyDescent="0.15">
      <c r="A114" t="s">
        <v>36</v>
      </c>
      <c r="B114" t="s">
        <v>354</v>
      </c>
      <c r="C114" t="s">
        <v>355</v>
      </c>
      <c r="D114" s="22">
        <v>1.4696400000000001E-3</v>
      </c>
      <c r="E114" s="22">
        <f>IFERROR(_xlfn.LET(_xlpm.m,MATCH($B114,Feed!$A:$A,0),_xlpm.p,INDEX(Feed!$B:$B,_xlpm.m),_xlpm.c,INDEX(Feed!$G:$G,_xlpm.m),IF(AND(_xlpm.p&gt;0,_xlpm.c&gt;0),_xlpm.p/_xlpm.c-1,"")),"")</f>
        <v>3.4217993657152501E-2</v>
      </c>
      <c r="F114" s="23">
        <f>IF(ISNUMBER(E114),D114*E114,0)</f>
        <v>5.0288132198297607E-5</v>
      </c>
      <c r="G114" s="22">
        <f>IF(ISNUMBER(E114),D114,0)</f>
        <v>1.4696400000000001E-3</v>
      </c>
      <c r="H114" t="s">
        <v>40</v>
      </c>
      <c r="I114" s="21">
        <v>46288</v>
      </c>
    </row>
    <row r="115" spans="1:9" x14ac:dyDescent="0.15">
      <c r="A115" t="s">
        <v>36</v>
      </c>
      <c r="B115" t="s">
        <v>346</v>
      </c>
      <c r="C115" t="s">
        <v>347</v>
      </c>
      <c r="D115" s="22">
        <v>1.4638300000000002E-3</v>
      </c>
      <c r="E115" s="22">
        <f>IFERROR(_xlfn.LET(_xlpm.m,MATCH($B115,Feed!$A:$A,0),_xlpm.p,INDEX(Feed!$B:$B,_xlpm.m),_xlpm.c,INDEX(Feed!$G:$G,_xlpm.m),IF(AND(_xlpm.p&gt;0,_xlpm.c&gt;0),_xlpm.p/_xlpm.c-1,"")),"")</f>
        <v>-4.326473339569592E-3</v>
      </c>
      <c r="F115" s="23">
        <f>IF(ISNUMBER(E115),D115*E115,0)</f>
        <v>-6.3332214686621563E-6</v>
      </c>
      <c r="G115" s="22">
        <f>IF(ISNUMBER(E115),D115,0)</f>
        <v>1.4638300000000002E-3</v>
      </c>
      <c r="H115" t="s">
        <v>40</v>
      </c>
      <c r="I115" s="21">
        <v>46288</v>
      </c>
    </row>
    <row r="116" spans="1:9" x14ac:dyDescent="0.15">
      <c r="A116" t="s">
        <v>36</v>
      </c>
      <c r="B116" t="s">
        <v>350</v>
      </c>
      <c r="C116" t="s">
        <v>351</v>
      </c>
      <c r="D116" s="22">
        <v>1.4582400000000002E-3</v>
      </c>
      <c r="E116" s="22" t="str">
        <f>IFERROR(_xlfn.LET(_xlpm.m,MATCH($B116,Feed!$A:$A,0),_xlpm.p,INDEX(Feed!$B:$B,_xlpm.m),_xlpm.c,INDEX(Feed!$G:$G,_xlpm.m),IF(AND(_xlpm.p&gt;0,_xlpm.c&gt;0),_xlpm.p/_xlpm.c-1,"")),"")</f>
        <v/>
      </c>
      <c r="F116" s="23">
        <f>IF(ISNUMBER(E116),D116*E116,0)</f>
        <v>0</v>
      </c>
      <c r="G116" s="22">
        <f>IF(ISNUMBER(E116),D116,0)</f>
        <v>0</v>
      </c>
      <c r="H116" t="s">
        <v>40</v>
      </c>
      <c r="I116" s="21">
        <v>46288</v>
      </c>
    </row>
    <row r="117" spans="1:9" x14ac:dyDescent="0.15">
      <c r="A117" t="s">
        <v>36</v>
      </c>
      <c r="B117" t="s">
        <v>352</v>
      </c>
      <c r="C117" t="s">
        <v>353</v>
      </c>
      <c r="D117" s="22">
        <v>1.44187E-3</v>
      </c>
      <c r="E117" s="22" t="str">
        <f>IFERROR(_xlfn.LET(_xlpm.m,MATCH($B117,Feed!$A:$A,0),_xlpm.p,INDEX(Feed!$B:$B,_xlpm.m),_xlpm.c,INDEX(Feed!$G:$G,_xlpm.m),IF(AND(_xlpm.p&gt;0,_xlpm.c&gt;0),_xlpm.p/_xlpm.c-1,"")),"")</f>
        <v/>
      </c>
      <c r="F117" s="23">
        <f>IF(ISNUMBER(E117),D117*E117,0)</f>
        <v>0</v>
      </c>
      <c r="G117" s="22">
        <f>IF(ISNUMBER(E117),D117,0)</f>
        <v>0</v>
      </c>
      <c r="H117" t="s">
        <v>40</v>
      </c>
      <c r="I117" s="21">
        <v>46288</v>
      </c>
    </row>
    <row r="118" spans="1:9" x14ac:dyDescent="0.15">
      <c r="A118" t="s">
        <v>36</v>
      </c>
      <c r="B118" t="s">
        <v>356</v>
      </c>
      <c r="C118" t="s">
        <v>357</v>
      </c>
      <c r="D118" s="22">
        <v>1.43754E-3</v>
      </c>
      <c r="E118" s="22" t="str">
        <f>IFERROR(_xlfn.LET(_xlpm.m,MATCH($B118,Feed!$A:$A,0),_xlpm.p,INDEX(Feed!$B:$B,_xlpm.m),_xlpm.c,INDEX(Feed!$G:$G,_xlpm.m),IF(AND(_xlpm.p&gt;0,_xlpm.c&gt;0),_xlpm.p/_xlpm.c-1,"")),"")</f>
        <v/>
      </c>
      <c r="F118" s="23">
        <f>IF(ISNUMBER(E118),D118*E118,0)</f>
        <v>0</v>
      </c>
      <c r="G118" s="22">
        <f>IF(ISNUMBER(E118),D118,0)</f>
        <v>0</v>
      </c>
      <c r="H118" t="s">
        <v>40</v>
      </c>
      <c r="I118" s="21">
        <v>46288</v>
      </c>
    </row>
    <row r="119" spans="1:9" x14ac:dyDescent="0.15">
      <c r="A119" t="s">
        <v>36</v>
      </c>
      <c r="B119" t="s">
        <v>348</v>
      </c>
      <c r="C119" t="s">
        <v>349</v>
      </c>
      <c r="D119" s="22">
        <v>1.43497E-3</v>
      </c>
      <c r="E119" s="22">
        <f>IFERROR(_xlfn.LET(_xlpm.m,MATCH($B119,Feed!$A:$A,0),_xlpm.p,INDEX(Feed!$B:$B,_xlpm.m),_xlpm.c,INDEX(Feed!$G:$G,_xlpm.m),IF(AND(_xlpm.p&gt;0,_xlpm.c&gt;0),_xlpm.p/_xlpm.c-1,"")),"")</f>
        <v>-1.0904332654848581E-4</v>
      </c>
      <c r="F119" s="23">
        <f>IF(ISNUMBER(E119),D119*E119,0)</f>
        <v>-1.5647390229728068E-7</v>
      </c>
      <c r="G119" s="22">
        <f>IF(ISNUMBER(E119),D119,0)</f>
        <v>1.43497E-3</v>
      </c>
      <c r="H119" t="s">
        <v>40</v>
      </c>
      <c r="I119" s="21">
        <v>46288</v>
      </c>
    </row>
    <row r="120" spans="1:9" x14ac:dyDescent="0.15">
      <c r="A120" t="s">
        <v>36</v>
      </c>
      <c r="B120" t="s">
        <v>342</v>
      </c>
      <c r="C120" t="s">
        <v>343</v>
      </c>
      <c r="D120" s="22">
        <v>1.4339800000000001E-3</v>
      </c>
      <c r="E120" s="22">
        <f>IFERROR(_xlfn.LET(_xlpm.m,MATCH($B120,Feed!$A:$A,0),_xlpm.p,INDEX(Feed!$B:$B,_xlpm.m),_xlpm.c,INDEX(Feed!$G:$G,_xlpm.m),IF(AND(_xlpm.p&gt;0,_xlpm.c&gt;0),_xlpm.p/_xlpm.c-1,"")),"")</f>
        <v>-3.1882902793377133E-2</v>
      </c>
      <c r="F120" s="23">
        <f>IF(ISNUMBER(E120),D120*E120,0)</f>
        <v>-4.5719444947646945E-5</v>
      </c>
      <c r="G120" s="22">
        <f>IF(ISNUMBER(E120),D120,0)</f>
        <v>1.4339800000000001E-3</v>
      </c>
      <c r="H120" t="s">
        <v>40</v>
      </c>
      <c r="I120" s="21">
        <v>46288</v>
      </c>
    </row>
    <row r="121" spans="1:9" x14ac:dyDescent="0.15">
      <c r="A121" t="s">
        <v>36</v>
      </c>
      <c r="B121" t="s">
        <v>344</v>
      </c>
      <c r="C121" t="s">
        <v>345</v>
      </c>
      <c r="D121" s="22">
        <v>1.41347E-3</v>
      </c>
      <c r="E121" s="22">
        <f>IFERROR(_xlfn.LET(_xlpm.m,MATCH($B121,Feed!$A:$A,0),_xlpm.p,INDEX(Feed!$B:$B,_xlpm.m),_xlpm.c,INDEX(Feed!$G:$G,_xlpm.m),IF(AND(_xlpm.p&gt;0,_xlpm.c&gt;0),_xlpm.p/_xlpm.c-1,"")),"")</f>
        <v>-4.2142053671862412E-2</v>
      </c>
      <c r="F121" s="23">
        <f>IF(ISNUMBER(E121),D121*E121,0)</f>
        <v>-5.9566528603567363E-5</v>
      </c>
      <c r="G121" s="22">
        <f>IF(ISNUMBER(E121),D121,0)</f>
        <v>1.41347E-3</v>
      </c>
      <c r="H121" t="s">
        <v>40</v>
      </c>
      <c r="I121" s="21">
        <v>46288</v>
      </c>
    </row>
    <row r="122" spans="1:9" x14ac:dyDescent="0.15">
      <c r="A122" t="s">
        <v>36</v>
      </c>
      <c r="B122" t="s">
        <v>358</v>
      </c>
      <c r="C122" t="s">
        <v>359</v>
      </c>
      <c r="D122" s="22">
        <v>1.3910800000000001E-3</v>
      </c>
      <c r="E122" s="22">
        <f>IFERROR(_xlfn.LET(_xlpm.m,MATCH($B122,Feed!$A:$A,0),_xlpm.p,INDEX(Feed!$B:$B,_xlpm.m),_xlpm.c,INDEX(Feed!$G:$G,_xlpm.m),IF(AND(_xlpm.p&gt;0,_xlpm.c&gt;0),_xlpm.p/_xlpm.c-1,"")),"")</f>
        <v>-7.2023047375159299E-3</v>
      </c>
      <c r="F122" s="23">
        <f>IF(ISNUMBER(E122),D122*E122,0)</f>
        <v>-1.001898207426366E-5</v>
      </c>
      <c r="G122" s="22">
        <f>IF(ISNUMBER(E122),D122,0)</f>
        <v>1.3910800000000001E-3</v>
      </c>
      <c r="H122" t="s">
        <v>40</v>
      </c>
      <c r="I122" s="21">
        <v>46288</v>
      </c>
    </row>
    <row r="123" spans="1:9" x14ac:dyDescent="0.15">
      <c r="A123" t="s">
        <v>36</v>
      </c>
      <c r="B123" t="s">
        <v>360</v>
      </c>
      <c r="C123" t="s">
        <v>361</v>
      </c>
      <c r="D123" s="22">
        <v>1.3839799999999999E-3</v>
      </c>
      <c r="E123" s="22" t="str">
        <f>IFERROR(_xlfn.LET(_xlpm.m,MATCH($B123,Feed!$A:$A,0),_xlpm.p,INDEX(Feed!$B:$B,_xlpm.m),_xlpm.c,INDEX(Feed!$G:$G,_xlpm.m),IF(AND(_xlpm.p&gt;0,_xlpm.c&gt;0),_xlpm.p/_xlpm.c-1,"")),"")</f>
        <v/>
      </c>
      <c r="F123" s="23">
        <f>IF(ISNUMBER(E123),D123*E123,0)</f>
        <v>0</v>
      </c>
      <c r="G123" s="22">
        <f>IF(ISNUMBER(E123),D123,0)</f>
        <v>0</v>
      </c>
      <c r="H123" t="s">
        <v>40</v>
      </c>
      <c r="I123" s="21">
        <v>46288</v>
      </c>
    </row>
    <row r="124" spans="1:9" x14ac:dyDescent="0.15">
      <c r="A124" t="s">
        <v>36</v>
      </c>
      <c r="B124" t="s">
        <v>362</v>
      </c>
      <c r="C124" t="s">
        <v>363</v>
      </c>
      <c r="D124" s="22">
        <v>1.35911E-3</v>
      </c>
      <c r="E124" s="22" t="str">
        <f>IFERROR(_xlfn.LET(_xlpm.m,MATCH($B124,Feed!$A:$A,0),_xlpm.p,INDEX(Feed!$B:$B,_xlpm.m),_xlpm.c,INDEX(Feed!$G:$G,_xlpm.m),IF(AND(_xlpm.p&gt;0,_xlpm.c&gt;0),_xlpm.p/_xlpm.c-1,"")),"")</f>
        <v/>
      </c>
      <c r="F124" s="23">
        <f>IF(ISNUMBER(E124),D124*E124,0)</f>
        <v>0</v>
      </c>
      <c r="G124" s="22">
        <f>IF(ISNUMBER(E124),D124,0)</f>
        <v>0</v>
      </c>
      <c r="H124" t="s">
        <v>40</v>
      </c>
      <c r="I124" s="21">
        <v>46288</v>
      </c>
    </row>
    <row r="125" spans="1:9" x14ac:dyDescent="0.15">
      <c r="A125" t="s">
        <v>36</v>
      </c>
      <c r="B125" t="s">
        <v>364</v>
      </c>
      <c r="C125" t="s">
        <v>365</v>
      </c>
      <c r="D125" s="22">
        <v>1.3556099999999999E-3</v>
      </c>
      <c r="E125" s="22">
        <f>IFERROR(_xlfn.LET(_xlpm.m,MATCH($B125,Feed!$A:$A,0),_xlpm.p,INDEX(Feed!$B:$B,_xlpm.m),_xlpm.c,INDEX(Feed!$G:$G,_xlpm.m),IF(AND(_xlpm.p&gt;0,_xlpm.c&gt;0),_xlpm.p/_xlpm.c-1,"")),"")</f>
        <v>-1.0380328426784602E-2</v>
      </c>
      <c r="F125" s="23">
        <f>IF(ISNUMBER(E125),D125*E125,0)</f>
        <v>-1.4071677018633473E-5</v>
      </c>
      <c r="G125" s="22">
        <f>IF(ISNUMBER(E125),D125,0)</f>
        <v>1.3556099999999999E-3</v>
      </c>
      <c r="H125" t="s">
        <v>40</v>
      </c>
      <c r="I125" s="21">
        <v>46288</v>
      </c>
    </row>
    <row r="126" spans="1:9" x14ac:dyDescent="0.15">
      <c r="A126" t="s">
        <v>36</v>
      </c>
      <c r="B126" t="s">
        <v>366</v>
      </c>
      <c r="C126" t="s">
        <v>367</v>
      </c>
      <c r="D126" s="22">
        <v>1.3411100000000002E-3</v>
      </c>
      <c r="E126" s="22">
        <f>IFERROR(_xlfn.LET(_xlpm.m,MATCH($B126,Feed!$A:$A,0),_xlpm.p,INDEX(Feed!$B:$B,_xlpm.m),_xlpm.c,INDEX(Feed!$G:$G,_xlpm.m),IF(AND(_xlpm.p&gt;0,_xlpm.c&gt;0),_xlpm.p/_xlpm.c-1,"")),"")</f>
        <v>-1.8766055645055846E-2</v>
      </c>
      <c r="F126" s="23">
        <f>IF(ISNUMBER(E126),D126*E126,0)</f>
        <v>-2.5167344886140847E-5</v>
      </c>
      <c r="G126" s="22">
        <f>IF(ISNUMBER(E126),D126,0)</f>
        <v>1.3411100000000002E-3</v>
      </c>
      <c r="H126" t="s">
        <v>40</v>
      </c>
      <c r="I126" s="21">
        <v>46288</v>
      </c>
    </row>
    <row r="127" spans="1:9" x14ac:dyDescent="0.15">
      <c r="A127" t="s">
        <v>36</v>
      </c>
      <c r="B127" t="s">
        <v>388</v>
      </c>
      <c r="C127" t="s">
        <v>389</v>
      </c>
      <c r="D127" s="22">
        <v>1.3311400000000002E-3</v>
      </c>
      <c r="E127" s="22">
        <f>IFERROR(_xlfn.LET(_xlpm.m,MATCH($B127,Feed!$A:$A,0),_xlpm.p,INDEX(Feed!$B:$B,_xlpm.m),_xlpm.c,INDEX(Feed!$G:$G,_xlpm.m),IF(AND(_xlpm.p&gt;0,_xlpm.c&gt;0),_xlpm.p/_xlpm.c-1,"")),"")</f>
        <v>6.588262026877878E-2</v>
      </c>
      <c r="F127" s="23">
        <f>IF(ISNUMBER(E127),D127*E127,0)</f>
        <v>8.7698991144582192E-5</v>
      </c>
      <c r="G127" s="22">
        <f>IF(ISNUMBER(E127),D127,0)</f>
        <v>1.3311400000000002E-3</v>
      </c>
      <c r="H127" t="s">
        <v>40</v>
      </c>
      <c r="I127" s="21">
        <v>46288</v>
      </c>
    </row>
    <row r="128" spans="1:9" x14ac:dyDescent="0.15">
      <c r="A128" t="s">
        <v>36</v>
      </c>
      <c r="B128" t="s">
        <v>378</v>
      </c>
      <c r="C128" t="s">
        <v>379</v>
      </c>
      <c r="D128" s="22">
        <v>1.3236000000000001E-3</v>
      </c>
      <c r="E128" s="22">
        <f>IFERROR(_xlfn.LET(_xlpm.m,MATCH($B128,Feed!$A:$A,0),_xlpm.p,INDEX(Feed!$B:$B,_xlpm.m),_xlpm.c,INDEX(Feed!$G:$G,_xlpm.m),IF(AND(_xlpm.p&gt;0,_xlpm.c&gt;0),_xlpm.p/_xlpm.c-1,"")),"")</f>
        <v>2.393914014517029E-2</v>
      </c>
      <c r="F128" s="23">
        <f>IF(ISNUMBER(E128),D128*E128,0)</f>
        <v>3.1685845896147398E-5</v>
      </c>
      <c r="G128" s="22">
        <f>IF(ISNUMBER(E128),D128,0)</f>
        <v>1.3236000000000001E-3</v>
      </c>
      <c r="H128" t="s">
        <v>40</v>
      </c>
      <c r="I128" s="21">
        <v>46288</v>
      </c>
    </row>
    <row r="129" spans="1:9" x14ac:dyDescent="0.15">
      <c r="A129" t="s">
        <v>36</v>
      </c>
      <c r="B129" t="s">
        <v>368</v>
      </c>
      <c r="C129" t="s">
        <v>369</v>
      </c>
      <c r="D129" s="22">
        <v>1.30616E-3</v>
      </c>
      <c r="E129" s="22">
        <f>IFERROR(_xlfn.LET(_xlpm.m,MATCH($B129,Feed!$A:$A,0),_xlpm.p,INDEX(Feed!$B:$B,_xlpm.m),_xlpm.c,INDEX(Feed!$G:$G,_xlpm.m),IF(AND(_xlpm.p&gt;0,_xlpm.c&gt;0),_xlpm.p/_xlpm.c-1,"")),"")</f>
        <v>-2.736156351791541E-2</v>
      </c>
      <c r="F129" s="23">
        <f>IF(ISNUMBER(E129),D129*E129,0)</f>
        <v>-3.5738579804560391E-5</v>
      </c>
      <c r="G129" s="22">
        <f>IF(ISNUMBER(E129),D129,0)</f>
        <v>1.30616E-3</v>
      </c>
      <c r="H129" t="s">
        <v>40</v>
      </c>
      <c r="I129" s="21">
        <v>46288</v>
      </c>
    </row>
    <row r="130" spans="1:9" x14ac:dyDescent="0.15">
      <c r="A130" t="s">
        <v>36</v>
      </c>
      <c r="B130" t="s">
        <v>380</v>
      </c>
      <c r="C130" t="s">
        <v>381</v>
      </c>
      <c r="D130" s="22">
        <v>1.3028100000000002E-3</v>
      </c>
      <c r="E130" s="22">
        <f>IFERROR(_xlfn.LET(_xlpm.m,MATCH($B130,Feed!$A:$A,0),_xlpm.p,INDEX(Feed!$B:$B,_xlpm.m),_xlpm.c,INDEX(Feed!$G:$G,_xlpm.m),IF(AND(_xlpm.p&gt;0,_xlpm.c&gt;0),_xlpm.p/_xlpm.c-1,"")),"")</f>
        <v>2.624719645996243E-2</v>
      </c>
      <c r="F130" s="23">
        <f>IF(ISNUMBER(E130),D130*E130,0)</f>
        <v>3.419511002000366E-5</v>
      </c>
      <c r="G130" s="22">
        <f>IF(ISNUMBER(E130),D130,0)</f>
        <v>1.3028100000000002E-3</v>
      </c>
      <c r="H130" t="s">
        <v>40</v>
      </c>
      <c r="I130" s="21">
        <v>46288</v>
      </c>
    </row>
    <row r="131" spans="1:9" x14ac:dyDescent="0.15">
      <c r="A131" t="s">
        <v>36</v>
      </c>
      <c r="B131" t="s">
        <v>370</v>
      </c>
      <c r="C131" t="s">
        <v>371</v>
      </c>
      <c r="D131" s="22">
        <v>1.3023000000000002E-3</v>
      </c>
      <c r="E131" s="22">
        <f>IFERROR(_xlfn.LET(_xlpm.m,MATCH($B131,Feed!$A:$A,0),_xlpm.p,INDEX(Feed!$B:$B,_xlpm.m),_xlpm.c,INDEX(Feed!$G:$G,_xlpm.m),IF(AND(_xlpm.p&gt;0,_xlpm.c&gt;0),_xlpm.p/_xlpm.c-1,"")),"")</f>
        <v>-2.073244920306605E-2</v>
      </c>
      <c r="F131" s="23">
        <f>IF(ISNUMBER(E131),D131*E131,0)</f>
        <v>-2.699986859715292E-5</v>
      </c>
      <c r="G131" s="22">
        <f>IF(ISNUMBER(E131),D131,0)</f>
        <v>1.3023000000000002E-3</v>
      </c>
      <c r="H131" t="s">
        <v>40</v>
      </c>
      <c r="I131" s="21">
        <v>46288</v>
      </c>
    </row>
    <row r="132" spans="1:9" x14ac:dyDescent="0.15">
      <c r="A132" t="s">
        <v>36</v>
      </c>
      <c r="B132" t="s">
        <v>372</v>
      </c>
      <c r="C132" t="s">
        <v>373</v>
      </c>
      <c r="D132" s="22">
        <v>1.29867E-3</v>
      </c>
      <c r="E132" s="22" t="str">
        <f>IFERROR(_xlfn.LET(_xlpm.m,MATCH($B132,Feed!$A:$A,0),_xlpm.p,INDEX(Feed!$B:$B,_xlpm.m),_xlpm.c,INDEX(Feed!$G:$G,_xlpm.m),IF(AND(_xlpm.p&gt;0,_xlpm.c&gt;0),_xlpm.p/_xlpm.c-1,"")),"")</f>
        <v/>
      </c>
      <c r="F132" s="23">
        <f>IF(ISNUMBER(E132),D132*E132,0)</f>
        <v>0</v>
      </c>
      <c r="G132" s="22">
        <f>IF(ISNUMBER(E132),D132,0)</f>
        <v>0</v>
      </c>
      <c r="H132" t="s">
        <v>40</v>
      </c>
      <c r="I132" s="21">
        <v>46288</v>
      </c>
    </row>
    <row r="133" spans="1:9" x14ac:dyDescent="0.15">
      <c r="A133" t="s">
        <v>36</v>
      </c>
      <c r="B133" t="s">
        <v>382</v>
      </c>
      <c r="C133" t="s">
        <v>383</v>
      </c>
      <c r="D133" s="22">
        <v>1.2972700000000001E-3</v>
      </c>
      <c r="E133" s="22">
        <f>IFERROR(_xlfn.LET(_xlpm.m,MATCH($B133,Feed!$A:$A,0),_xlpm.p,INDEX(Feed!$B:$B,_xlpm.m),_xlpm.c,INDEX(Feed!$G:$G,_xlpm.m),IF(AND(_xlpm.p&gt;0,_xlpm.c&gt;0),_xlpm.p/_xlpm.c-1,"")),"")</f>
        <v>3.435279337285535E-2</v>
      </c>
      <c r="F133" s="23">
        <f>IF(ISNUMBER(E133),D133*E133,0)</f>
        <v>4.4564848258804061E-5</v>
      </c>
      <c r="G133" s="22">
        <f>IF(ISNUMBER(E133),D133,0)</f>
        <v>1.2972700000000001E-3</v>
      </c>
      <c r="H133" t="s">
        <v>40</v>
      </c>
      <c r="I133" s="21">
        <v>46288</v>
      </c>
    </row>
    <row r="134" spans="1:9" x14ac:dyDescent="0.15">
      <c r="A134" t="s">
        <v>36</v>
      </c>
      <c r="B134" t="s">
        <v>376</v>
      </c>
      <c r="C134" t="s">
        <v>377</v>
      </c>
      <c r="D134" s="22">
        <v>1.2878999999999998E-3</v>
      </c>
      <c r="E134" s="22">
        <f>IFERROR(_xlfn.LET(_xlpm.m,MATCH($B134,Feed!$A:$A,0),_xlpm.p,INDEX(Feed!$B:$B,_xlpm.m),_xlpm.c,INDEX(Feed!$G:$G,_xlpm.m),IF(AND(_xlpm.p&gt;0,_xlpm.c&gt;0),_xlpm.p/_xlpm.c-1,"")),"")</f>
        <v>-1.0828025477707004E-2</v>
      </c>
      <c r="F134" s="23">
        <f>IF(ISNUMBER(E134),D134*E134,0)</f>
        <v>-1.3945414012738849E-5</v>
      </c>
      <c r="G134" s="22">
        <f>IF(ISNUMBER(E134),D134,0)</f>
        <v>1.2878999999999998E-3</v>
      </c>
      <c r="H134" t="s">
        <v>40</v>
      </c>
      <c r="I134" s="21">
        <v>46288</v>
      </c>
    </row>
    <row r="135" spans="1:9" x14ac:dyDescent="0.15">
      <c r="A135" t="s">
        <v>36</v>
      </c>
      <c r="B135" t="s">
        <v>386</v>
      </c>
      <c r="C135" t="s">
        <v>387</v>
      </c>
      <c r="D135" s="22">
        <v>1.2832499999999999E-3</v>
      </c>
      <c r="E135" s="22">
        <f>IFERROR(_xlfn.LET(_xlpm.m,MATCH($B135,Feed!$A:$A,0),_xlpm.p,INDEX(Feed!$B:$B,_xlpm.m),_xlpm.c,INDEX(Feed!$G:$G,_xlpm.m),IF(AND(_xlpm.p&gt;0,_xlpm.c&gt;0),_xlpm.p/_xlpm.c-1,"")),"")</f>
        <v>2.8481856990394849E-2</v>
      </c>
      <c r="F135" s="23">
        <f>IF(ISNUMBER(E135),D135*E135,0)</f>
        <v>3.6549342982924185E-5</v>
      </c>
      <c r="G135" s="22">
        <f>IF(ISNUMBER(E135),D135,0)</f>
        <v>1.2832499999999999E-3</v>
      </c>
      <c r="H135" t="s">
        <v>40</v>
      </c>
      <c r="I135" s="21">
        <v>46288</v>
      </c>
    </row>
    <row r="136" spans="1:9" x14ac:dyDescent="0.15">
      <c r="A136" t="s">
        <v>36</v>
      </c>
      <c r="B136" t="s">
        <v>374</v>
      </c>
      <c r="C136" t="s">
        <v>375</v>
      </c>
      <c r="D136" s="22">
        <v>1.28297E-3</v>
      </c>
      <c r="E136" s="22">
        <f>IFERROR(_xlfn.LET(_xlpm.m,MATCH($B136,Feed!$A:$A,0),_xlpm.p,INDEX(Feed!$B:$B,_xlpm.m),_xlpm.c,INDEX(Feed!$G:$G,_xlpm.m),IF(AND(_xlpm.p&gt;0,_xlpm.c&gt;0),_xlpm.p/_xlpm.c-1,"")),"")</f>
        <v>-1.6337557084968091E-2</v>
      </c>
      <c r="F136" s="23">
        <f>IF(ISNUMBER(E136),D136*E136,0)</f>
        <v>-2.096059561330151E-5</v>
      </c>
      <c r="G136" s="22">
        <f>IF(ISNUMBER(E136),D136,0)</f>
        <v>1.28297E-3</v>
      </c>
      <c r="H136" t="s">
        <v>40</v>
      </c>
      <c r="I136" s="21">
        <v>46288</v>
      </c>
    </row>
    <row r="137" spans="1:9" x14ac:dyDescent="0.15">
      <c r="A137" t="s">
        <v>36</v>
      </c>
      <c r="B137" t="s">
        <v>392</v>
      </c>
      <c r="C137" t="s">
        <v>393</v>
      </c>
      <c r="D137" s="22">
        <v>1.2520300000000001E-3</v>
      </c>
      <c r="E137" s="22">
        <f>IFERROR(_xlfn.LET(_xlpm.m,MATCH($B137,Feed!$A:$A,0),_xlpm.p,INDEX(Feed!$B:$B,_xlpm.m),_xlpm.c,INDEX(Feed!$G:$G,_xlpm.m),IF(AND(_xlpm.p&gt;0,_xlpm.c&gt;0),_xlpm.p/_xlpm.c-1,"")),"")</f>
        <v>1.5855453266159003E-2</v>
      </c>
      <c r="F137" s="23">
        <f>IF(ISNUMBER(E137),D137*E137,0)</f>
        <v>1.985150315282906E-5</v>
      </c>
      <c r="G137" s="22">
        <f>IF(ISNUMBER(E137),D137,0)</f>
        <v>1.2520300000000001E-3</v>
      </c>
      <c r="H137" t="s">
        <v>40</v>
      </c>
      <c r="I137" s="21">
        <v>46288</v>
      </c>
    </row>
    <row r="138" spans="1:9" x14ac:dyDescent="0.15">
      <c r="A138" t="s">
        <v>36</v>
      </c>
      <c r="B138" t="s">
        <v>408</v>
      </c>
      <c r="C138" t="s">
        <v>409</v>
      </c>
      <c r="D138" s="22">
        <v>1.24676E-3</v>
      </c>
      <c r="E138" s="22">
        <f>IFERROR(_xlfn.LET(_xlpm.m,MATCH($B138,Feed!$A:$A,0),_xlpm.p,INDEX(Feed!$B:$B,_xlpm.m),_xlpm.c,INDEX(Feed!$G:$G,_xlpm.m),IF(AND(_xlpm.p&gt;0,_xlpm.c&gt;0),_xlpm.p/_xlpm.c-1,"")),"")</f>
        <v>7.0873100035348191E-2</v>
      </c>
      <c r="F138" s="23">
        <f>IF(ISNUMBER(E138),D138*E138,0)</f>
        <v>8.8361746200070704E-5</v>
      </c>
      <c r="G138" s="22">
        <f>IF(ISNUMBER(E138),D138,0)</f>
        <v>1.24676E-3</v>
      </c>
      <c r="H138" t="s">
        <v>40</v>
      </c>
      <c r="I138" s="21">
        <v>46288</v>
      </c>
    </row>
    <row r="139" spans="1:9" x14ac:dyDescent="0.15">
      <c r="A139" t="s">
        <v>36</v>
      </c>
      <c r="B139" t="s">
        <v>412</v>
      </c>
      <c r="C139" t="s">
        <v>413</v>
      </c>
      <c r="D139" s="22">
        <v>1.2386000000000001E-3</v>
      </c>
      <c r="E139" s="22">
        <f>IFERROR(_xlfn.LET(_xlpm.m,MATCH($B139,Feed!$A:$A,0),_xlpm.p,INDEX(Feed!$B:$B,_xlpm.m),_xlpm.c,INDEX(Feed!$G:$G,_xlpm.m),IF(AND(_xlpm.p&gt;0,_xlpm.c&gt;0),_xlpm.p/_xlpm.c-1,"")),"")</f>
        <v>7.4939109255393266E-2</v>
      </c>
      <c r="F139" s="23">
        <f>IF(ISNUMBER(E139),D139*E139,0)</f>
        <v>9.2819580723730111E-5</v>
      </c>
      <c r="G139" s="22">
        <f>IF(ISNUMBER(E139),D139,0)</f>
        <v>1.2386000000000001E-3</v>
      </c>
      <c r="H139" t="s">
        <v>40</v>
      </c>
      <c r="I139" s="21">
        <v>46288</v>
      </c>
    </row>
    <row r="140" spans="1:9" x14ac:dyDescent="0.15">
      <c r="A140" t="s">
        <v>36</v>
      </c>
      <c r="B140" t="s">
        <v>394</v>
      </c>
      <c r="C140" t="s">
        <v>395</v>
      </c>
      <c r="D140" s="22">
        <v>1.2235200000000001E-3</v>
      </c>
      <c r="E140" s="22">
        <f>IFERROR(_xlfn.LET(_xlpm.m,MATCH($B140,Feed!$A:$A,0),_xlpm.p,INDEX(Feed!$B:$B,_xlpm.m),_xlpm.c,INDEX(Feed!$G:$G,_xlpm.m),IF(AND(_xlpm.p&gt;0,_xlpm.c&gt;0),_xlpm.p/_xlpm.c-1,"")),"")</f>
        <v>1.3047476721462337E-2</v>
      </c>
      <c r="F140" s="23">
        <f>IF(ISNUMBER(E140),D140*E140,0)</f>
        <v>1.5963848718243599E-5</v>
      </c>
      <c r="G140" s="22">
        <f>IF(ISNUMBER(E140),D140,0)</f>
        <v>1.2235200000000001E-3</v>
      </c>
      <c r="H140" t="s">
        <v>40</v>
      </c>
      <c r="I140" s="21">
        <v>46288</v>
      </c>
    </row>
    <row r="141" spans="1:9" x14ac:dyDescent="0.15">
      <c r="A141" t="s">
        <v>36</v>
      </c>
      <c r="B141" t="s">
        <v>404</v>
      </c>
      <c r="C141" t="s">
        <v>405</v>
      </c>
      <c r="D141" s="22">
        <v>1.2171199999999999E-3</v>
      </c>
      <c r="E141" s="22">
        <f>IFERROR(_xlfn.LET(_xlpm.m,MATCH($B141,Feed!$A:$A,0),_xlpm.p,INDEX(Feed!$B:$B,_xlpm.m),_xlpm.c,INDEX(Feed!$G:$G,_xlpm.m),IF(AND(_xlpm.p&gt;0,_xlpm.c&gt;0),_xlpm.p/_xlpm.c-1,"")),"")</f>
        <v>4.1260399804238901E-2</v>
      </c>
      <c r="F141" s="23">
        <f>IF(ISNUMBER(E141),D141*E141,0)</f>
        <v>5.0218857809735251E-5</v>
      </c>
      <c r="G141" s="22">
        <f>IF(ISNUMBER(E141),D141,0)</f>
        <v>1.2171199999999999E-3</v>
      </c>
      <c r="H141" t="s">
        <v>40</v>
      </c>
      <c r="I141" s="21">
        <v>46288</v>
      </c>
    </row>
    <row r="142" spans="1:9" x14ac:dyDescent="0.15">
      <c r="A142" t="s">
        <v>36</v>
      </c>
      <c r="B142" t="s">
        <v>384</v>
      </c>
      <c r="C142" t="s">
        <v>385</v>
      </c>
      <c r="D142" s="22">
        <v>1.21243E-3</v>
      </c>
      <c r="E142" s="22">
        <f>IFERROR(_xlfn.LET(_xlpm.m,MATCH($B142,Feed!$A:$A,0),_xlpm.p,INDEX(Feed!$B:$B,_xlpm.m),_xlpm.c,INDEX(Feed!$G:$G,_xlpm.m),IF(AND(_xlpm.p&gt;0,_xlpm.c&gt;0),_xlpm.p/_xlpm.c-1,"")),"")</f>
        <v>-2.8569796011656434E-2</v>
      </c>
      <c r="F142" s="23">
        <f>IF(ISNUMBER(E142),D142*E142,0)</f>
        <v>-3.4638877778412608E-5</v>
      </c>
      <c r="G142" s="22">
        <f>IF(ISNUMBER(E142),D142,0)</f>
        <v>1.21243E-3</v>
      </c>
      <c r="H142" t="s">
        <v>40</v>
      </c>
      <c r="I142" s="21">
        <v>46288</v>
      </c>
    </row>
    <row r="143" spans="1:9" x14ac:dyDescent="0.15">
      <c r="A143" t="s">
        <v>36</v>
      </c>
      <c r="B143" t="s">
        <v>400</v>
      </c>
      <c r="C143" t="s">
        <v>401</v>
      </c>
      <c r="D143" s="22">
        <v>1.20578E-3</v>
      </c>
      <c r="E143" s="22">
        <f>IFERROR(_xlfn.LET(_xlpm.m,MATCH($B143,Feed!$A:$A,0),_xlpm.p,INDEX(Feed!$B:$B,_xlpm.m),_xlpm.c,INDEX(Feed!$G:$G,_xlpm.m),IF(AND(_xlpm.p&gt;0,_xlpm.c&gt;0),_xlpm.p/_xlpm.c-1,"")),"")</f>
        <v>6.5832784726782556E-4</v>
      </c>
      <c r="F143" s="23">
        <f>IF(ISNUMBER(E143),D143*E143,0)</f>
        <v>7.9379855167859871E-7</v>
      </c>
      <c r="G143" s="22">
        <f>IF(ISNUMBER(E143),D143,0)</f>
        <v>1.20578E-3</v>
      </c>
      <c r="H143" t="s">
        <v>40</v>
      </c>
      <c r="I143" s="21">
        <v>46288</v>
      </c>
    </row>
    <row r="144" spans="1:9" x14ac:dyDescent="0.15">
      <c r="A144" t="s">
        <v>36</v>
      </c>
      <c r="B144" t="s">
        <v>390</v>
      </c>
      <c r="C144" t="s">
        <v>391</v>
      </c>
      <c r="D144" s="22">
        <v>1.1932399999999999E-3</v>
      </c>
      <c r="E144" s="22">
        <f>IFERROR(_xlfn.LET(_xlpm.m,MATCH($B144,Feed!$A:$A,0),_xlpm.p,INDEX(Feed!$B:$B,_xlpm.m),_xlpm.c,INDEX(Feed!$G:$G,_xlpm.m),IF(AND(_xlpm.p&gt;0,_xlpm.c&gt;0),_xlpm.p/_xlpm.c-1,"")),"")</f>
        <v>-3.6610706157854889E-2</v>
      </c>
      <c r="F144" s="23">
        <f>IF(ISNUMBER(E144),D144*E144,0)</f>
        <v>-4.3685359015798765E-5</v>
      </c>
      <c r="G144" s="22">
        <f>IF(ISNUMBER(E144),D144,0)</f>
        <v>1.1932399999999999E-3</v>
      </c>
      <c r="H144" t="s">
        <v>40</v>
      </c>
      <c r="I144" s="21">
        <v>46288</v>
      </c>
    </row>
    <row r="145" spans="1:9" x14ac:dyDescent="0.15">
      <c r="A145" t="s">
        <v>36</v>
      </c>
      <c r="B145" t="s">
        <v>398</v>
      </c>
      <c r="C145" t="s">
        <v>399</v>
      </c>
      <c r="D145" s="22">
        <v>1.1838999999999999E-3</v>
      </c>
      <c r="E145" s="22">
        <f>IFERROR(_xlfn.LET(_xlpm.m,MATCH($B145,Feed!$A:$A,0),_xlpm.p,INDEX(Feed!$B:$B,_xlpm.m),_xlpm.c,INDEX(Feed!$G:$G,_xlpm.m),IF(AND(_xlpm.p&gt;0,_xlpm.c&gt;0),_xlpm.p/_xlpm.c-1,"")),"")</f>
        <v>-1.2752858399296407E-2</v>
      </c>
      <c r="F145" s="23">
        <f>IF(ISNUMBER(E145),D145*E145,0)</f>
        <v>-1.5098109058927015E-5</v>
      </c>
      <c r="G145" s="22">
        <f>IF(ISNUMBER(E145),D145,0)</f>
        <v>1.1838999999999999E-3</v>
      </c>
      <c r="H145" t="s">
        <v>40</v>
      </c>
      <c r="I145" s="21">
        <v>46288</v>
      </c>
    </row>
    <row r="146" spans="1:9" x14ac:dyDescent="0.15">
      <c r="A146" t="s">
        <v>36</v>
      </c>
      <c r="B146" t="s">
        <v>414</v>
      </c>
      <c r="C146" t="s">
        <v>415</v>
      </c>
      <c r="D146" s="22">
        <v>1.1759299999999999E-3</v>
      </c>
      <c r="E146" s="22">
        <f>IFERROR(_xlfn.LET(_xlpm.m,MATCH($B146,Feed!$A:$A,0),_xlpm.p,INDEX(Feed!$B:$B,_xlpm.m),_xlpm.c,INDEX(Feed!$G:$G,_xlpm.m),IF(AND(_xlpm.p&gt;0,_xlpm.c&gt;0),_xlpm.p/_xlpm.c-1,"")),"")</f>
        <v>2.4272153914760786E-2</v>
      </c>
      <c r="F146" s="23">
        <f>IF(ISNUMBER(E146),D146*E146,0)</f>
        <v>2.8542353952984651E-5</v>
      </c>
      <c r="G146" s="22">
        <f>IF(ISNUMBER(E146),D146,0)</f>
        <v>1.1759299999999999E-3</v>
      </c>
      <c r="H146" t="s">
        <v>40</v>
      </c>
      <c r="I146" s="21">
        <v>46288</v>
      </c>
    </row>
    <row r="147" spans="1:9" x14ac:dyDescent="0.15">
      <c r="A147" t="s">
        <v>36</v>
      </c>
      <c r="B147" t="s">
        <v>396</v>
      </c>
      <c r="C147" t="s">
        <v>397</v>
      </c>
      <c r="D147" s="22">
        <v>1.1715499999999999E-3</v>
      </c>
      <c r="E147" s="22" t="str">
        <f>IFERROR(_xlfn.LET(_xlpm.m,MATCH($B147,Feed!$A:$A,0),_xlpm.p,INDEX(Feed!$B:$B,_xlpm.m),_xlpm.c,INDEX(Feed!$G:$G,_xlpm.m),IF(AND(_xlpm.p&gt;0,_xlpm.c&gt;0),_xlpm.p/_xlpm.c-1,"")),"")</f>
        <v/>
      </c>
      <c r="F147" s="23">
        <f>IF(ISNUMBER(E147),D147*E147,0)</f>
        <v>0</v>
      </c>
      <c r="G147" s="22">
        <f>IF(ISNUMBER(E147),D147,0)</f>
        <v>0</v>
      </c>
      <c r="H147" t="s">
        <v>40</v>
      </c>
      <c r="I147" s="21">
        <v>46288</v>
      </c>
    </row>
    <row r="148" spans="1:9" x14ac:dyDescent="0.15">
      <c r="A148" t="s">
        <v>36</v>
      </c>
      <c r="B148" t="s">
        <v>424</v>
      </c>
      <c r="C148" t="s">
        <v>425</v>
      </c>
      <c r="D148" s="22">
        <v>1.1710800000000001E-3</v>
      </c>
      <c r="E148" s="22">
        <f>IFERROR(_xlfn.LET(_xlpm.m,MATCH($B148,Feed!$A:$A,0),_xlpm.p,INDEX(Feed!$B:$B,_xlpm.m),_xlpm.c,INDEX(Feed!$G:$G,_xlpm.m),IF(AND(_xlpm.p&gt;0,_xlpm.c&gt;0),_xlpm.p/_xlpm.c-1,"")),"")</f>
        <v>6.3043873548588092E-2</v>
      </c>
      <c r="F148" s="23">
        <f>IF(ISNUMBER(E148),D148*E148,0)</f>
        <v>7.3829419435280549E-5</v>
      </c>
      <c r="G148" s="22">
        <f>IF(ISNUMBER(E148),D148,0)</f>
        <v>1.1710800000000001E-3</v>
      </c>
      <c r="H148" t="s">
        <v>40</v>
      </c>
      <c r="I148" s="21">
        <v>46288</v>
      </c>
    </row>
    <row r="149" spans="1:9" x14ac:dyDescent="0.15">
      <c r="A149" t="s">
        <v>36</v>
      </c>
      <c r="B149" t="s">
        <v>410</v>
      </c>
      <c r="C149" t="s">
        <v>411</v>
      </c>
      <c r="D149" s="22">
        <v>1.1630899999999999E-3</v>
      </c>
      <c r="E149" s="22">
        <f>IFERROR(_xlfn.LET(_xlpm.m,MATCH($B149,Feed!$A:$A,0),_xlpm.p,INDEX(Feed!$B:$B,_xlpm.m),_xlpm.c,INDEX(Feed!$G:$G,_xlpm.m),IF(AND(_xlpm.p&gt;0,_xlpm.c&gt;0),_xlpm.p/_xlpm.c-1,"")),"")</f>
        <v>3.7797863599013937E-3</v>
      </c>
      <c r="F149" s="23">
        <f>IF(ISNUMBER(E149),D149*E149,0)</f>
        <v>4.3962317173377113E-6</v>
      </c>
      <c r="G149" s="22">
        <f>IF(ISNUMBER(E149),D149,0)</f>
        <v>1.1630899999999999E-3</v>
      </c>
      <c r="H149" t="s">
        <v>40</v>
      </c>
      <c r="I149" s="21">
        <v>46288</v>
      </c>
    </row>
    <row r="150" spans="1:9" x14ac:dyDescent="0.15">
      <c r="A150" t="s">
        <v>36</v>
      </c>
      <c r="B150" t="s">
        <v>448</v>
      </c>
      <c r="C150" t="s">
        <v>449</v>
      </c>
      <c r="D150" s="22">
        <v>1.1567400000000001E-3</v>
      </c>
      <c r="E150" s="22" t="str">
        <f>IFERROR(_xlfn.LET(_xlpm.m,MATCH($B150,Feed!$A:$A,0),_xlpm.p,INDEX(Feed!$B:$B,_xlpm.m),_xlpm.c,INDEX(Feed!$G:$G,_xlpm.m),IF(AND(_xlpm.p&gt;0,_xlpm.c&gt;0),_xlpm.p/_xlpm.c-1,"")),"")</f>
        <v/>
      </c>
      <c r="F150" s="23">
        <f>IF(ISNUMBER(E150),D150*E150,0)</f>
        <v>0</v>
      </c>
      <c r="G150" s="22">
        <f>IF(ISNUMBER(E150),D150,0)</f>
        <v>0</v>
      </c>
      <c r="H150" t="s">
        <v>40</v>
      </c>
      <c r="I150" s="21">
        <v>46288</v>
      </c>
    </row>
    <row r="151" spans="1:9" x14ac:dyDescent="0.15">
      <c r="A151" t="s">
        <v>36</v>
      </c>
      <c r="B151" t="s">
        <v>418</v>
      </c>
      <c r="C151" t="s">
        <v>419</v>
      </c>
      <c r="D151" s="22">
        <v>1.15405E-3</v>
      </c>
      <c r="E151" s="22">
        <f>IFERROR(_xlfn.LET(_xlpm.m,MATCH($B151,Feed!$A:$A,0),_xlpm.p,INDEX(Feed!$B:$B,_xlpm.m),_xlpm.c,INDEX(Feed!$G:$G,_xlpm.m),IF(AND(_xlpm.p&gt;0,_xlpm.c&gt;0),_xlpm.p/_xlpm.c-1,"")),"")</f>
        <v>1.9561815336463173E-2</v>
      </c>
      <c r="F151" s="23">
        <f>IF(ISNUMBER(E151),D151*E151,0)</f>
        <v>2.2575312989045326E-5</v>
      </c>
      <c r="G151" s="22">
        <f>IF(ISNUMBER(E151),D151,0)</f>
        <v>1.15405E-3</v>
      </c>
      <c r="H151" t="s">
        <v>40</v>
      </c>
      <c r="I151" s="21">
        <v>46288</v>
      </c>
    </row>
    <row r="152" spans="1:9" x14ac:dyDescent="0.15">
      <c r="A152" t="s">
        <v>36</v>
      </c>
      <c r="B152" t="s">
        <v>402</v>
      </c>
      <c r="C152" t="s">
        <v>403</v>
      </c>
      <c r="D152" s="22">
        <v>1.15372E-3</v>
      </c>
      <c r="E152" s="22" t="str">
        <f>IFERROR(_xlfn.LET(_xlpm.m,MATCH($B152,Feed!$A:$A,0),_xlpm.p,INDEX(Feed!$B:$B,_xlpm.m),_xlpm.c,INDEX(Feed!$G:$G,_xlpm.m),IF(AND(_xlpm.p&gt;0,_xlpm.c&gt;0),_xlpm.p/_xlpm.c-1,"")),"")</f>
        <v/>
      </c>
      <c r="F152" s="23">
        <f>IF(ISNUMBER(E152),D152*E152,0)</f>
        <v>0</v>
      </c>
      <c r="G152" s="22">
        <f>IF(ISNUMBER(E152),D152,0)</f>
        <v>0</v>
      </c>
      <c r="H152" t="s">
        <v>40</v>
      </c>
      <c r="I152" s="21">
        <v>46288</v>
      </c>
    </row>
    <row r="153" spans="1:9" x14ac:dyDescent="0.15">
      <c r="A153" t="s">
        <v>36</v>
      </c>
      <c r="B153" t="s">
        <v>416</v>
      </c>
      <c r="C153" t="s">
        <v>417</v>
      </c>
      <c r="D153" s="22">
        <v>1.1276300000000001E-3</v>
      </c>
      <c r="E153" s="22">
        <f>IFERROR(_xlfn.LET(_xlpm.m,MATCH($B153,Feed!$A:$A,0),_xlpm.p,INDEX(Feed!$B:$B,_xlpm.m),_xlpm.c,INDEX(Feed!$G:$G,_xlpm.m),IF(AND(_xlpm.p&gt;0,_xlpm.c&gt;0),_xlpm.p/_xlpm.c-1,"")),"")</f>
        <v>-4.295026925676515E-3</v>
      </c>
      <c r="F153" s="23">
        <f>IF(ISNUMBER(E153),D153*E153,0)</f>
        <v>-4.843201212200609E-6</v>
      </c>
      <c r="G153" s="22">
        <f>IF(ISNUMBER(E153),D153,0)</f>
        <v>1.1276300000000001E-3</v>
      </c>
      <c r="H153" t="s">
        <v>40</v>
      </c>
      <c r="I153" s="21">
        <v>46288</v>
      </c>
    </row>
    <row r="154" spans="1:9" x14ac:dyDescent="0.15">
      <c r="A154" t="s">
        <v>36</v>
      </c>
      <c r="B154" t="s">
        <v>406</v>
      </c>
      <c r="C154" t="s">
        <v>407</v>
      </c>
      <c r="D154" s="22">
        <v>1.1266E-3</v>
      </c>
      <c r="E154" s="22" t="str">
        <f>IFERROR(_xlfn.LET(_xlpm.m,MATCH($B154,Feed!$A:$A,0),_xlpm.p,INDEX(Feed!$B:$B,_xlpm.m),_xlpm.c,INDEX(Feed!$G:$G,_xlpm.m),IF(AND(_xlpm.p&gt;0,_xlpm.c&gt;0),_xlpm.p/_xlpm.c-1,"")),"")</f>
        <v/>
      </c>
      <c r="F154" s="23">
        <f>IF(ISNUMBER(E154),D154*E154,0)</f>
        <v>0</v>
      </c>
      <c r="G154" s="22">
        <f>IF(ISNUMBER(E154),D154,0)</f>
        <v>0</v>
      </c>
      <c r="H154" t="s">
        <v>40</v>
      </c>
      <c r="I154" s="21">
        <v>46288</v>
      </c>
    </row>
    <row r="155" spans="1:9" x14ac:dyDescent="0.15">
      <c r="A155" t="s">
        <v>36</v>
      </c>
      <c r="B155" t="s">
        <v>428</v>
      </c>
      <c r="C155" t="s">
        <v>429</v>
      </c>
      <c r="D155" s="22">
        <v>1.11776E-3</v>
      </c>
      <c r="E155" s="22">
        <f>IFERROR(_xlfn.LET(_xlpm.m,MATCH($B155,Feed!$A:$A,0),_xlpm.p,INDEX(Feed!$B:$B,_xlpm.m),_xlpm.c,INDEX(Feed!$G:$G,_xlpm.m),IF(AND(_xlpm.p&gt;0,_xlpm.c&gt;0),_xlpm.p/_xlpm.c-1,"")),"")</f>
        <v>2.3758301374988244E-2</v>
      </c>
      <c r="F155" s="23">
        <f>IF(ISNUMBER(E155),D155*E155,0)</f>
        <v>2.655607894490686E-5</v>
      </c>
      <c r="G155" s="22">
        <f>IF(ISNUMBER(E155),D155,0)</f>
        <v>1.11776E-3</v>
      </c>
      <c r="H155" t="s">
        <v>40</v>
      </c>
      <c r="I155" s="21">
        <v>46288</v>
      </c>
    </row>
    <row r="156" spans="1:9" x14ac:dyDescent="0.15">
      <c r="A156" t="s">
        <v>36</v>
      </c>
      <c r="B156" t="s">
        <v>434</v>
      </c>
      <c r="C156" t="s">
        <v>435</v>
      </c>
      <c r="D156" s="22">
        <v>1.1126E-3</v>
      </c>
      <c r="E156" s="22">
        <f>IFERROR(_xlfn.LET(_xlpm.m,MATCH($B156,Feed!$A:$A,0),_xlpm.p,INDEX(Feed!$B:$B,_xlpm.m),_xlpm.c,INDEX(Feed!$G:$G,_xlpm.m),IF(AND(_xlpm.p&gt;0,_xlpm.c&gt;0),_xlpm.p/_xlpm.c-1,"")),"")</f>
        <v>2.6035920744891916E-2</v>
      </c>
      <c r="F156" s="23">
        <f>IF(ISNUMBER(E156),D156*E156,0)</f>
        <v>2.8967565420766748E-5</v>
      </c>
      <c r="G156" s="22">
        <f>IF(ISNUMBER(E156),D156,0)</f>
        <v>1.1126E-3</v>
      </c>
      <c r="H156" t="s">
        <v>40</v>
      </c>
      <c r="I156" s="21">
        <v>46288</v>
      </c>
    </row>
    <row r="157" spans="1:9" x14ac:dyDescent="0.15">
      <c r="A157" t="s">
        <v>36</v>
      </c>
      <c r="B157" t="s">
        <v>436</v>
      </c>
      <c r="C157" t="s">
        <v>437</v>
      </c>
      <c r="D157" s="22">
        <v>1.1102600000000001E-3</v>
      </c>
      <c r="E157" s="22">
        <f>IFERROR(_xlfn.LET(_xlpm.m,MATCH($B157,Feed!$A:$A,0),_xlpm.p,INDEX(Feed!$B:$B,_xlpm.m),_xlpm.c,INDEX(Feed!$G:$G,_xlpm.m),IF(AND(_xlpm.p&gt;0,_xlpm.c&gt;0),_xlpm.p/_xlpm.c-1,"")),"")</f>
        <v>2.7971202643691573E-2</v>
      </c>
      <c r="F157" s="23">
        <f>IF(ISNUMBER(E157),D157*E157,0)</f>
        <v>3.1055307447185007E-5</v>
      </c>
      <c r="G157" s="22">
        <f>IF(ISNUMBER(E157),D157,0)</f>
        <v>1.1102600000000001E-3</v>
      </c>
      <c r="H157" t="s">
        <v>40</v>
      </c>
      <c r="I157" s="21">
        <v>46288</v>
      </c>
    </row>
    <row r="158" spans="1:9" x14ac:dyDescent="0.15">
      <c r="A158" t="s">
        <v>36</v>
      </c>
      <c r="B158" t="s">
        <v>420</v>
      </c>
      <c r="C158" t="s">
        <v>421</v>
      </c>
      <c r="D158" s="22">
        <v>1.0936299999999999E-3</v>
      </c>
      <c r="E158" s="22">
        <f>IFERROR(_xlfn.LET(_xlpm.m,MATCH($B158,Feed!$A:$A,0),_xlpm.p,INDEX(Feed!$B:$B,_xlpm.m),_xlpm.c,INDEX(Feed!$G:$G,_xlpm.m),IF(AND(_xlpm.p&gt;0,_xlpm.c&gt;0),_xlpm.p/_xlpm.c-1,"")),"")</f>
        <v>-3.6261526728142535E-2</v>
      </c>
      <c r="F158" s="23">
        <f>IF(ISNUMBER(E158),D158*E158,0)</f>
        <v>-3.9656693475698518E-5</v>
      </c>
      <c r="G158" s="22">
        <f>IF(ISNUMBER(E158),D158,0)</f>
        <v>1.0936299999999999E-3</v>
      </c>
      <c r="H158" t="s">
        <v>40</v>
      </c>
      <c r="I158" s="21">
        <v>46288</v>
      </c>
    </row>
    <row r="159" spans="1:9" x14ac:dyDescent="0.15">
      <c r="A159" t="s">
        <v>36</v>
      </c>
      <c r="B159" t="s">
        <v>438</v>
      </c>
      <c r="C159" t="s">
        <v>439</v>
      </c>
      <c r="D159" s="22">
        <v>1.0923899999999999E-3</v>
      </c>
      <c r="E159" s="22">
        <f>IFERROR(_xlfn.LET(_xlpm.m,MATCH($B159,Feed!$A:$A,0),_xlpm.p,INDEX(Feed!$B:$B,_xlpm.m),_xlpm.c,INDEX(Feed!$G:$G,_xlpm.m),IF(AND(_xlpm.p&gt;0,_xlpm.c&gt;0),_xlpm.p/_xlpm.c-1,"")),"")</f>
        <v>1.5206812652068136E-2</v>
      </c>
      <c r="F159" s="23">
        <f>IF(ISNUMBER(E159),D159*E159,0)</f>
        <v>1.6611770072992709E-5</v>
      </c>
      <c r="G159" s="22">
        <f>IF(ISNUMBER(E159),D159,0)</f>
        <v>1.0923899999999999E-3</v>
      </c>
      <c r="H159" t="s">
        <v>40</v>
      </c>
      <c r="I159" s="21">
        <v>46288</v>
      </c>
    </row>
    <row r="160" spans="1:9" x14ac:dyDescent="0.15">
      <c r="A160" t="s">
        <v>36</v>
      </c>
      <c r="B160" t="s">
        <v>430</v>
      </c>
      <c r="C160" t="s">
        <v>431</v>
      </c>
      <c r="D160" s="22">
        <v>1.08098E-3</v>
      </c>
      <c r="E160" s="22">
        <f>IFERROR(_xlfn.LET(_xlpm.m,MATCH($B160,Feed!$A:$A,0),_xlpm.p,INDEX(Feed!$B:$B,_xlpm.m),_xlpm.c,INDEX(Feed!$G:$G,_xlpm.m),IF(AND(_xlpm.p&gt;0,_xlpm.c&gt;0),_xlpm.p/_xlpm.c-1,"")),"")</f>
        <v>-5.5943039814005946E-3</v>
      </c>
      <c r="F160" s="23">
        <f>IF(ISNUMBER(E160),D160*E160,0)</f>
        <v>-6.0473307178144146E-6</v>
      </c>
      <c r="G160" s="22">
        <f>IF(ISNUMBER(E160),D160,0)</f>
        <v>1.08098E-3</v>
      </c>
      <c r="H160" t="s">
        <v>40</v>
      </c>
      <c r="I160" s="21">
        <v>46288</v>
      </c>
    </row>
    <row r="161" spans="1:9" x14ac:dyDescent="0.15">
      <c r="A161" t="s">
        <v>36</v>
      </c>
      <c r="B161" t="s">
        <v>432</v>
      </c>
      <c r="C161" t="s">
        <v>433</v>
      </c>
      <c r="D161" s="22">
        <v>1.08077E-3</v>
      </c>
      <c r="E161" s="22">
        <f>IFERROR(_xlfn.LET(_xlpm.m,MATCH($B161,Feed!$A:$A,0),_xlpm.p,INDEX(Feed!$B:$B,_xlpm.m),_xlpm.c,INDEX(Feed!$G:$G,_xlpm.m),IF(AND(_xlpm.p&gt;0,_xlpm.c&gt;0),_xlpm.p/_xlpm.c-1,"")),"")</f>
        <v>-1.503057945475228E-3</v>
      </c>
      <c r="F161" s="23">
        <f>IF(ISNUMBER(E161),D161*E161,0)</f>
        <v>-1.6244599357312621E-6</v>
      </c>
      <c r="G161" s="22">
        <f>IF(ISNUMBER(E161),D161,0)</f>
        <v>1.08077E-3</v>
      </c>
      <c r="H161" t="s">
        <v>40</v>
      </c>
      <c r="I161" s="21">
        <v>46288</v>
      </c>
    </row>
    <row r="162" spans="1:9" x14ac:dyDescent="0.15">
      <c r="A162" t="s">
        <v>36</v>
      </c>
      <c r="B162" t="s">
        <v>426</v>
      </c>
      <c r="C162" t="s">
        <v>427</v>
      </c>
      <c r="D162" s="22">
        <v>1.08055E-3</v>
      </c>
      <c r="E162" s="22">
        <f>IFERROR(_xlfn.LET(_xlpm.m,MATCH($B162,Feed!$A:$A,0),_xlpm.p,INDEX(Feed!$B:$B,_xlpm.m),_xlpm.c,INDEX(Feed!$G:$G,_xlpm.m),IF(AND(_xlpm.p&gt;0,_xlpm.c&gt;0),_xlpm.p/_xlpm.c-1,"")),"")</f>
        <v>-1.1235743945286814E-2</v>
      </c>
      <c r="F162" s="23">
        <f>IF(ISNUMBER(E162),D162*E162,0)</f>
        <v>-1.2140783120079666E-5</v>
      </c>
      <c r="G162" s="22">
        <f>IF(ISNUMBER(E162),D162,0)</f>
        <v>1.08055E-3</v>
      </c>
      <c r="H162" t="s">
        <v>40</v>
      </c>
      <c r="I162" s="21">
        <v>46288</v>
      </c>
    </row>
    <row r="163" spans="1:9" x14ac:dyDescent="0.15">
      <c r="A163" t="s">
        <v>36</v>
      </c>
      <c r="B163" t="s">
        <v>440</v>
      </c>
      <c r="C163" t="s">
        <v>441</v>
      </c>
      <c r="D163" s="22">
        <v>1.0803500000000001E-3</v>
      </c>
      <c r="E163" s="22">
        <f>IFERROR(_xlfn.LET(_xlpm.m,MATCH($B163,Feed!$A:$A,0),_xlpm.p,INDEX(Feed!$B:$B,_xlpm.m),_xlpm.c,INDEX(Feed!$G:$G,_xlpm.m),IF(AND(_xlpm.p&gt;0,_xlpm.c&gt;0),_xlpm.p/_xlpm.c-1,"")),"")</f>
        <v>5.2468550477275944E-3</v>
      </c>
      <c r="F163" s="23">
        <f>IF(ISNUMBER(E163),D163*E163,0)</f>
        <v>5.6684398508125072E-6</v>
      </c>
      <c r="G163" s="22">
        <f>IF(ISNUMBER(E163),D163,0)</f>
        <v>1.0803500000000001E-3</v>
      </c>
      <c r="H163" t="s">
        <v>40</v>
      </c>
      <c r="I163" s="21">
        <v>46288</v>
      </c>
    </row>
    <row r="164" spans="1:9" x14ac:dyDescent="0.15">
      <c r="A164" t="s">
        <v>36</v>
      </c>
      <c r="B164" t="s">
        <v>422</v>
      </c>
      <c r="C164" t="s">
        <v>423</v>
      </c>
      <c r="D164" s="22">
        <v>1.0727200000000001E-3</v>
      </c>
      <c r="E164" s="22" t="str">
        <f>IFERROR(_xlfn.LET(_xlpm.m,MATCH($B164,Feed!$A:$A,0),_xlpm.p,INDEX(Feed!$B:$B,_xlpm.m),_xlpm.c,INDEX(Feed!$G:$G,_xlpm.m),IF(AND(_xlpm.p&gt;0,_xlpm.c&gt;0),_xlpm.p/_xlpm.c-1,"")),"")</f>
        <v/>
      </c>
      <c r="F164" s="23">
        <f>IF(ISNUMBER(E164),D164*E164,0)</f>
        <v>0</v>
      </c>
      <c r="G164" s="22">
        <f>IF(ISNUMBER(E164),D164,0)</f>
        <v>0</v>
      </c>
      <c r="H164" t="s">
        <v>40</v>
      </c>
      <c r="I164" s="21">
        <v>46288</v>
      </c>
    </row>
    <row r="165" spans="1:9" x14ac:dyDescent="0.15">
      <c r="A165" t="s">
        <v>36</v>
      </c>
      <c r="B165" t="s">
        <v>444</v>
      </c>
      <c r="C165" t="s">
        <v>445</v>
      </c>
      <c r="D165" s="22">
        <v>1.0543499999999999E-3</v>
      </c>
      <c r="E165" s="22">
        <f>IFERROR(_xlfn.LET(_xlpm.m,MATCH($B165,Feed!$A:$A,0),_xlpm.p,INDEX(Feed!$B:$B,_xlpm.m),_xlpm.c,INDEX(Feed!$G:$G,_xlpm.m),IF(AND(_xlpm.p&gt;0,_xlpm.c&gt;0),_xlpm.p/_xlpm.c-1,"")),"")</f>
        <v>-5.0929462694171423E-4</v>
      </c>
      <c r="F165" s="23">
        <f>IF(ISNUMBER(E165),D165*E165,0)</f>
        <v>-5.3697478991599639E-7</v>
      </c>
      <c r="G165" s="22">
        <f>IF(ISNUMBER(E165),D165,0)</f>
        <v>1.0543499999999999E-3</v>
      </c>
      <c r="H165" t="s">
        <v>40</v>
      </c>
      <c r="I165" s="21">
        <v>46288</v>
      </c>
    </row>
    <row r="166" spans="1:9" x14ac:dyDescent="0.15">
      <c r="A166" t="s">
        <v>36</v>
      </c>
      <c r="B166" t="s">
        <v>446</v>
      </c>
      <c r="C166" t="s">
        <v>447</v>
      </c>
      <c r="D166" s="22">
        <v>1.0475600000000001E-3</v>
      </c>
      <c r="E166" s="22">
        <f>IFERROR(_xlfn.LET(_xlpm.m,MATCH($B166,Feed!$A:$A,0),_xlpm.p,INDEX(Feed!$B:$B,_xlpm.m),_xlpm.c,INDEX(Feed!$G:$G,_xlpm.m),IF(AND(_xlpm.p&gt;0,_xlpm.c&gt;0),_xlpm.p/_xlpm.c-1,"")),"")</f>
        <v>3.8972607824214744E-3</v>
      </c>
      <c r="F166" s="23">
        <f>IF(ISNUMBER(E166),D166*E166,0)</f>
        <v>4.0826145052334398E-6</v>
      </c>
      <c r="G166" s="22">
        <f>IF(ISNUMBER(E166),D166,0)</f>
        <v>1.0475600000000001E-3</v>
      </c>
      <c r="H166" t="s">
        <v>40</v>
      </c>
      <c r="I166" s="21">
        <v>46288</v>
      </c>
    </row>
    <row r="167" spans="1:9" x14ac:dyDescent="0.15">
      <c r="A167" t="s">
        <v>36</v>
      </c>
      <c r="B167" t="s">
        <v>450</v>
      </c>
      <c r="C167" t="s">
        <v>451</v>
      </c>
      <c r="D167" s="22">
        <v>1.0443900000000001E-3</v>
      </c>
      <c r="E167" s="22">
        <f>IFERROR(_xlfn.LET(_xlpm.m,MATCH($B167,Feed!$A:$A,0),_xlpm.p,INDEX(Feed!$B:$B,_xlpm.m),_xlpm.c,INDEX(Feed!$G:$G,_xlpm.m),IF(AND(_xlpm.p&gt;0,_xlpm.c&gt;0),_xlpm.p/_xlpm.c-1,"")),"")</f>
        <v>1.408480761433184E-3</v>
      </c>
      <c r="F167" s="23">
        <f>IF(ISNUMBER(E167),D167*E167,0)</f>
        <v>1.4710032224332032E-6</v>
      </c>
      <c r="G167" s="22">
        <f>IF(ISNUMBER(E167),D167,0)</f>
        <v>1.0443900000000001E-3</v>
      </c>
      <c r="H167" t="s">
        <v>40</v>
      </c>
      <c r="I167" s="21">
        <v>46288</v>
      </c>
    </row>
    <row r="168" spans="1:9" x14ac:dyDescent="0.15">
      <c r="A168" t="s">
        <v>36</v>
      </c>
      <c r="B168" t="s">
        <v>464</v>
      </c>
      <c r="C168" t="s">
        <v>465</v>
      </c>
      <c r="D168" s="22">
        <v>1.0395000000000001E-3</v>
      </c>
      <c r="E168" s="22">
        <f>IFERROR(_xlfn.LET(_xlpm.m,MATCH($B168,Feed!$A:$A,0),_xlpm.p,INDEX(Feed!$B:$B,_xlpm.m),_xlpm.c,INDEX(Feed!$G:$G,_xlpm.m),IF(AND(_xlpm.p&gt;0,_xlpm.c&gt;0),_xlpm.p/_xlpm.c-1,"")),"")</f>
        <v>2.5087211459957182E-2</v>
      </c>
      <c r="F168" s="23">
        <f>IF(ISNUMBER(E168),D168*E168,0)</f>
        <v>2.6078156312625492E-5</v>
      </c>
      <c r="G168" s="22">
        <f>IF(ISNUMBER(E168),D168,0)</f>
        <v>1.0395000000000001E-3</v>
      </c>
      <c r="H168" t="s">
        <v>40</v>
      </c>
      <c r="I168" s="21">
        <v>46288</v>
      </c>
    </row>
    <row r="169" spans="1:9" x14ac:dyDescent="0.15">
      <c r="A169" t="s">
        <v>36</v>
      </c>
      <c r="B169" t="s">
        <v>458</v>
      </c>
      <c r="C169" t="s">
        <v>459</v>
      </c>
      <c r="D169" s="22">
        <v>1.03751E-3</v>
      </c>
      <c r="E169" s="22">
        <f>IFERROR(_xlfn.LET(_xlpm.m,MATCH($B169,Feed!$A:$A,0),_xlpm.p,INDEX(Feed!$B:$B,_xlpm.m),_xlpm.c,INDEX(Feed!$G:$G,_xlpm.m),IF(AND(_xlpm.p&gt;0,_xlpm.c&gt;0),_xlpm.p/_xlpm.c-1,"")),"")</f>
        <v>1.3103529689528992E-2</v>
      </c>
      <c r="F169" s="23">
        <f>IF(ISNUMBER(E169),D169*E169,0)</f>
        <v>1.3595043088183223E-5</v>
      </c>
      <c r="G169" s="22">
        <f>IF(ISNUMBER(E169),D169,0)</f>
        <v>1.03751E-3</v>
      </c>
      <c r="H169" t="s">
        <v>40</v>
      </c>
      <c r="I169" s="21">
        <v>46288</v>
      </c>
    </row>
    <row r="170" spans="1:9" x14ac:dyDescent="0.15">
      <c r="A170" t="s">
        <v>36</v>
      </c>
      <c r="B170" t="s">
        <v>452</v>
      </c>
      <c r="C170" t="s">
        <v>453</v>
      </c>
      <c r="D170" s="22">
        <v>1.0370400000000001E-3</v>
      </c>
      <c r="E170" s="22">
        <f>IFERROR(_xlfn.LET(_xlpm.m,MATCH($B170,Feed!$A:$A,0),_xlpm.p,INDEX(Feed!$B:$B,_xlpm.m),_xlpm.c,INDEX(Feed!$G:$G,_xlpm.m),IF(AND(_xlpm.p&gt;0,_xlpm.c&gt;0),_xlpm.p/_xlpm.c-1,"")),"")</f>
        <v>-3.8870469875386116E-3</v>
      </c>
      <c r="F170" s="23">
        <f>IF(ISNUMBER(E170),D170*E170,0)</f>
        <v>-4.0310232079570422E-6</v>
      </c>
      <c r="G170" s="22">
        <f>IF(ISNUMBER(E170),D170,0)</f>
        <v>1.0370400000000001E-3</v>
      </c>
      <c r="H170" t="s">
        <v>40</v>
      </c>
      <c r="I170" s="21">
        <v>46288</v>
      </c>
    </row>
    <row r="171" spans="1:9" x14ac:dyDescent="0.15">
      <c r="A171" t="s">
        <v>36</v>
      </c>
      <c r="B171" t="s">
        <v>456</v>
      </c>
      <c r="C171" t="s">
        <v>457</v>
      </c>
      <c r="D171" s="22">
        <v>1.0354299999999999E-3</v>
      </c>
      <c r="E171" s="22">
        <f>IFERROR(_xlfn.LET(_xlpm.m,MATCH($B171,Feed!$A:$A,0),_xlpm.p,INDEX(Feed!$B:$B,_xlpm.m),_xlpm.c,INDEX(Feed!$G:$G,_xlpm.m),IF(AND(_xlpm.p&gt;0,_xlpm.c&gt;0),_xlpm.p/_xlpm.c-1,"")),"")</f>
        <v>8.8640303535798548E-3</v>
      </c>
      <c r="F171" s="23">
        <f>IF(ISNUMBER(E171),D171*E171,0)</f>
        <v>9.1780829490071881E-6</v>
      </c>
      <c r="G171" s="22">
        <f>IF(ISNUMBER(E171),D171,0)</f>
        <v>1.0354299999999999E-3</v>
      </c>
      <c r="H171" t="s">
        <v>40</v>
      </c>
      <c r="I171" s="21">
        <v>46288</v>
      </c>
    </row>
    <row r="172" spans="1:9" x14ac:dyDescent="0.15">
      <c r="A172" t="s">
        <v>36</v>
      </c>
      <c r="B172" t="s">
        <v>462</v>
      </c>
      <c r="C172" t="s">
        <v>463</v>
      </c>
      <c r="D172" s="22">
        <v>1.02243E-3</v>
      </c>
      <c r="E172" s="22">
        <f>IFERROR(_xlfn.LET(_xlpm.m,MATCH($B172,Feed!$A:$A,0),_xlpm.p,INDEX(Feed!$B:$B,_xlpm.m),_xlpm.c,INDEX(Feed!$G:$G,_xlpm.m),IF(AND(_xlpm.p&gt;0,_xlpm.c&gt;0),_xlpm.p/_xlpm.c-1,"")),"")</f>
        <v>5.8692572353775674E-3</v>
      </c>
      <c r="F172" s="23">
        <f>IF(ISNUMBER(E172),D172*E172,0)</f>
        <v>6.0009046751670863E-6</v>
      </c>
      <c r="G172" s="22">
        <f>IF(ISNUMBER(E172),D172,0)</f>
        <v>1.02243E-3</v>
      </c>
      <c r="H172" t="s">
        <v>40</v>
      </c>
      <c r="I172" s="21">
        <v>46288</v>
      </c>
    </row>
    <row r="173" spans="1:9" x14ac:dyDescent="0.15">
      <c r="A173" t="s">
        <v>36</v>
      </c>
      <c r="B173" t="s">
        <v>442</v>
      </c>
      <c r="C173" t="s">
        <v>443</v>
      </c>
      <c r="D173" s="22">
        <v>1.0199999999999999E-3</v>
      </c>
      <c r="E173" s="22">
        <f>IFERROR(_xlfn.LET(_xlpm.m,MATCH($B173,Feed!$A:$A,0),_xlpm.p,INDEX(Feed!$B:$B,_xlpm.m),_xlpm.c,INDEX(Feed!$G:$G,_xlpm.m),IF(AND(_xlpm.p&gt;0,_xlpm.c&gt;0),_xlpm.p/_xlpm.c-1,"")),"")</f>
        <v>-3.3239158876732566E-2</v>
      </c>
      <c r="F173" s="23">
        <f>IF(ISNUMBER(E173),D173*E173,0)</f>
        <v>-3.3903942054267213E-5</v>
      </c>
      <c r="G173" s="22">
        <f>IF(ISNUMBER(E173),D173,0)</f>
        <v>1.0199999999999999E-3</v>
      </c>
      <c r="H173" t="s">
        <v>40</v>
      </c>
      <c r="I173" s="21">
        <v>46288</v>
      </c>
    </row>
    <row r="174" spans="1:9" x14ac:dyDescent="0.15">
      <c r="A174" t="s">
        <v>36</v>
      </c>
      <c r="B174" t="s">
        <v>460</v>
      </c>
      <c r="C174" t="s">
        <v>461</v>
      </c>
      <c r="D174" s="22">
        <v>1.0199199999999999E-3</v>
      </c>
      <c r="E174" s="22">
        <f>IFERROR(_xlfn.LET(_xlpm.m,MATCH($B174,Feed!$A:$A,0),_xlpm.p,INDEX(Feed!$B:$B,_xlpm.m),_xlpm.c,INDEX(Feed!$G:$G,_xlpm.m),IF(AND(_xlpm.p&gt;0,_xlpm.c&gt;0),_xlpm.p/_xlpm.c-1,"")),"")</f>
        <v>-3.7445602671795086E-3</v>
      </c>
      <c r="F174" s="23">
        <f>IF(ISNUMBER(E174),D174*E174,0)</f>
        <v>-3.8191519077017244E-6</v>
      </c>
      <c r="G174" s="22">
        <f>IF(ISNUMBER(E174),D174,0)</f>
        <v>1.0199199999999999E-3</v>
      </c>
      <c r="H174" t="s">
        <v>40</v>
      </c>
      <c r="I174" s="21">
        <v>46288</v>
      </c>
    </row>
    <row r="175" spans="1:9" x14ac:dyDescent="0.15">
      <c r="A175" t="s">
        <v>36</v>
      </c>
      <c r="B175" t="s">
        <v>502</v>
      </c>
      <c r="C175" t="s">
        <v>503</v>
      </c>
      <c r="D175" s="22">
        <v>1.016E-3</v>
      </c>
      <c r="E175" s="22">
        <f>IFERROR(_xlfn.LET(_xlpm.m,MATCH($B175,Feed!$A:$A,0),_xlpm.p,INDEX(Feed!$B:$B,_xlpm.m),_xlpm.c,INDEX(Feed!$G:$G,_xlpm.m),IF(AND(_xlpm.p&gt;0,_xlpm.c&gt;0),_xlpm.p/_xlpm.c-1,"")),"")</f>
        <v>0.1348250944325835</v>
      </c>
      <c r="F175" s="23">
        <f>IF(ISNUMBER(E175),D175*E175,0)</f>
        <v>1.3698229594350485E-4</v>
      </c>
      <c r="G175" s="22">
        <f>IF(ISNUMBER(E175),D175,0)</f>
        <v>1.016E-3</v>
      </c>
      <c r="H175" t="s">
        <v>40</v>
      </c>
      <c r="I175" s="21">
        <v>46288</v>
      </c>
    </row>
    <row r="176" spans="1:9" x14ac:dyDescent="0.15">
      <c r="A176" t="s">
        <v>36</v>
      </c>
      <c r="B176" t="s">
        <v>454</v>
      </c>
      <c r="C176" t="s">
        <v>455</v>
      </c>
      <c r="D176" s="22">
        <v>1.0134200000000001E-3</v>
      </c>
      <c r="E176" s="22">
        <f>IFERROR(_xlfn.LET(_xlpm.m,MATCH($B176,Feed!$A:$A,0),_xlpm.p,INDEX(Feed!$B:$B,_xlpm.m),_xlpm.c,INDEX(Feed!$G:$G,_xlpm.m),IF(AND(_xlpm.p&gt;0,_xlpm.c&gt;0),_xlpm.p/_xlpm.c-1,"")),"")</f>
        <v>-2.653110335699671E-2</v>
      </c>
      <c r="F176" s="23">
        <f>IF(ISNUMBER(E176),D176*E176,0)</f>
        <v>-2.688715076404761E-5</v>
      </c>
      <c r="G176" s="22">
        <f>IF(ISNUMBER(E176),D176,0)</f>
        <v>1.0134200000000001E-3</v>
      </c>
      <c r="H176" t="s">
        <v>40</v>
      </c>
      <c r="I176" s="21">
        <v>46288</v>
      </c>
    </row>
    <row r="177" spans="1:9" x14ac:dyDescent="0.15">
      <c r="A177" t="s">
        <v>36</v>
      </c>
      <c r="B177" t="s">
        <v>524</v>
      </c>
      <c r="C177" t="s">
        <v>525</v>
      </c>
      <c r="D177" s="22">
        <v>1.01297E-3</v>
      </c>
      <c r="E177" s="22">
        <f>IFERROR(_xlfn.LET(_xlpm.m,MATCH($B177,Feed!$A:$A,0),_xlpm.p,INDEX(Feed!$B:$B,_xlpm.m),_xlpm.c,INDEX(Feed!$G:$G,_xlpm.m),IF(AND(_xlpm.p&gt;0,_xlpm.c&gt;0),_xlpm.p/_xlpm.c-1,"")),"")</f>
        <v>0.1801395741365881</v>
      </c>
      <c r="F177" s="23">
        <f>IF(ISNUMBER(E177),D177*E177,0)</f>
        <v>1.8247598441313963E-4</v>
      </c>
      <c r="G177" s="22">
        <f>IF(ISNUMBER(E177),D177,0)</f>
        <v>1.01297E-3</v>
      </c>
      <c r="H177" t="s">
        <v>40</v>
      </c>
      <c r="I177" s="21">
        <v>46288</v>
      </c>
    </row>
    <row r="178" spans="1:9" x14ac:dyDescent="0.15">
      <c r="A178" t="s">
        <v>36</v>
      </c>
      <c r="B178" t="s">
        <v>470</v>
      </c>
      <c r="C178" t="s">
        <v>471</v>
      </c>
      <c r="D178" s="22">
        <v>1.0059100000000001E-3</v>
      </c>
      <c r="E178" s="22">
        <f>IFERROR(_xlfn.LET(_xlpm.m,MATCH($B178,Feed!$A:$A,0),_xlpm.p,INDEX(Feed!$B:$B,_xlpm.m),_xlpm.c,INDEX(Feed!$G:$G,_xlpm.m),IF(AND(_xlpm.p&gt;0,_xlpm.c&gt;0),_xlpm.p/_xlpm.c-1,"")),"")</f>
        <v>2.6106751913203441E-2</v>
      </c>
      <c r="F178" s="23">
        <f>IF(ISNUMBER(E178),D178*E178,0)</f>
        <v>2.6261042817010474E-5</v>
      </c>
      <c r="G178" s="22">
        <f>IF(ISNUMBER(E178),D178,0)</f>
        <v>1.0059100000000001E-3</v>
      </c>
      <c r="H178" t="s">
        <v>40</v>
      </c>
      <c r="I178" s="21">
        <v>46288</v>
      </c>
    </row>
    <row r="179" spans="1:9" x14ac:dyDescent="0.15">
      <c r="A179" t="s">
        <v>36</v>
      </c>
      <c r="B179" t="s">
        <v>468</v>
      </c>
      <c r="C179" t="s">
        <v>469</v>
      </c>
      <c r="D179" s="22">
        <v>9.9579000000000009E-4</v>
      </c>
      <c r="E179" s="22">
        <f>IFERROR(_xlfn.LET(_xlpm.m,MATCH($B179,Feed!$A:$A,0),_xlpm.p,INDEX(Feed!$B:$B,_xlpm.m),_xlpm.c,INDEX(Feed!$G:$G,_xlpm.m),IF(AND(_xlpm.p&gt;0,_xlpm.c&gt;0),_xlpm.p/_xlpm.c-1,"")),"")</f>
        <v>3.6528345996493794E-3</v>
      </c>
      <c r="F179" s="23">
        <f>IF(ISNUMBER(E179),D179*E179,0)</f>
        <v>3.6374561659848558E-6</v>
      </c>
      <c r="G179" s="22">
        <f>IF(ISNUMBER(E179),D179,0)</f>
        <v>9.9579000000000009E-4</v>
      </c>
      <c r="H179" t="s">
        <v>40</v>
      </c>
      <c r="I179" s="21">
        <v>46288</v>
      </c>
    </row>
    <row r="180" spans="1:9" x14ac:dyDescent="0.15">
      <c r="A180" t="s">
        <v>36</v>
      </c>
      <c r="B180" t="s">
        <v>472</v>
      </c>
      <c r="C180" t="s">
        <v>473</v>
      </c>
      <c r="D180" s="22">
        <v>9.8065999999999995E-4</v>
      </c>
      <c r="E180" s="22">
        <f>IFERROR(_xlfn.LET(_xlpm.m,MATCH($B180,Feed!$A:$A,0),_xlpm.p,INDEX(Feed!$B:$B,_xlpm.m),_xlpm.c,INDEX(Feed!$G:$G,_xlpm.m),IF(AND(_xlpm.p&gt;0,_xlpm.c&gt;0),_xlpm.p/_xlpm.c-1,"")),"")</f>
        <v>2.2499999999998632E-3</v>
      </c>
      <c r="F180" s="23">
        <f>IF(ISNUMBER(E180),D180*E180,0)</f>
        <v>2.2064849999998659E-6</v>
      </c>
      <c r="G180" s="22">
        <f>IF(ISNUMBER(E180),D180,0)</f>
        <v>9.8065999999999995E-4</v>
      </c>
      <c r="H180" t="s">
        <v>40</v>
      </c>
      <c r="I180" s="21">
        <v>46288</v>
      </c>
    </row>
    <row r="181" spans="1:9" x14ac:dyDescent="0.15">
      <c r="A181" t="s">
        <v>36</v>
      </c>
      <c r="B181" t="s">
        <v>474</v>
      </c>
      <c r="C181" t="s">
        <v>475</v>
      </c>
      <c r="D181" s="22">
        <v>9.7526999999999998E-4</v>
      </c>
      <c r="E181" s="22">
        <f>IFERROR(_xlfn.LET(_xlpm.m,MATCH($B181,Feed!$A:$A,0),_xlpm.p,INDEX(Feed!$B:$B,_xlpm.m),_xlpm.c,INDEX(Feed!$G:$G,_xlpm.m),IF(AND(_xlpm.p&gt;0,_xlpm.c&gt;0),_xlpm.p/_xlpm.c-1,"")),"")</f>
        <v>1.9382824511311236E-2</v>
      </c>
      <c r="F181" s="23">
        <f>IF(ISNUMBER(E181),D181*E181,0)</f>
        <v>1.8903487261146509E-5</v>
      </c>
      <c r="G181" s="22">
        <f>IF(ISNUMBER(E181),D181,0)</f>
        <v>9.7526999999999998E-4</v>
      </c>
      <c r="H181" t="s">
        <v>40</v>
      </c>
      <c r="I181" s="21">
        <v>46288</v>
      </c>
    </row>
    <row r="182" spans="1:9" x14ac:dyDescent="0.15">
      <c r="A182" t="s">
        <v>36</v>
      </c>
      <c r="B182" t="s">
        <v>466</v>
      </c>
      <c r="C182" t="s">
        <v>467</v>
      </c>
      <c r="D182" s="22">
        <v>9.7350999999999991E-4</v>
      </c>
      <c r="E182" s="22">
        <f>IFERROR(_xlfn.LET(_xlpm.m,MATCH($B182,Feed!$A:$A,0),_xlpm.p,INDEX(Feed!$B:$B,_xlpm.m),_xlpm.c,INDEX(Feed!$G:$G,_xlpm.m),IF(AND(_xlpm.p&gt;0,_xlpm.c&gt;0),_xlpm.p/_xlpm.c-1,"")),"")</f>
        <v>-2.5391075251111395E-2</v>
      </c>
      <c r="F182" s="23">
        <f>IF(ISNUMBER(E182),D182*E182,0)</f>
        <v>-2.471846566770945E-5</v>
      </c>
      <c r="G182" s="22">
        <f>IF(ISNUMBER(E182),D182,0)</f>
        <v>9.7350999999999991E-4</v>
      </c>
      <c r="H182" t="s">
        <v>40</v>
      </c>
      <c r="I182" s="21">
        <v>46288</v>
      </c>
    </row>
    <row r="183" spans="1:9" x14ac:dyDescent="0.15">
      <c r="A183" t="s">
        <v>36</v>
      </c>
      <c r="B183" t="s">
        <v>486</v>
      </c>
      <c r="C183" t="s">
        <v>487</v>
      </c>
      <c r="D183" s="22">
        <v>9.7086000000000004E-4</v>
      </c>
      <c r="E183" s="22">
        <f>IFERROR(_xlfn.LET(_xlpm.m,MATCH($B183,Feed!$A:$A,0),_xlpm.p,INDEX(Feed!$B:$B,_xlpm.m),_xlpm.c,INDEX(Feed!$G:$G,_xlpm.m),IF(AND(_xlpm.p&gt;0,_xlpm.c&gt;0),_xlpm.p/_xlpm.c-1,"")),"")</f>
        <v>2.8841716658975614E-2</v>
      </c>
      <c r="F183" s="23">
        <f>IF(ISNUMBER(E183),D183*E183,0)</f>
        <v>2.8001269035533067E-5</v>
      </c>
      <c r="G183" s="22">
        <f>IF(ISNUMBER(E183),D183,0)</f>
        <v>9.7086000000000004E-4</v>
      </c>
      <c r="H183" t="s">
        <v>40</v>
      </c>
      <c r="I183" s="21">
        <v>46288</v>
      </c>
    </row>
    <row r="184" spans="1:9" x14ac:dyDescent="0.15">
      <c r="A184" t="s">
        <v>36</v>
      </c>
      <c r="B184" t="s">
        <v>480</v>
      </c>
      <c r="C184" t="s">
        <v>481</v>
      </c>
      <c r="D184" s="22">
        <v>9.7017999999999996E-4</v>
      </c>
      <c r="E184" s="22" t="str">
        <f>IFERROR(_xlfn.LET(_xlpm.m,MATCH($B184,Feed!$A:$A,0),_xlpm.p,INDEX(Feed!$B:$B,_xlpm.m),_xlpm.c,INDEX(Feed!$G:$G,_xlpm.m),IF(AND(_xlpm.p&gt;0,_xlpm.c&gt;0),_xlpm.p/_xlpm.c-1,"")),"")</f>
        <v/>
      </c>
      <c r="F184" s="23">
        <f>IF(ISNUMBER(E184),D184*E184,0)</f>
        <v>0</v>
      </c>
      <c r="G184" s="22">
        <f>IF(ISNUMBER(E184),D184,0)</f>
        <v>0</v>
      </c>
      <c r="H184" t="s">
        <v>40</v>
      </c>
      <c r="I184" s="21">
        <v>46288</v>
      </c>
    </row>
    <row r="185" spans="1:9" x14ac:dyDescent="0.15">
      <c r="A185" t="s">
        <v>36</v>
      </c>
      <c r="B185" t="s">
        <v>484</v>
      </c>
      <c r="C185" t="s">
        <v>485</v>
      </c>
      <c r="D185" s="22">
        <v>9.6387999999999997E-4</v>
      </c>
      <c r="E185" s="22">
        <f>IFERROR(_xlfn.LET(_xlpm.m,MATCH($B185,Feed!$A:$A,0),_xlpm.p,INDEX(Feed!$B:$B,_xlpm.m),_xlpm.c,INDEX(Feed!$G:$G,_xlpm.m),IF(AND(_xlpm.p&gt;0,_xlpm.c&gt;0),_xlpm.p/_xlpm.c-1,"")),"")</f>
        <v>2.4338921231675803E-2</v>
      </c>
      <c r="F185" s="23">
        <f>IF(ISNUMBER(E185),D185*E185,0)</f>
        <v>2.3459799396787671E-5</v>
      </c>
      <c r="G185" s="22">
        <f>IF(ISNUMBER(E185),D185,0)</f>
        <v>9.6387999999999997E-4</v>
      </c>
      <c r="H185" t="s">
        <v>40</v>
      </c>
      <c r="I185" s="21">
        <v>46288</v>
      </c>
    </row>
    <row r="186" spans="1:9" x14ac:dyDescent="0.15">
      <c r="A186" t="s">
        <v>36</v>
      </c>
      <c r="B186" t="s">
        <v>478</v>
      </c>
      <c r="C186" t="s">
        <v>479</v>
      </c>
      <c r="D186" s="22">
        <v>9.6095000000000002E-4</v>
      </c>
      <c r="E186" s="22">
        <f>IFERROR(_xlfn.LET(_xlpm.m,MATCH($B186,Feed!$A:$A,0),_xlpm.p,INDEX(Feed!$B:$B,_xlpm.m),_xlpm.c,INDEX(Feed!$G:$G,_xlpm.m),IF(AND(_xlpm.p&gt;0,_xlpm.c&gt;0),_xlpm.p/_xlpm.c-1,"")),"")</f>
        <v>1.2949539024561973E-2</v>
      </c>
      <c r="F186" s="23">
        <f>IF(ISNUMBER(E186),D186*E186,0)</f>
        <v>1.2443859525652829E-5</v>
      </c>
      <c r="G186" s="22">
        <f>IF(ISNUMBER(E186),D186,0)</f>
        <v>9.6095000000000002E-4</v>
      </c>
      <c r="H186" t="s">
        <v>40</v>
      </c>
      <c r="I186" s="21">
        <v>46288</v>
      </c>
    </row>
    <row r="187" spans="1:9" x14ac:dyDescent="0.15">
      <c r="A187" t="s">
        <v>36</v>
      </c>
      <c r="B187" t="s">
        <v>476</v>
      </c>
      <c r="C187" t="s">
        <v>477</v>
      </c>
      <c r="D187" s="22">
        <v>9.4680999999999997E-4</v>
      </c>
      <c r="E187" s="22">
        <f>IFERROR(_xlfn.LET(_xlpm.m,MATCH($B187,Feed!$A:$A,0),_xlpm.p,INDEX(Feed!$B:$B,_xlpm.m),_xlpm.c,INDEX(Feed!$G:$G,_xlpm.m),IF(AND(_xlpm.p&gt;0,_xlpm.c&gt;0),_xlpm.p/_xlpm.c-1,"")),"")</f>
        <v>-9.8411988369492276E-3</v>
      </c>
      <c r="F187" s="23">
        <f>IF(ISNUMBER(E187),D187*E187,0)</f>
        <v>-9.3177454708118986E-6</v>
      </c>
      <c r="G187" s="22">
        <f>IF(ISNUMBER(E187),D187,0)</f>
        <v>9.4680999999999997E-4</v>
      </c>
      <c r="H187" t="s">
        <v>40</v>
      </c>
      <c r="I187" s="21">
        <v>46288</v>
      </c>
    </row>
    <row r="188" spans="1:9" x14ac:dyDescent="0.15">
      <c r="A188" t="s">
        <v>36</v>
      </c>
      <c r="B188" t="s">
        <v>516</v>
      </c>
      <c r="C188" t="s">
        <v>517</v>
      </c>
      <c r="D188" s="22">
        <v>9.3479000000000001E-4</v>
      </c>
      <c r="E188" s="22">
        <f>IFERROR(_xlfn.LET(_xlpm.m,MATCH($B188,Feed!$A:$A,0),_xlpm.p,INDEX(Feed!$B:$B,_xlpm.m),_xlpm.c,INDEX(Feed!$G:$G,_xlpm.m),IF(AND(_xlpm.p&gt;0,_xlpm.c&gt;0),_xlpm.p/_xlpm.c-1,"")),"")</f>
        <v>7.3276442242980577E-2</v>
      </c>
      <c r="F188" s="23">
        <f>IF(ISNUMBER(E188),D188*E188,0)</f>
        <v>6.8498085444315815E-5</v>
      </c>
      <c r="G188" s="22">
        <f>IF(ISNUMBER(E188),D188,0)</f>
        <v>9.3479000000000001E-4</v>
      </c>
      <c r="H188" t="s">
        <v>40</v>
      </c>
      <c r="I188" s="21">
        <v>46288</v>
      </c>
    </row>
    <row r="189" spans="1:9" x14ac:dyDescent="0.15">
      <c r="A189" t="s">
        <v>36</v>
      </c>
      <c r="B189" t="s">
        <v>508</v>
      </c>
      <c r="C189" t="s">
        <v>509</v>
      </c>
      <c r="D189" s="22">
        <v>9.2357999999999991E-4</v>
      </c>
      <c r="E189" s="22">
        <f>IFERROR(_xlfn.LET(_xlpm.m,MATCH($B189,Feed!$A:$A,0),_xlpm.p,INDEX(Feed!$B:$B,_xlpm.m),_xlpm.c,INDEX(Feed!$G:$G,_xlpm.m),IF(AND(_xlpm.p&gt;0,_xlpm.c&gt;0),_xlpm.p/_xlpm.c-1,"")),"")</f>
        <v>3.2031934573069965E-2</v>
      </c>
      <c r="F189" s="23">
        <f>IF(ISNUMBER(E189),D189*E189,0)</f>
        <v>2.9584054132995954E-5</v>
      </c>
      <c r="G189" s="22">
        <f>IF(ISNUMBER(E189),D189,0)</f>
        <v>9.2357999999999991E-4</v>
      </c>
      <c r="H189" t="s">
        <v>40</v>
      </c>
      <c r="I189" s="21">
        <v>46288</v>
      </c>
    </row>
    <row r="190" spans="1:9" x14ac:dyDescent="0.15">
      <c r="A190" t="s">
        <v>36</v>
      </c>
      <c r="B190" t="s">
        <v>492</v>
      </c>
      <c r="C190" t="s">
        <v>493</v>
      </c>
      <c r="D190" s="22">
        <v>9.1746999999999998E-4</v>
      </c>
      <c r="E190" s="22">
        <f>IFERROR(_xlfn.LET(_xlpm.m,MATCH($B190,Feed!$A:$A,0),_xlpm.p,INDEX(Feed!$B:$B,_xlpm.m),_xlpm.c,INDEX(Feed!$G:$G,_xlpm.m),IF(AND(_xlpm.p&gt;0,_xlpm.c&gt;0),_xlpm.p/_xlpm.c-1,"")),"")</f>
        <v>-1.7902010050251271E-2</v>
      </c>
      <c r="F190" s="23">
        <f>IF(ISNUMBER(E190),D190*E190,0)</f>
        <v>-1.6424557160804032E-5</v>
      </c>
      <c r="G190" s="22">
        <f>IF(ISNUMBER(E190),D190,0)</f>
        <v>9.1746999999999998E-4</v>
      </c>
      <c r="H190" t="s">
        <v>40</v>
      </c>
      <c r="I190" s="21">
        <v>46288</v>
      </c>
    </row>
    <row r="191" spans="1:9" x14ac:dyDescent="0.15">
      <c r="A191" t="s">
        <v>36</v>
      </c>
      <c r="B191" t="s">
        <v>504</v>
      </c>
      <c r="C191" t="s">
        <v>505</v>
      </c>
      <c r="D191" s="22">
        <v>9.1695000000000004E-4</v>
      </c>
      <c r="E191" s="22">
        <f>IFERROR(_xlfn.LET(_xlpm.m,MATCH($B191,Feed!$A:$A,0),_xlpm.p,INDEX(Feed!$B:$B,_xlpm.m),_xlpm.c,INDEX(Feed!$G:$G,_xlpm.m),IF(AND(_xlpm.p&gt;0,_xlpm.c&gt;0),_xlpm.p/_xlpm.c-1,"")),"")</f>
        <v>2.4962826116343706E-3</v>
      </c>
      <c r="F191" s="23">
        <f>IF(ISNUMBER(E191),D191*E191,0)</f>
        <v>2.2889663407381362E-6</v>
      </c>
      <c r="G191" s="22">
        <f>IF(ISNUMBER(E191),D191,0)</f>
        <v>9.1695000000000004E-4</v>
      </c>
      <c r="H191" t="s">
        <v>40</v>
      </c>
      <c r="I191" s="21">
        <v>46288</v>
      </c>
    </row>
    <row r="192" spans="1:9" x14ac:dyDescent="0.15">
      <c r="A192" t="s">
        <v>36</v>
      </c>
      <c r="B192" t="s">
        <v>494</v>
      </c>
      <c r="C192" t="s">
        <v>495</v>
      </c>
      <c r="D192" s="22">
        <v>9.0993000000000009E-4</v>
      </c>
      <c r="E192" s="22">
        <f>IFERROR(_xlfn.LET(_xlpm.m,MATCH($B192,Feed!$A:$A,0),_xlpm.p,INDEX(Feed!$B:$B,_xlpm.m),_xlpm.c,INDEX(Feed!$G:$G,_xlpm.m),IF(AND(_xlpm.p&gt;0,_xlpm.c&gt;0),_xlpm.p/_xlpm.c-1,"")),"")</f>
        <v>-2.58901562893874E-2</v>
      </c>
      <c r="F192" s="23">
        <f>IF(ISNUMBER(E192),D192*E192,0)</f>
        <v>-2.3558229912402278E-5</v>
      </c>
      <c r="G192" s="22">
        <f>IF(ISNUMBER(E192),D192,0)</f>
        <v>9.0993000000000009E-4</v>
      </c>
      <c r="H192" t="s">
        <v>40</v>
      </c>
      <c r="I192" s="21">
        <v>46288</v>
      </c>
    </row>
    <row r="193" spans="1:9" x14ac:dyDescent="0.15">
      <c r="A193" t="s">
        <v>36</v>
      </c>
      <c r="B193" t="s">
        <v>490</v>
      </c>
      <c r="C193" t="s">
        <v>491</v>
      </c>
      <c r="D193" s="22">
        <v>9.0511999999999993E-4</v>
      </c>
      <c r="E193" s="22">
        <f>IFERROR(_xlfn.LET(_xlpm.m,MATCH($B193,Feed!$A:$A,0),_xlpm.p,INDEX(Feed!$B:$B,_xlpm.m),_xlpm.c,INDEX(Feed!$G:$G,_xlpm.m),IF(AND(_xlpm.p&gt;0,_xlpm.c&gt;0),_xlpm.p/_xlpm.c-1,"")),"")</f>
        <v>-3.2268975781355569E-2</v>
      </c>
      <c r="F193" s="23">
        <f>IF(ISNUMBER(E193),D193*E193,0)</f>
        <v>-2.9207295359220551E-5</v>
      </c>
      <c r="G193" s="22">
        <f>IF(ISNUMBER(E193),D193,0)</f>
        <v>9.0511999999999993E-4</v>
      </c>
      <c r="H193" t="s">
        <v>40</v>
      </c>
      <c r="I193" s="21">
        <v>46288</v>
      </c>
    </row>
    <row r="194" spans="1:9" x14ac:dyDescent="0.15">
      <c r="A194" t="s">
        <v>36</v>
      </c>
      <c r="B194" t="s">
        <v>488</v>
      </c>
      <c r="C194" t="s">
        <v>489</v>
      </c>
      <c r="D194" s="22">
        <v>9.0412999999999995E-4</v>
      </c>
      <c r="E194" s="22" t="str">
        <f>IFERROR(_xlfn.LET(_xlpm.m,MATCH($B194,Feed!$A:$A,0),_xlpm.p,INDEX(Feed!$B:$B,_xlpm.m),_xlpm.c,INDEX(Feed!$G:$G,_xlpm.m),IF(AND(_xlpm.p&gt;0,_xlpm.c&gt;0),_xlpm.p/_xlpm.c-1,"")),"")</f>
        <v/>
      </c>
      <c r="F194" s="23">
        <f>IF(ISNUMBER(E194),D194*E194,0)</f>
        <v>0</v>
      </c>
      <c r="G194" s="22">
        <f>IF(ISNUMBER(E194),D194,0)</f>
        <v>0</v>
      </c>
      <c r="H194" t="s">
        <v>40</v>
      </c>
      <c r="I194" s="21">
        <v>46288</v>
      </c>
    </row>
    <row r="195" spans="1:9" x14ac:dyDescent="0.15">
      <c r="A195" t="s">
        <v>36</v>
      </c>
      <c r="B195" t="s">
        <v>498</v>
      </c>
      <c r="C195" t="s">
        <v>499</v>
      </c>
      <c r="D195" s="22">
        <v>8.9828E-4</v>
      </c>
      <c r="E195" s="22">
        <f>IFERROR(_xlfn.LET(_xlpm.m,MATCH($B195,Feed!$A:$A,0),_xlpm.p,INDEX(Feed!$B:$B,_xlpm.m),_xlpm.c,INDEX(Feed!$G:$G,_xlpm.m),IF(AND(_xlpm.p&gt;0,_xlpm.c&gt;0),_xlpm.p/_xlpm.c-1,"")),"")</f>
        <v>-1.8611063243150094E-2</v>
      </c>
      <c r="F195" s="23">
        <f>IF(ISNUMBER(E195),D195*E195,0)</f>
        <v>-1.6717945890056865E-5</v>
      </c>
      <c r="G195" s="22">
        <f>IF(ISNUMBER(E195),D195,0)</f>
        <v>8.9828E-4</v>
      </c>
      <c r="H195" t="s">
        <v>40</v>
      </c>
      <c r="I195" s="21">
        <v>46288</v>
      </c>
    </row>
    <row r="196" spans="1:9" x14ac:dyDescent="0.15">
      <c r="A196" t="s">
        <v>36</v>
      </c>
      <c r="B196" t="s">
        <v>514</v>
      </c>
      <c r="C196" t="s">
        <v>515</v>
      </c>
      <c r="D196" s="22">
        <v>8.9663000000000004E-4</v>
      </c>
      <c r="E196" s="22">
        <f>IFERROR(_xlfn.LET(_xlpm.m,MATCH($B196,Feed!$A:$A,0),_xlpm.p,INDEX(Feed!$B:$B,_xlpm.m),_xlpm.c,INDEX(Feed!$G:$G,_xlpm.m),IF(AND(_xlpm.p&gt;0,_xlpm.c&gt;0),_xlpm.p/_xlpm.c-1,"")),"")</f>
        <v>1.8297817216140988E-2</v>
      </c>
      <c r="F196" s="23">
        <f>IF(ISNUMBER(E196),D196*E196,0)</f>
        <v>1.6406371850508496E-5</v>
      </c>
      <c r="G196" s="22">
        <f>IF(ISNUMBER(E196),D196,0)</f>
        <v>8.9663000000000004E-4</v>
      </c>
      <c r="H196" t="s">
        <v>40</v>
      </c>
      <c r="I196" s="21">
        <v>46288</v>
      </c>
    </row>
    <row r="197" spans="1:9" x14ac:dyDescent="0.15">
      <c r="A197" t="s">
        <v>36</v>
      </c>
      <c r="B197" t="s">
        <v>520</v>
      </c>
      <c r="C197" t="s">
        <v>521</v>
      </c>
      <c r="D197" s="22">
        <v>8.9528999999999997E-4</v>
      </c>
      <c r="E197" s="22">
        <f>IFERROR(_xlfn.LET(_xlpm.m,MATCH($B197,Feed!$A:$A,0),_xlpm.p,INDEX(Feed!$B:$B,_xlpm.m),_xlpm.c,INDEX(Feed!$G:$G,_xlpm.m),IF(AND(_xlpm.p&gt;0,_xlpm.c&gt;0),_xlpm.p/_xlpm.c-1,"")),"")</f>
        <v>4.0396508618798954E-2</v>
      </c>
      <c r="F197" s="23">
        <f>IF(ISNUMBER(E197),D197*E197,0)</f>
        <v>3.6166590201324512E-5</v>
      </c>
      <c r="G197" s="22">
        <f>IF(ISNUMBER(E197),D197,0)</f>
        <v>8.9528999999999997E-4</v>
      </c>
      <c r="H197" t="s">
        <v>40</v>
      </c>
      <c r="I197" s="21">
        <v>46288</v>
      </c>
    </row>
    <row r="198" spans="1:9" x14ac:dyDescent="0.15">
      <c r="A198" t="s">
        <v>36</v>
      </c>
      <c r="B198" t="s">
        <v>522</v>
      </c>
      <c r="C198" t="s">
        <v>523</v>
      </c>
      <c r="D198" s="22">
        <v>8.9053999999999999E-4</v>
      </c>
      <c r="E198" s="22">
        <f>IFERROR(_xlfn.LET(_xlpm.m,MATCH($B198,Feed!$A:$A,0),_xlpm.p,INDEX(Feed!$B:$B,_xlpm.m),_xlpm.c,INDEX(Feed!$G:$G,_xlpm.m),IF(AND(_xlpm.p&gt;0,_xlpm.c&gt;0),_xlpm.p/_xlpm.c-1,"")),"")</f>
        <v>3.6776119402984975E-2</v>
      </c>
      <c r="F198" s="23">
        <f>IF(ISNUMBER(E198),D198*E198,0)</f>
        <v>3.2750605373134241E-5</v>
      </c>
      <c r="G198" s="22">
        <f>IF(ISNUMBER(E198),D198,0)</f>
        <v>8.9053999999999999E-4</v>
      </c>
      <c r="H198" t="s">
        <v>40</v>
      </c>
      <c r="I198" s="21">
        <v>46288</v>
      </c>
    </row>
    <row r="199" spans="1:9" x14ac:dyDescent="0.15">
      <c r="A199" t="s">
        <v>36</v>
      </c>
      <c r="B199" t="s">
        <v>496</v>
      </c>
      <c r="C199" t="s">
        <v>497</v>
      </c>
      <c r="D199" s="22">
        <v>8.8265999999999996E-4</v>
      </c>
      <c r="E199" s="22">
        <f>IFERROR(_xlfn.LET(_xlpm.m,MATCH($B199,Feed!$A:$A,0),_xlpm.p,INDEX(Feed!$B:$B,_xlpm.m),_xlpm.c,INDEX(Feed!$G:$G,_xlpm.m),IF(AND(_xlpm.p&gt;0,_xlpm.c&gt;0),_xlpm.p/_xlpm.c-1,"")),"")</f>
        <v>-3.7706697845331538E-2</v>
      </c>
      <c r="F199" s="23">
        <f>IF(ISNUMBER(E199),D199*E199,0)</f>
        <v>-3.3282193920160336E-5</v>
      </c>
      <c r="G199" s="22">
        <f>IF(ISNUMBER(E199),D199,0)</f>
        <v>8.8265999999999996E-4</v>
      </c>
      <c r="H199" t="s">
        <v>40</v>
      </c>
      <c r="I199" s="21">
        <v>46288</v>
      </c>
    </row>
    <row r="200" spans="1:9" x14ac:dyDescent="0.15">
      <c r="A200" t="s">
        <v>36</v>
      </c>
      <c r="B200" t="s">
        <v>506</v>
      </c>
      <c r="C200" t="s">
        <v>507</v>
      </c>
      <c r="D200" s="22">
        <v>8.7651000000000005E-4</v>
      </c>
      <c r="E200" s="22">
        <f>IFERROR(_xlfn.LET(_xlpm.m,MATCH($B200,Feed!$A:$A,0),_xlpm.p,INDEX(Feed!$B:$B,_xlpm.m),_xlpm.c,INDEX(Feed!$G:$G,_xlpm.m),IF(AND(_xlpm.p&gt;0,_xlpm.c&gt;0),_xlpm.p/_xlpm.c-1,"")),"")</f>
        <v>-1.3978238424271261E-2</v>
      </c>
      <c r="F200" s="23">
        <f>IF(ISNUMBER(E200),D200*E200,0)</f>
        <v>-1.2252065761258003E-5</v>
      </c>
      <c r="G200" s="22">
        <f>IF(ISNUMBER(E200),D200,0)</f>
        <v>8.7651000000000005E-4</v>
      </c>
      <c r="H200" t="s">
        <v>40</v>
      </c>
      <c r="I200" s="21">
        <v>46288</v>
      </c>
    </row>
    <row r="201" spans="1:9" x14ac:dyDescent="0.15">
      <c r="A201" t="s">
        <v>36</v>
      </c>
      <c r="B201" t="s">
        <v>510</v>
      </c>
      <c r="C201" t="s">
        <v>511</v>
      </c>
      <c r="D201" s="22">
        <v>8.7565000000000006E-4</v>
      </c>
      <c r="E201" s="22">
        <f>IFERROR(_xlfn.LET(_xlpm.m,MATCH($B201,Feed!$A:$A,0),_xlpm.p,INDEX(Feed!$B:$B,_xlpm.m),_xlpm.c,INDEX(Feed!$G:$G,_xlpm.m),IF(AND(_xlpm.p&gt;0,_xlpm.c&gt;0),_xlpm.p/_xlpm.c-1,"")),"")</f>
        <v>-1.0090609555189478E-2</v>
      </c>
      <c r="F201" s="23">
        <f>IF(ISNUMBER(E201),D201*E201,0)</f>
        <v>-8.8358422570016674E-6</v>
      </c>
      <c r="G201" s="22">
        <f>IF(ISNUMBER(E201),D201,0)</f>
        <v>8.7565000000000006E-4</v>
      </c>
      <c r="H201" t="s">
        <v>40</v>
      </c>
      <c r="I201" s="21">
        <v>46288</v>
      </c>
    </row>
    <row r="202" spans="1:9" x14ac:dyDescent="0.15">
      <c r="A202" t="s">
        <v>36</v>
      </c>
      <c r="B202" t="s">
        <v>526</v>
      </c>
      <c r="C202" t="s">
        <v>527</v>
      </c>
      <c r="D202" s="22">
        <v>8.733399999999999E-4</v>
      </c>
      <c r="E202" s="22">
        <f>IFERROR(_xlfn.LET(_xlpm.m,MATCH($B202,Feed!$A:$A,0),_xlpm.p,INDEX(Feed!$B:$B,_xlpm.m),_xlpm.c,INDEX(Feed!$G:$G,_xlpm.m),IF(AND(_xlpm.p&gt;0,_xlpm.c&gt;0),_xlpm.p/_xlpm.c-1,"")),"")</f>
        <v>1.0328207482212637E-2</v>
      </c>
      <c r="F202" s="23">
        <f>IF(ISNUMBER(E202),D202*E202,0)</f>
        <v>9.0200367225155839E-6</v>
      </c>
      <c r="G202" s="22">
        <f>IF(ISNUMBER(E202),D202,0)</f>
        <v>8.733399999999999E-4</v>
      </c>
      <c r="H202" t="s">
        <v>40</v>
      </c>
      <c r="I202" s="21">
        <v>46288</v>
      </c>
    </row>
    <row r="203" spans="1:9" x14ac:dyDescent="0.15">
      <c r="A203" t="s">
        <v>36</v>
      </c>
      <c r="B203" t="s">
        <v>500</v>
      </c>
      <c r="C203" t="s">
        <v>501</v>
      </c>
      <c r="D203" s="22">
        <v>8.7129999999999998E-4</v>
      </c>
      <c r="E203" s="22" t="str">
        <f>IFERROR(_xlfn.LET(_xlpm.m,MATCH($B203,Feed!$A:$A,0),_xlpm.p,INDEX(Feed!$B:$B,_xlpm.m),_xlpm.c,INDEX(Feed!$G:$G,_xlpm.m),IF(AND(_xlpm.p&gt;0,_xlpm.c&gt;0),_xlpm.p/_xlpm.c-1,"")),"")</f>
        <v/>
      </c>
      <c r="F203" s="23">
        <f>IF(ISNUMBER(E203),D203*E203,0)</f>
        <v>0</v>
      </c>
      <c r="G203" s="22">
        <f>IF(ISNUMBER(E203),D203,0)</f>
        <v>0</v>
      </c>
      <c r="H203" t="s">
        <v>40</v>
      </c>
      <c r="I203" s="21">
        <v>46288</v>
      </c>
    </row>
    <row r="204" spans="1:9" x14ac:dyDescent="0.15">
      <c r="A204" t="s">
        <v>36</v>
      </c>
      <c r="B204" t="s">
        <v>482</v>
      </c>
      <c r="C204" t="s">
        <v>483</v>
      </c>
      <c r="D204" s="22">
        <v>8.6544999999999992E-4</v>
      </c>
      <c r="E204" s="22">
        <f>IFERROR(_xlfn.LET(_xlpm.m,MATCH($B204,Feed!$A:$A,0),_xlpm.p,INDEX(Feed!$B:$B,_xlpm.m),_xlpm.c,INDEX(Feed!$G:$G,_xlpm.m),IF(AND(_xlpm.p&gt;0,_xlpm.c&gt;0),_xlpm.p/_xlpm.c-1,"")),"")</f>
        <v>-8.1375335227955037E-2</v>
      </c>
      <c r="F204" s="23">
        <f>IF(ISNUMBER(E204),D204*E204,0)</f>
        <v>-7.0426283873033674E-5</v>
      </c>
      <c r="G204" s="22">
        <f>IF(ISNUMBER(E204),D204,0)</f>
        <v>8.6544999999999992E-4</v>
      </c>
      <c r="H204" t="s">
        <v>40</v>
      </c>
      <c r="I204" s="21">
        <v>46288</v>
      </c>
    </row>
    <row r="205" spans="1:9" x14ac:dyDescent="0.15">
      <c r="A205" t="s">
        <v>36</v>
      </c>
      <c r="B205" t="s">
        <v>530</v>
      </c>
      <c r="C205" t="s">
        <v>531</v>
      </c>
      <c r="D205" s="22">
        <v>8.6155999999999993E-4</v>
      </c>
      <c r="E205" s="22">
        <f>IFERROR(_xlfn.LET(_xlpm.m,MATCH($B205,Feed!$A:$A,0),_xlpm.p,INDEX(Feed!$B:$B,_xlpm.m),_xlpm.c,INDEX(Feed!$G:$G,_xlpm.m),IF(AND(_xlpm.p&gt;0,_xlpm.c&gt;0),_xlpm.p/_xlpm.c-1,"")),"")</f>
        <v>8.7737196490511593E-3</v>
      </c>
      <c r="F205" s="23">
        <f>IF(ISNUMBER(E205),D205*E205,0)</f>
        <v>7.5590859008365165E-6</v>
      </c>
      <c r="G205" s="22">
        <f>IF(ISNUMBER(E205),D205,0)</f>
        <v>8.6155999999999993E-4</v>
      </c>
      <c r="H205" t="s">
        <v>40</v>
      </c>
      <c r="I205" s="21">
        <v>46288</v>
      </c>
    </row>
    <row r="206" spans="1:9" x14ac:dyDescent="0.15">
      <c r="A206" t="s">
        <v>36</v>
      </c>
      <c r="B206" t="s">
        <v>518</v>
      </c>
      <c r="C206" t="s">
        <v>519</v>
      </c>
      <c r="D206" s="22">
        <v>8.5545999999999994E-4</v>
      </c>
      <c r="E206" s="22">
        <f>IFERROR(_xlfn.LET(_xlpm.m,MATCH($B206,Feed!$A:$A,0),_xlpm.p,INDEX(Feed!$B:$B,_xlpm.m),_xlpm.c,INDEX(Feed!$G:$G,_xlpm.m),IF(AND(_xlpm.p&gt;0,_xlpm.c&gt;0),_xlpm.p/_xlpm.c-1,"")),"")</f>
        <v>-1.5889836923281719E-2</v>
      </c>
      <c r="F206" s="23">
        <f>IF(ISNUMBER(E206),D206*E206,0)</f>
        <v>-1.3593119894390579E-5</v>
      </c>
      <c r="G206" s="22">
        <f>IF(ISNUMBER(E206),D206,0)</f>
        <v>8.5545999999999994E-4</v>
      </c>
      <c r="H206" t="s">
        <v>40</v>
      </c>
      <c r="I206" s="21">
        <v>46288</v>
      </c>
    </row>
    <row r="207" spans="1:9" x14ac:dyDescent="0.15">
      <c r="A207" t="s">
        <v>36</v>
      </c>
      <c r="B207" t="s">
        <v>528</v>
      </c>
      <c r="C207" t="s">
        <v>529</v>
      </c>
      <c r="D207" s="22">
        <v>8.5145999999999996E-4</v>
      </c>
      <c r="E207" s="22">
        <f>IFERROR(_xlfn.LET(_xlpm.m,MATCH($B207,Feed!$A:$A,0),_xlpm.p,INDEX(Feed!$B:$B,_xlpm.m),_xlpm.c,INDEX(Feed!$G:$G,_xlpm.m),IF(AND(_xlpm.p&gt;0,_xlpm.c&gt;0),_xlpm.p/_xlpm.c-1,"")),"")</f>
        <v>1.7467248908298316E-4</v>
      </c>
      <c r="F207" s="23">
        <f>IF(ISNUMBER(E207),D207*E207,0)</f>
        <v>1.4872663755459685E-7</v>
      </c>
      <c r="G207" s="22">
        <f>IF(ISNUMBER(E207),D207,0)</f>
        <v>8.5145999999999996E-4</v>
      </c>
      <c r="H207" t="s">
        <v>40</v>
      </c>
      <c r="I207" s="21">
        <v>46288</v>
      </c>
    </row>
    <row r="208" spans="1:9" x14ac:dyDescent="0.15">
      <c r="A208" t="s">
        <v>36</v>
      </c>
      <c r="B208" t="s">
        <v>512</v>
      </c>
      <c r="C208" t="s">
        <v>513</v>
      </c>
      <c r="D208" s="22">
        <v>8.505600000000001E-4</v>
      </c>
      <c r="E208" s="22">
        <f>IFERROR(_xlfn.LET(_xlpm.m,MATCH($B208,Feed!$A:$A,0),_xlpm.p,INDEX(Feed!$B:$B,_xlpm.m),_xlpm.c,INDEX(Feed!$G:$G,_xlpm.m),IF(AND(_xlpm.p&gt;0,_xlpm.c&gt;0),_xlpm.p/_xlpm.c-1,"")),"")</f>
        <v>-3.6058206719452035E-2</v>
      </c>
      <c r="F208" s="23">
        <f>IF(ISNUMBER(E208),D208*E208,0)</f>
        <v>-3.0669668307297124E-5</v>
      </c>
      <c r="G208" s="22">
        <f>IF(ISNUMBER(E208),D208,0)</f>
        <v>8.505600000000001E-4</v>
      </c>
      <c r="H208" t="s">
        <v>40</v>
      </c>
      <c r="I208" s="21">
        <v>46288</v>
      </c>
    </row>
    <row r="209" spans="1:9" x14ac:dyDescent="0.15">
      <c r="A209" t="s">
        <v>36</v>
      </c>
      <c r="B209" t="s">
        <v>538</v>
      </c>
      <c r="C209" t="s">
        <v>539</v>
      </c>
      <c r="D209" s="22">
        <v>8.4294999999999997E-4</v>
      </c>
      <c r="E209" s="22">
        <f>IFERROR(_xlfn.LET(_xlpm.m,MATCH($B209,Feed!$A:$A,0),_xlpm.p,INDEX(Feed!$B:$B,_xlpm.m),_xlpm.c,INDEX(Feed!$G:$G,_xlpm.m),IF(AND(_xlpm.p&gt;0,_xlpm.c&gt;0),_xlpm.p/_xlpm.c-1,"")),"")</f>
        <v>3.2696515738091181E-2</v>
      </c>
      <c r="F209" s="23">
        <f>IF(ISNUMBER(E209),D209*E209,0)</f>
        <v>2.7561527941423959E-5</v>
      </c>
      <c r="G209" s="22">
        <f>IF(ISNUMBER(E209),D209,0)</f>
        <v>8.4294999999999997E-4</v>
      </c>
      <c r="H209" t="s">
        <v>40</v>
      </c>
      <c r="I209" s="21">
        <v>46288</v>
      </c>
    </row>
    <row r="210" spans="1:9" x14ac:dyDescent="0.15">
      <c r="A210" t="s">
        <v>36</v>
      </c>
      <c r="B210" t="s">
        <v>532</v>
      </c>
      <c r="C210" t="s">
        <v>533</v>
      </c>
      <c r="D210" s="22">
        <v>8.3109000000000004E-4</v>
      </c>
      <c r="E210" s="22">
        <f>IFERROR(_xlfn.LET(_xlpm.m,MATCH($B210,Feed!$A:$A,0),_xlpm.p,INDEX(Feed!$B:$B,_xlpm.m),_xlpm.c,INDEX(Feed!$G:$G,_xlpm.m),IF(AND(_xlpm.p&gt;0,_xlpm.c&gt;0),_xlpm.p/_xlpm.c-1,"")),"")</f>
        <v>-1.0950962235284689E-2</v>
      </c>
      <c r="F210" s="23">
        <f>IF(ISNUMBER(E210),D210*E210,0)</f>
        <v>-9.1012352041227524E-6</v>
      </c>
      <c r="G210" s="22">
        <f>IF(ISNUMBER(E210),D210,0)</f>
        <v>8.3109000000000004E-4</v>
      </c>
      <c r="H210" t="s">
        <v>40</v>
      </c>
      <c r="I210" s="21">
        <v>46288</v>
      </c>
    </row>
    <row r="211" spans="1:9" x14ac:dyDescent="0.15">
      <c r="A211" t="s">
        <v>36</v>
      </c>
      <c r="B211" t="s">
        <v>534</v>
      </c>
      <c r="C211" t="s">
        <v>535</v>
      </c>
      <c r="D211" s="22">
        <v>8.2282999999999998E-4</v>
      </c>
      <c r="E211" s="22">
        <f>IFERROR(_xlfn.LET(_xlpm.m,MATCH($B211,Feed!$A:$A,0),_xlpm.p,INDEX(Feed!$B:$B,_xlpm.m),_xlpm.c,INDEX(Feed!$G:$G,_xlpm.m),IF(AND(_xlpm.p&gt;0,_xlpm.c&gt;0),_xlpm.p/_xlpm.c-1,"")),"")</f>
        <v>-1.8087448883296608E-2</v>
      </c>
      <c r="F211" s="23">
        <f>IF(ISNUMBER(E211),D211*E211,0)</f>
        <v>-1.4882895564642948E-5</v>
      </c>
      <c r="G211" s="22">
        <f>IF(ISNUMBER(E211),D211,0)</f>
        <v>8.2282999999999998E-4</v>
      </c>
      <c r="H211" t="s">
        <v>40</v>
      </c>
      <c r="I211" s="21">
        <v>46288</v>
      </c>
    </row>
    <row r="212" spans="1:9" x14ac:dyDescent="0.15">
      <c r="A212" t="s">
        <v>36</v>
      </c>
      <c r="B212" t="s">
        <v>536</v>
      </c>
      <c r="C212" t="s">
        <v>537</v>
      </c>
      <c r="D212" s="22">
        <v>8.2149000000000002E-4</v>
      </c>
      <c r="E212" s="22">
        <f>IFERROR(_xlfn.LET(_xlpm.m,MATCH($B212,Feed!$A:$A,0),_xlpm.p,INDEX(Feed!$B:$B,_xlpm.m),_xlpm.c,INDEX(Feed!$G:$G,_xlpm.m),IF(AND(_xlpm.p&gt;0,_xlpm.c&gt;0),_xlpm.p/_xlpm.c-1,"")),"")</f>
        <v>-7.176453094796531E-3</v>
      </c>
      <c r="F212" s="23">
        <f>IF(ISNUMBER(E212),D212*E212,0)</f>
        <v>-5.8953844528444023E-6</v>
      </c>
      <c r="G212" s="22">
        <f>IF(ISNUMBER(E212),D212,0)</f>
        <v>8.2149000000000002E-4</v>
      </c>
      <c r="H212" t="s">
        <v>40</v>
      </c>
      <c r="I212" s="21">
        <v>46288</v>
      </c>
    </row>
    <row r="213" spans="1:9" x14ac:dyDescent="0.15">
      <c r="A213" t="s">
        <v>36</v>
      </c>
      <c r="B213" t="s">
        <v>540</v>
      </c>
      <c r="C213" t="s">
        <v>541</v>
      </c>
      <c r="D213" s="22">
        <v>8.0104999999999998E-4</v>
      </c>
      <c r="E213" s="22">
        <f>IFERROR(_xlfn.LET(_xlpm.m,MATCH($B213,Feed!$A:$A,0),_xlpm.p,INDEX(Feed!$B:$B,_xlpm.m),_xlpm.c,INDEX(Feed!$G:$G,_xlpm.m),IF(AND(_xlpm.p&gt;0,_xlpm.c&gt;0),_xlpm.p/_xlpm.c-1,"")),"")</f>
        <v>-2.3593691791878868E-3</v>
      </c>
      <c r="F213" s="23">
        <f>IF(ISNUMBER(E213),D213*E213,0)</f>
        <v>-1.8899726809884566E-6</v>
      </c>
      <c r="G213" s="22">
        <f>IF(ISNUMBER(E213),D213,0)</f>
        <v>8.0104999999999998E-4</v>
      </c>
      <c r="H213" t="s">
        <v>40</v>
      </c>
      <c r="I213" s="21">
        <v>46288</v>
      </c>
    </row>
    <row r="214" spans="1:9" x14ac:dyDescent="0.15">
      <c r="A214" t="s">
        <v>36</v>
      </c>
      <c r="B214" t="s">
        <v>542</v>
      </c>
      <c r="C214" t="s">
        <v>543</v>
      </c>
      <c r="D214" s="22">
        <v>7.9935999999999994E-4</v>
      </c>
      <c r="E214" s="22">
        <f>IFERROR(_xlfn.LET(_xlpm.m,MATCH($B214,Feed!$A:$A,0),_xlpm.p,INDEX(Feed!$B:$B,_xlpm.m),_xlpm.c,INDEX(Feed!$G:$G,_xlpm.m),IF(AND(_xlpm.p&gt;0,_xlpm.c&gt;0),_xlpm.p/_xlpm.c-1,"")),"")</f>
        <v>-2.2943875750087717E-3</v>
      </c>
      <c r="F214" s="23">
        <f>IF(ISNUMBER(E214),D214*E214,0)</f>
        <v>-1.8340416519590115E-6</v>
      </c>
      <c r="G214" s="22">
        <f>IF(ISNUMBER(E214),D214,0)</f>
        <v>7.9935999999999994E-4</v>
      </c>
      <c r="H214" t="s">
        <v>40</v>
      </c>
      <c r="I214" s="21">
        <v>46288</v>
      </c>
    </row>
    <row r="215" spans="1:9" x14ac:dyDescent="0.15">
      <c r="A215" t="s">
        <v>36</v>
      </c>
      <c r="B215" t="s">
        <v>550</v>
      </c>
      <c r="C215" t="s">
        <v>551</v>
      </c>
      <c r="D215" s="22">
        <v>7.9447000000000003E-4</v>
      </c>
      <c r="E215" s="22">
        <f>IFERROR(_xlfn.LET(_xlpm.m,MATCH($B215,Feed!$A:$A,0),_xlpm.p,INDEX(Feed!$B:$B,_xlpm.m),_xlpm.c,INDEX(Feed!$G:$G,_xlpm.m),IF(AND(_xlpm.p&gt;0,_xlpm.c&gt;0),_xlpm.p/_xlpm.c-1,"")),"")</f>
        <v>2.2738386308068348E-2</v>
      </c>
      <c r="F215" s="23">
        <f>IF(ISNUMBER(E215),D215*E215,0)</f>
        <v>1.8064965770171062E-5</v>
      </c>
      <c r="G215" s="22">
        <f>IF(ISNUMBER(E215),D215,0)</f>
        <v>7.9447000000000003E-4</v>
      </c>
      <c r="H215" t="s">
        <v>40</v>
      </c>
      <c r="I215" s="21">
        <v>46288</v>
      </c>
    </row>
    <row r="216" spans="1:9" x14ac:dyDescent="0.15">
      <c r="A216" t="s">
        <v>36</v>
      </c>
      <c r="B216" t="s">
        <v>546</v>
      </c>
      <c r="C216" t="s">
        <v>547</v>
      </c>
      <c r="D216" s="22">
        <v>7.9334000000000002E-4</v>
      </c>
      <c r="E216" s="22">
        <f>IFERROR(_xlfn.LET(_xlpm.m,MATCH($B216,Feed!$A:$A,0),_xlpm.p,INDEX(Feed!$B:$B,_xlpm.m),_xlpm.c,INDEX(Feed!$G:$G,_xlpm.m),IF(AND(_xlpm.p&gt;0,_xlpm.c&gt;0),_xlpm.p/_xlpm.c-1,"")),"")</f>
        <v>-4.058541384823533E-3</v>
      </c>
      <c r="F216" s="23">
        <f>IF(ISNUMBER(E216),D216*E216,0)</f>
        <v>-3.2198032222359018E-6</v>
      </c>
      <c r="G216" s="22">
        <f>IF(ISNUMBER(E216),D216,0)</f>
        <v>7.9334000000000002E-4</v>
      </c>
      <c r="H216" t="s">
        <v>40</v>
      </c>
      <c r="I216" s="21">
        <v>46288</v>
      </c>
    </row>
    <row r="217" spans="1:9" x14ac:dyDescent="0.15">
      <c r="A217" t="s">
        <v>36</v>
      </c>
      <c r="B217" t="s">
        <v>564</v>
      </c>
      <c r="C217" t="s">
        <v>565</v>
      </c>
      <c r="D217" s="22">
        <v>7.7921000000000002E-4</v>
      </c>
      <c r="E217" s="22">
        <f>IFERROR(_xlfn.LET(_xlpm.m,MATCH($B217,Feed!$A:$A,0),_xlpm.p,INDEX(Feed!$B:$B,_xlpm.m),_xlpm.c,INDEX(Feed!$G:$G,_xlpm.m),IF(AND(_xlpm.p&gt;0,_xlpm.c&gt;0),_xlpm.p/_xlpm.c-1,"")),"")</f>
        <v>5.6651376146789056E-2</v>
      </c>
      <c r="F217" s="23">
        <f>IF(ISNUMBER(E217),D217*E217,0)</f>
        <v>4.4143318807339503E-5</v>
      </c>
      <c r="G217" s="22">
        <f>IF(ISNUMBER(E217),D217,0)</f>
        <v>7.7921000000000002E-4</v>
      </c>
      <c r="H217" t="s">
        <v>40</v>
      </c>
      <c r="I217" s="21">
        <v>46288</v>
      </c>
    </row>
    <row r="218" spans="1:9" x14ac:dyDescent="0.15">
      <c r="A218" t="s">
        <v>36</v>
      </c>
      <c r="B218" t="s">
        <v>548</v>
      </c>
      <c r="C218" t="s">
        <v>549</v>
      </c>
      <c r="D218" s="22">
        <v>7.6979000000000001E-4</v>
      </c>
      <c r="E218" s="22">
        <f>IFERROR(_xlfn.LET(_xlpm.m,MATCH($B218,Feed!$A:$A,0),_xlpm.p,INDEX(Feed!$B:$B,_xlpm.m),_xlpm.c,INDEX(Feed!$G:$G,_xlpm.m),IF(AND(_xlpm.p&gt;0,_xlpm.c&gt;0),_xlpm.p/_xlpm.c-1,"")),"")</f>
        <v>-1.4819416097258009E-2</v>
      </c>
      <c r="F218" s="23">
        <f>IF(ISNUMBER(E218),D218*E218,0)</f>
        <v>-1.1407838317508244E-5</v>
      </c>
      <c r="G218" s="22">
        <f>IF(ISNUMBER(E218),D218,0)</f>
        <v>7.6979000000000001E-4</v>
      </c>
      <c r="H218" t="s">
        <v>40</v>
      </c>
      <c r="I218" s="21">
        <v>46288</v>
      </c>
    </row>
    <row r="219" spans="1:9" x14ac:dyDescent="0.15">
      <c r="A219" t="s">
        <v>36</v>
      </c>
      <c r="B219" t="s">
        <v>544</v>
      </c>
      <c r="C219" t="s">
        <v>545</v>
      </c>
      <c r="D219" s="22">
        <v>7.6960000000000006E-4</v>
      </c>
      <c r="E219" s="22">
        <f>IFERROR(_xlfn.LET(_xlpm.m,MATCH($B219,Feed!$A:$A,0),_xlpm.p,INDEX(Feed!$B:$B,_xlpm.m),_xlpm.c,INDEX(Feed!$G:$G,_xlpm.m),IF(AND(_xlpm.p&gt;0,_xlpm.c&gt;0),_xlpm.p/_xlpm.c-1,"")),"")</f>
        <v>-3.4560789960913385E-2</v>
      </c>
      <c r="F219" s="23">
        <f>IF(ISNUMBER(E219),D219*E219,0)</f>
        <v>-2.6597983953918942E-5</v>
      </c>
      <c r="G219" s="22">
        <f>IF(ISNUMBER(E219),D219,0)</f>
        <v>7.6960000000000006E-4</v>
      </c>
      <c r="H219" t="s">
        <v>40</v>
      </c>
      <c r="I219" s="21">
        <v>46288</v>
      </c>
    </row>
    <row r="220" spans="1:9" x14ac:dyDescent="0.15">
      <c r="A220" t="s">
        <v>36</v>
      </c>
      <c r="B220" t="s">
        <v>554</v>
      </c>
      <c r="C220" t="s">
        <v>555</v>
      </c>
      <c r="D220" s="22">
        <v>7.6836000000000005E-4</v>
      </c>
      <c r="E220" s="22">
        <f>IFERROR(_xlfn.LET(_xlpm.m,MATCH($B220,Feed!$A:$A,0),_xlpm.p,INDEX(Feed!$B:$B,_xlpm.m),_xlpm.c,INDEX(Feed!$G:$G,_xlpm.m),IF(AND(_xlpm.p&gt;0,_xlpm.c&gt;0),_xlpm.p/_xlpm.c-1,"")),"")</f>
        <v>-8.3270249810750707E-3</v>
      </c>
      <c r="F220" s="23">
        <f>IF(ISNUMBER(E220),D220*E220,0)</f>
        <v>-6.3981529144588421E-6</v>
      </c>
      <c r="G220" s="22">
        <f>IF(ISNUMBER(E220),D220,0)</f>
        <v>7.6836000000000005E-4</v>
      </c>
      <c r="H220" t="s">
        <v>40</v>
      </c>
      <c r="I220" s="21">
        <v>46288</v>
      </c>
    </row>
    <row r="221" spans="1:9" x14ac:dyDescent="0.15">
      <c r="A221" t="s">
        <v>36</v>
      </c>
      <c r="B221" t="s">
        <v>558</v>
      </c>
      <c r="C221" t="s">
        <v>559</v>
      </c>
      <c r="D221" s="22">
        <v>7.6612000000000002E-4</v>
      </c>
      <c r="E221" s="22">
        <f>IFERROR(_xlfn.LET(_xlpm.m,MATCH($B221,Feed!$A:$A,0),_xlpm.p,INDEX(Feed!$B:$B,_xlpm.m),_xlpm.c,INDEX(Feed!$G:$G,_xlpm.m),IF(AND(_xlpm.p&gt;0,_xlpm.c&gt;0),_xlpm.p/_xlpm.c-1,"")),"")</f>
        <v>5.8916836619078428E-3</v>
      </c>
      <c r="F221" s="23">
        <f>IF(ISNUMBER(E221),D221*E221,0)</f>
        <v>4.5137366870608367E-6</v>
      </c>
      <c r="G221" s="22">
        <f>IF(ISNUMBER(E221),D221,0)</f>
        <v>7.6612000000000002E-4</v>
      </c>
      <c r="H221" t="s">
        <v>40</v>
      </c>
      <c r="I221" s="21">
        <v>46288</v>
      </c>
    </row>
    <row r="222" spans="1:9" x14ac:dyDescent="0.15">
      <c r="A222" t="s">
        <v>36</v>
      </c>
      <c r="B222" t="s">
        <v>552</v>
      </c>
      <c r="C222" t="s">
        <v>553</v>
      </c>
      <c r="D222" s="22">
        <v>7.6415999999999995E-4</v>
      </c>
      <c r="E222" s="22">
        <f>IFERROR(_xlfn.LET(_xlpm.m,MATCH($B222,Feed!$A:$A,0),_xlpm.p,INDEX(Feed!$B:$B,_xlpm.m),_xlpm.c,INDEX(Feed!$G:$G,_xlpm.m),IF(AND(_xlpm.p&gt;0,_xlpm.c&gt;0),_xlpm.p/_xlpm.c-1,"")),"")</f>
        <v>-1.4871486289005476E-2</v>
      </c>
      <c r="F222" s="23">
        <f>IF(ISNUMBER(E222),D222*E222,0)</f>
        <v>-1.1364194962606423E-5</v>
      </c>
      <c r="G222" s="22">
        <f>IF(ISNUMBER(E222),D222,0)</f>
        <v>7.6415999999999995E-4</v>
      </c>
      <c r="H222" t="s">
        <v>40</v>
      </c>
      <c r="I222" s="21">
        <v>46288</v>
      </c>
    </row>
    <row r="223" spans="1:9" x14ac:dyDescent="0.15">
      <c r="A223" t="s">
        <v>36</v>
      </c>
      <c r="B223" t="s">
        <v>556</v>
      </c>
      <c r="C223" t="s">
        <v>557</v>
      </c>
      <c r="D223" s="22">
        <v>7.6327000000000003E-4</v>
      </c>
      <c r="E223" s="22">
        <f>IFERROR(_xlfn.LET(_xlpm.m,MATCH($B223,Feed!$A:$A,0),_xlpm.p,INDEX(Feed!$B:$B,_xlpm.m),_xlpm.c,INDEX(Feed!$G:$G,_xlpm.m),IF(AND(_xlpm.p&gt;0,_xlpm.c&gt;0),_xlpm.p/_xlpm.c-1,"")),"")</f>
        <v>-1.1541632316570571E-2</v>
      </c>
      <c r="F223" s="23">
        <f>IF(ISNUMBER(E223),D223*E223,0)</f>
        <v>-8.8093816982688205E-6</v>
      </c>
      <c r="G223" s="22">
        <f>IF(ISNUMBER(E223),D223,0)</f>
        <v>7.6327000000000003E-4</v>
      </c>
      <c r="H223" t="s">
        <v>40</v>
      </c>
      <c r="I223" s="21">
        <v>46288</v>
      </c>
    </row>
    <row r="224" spans="1:9" x14ac:dyDescent="0.15">
      <c r="A224" t="s">
        <v>36</v>
      </c>
      <c r="B224" t="s">
        <v>574</v>
      </c>
      <c r="C224" t="s">
        <v>575</v>
      </c>
      <c r="D224" s="22">
        <v>7.4440999999999993E-4</v>
      </c>
      <c r="E224" s="22">
        <f>IFERROR(_xlfn.LET(_xlpm.m,MATCH($B224,Feed!$A:$A,0),_xlpm.p,INDEX(Feed!$B:$B,_xlpm.m),_xlpm.c,INDEX(Feed!$G:$G,_xlpm.m),IF(AND(_xlpm.p&gt;0,_xlpm.c&gt;0),_xlpm.p/_xlpm.c-1,"")),"")</f>
        <v>5.4006531022356086E-2</v>
      </c>
      <c r="F224" s="23">
        <f>IF(ISNUMBER(E224),D224*E224,0)</f>
        <v>4.0203001758352091E-5</v>
      </c>
      <c r="G224" s="22">
        <f>IF(ISNUMBER(E224),D224,0)</f>
        <v>7.4440999999999993E-4</v>
      </c>
      <c r="H224" t="s">
        <v>40</v>
      </c>
      <c r="I224" s="21">
        <v>46288</v>
      </c>
    </row>
    <row r="225" spans="1:9" x14ac:dyDescent="0.15">
      <c r="A225" t="s">
        <v>36</v>
      </c>
      <c r="B225" t="s">
        <v>566</v>
      </c>
      <c r="C225" t="s">
        <v>567</v>
      </c>
      <c r="D225" s="22">
        <v>7.4292999999999994E-4</v>
      </c>
      <c r="E225" s="22">
        <f>IFERROR(_xlfn.LET(_xlpm.m,MATCH($B225,Feed!$A:$A,0),_xlpm.p,INDEX(Feed!$B:$B,_xlpm.m),_xlpm.c,INDEX(Feed!$G:$G,_xlpm.m),IF(AND(_xlpm.p&gt;0,_xlpm.c&gt;0),_xlpm.p/_xlpm.c-1,"")),"")</f>
        <v>1.1384989499281462E-2</v>
      </c>
      <c r="F225" s="23">
        <f>IF(ISNUMBER(E225),D225*E225,0)</f>
        <v>8.4582502487011755E-6</v>
      </c>
      <c r="G225" s="22">
        <f>IF(ISNUMBER(E225),D225,0)</f>
        <v>7.4292999999999994E-4</v>
      </c>
      <c r="H225" t="s">
        <v>40</v>
      </c>
      <c r="I225" s="21">
        <v>46288</v>
      </c>
    </row>
    <row r="226" spans="1:9" x14ac:dyDescent="0.15">
      <c r="A226" t="s">
        <v>36</v>
      </c>
      <c r="B226" t="s">
        <v>560</v>
      </c>
      <c r="C226" t="s">
        <v>561</v>
      </c>
      <c r="D226" s="22">
        <v>7.3808000000000001E-4</v>
      </c>
      <c r="E226" s="22">
        <f>IFERROR(_xlfn.LET(_xlpm.m,MATCH($B226,Feed!$A:$A,0),_xlpm.p,INDEX(Feed!$B:$B,_xlpm.m),_xlpm.c,INDEX(Feed!$G:$G,_xlpm.m),IF(AND(_xlpm.p&gt;0,_xlpm.c&gt;0),_xlpm.p/_xlpm.c-1,"")),"")</f>
        <v>-1.4327117624542085E-2</v>
      </c>
      <c r="F226" s="23">
        <f>IF(ISNUMBER(E226),D226*E226,0)</f>
        <v>-1.0574558976322022E-5</v>
      </c>
      <c r="G226" s="22">
        <f>IF(ISNUMBER(E226),D226,0)</f>
        <v>7.3808000000000001E-4</v>
      </c>
      <c r="H226" t="s">
        <v>40</v>
      </c>
      <c r="I226" s="21">
        <v>46288</v>
      </c>
    </row>
    <row r="227" spans="1:9" x14ac:dyDescent="0.15">
      <c r="A227" t="s">
        <v>36</v>
      </c>
      <c r="B227" t="s">
        <v>576</v>
      </c>
      <c r="C227" t="s">
        <v>577</v>
      </c>
      <c r="D227" s="22">
        <v>7.2932999999999993E-4</v>
      </c>
      <c r="E227" s="22" t="str">
        <f>IFERROR(_xlfn.LET(_xlpm.m,MATCH($B227,Feed!$A:$A,0),_xlpm.p,INDEX(Feed!$B:$B,_xlpm.m),_xlpm.c,INDEX(Feed!$G:$G,_xlpm.m),IF(AND(_xlpm.p&gt;0,_xlpm.c&gt;0),_xlpm.p/_xlpm.c-1,"")),"")</f>
        <v/>
      </c>
      <c r="F227" s="23">
        <f>IF(ISNUMBER(E227),D227*E227,0)</f>
        <v>0</v>
      </c>
      <c r="G227" s="22">
        <f>IF(ISNUMBER(E227),D227,0)</f>
        <v>0</v>
      </c>
      <c r="H227" t="s">
        <v>40</v>
      </c>
      <c r="I227" s="21">
        <v>46288</v>
      </c>
    </row>
    <row r="228" spans="1:9" x14ac:dyDescent="0.15">
      <c r="A228" t="s">
        <v>36</v>
      </c>
      <c r="B228" t="s">
        <v>562</v>
      </c>
      <c r="C228" t="s">
        <v>563</v>
      </c>
      <c r="D228" s="22">
        <v>7.2816000000000005E-4</v>
      </c>
      <c r="E228" s="22" t="str">
        <f>IFERROR(_xlfn.LET(_xlpm.m,MATCH($B228,Feed!$A:$A,0),_xlpm.p,INDEX(Feed!$B:$B,_xlpm.m),_xlpm.c,INDEX(Feed!$G:$G,_xlpm.m),IF(AND(_xlpm.p&gt;0,_xlpm.c&gt;0),_xlpm.p/_xlpm.c-1,"")),"")</f>
        <v/>
      </c>
      <c r="F228" s="23">
        <f>IF(ISNUMBER(E228),D228*E228,0)</f>
        <v>0</v>
      </c>
      <c r="G228" s="22">
        <f>IF(ISNUMBER(E228),D228,0)</f>
        <v>0</v>
      </c>
      <c r="H228" t="s">
        <v>40</v>
      </c>
      <c r="I228" s="21">
        <v>46288</v>
      </c>
    </row>
    <row r="229" spans="1:9" x14ac:dyDescent="0.15">
      <c r="A229" t="s">
        <v>36</v>
      </c>
      <c r="B229" t="s">
        <v>568</v>
      </c>
      <c r="C229" t="s">
        <v>569</v>
      </c>
      <c r="D229" s="22">
        <v>7.1483000000000007E-4</v>
      </c>
      <c r="E229" s="22">
        <f>IFERROR(_xlfn.LET(_xlpm.m,MATCH($B229,Feed!$A:$A,0),_xlpm.p,INDEX(Feed!$B:$B,_xlpm.m),_xlpm.c,INDEX(Feed!$G:$G,_xlpm.m),IF(AND(_xlpm.p&gt;0,_xlpm.c&gt;0),_xlpm.p/_xlpm.c-1,"")),"")</f>
        <v>-2.83500283500282E-3</v>
      </c>
      <c r="F229" s="23">
        <f>IF(ISNUMBER(E229),D229*E229,0)</f>
        <v>-2.0265450765450662E-6</v>
      </c>
      <c r="G229" s="22">
        <f>IF(ISNUMBER(E229),D229,0)</f>
        <v>7.1483000000000007E-4</v>
      </c>
      <c r="H229" t="s">
        <v>40</v>
      </c>
      <c r="I229" s="21">
        <v>46288</v>
      </c>
    </row>
    <row r="230" spans="1:9" x14ac:dyDescent="0.15">
      <c r="A230" t="s">
        <v>36</v>
      </c>
      <c r="B230" t="s">
        <v>584</v>
      </c>
      <c r="C230" t="s">
        <v>585</v>
      </c>
      <c r="D230" s="22">
        <v>7.1220000000000007E-4</v>
      </c>
      <c r="E230" s="22">
        <f>IFERROR(_xlfn.LET(_xlpm.m,MATCH($B230,Feed!$A:$A,0),_xlpm.p,INDEX(Feed!$B:$B,_xlpm.m),_xlpm.c,INDEX(Feed!$G:$G,_xlpm.m),IF(AND(_xlpm.p&gt;0,_xlpm.c&gt;0),_xlpm.p/_xlpm.c-1,"")),"")</f>
        <v>3.1591357490014849E-2</v>
      </c>
      <c r="F230" s="23">
        <f>IF(ISNUMBER(E230),D230*E230,0)</f>
        <v>2.2499364804388577E-5</v>
      </c>
      <c r="G230" s="22">
        <f>IF(ISNUMBER(E230),D230,0)</f>
        <v>7.1220000000000007E-4</v>
      </c>
      <c r="H230" t="s">
        <v>40</v>
      </c>
      <c r="I230" s="21">
        <v>46288</v>
      </c>
    </row>
    <row r="231" spans="1:9" x14ac:dyDescent="0.15">
      <c r="A231" t="s">
        <v>36</v>
      </c>
      <c r="B231" t="s">
        <v>602</v>
      </c>
      <c r="C231" t="s">
        <v>603</v>
      </c>
      <c r="D231" s="22">
        <v>7.083399999999999E-4</v>
      </c>
      <c r="E231" s="22">
        <f>IFERROR(_xlfn.LET(_xlpm.m,MATCH($B231,Feed!$A:$A,0),_xlpm.p,INDEX(Feed!$B:$B,_xlpm.m),_xlpm.c,INDEX(Feed!$G:$G,_xlpm.m),IF(AND(_xlpm.p&gt;0,_xlpm.c&gt;0),_xlpm.p/_xlpm.c-1,"")),"")</f>
        <v>6.8958905860548203E-2</v>
      </c>
      <c r="F231" s="23">
        <f>IF(ISNUMBER(E231),D231*E231,0)</f>
        <v>4.8846351377260709E-5</v>
      </c>
      <c r="G231" s="22">
        <f>IF(ISNUMBER(E231),D231,0)</f>
        <v>7.083399999999999E-4</v>
      </c>
      <c r="H231" t="s">
        <v>40</v>
      </c>
      <c r="I231" s="21">
        <v>46288</v>
      </c>
    </row>
    <row r="232" spans="1:9" x14ac:dyDescent="0.15">
      <c r="A232" t="s">
        <v>36</v>
      </c>
      <c r="B232" t="s">
        <v>580</v>
      </c>
      <c r="C232" t="s">
        <v>581</v>
      </c>
      <c r="D232" s="22">
        <v>7.0565999999999999E-4</v>
      </c>
      <c r="E232" s="22">
        <f>IFERROR(_xlfn.LET(_xlpm.m,MATCH($B232,Feed!$A:$A,0),_xlpm.p,INDEX(Feed!$B:$B,_xlpm.m),_xlpm.c,INDEX(Feed!$G:$G,_xlpm.m),IF(AND(_xlpm.p&gt;0,_xlpm.c&gt;0),_xlpm.p/_xlpm.c-1,"")),"")</f>
        <v>2.1605359838336335E-2</v>
      </c>
      <c r="F232" s="23">
        <f>IF(ISNUMBER(E232),D232*E232,0)</f>
        <v>1.5246038223520418E-5</v>
      </c>
      <c r="G232" s="22">
        <f>IF(ISNUMBER(E232),D232,0)</f>
        <v>7.0565999999999999E-4</v>
      </c>
      <c r="H232" t="s">
        <v>40</v>
      </c>
      <c r="I232" s="21">
        <v>46288</v>
      </c>
    </row>
    <row r="233" spans="1:9" x14ac:dyDescent="0.15">
      <c r="A233" t="s">
        <v>36</v>
      </c>
      <c r="B233" t="s">
        <v>590</v>
      </c>
      <c r="C233" t="s">
        <v>591</v>
      </c>
      <c r="D233" s="22">
        <v>7.0557999999999992E-4</v>
      </c>
      <c r="E233" s="22">
        <f>IFERROR(_xlfn.LET(_xlpm.m,MATCH($B233,Feed!$A:$A,0),_xlpm.p,INDEX(Feed!$B:$B,_xlpm.m),_xlpm.c,INDEX(Feed!$G:$G,_xlpm.m),IF(AND(_xlpm.p&gt;0,_xlpm.c&gt;0),_xlpm.p/_xlpm.c-1,"")),"")</f>
        <v>1.5554207841318668E-2</v>
      </c>
      <c r="F233" s="23">
        <f>IF(ISNUMBER(E233),D233*E233,0)</f>
        <v>1.0974737968677625E-5</v>
      </c>
      <c r="G233" s="22">
        <f>IF(ISNUMBER(E233),D233,0)</f>
        <v>7.0557999999999992E-4</v>
      </c>
      <c r="H233" t="s">
        <v>40</v>
      </c>
      <c r="I233" s="21">
        <v>46288</v>
      </c>
    </row>
    <row r="234" spans="1:9" x14ac:dyDescent="0.15">
      <c r="A234" t="s">
        <v>36</v>
      </c>
      <c r="B234" t="s">
        <v>572</v>
      </c>
      <c r="C234" t="s">
        <v>573</v>
      </c>
      <c r="D234" s="22">
        <v>7.0544E-4</v>
      </c>
      <c r="E234" s="22">
        <f>IFERROR(_xlfn.LET(_xlpm.m,MATCH($B234,Feed!$A:$A,0),_xlpm.p,INDEX(Feed!$B:$B,_xlpm.m),_xlpm.c,INDEX(Feed!$G:$G,_xlpm.m),IF(AND(_xlpm.p&gt;0,_xlpm.c&gt;0),_xlpm.p/_xlpm.c-1,"")),"")</f>
        <v>-8.332516419958913E-3</v>
      </c>
      <c r="F234" s="23">
        <f>IF(ISNUMBER(E234),D234*E234,0)</f>
        <v>-5.8780903832958153E-6</v>
      </c>
      <c r="G234" s="22">
        <f>IF(ISNUMBER(E234),D234,0)</f>
        <v>7.0544E-4</v>
      </c>
      <c r="H234" t="s">
        <v>40</v>
      </c>
      <c r="I234" s="21">
        <v>46288</v>
      </c>
    </row>
    <row r="235" spans="1:9" x14ac:dyDescent="0.15">
      <c r="A235" t="s">
        <v>36</v>
      </c>
      <c r="B235" t="s">
        <v>578</v>
      </c>
      <c r="C235" t="s">
        <v>579</v>
      </c>
      <c r="D235" s="22">
        <v>7.0205000000000007E-4</v>
      </c>
      <c r="E235" s="22">
        <f>IFERROR(_xlfn.LET(_xlpm.m,MATCH($B235,Feed!$A:$A,0),_xlpm.p,INDEX(Feed!$B:$B,_xlpm.m),_xlpm.c,INDEX(Feed!$G:$G,_xlpm.m),IF(AND(_xlpm.p&gt;0,_xlpm.c&gt;0),_xlpm.p/_xlpm.c-1,"")),"")</f>
        <v>8.2936568883429373E-3</v>
      </c>
      <c r="F235" s="23">
        <f>IF(ISNUMBER(E235),D235*E235,0)</f>
        <v>5.8225618184611596E-6</v>
      </c>
      <c r="G235" s="22">
        <f>IF(ISNUMBER(E235),D235,0)</f>
        <v>7.0205000000000007E-4</v>
      </c>
      <c r="H235" t="s">
        <v>40</v>
      </c>
      <c r="I235" s="21">
        <v>46288</v>
      </c>
    </row>
    <row r="236" spans="1:9" x14ac:dyDescent="0.15">
      <c r="A236" t="s">
        <v>36</v>
      </c>
      <c r="B236" t="s">
        <v>588</v>
      </c>
      <c r="C236" t="s">
        <v>589</v>
      </c>
      <c r="D236" s="22">
        <v>6.9487999999999993E-4</v>
      </c>
      <c r="E236" s="22">
        <f>IFERROR(_xlfn.LET(_xlpm.m,MATCH($B236,Feed!$A:$A,0),_xlpm.p,INDEX(Feed!$B:$B,_xlpm.m),_xlpm.c,INDEX(Feed!$G:$G,_xlpm.m),IF(AND(_xlpm.p&gt;0,_xlpm.c&gt;0),_xlpm.p/_xlpm.c-1,"")),"")</f>
        <v>1.2306983175847108E-2</v>
      </c>
      <c r="F236" s="23">
        <f>IF(ISNUMBER(E236),D236*E236,0)</f>
        <v>8.5518764692326371E-6</v>
      </c>
      <c r="G236" s="22">
        <f>IF(ISNUMBER(E236),D236,0)</f>
        <v>6.9487999999999993E-4</v>
      </c>
      <c r="H236" t="s">
        <v>40</v>
      </c>
      <c r="I236" s="21">
        <v>46288</v>
      </c>
    </row>
    <row r="237" spans="1:9" x14ac:dyDescent="0.15">
      <c r="A237" t="s">
        <v>36</v>
      </c>
      <c r="B237" t="s">
        <v>600</v>
      </c>
      <c r="C237" t="s">
        <v>601</v>
      </c>
      <c r="D237" s="22">
        <v>6.8071999999999989E-4</v>
      </c>
      <c r="E237" s="22">
        <f>IFERROR(_xlfn.LET(_xlpm.m,MATCH($B237,Feed!$A:$A,0),_xlpm.p,INDEX(Feed!$B:$B,_xlpm.m),_xlpm.c,INDEX(Feed!$G:$G,_xlpm.m),IF(AND(_xlpm.p&gt;0,_xlpm.c&gt;0),_xlpm.p/_xlpm.c-1,"")),"")</f>
        <v>2.5612472160356337E-2</v>
      </c>
      <c r="F237" s="23">
        <f>IF(ISNUMBER(E237),D237*E237,0)</f>
        <v>1.7434922048997764E-5</v>
      </c>
      <c r="G237" s="22">
        <f>IF(ISNUMBER(E237),D237,0)</f>
        <v>6.8071999999999989E-4</v>
      </c>
      <c r="H237" t="s">
        <v>40</v>
      </c>
      <c r="I237" s="21">
        <v>46288</v>
      </c>
    </row>
    <row r="238" spans="1:9" x14ac:dyDescent="0.15">
      <c r="A238" t="s">
        <v>36</v>
      </c>
      <c r="B238" t="s">
        <v>570</v>
      </c>
      <c r="C238" t="s">
        <v>571</v>
      </c>
      <c r="D238" s="22">
        <v>6.7453000000000001E-4</v>
      </c>
      <c r="E238" s="22">
        <f>IFERROR(_xlfn.LET(_xlpm.m,MATCH($B238,Feed!$A:$A,0),_xlpm.p,INDEX(Feed!$B:$B,_xlpm.m),_xlpm.c,INDEX(Feed!$G:$G,_xlpm.m),IF(AND(_xlpm.p&gt;0,_xlpm.c&gt;0),_xlpm.p/_xlpm.c-1,"")),"")</f>
        <v>-5.4981353223228502E-2</v>
      </c>
      <c r="F238" s="23">
        <f>IF(ISNUMBER(E238),D238*E238,0)</f>
        <v>-3.7086572189664319E-5</v>
      </c>
      <c r="G238" s="22">
        <f>IF(ISNUMBER(E238),D238,0)</f>
        <v>6.7453000000000001E-4</v>
      </c>
      <c r="H238" t="s">
        <v>40</v>
      </c>
      <c r="I238" s="21">
        <v>46288</v>
      </c>
    </row>
    <row r="239" spans="1:9" x14ac:dyDescent="0.15">
      <c r="A239" t="s">
        <v>36</v>
      </c>
      <c r="B239" t="s">
        <v>596</v>
      </c>
      <c r="C239" t="s">
        <v>597</v>
      </c>
      <c r="D239" s="22">
        <v>6.7420999999999996E-4</v>
      </c>
      <c r="E239" s="22" t="str">
        <f>IFERROR(_xlfn.LET(_xlpm.m,MATCH($B239,Feed!$A:$A,0),_xlpm.p,INDEX(Feed!$B:$B,_xlpm.m),_xlpm.c,INDEX(Feed!$G:$G,_xlpm.m),IF(AND(_xlpm.p&gt;0,_xlpm.c&gt;0),_xlpm.p/_xlpm.c-1,"")),"")</f>
        <v/>
      </c>
      <c r="F239" s="23">
        <f>IF(ISNUMBER(E239),D239*E239,0)</f>
        <v>0</v>
      </c>
      <c r="G239" s="22">
        <f>IF(ISNUMBER(E239),D239,0)</f>
        <v>0</v>
      </c>
      <c r="H239" t="s">
        <v>40</v>
      </c>
      <c r="I239" s="21">
        <v>46288</v>
      </c>
    </row>
    <row r="240" spans="1:9" x14ac:dyDescent="0.15">
      <c r="A240" t="s">
        <v>36</v>
      </c>
      <c r="B240" t="s">
        <v>592</v>
      </c>
      <c r="C240" t="s">
        <v>593</v>
      </c>
      <c r="D240" s="22">
        <v>6.7419000000000008E-4</v>
      </c>
      <c r="E240" s="22" t="str">
        <f>IFERROR(_xlfn.LET(_xlpm.m,MATCH($B240,Feed!$A:$A,0),_xlpm.p,INDEX(Feed!$B:$B,_xlpm.m),_xlpm.c,INDEX(Feed!$G:$G,_xlpm.m),IF(AND(_xlpm.p&gt;0,_xlpm.c&gt;0),_xlpm.p/_xlpm.c-1,"")),"")</f>
        <v/>
      </c>
      <c r="F240" s="23">
        <f>IF(ISNUMBER(E240),D240*E240,0)</f>
        <v>0</v>
      </c>
      <c r="G240" s="22">
        <f>IF(ISNUMBER(E240),D240,0)</f>
        <v>0</v>
      </c>
      <c r="H240" t="s">
        <v>40</v>
      </c>
      <c r="I240" s="21">
        <v>46288</v>
      </c>
    </row>
    <row r="241" spans="1:9" x14ac:dyDescent="0.15">
      <c r="A241" t="s">
        <v>36</v>
      </c>
      <c r="B241" t="s">
        <v>612</v>
      </c>
      <c r="C241" t="s">
        <v>613</v>
      </c>
      <c r="D241" s="22">
        <v>6.7022999999999996E-4</v>
      </c>
      <c r="E241" s="22">
        <f>IFERROR(_xlfn.LET(_xlpm.m,MATCH($B241,Feed!$A:$A,0),_xlpm.p,INDEX(Feed!$B:$B,_xlpm.m),_xlpm.c,INDEX(Feed!$G:$G,_xlpm.m),IF(AND(_xlpm.p&gt;0,_xlpm.c&gt;0),_xlpm.p/_xlpm.c-1,"")),"")</f>
        <v>3.0218790218790259E-2</v>
      </c>
      <c r="F241" s="23">
        <f>IF(ISNUMBER(E241),D241*E241,0)</f>
        <v>2.0253539768339794E-5</v>
      </c>
      <c r="G241" s="22">
        <f>IF(ISNUMBER(E241),D241,0)</f>
        <v>6.7022999999999996E-4</v>
      </c>
      <c r="H241" t="s">
        <v>40</v>
      </c>
      <c r="I241" s="21">
        <v>46288</v>
      </c>
    </row>
    <row r="242" spans="1:9" x14ac:dyDescent="0.15">
      <c r="A242" t="s">
        <v>36</v>
      </c>
      <c r="B242" t="s">
        <v>586</v>
      </c>
      <c r="C242" t="s">
        <v>587</v>
      </c>
      <c r="D242" s="22">
        <v>6.697500000000001E-4</v>
      </c>
      <c r="E242" s="22">
        <f>IFERROR(_xlfn.LET(_xlpm.m,MATCH($B242,Feed!$A:$A,0),_xlpm.p,INDEX(Feed!$B:$B,_xlpm.m),_xlpm.c,INDEX(Feed!$G:$G,_xlpm.m),IF(AND(_xlpm.p&gt;0,_xlpm.c&gt;0),_xlpm.p/_xlpm.c-1,"")),"")</f>
        <v>-2.9924380282259744E-2</v>
      </c>
      <c r="F242" s="23">
        <f>IF(ISNUMBER(E242),D242*E242,0)</f>
        <v>-2.0041853694043466E-5</v>
      </c>
      <c r="G242" s="22">
        <f>IF(ISNUMBER(E242),D242,0)</f>
        <v>6.697500000000001E-4</v>
      </c>
      <c r="H242" t="s">
        <v>40</v>
      </c>
      <c r="I242" s="21">
        <v>46288</v>
      </c>
    </row>
    <row r="243" spans="1:9" x14ac:dyDescent="0.15">
      <c r="A243" t="s">
        <v>36</v>
      </c>
      <c r="B243" t="s">
        <v>582</v>
      </c>
      <c r="C243" t="s">
        <v>583</v>
      </c>
      <c r="D243" s="22">
        <v>6.6931E-4</v>
      </c>
      <c r="E243" s="22">
        <f>IFERROR(_xlfn.LET(_xlpm.m,MATCH($B243,Feed!$A:$A,0),_xlpm.p,INDEX(Feed!$B:$B,_xlpm.m),_xlpm.c,INDEX(Feed!$G:$G,_xlpm.m),IF(AND(_xlpm.p&gt;0,_xlpm.c&gt;0),_xlpm.p/_xlpm.c-1,"")),"")</f>
        <v>-3.6818393661643745E-2</v>
      </c>
      <c r="F243" s="23">
        <f>IF(ISNUMBER(E243),D243*E243,0)</f>
        <v>-2.4642919061674776E-5</v>
      </c>
      <c r="G243" s="22">
        <f>IF(ISNUMBER(E243),D243,0)</f>
        <v>6.6931E-4</v>
      </c>
      <c r="H243" t="s">
        <v>40</v>
      </c>
      <c r="I243" s="21">
        <v>46288</v>
      </c>
    </row>
    <row r="244" spans="1:9" x14ac:dyDescent="0.15">
      <c r="A244" t="s">
        <v>36</v>
      </c>
      <c r="B244" t="s">
        <v>606</v>
      </c>
      <c r="C244" t="s">
        <v>607</v>
      </c>
      <c r="D244" s="22">
        <v>6.6859999999999999E-4</v>
      </c>
      <c r="E244" s="22" t="str">
        <f>IFERROR(_xlfn.LET(_xlpm.m,MATCH($B244,Feed!$A:$A,0),_xlpm.p,INDEX(Feed!$B:$B,_xlpm.m),_xlpm.c,INDEX(Feed!$G:$G,_xlpm.m),IF(AND(_xlpm.p&gt;0,_xlpm.c&gt;0),_xlpm.p/_xlpm.c-1,"")),"")</f>
        <v/>
      </c>
      <c r="F244" s="23">
        <f>IF(ISNUMBER(E244),D244*E244,0)</f>
        <v>0</v>
      </c>
      <c r="G244" s="22">
        <f>IF(ISNUMBER(E244),D244,0)</f>
        <v>0</v>
      </c>
      <c r="H244" t="s">
        <v>40</v>
      </c>
      <c r="I244" s="21">
        <v>46288</v>
      </c>
    </row>
    <row r="245" spans="1:9" x14ac:dyDescent="0.15">
      <c r="A245" t="s">
        <v>36</v>
      </c>
      <c r="B245" t="s">
        <v>598</v>
      </c>
      <c r="C245" t="s">
        <v>599</v>
      </c>
      <c r="D245" s="22">
        <v>6.6580999999999997E-4</v>
      </c>
      <c r="E245" s="22" t="str">
        <f>IFERROR(_xlfn.LET(_xlpm.m,MATCH($B245,Feed!$A:$A,0),_xlpm.p,INDEX(Feed!$B:$B,_xlpm.m),_xlpm.c,INDEX(Feed!$G:$G,_xlpm.m),IF(AND(_xlpm.p&gt;0,_xlpm.c&gt;0),_xlpm.p/_xlpm.c-1,"")),"")</f>
        <v/>
      </c>
      <c r="F245" s="23">
        <f>IF(ISNUMBER(E245),D245*E245,0)</f>
        <v>0</v>
      </c>
      <c r="G245" s="22">
        <f>IF(ISNUMBER(E245),D245,0)</f>
        <v>0</v>
      </c>
      <c r="H245" t="s">
        <v>40</v>
      </c>
      <c r="I245" s="21">
        <v>46288</v>
      </c>
    </row>
    <row r="246" spans="1:9" x14ac:dyDescent="0.15">
      <c r="A246" t="s">
        <v>36</v>
      </c>
      <c r="B246" t="s">
        <v>608</v>
      </c>
      <c r="C246" t="s">
        <v>609</v>
      </c>
      <c r="D246" s="22">
        <v>6.6241E-4</v>
      </c>
      <c r="E246" s="22">
        <f>IFERROR(_xlfn.LET(_xlpm.m,MATCH($B246,Feed!$A:$A,0),_xlpm.p,INDEX(Feed!$B:$B,_xlpm.m),_xlpm.c,INDEX(Feed!$G:$G,_xlpm.m),IF(AND(_xlpm.p&gt;0,_xlpm.c&gt;0),_xlpm.p/_xlpm.c-1,"")),"")</f>
        <v>7.7812361049356404E-4</v>
      </c>
      <c r="F246" s="23">
        <f>IF(ISNUMBER(E246),D246*E246,0)</f>
        <v>5.1543686082704176E-7</v>
      </c>
      <c r="G246" s="22">
        <f>IF(ISNUMBER(E246),D246,0)</f>
        <v>6.6241E-4</v>
      </c>
      <c r="H246" t="s">
        <v>40</v>
      </c>
      <c r="I246" s="21">
        <v>46288</v>
      </c>
    </row>
    <row r="247" spans="1:9" x14ac:dyDescent="0.15">
      <c r="A247" t="s">
        <v>36</v>
      </c>
      <c r="B247" t="s">
        <v>604</v>
      </c>
      <c r="C247" t="s">
        <v>605</v>
      </c>
      <c r="D247" s="22">
        <v>6.6198000000000006E-4</v>
      </c>
      <c r="E247" s="22" t="str">
        <f>IFERROR(_xlfn.LET(_xlpm.m,MATCH($B247,Feed!$A:$A,0),_xlpm.p,INDEX(Feed!$B:$B,_xlpm.m),_xlpm.c,INDEX(Feed!$G:$G,_xlpm.m),IF(AND(_xlpm.p&gt;0,_xlpm.c&gt;0),_xlpm.p/_xlpm.c-1,"")),"")</f>
        <v/>
      </c>
      <c r="F247" s="23">
        <f>IF(ISNUMBER(E247),D247*E247,0)</f>
        <v>0</v>
      </c>
      <c r="G247" s="22">
        <f>IF(ISNUMBER(E247),D247,0)</f>
        <v>0</v>
      </c>
      <c r="H247" t="s">
        <v>40</v>
      </c>
      <c r="I247" s="21">
        <v>46288</v>
      </c>
    </row>
    <row r="248" spans="1:9" x14ac:dyDescent="0.15">
      <c r="A248" t="s">
        <v>36</v>
      </c>
      <c r="B248" t="s">
        <v>594</v>
      </c>
      <c r="C248" t="s">
        <v>595</v>
      </c>
      <c r="D248" s="22">
        <v>6.5403E-4</v>
      </c>
      <c r="E248" s="22">
        <f>IFERROR(_xlfn.LET(_xlpm.m,MATCH($B248,Feed!$A:$A,0),_xlpm.p,INDEX(Feed!$B:$B,_xlpm.m),_xlpm.c,INDEX(Feed!$G:$G,_xlpm.m),IF(AND(_xlpm.p&gt;0,_xlpm.c&gt;0),_xlpm.p/_xlpm.c-1,"")),"")</f>
        <v>-2.2889842632331958E-2</v>
      </c>
      <c r="F248" s="23">
        <f>IF(ISNUMBER(E248),D248*E248,0)</f>
        <v>-1.497064377682407E-5</v>
      </c>
      <c r="G248" s="22">
        <f>IF(ISNUMBER(E248),D248,0)</f>
        <v>6.5403E-4</v>
      </c>
      <c r="H248" t="s">
        <v>40</v>
      </c>
      <c r="I248" s="21">
        <v>46288</v>
      </c>
    </row>
    <row r="249" spans="1:9" x14ac:dyDescent="0.15">
      <c r="A249" t="s">
        <v>36</v>
      </c>
      <c r="B249" t="s">
        <v>616</v>
      </c>
      <c r="C249" t="s">
        <v>617</v>
      </c>
      <c r="D249" s="22">
        <v>6.4895999999999997E-4</v>
      </c>
      <c r="E249" s="22">
        <f>IFERROR(_xlfn.LET(_xlpm.m,MATCH($B249,Feed!$A:$A,0),_xlpm.p,INDEX(Feed!$B:$B,_xlpm.m),_xlpm.c,INDEX(Feed!$G:$G,_xlpm.m),IF(AND(_xlpm.p&gt;0,_xlpm.c&gt;0),_xlpm.p/_xlpm.c-1,"")),"")</f>
        <v>1.6916361588285023E-2</v>
      </c>
      <c r="F249" s="23">
        <f>IF(ISNUMBER(E249),D249*E249,0)</f>
        <v>1.0978042016333447E-5</v>
      </c>
      <c r="G249" s="22">
        <f>IF(ISNUMBER(E249),D249,0)</f>
        <v>6.4895999999999997E-4</v>
      </c>
      <c r="H249" t="s">
        <v>40</v>
      </c>
      <c r="I249" s="21">
        <v>46288</v>
      </c>
    </row>
    <row r="250" spans="1:9" x14ac:dyDescent="0.15">
      <c r="A250" t="s">
        <v>36</v>
      </c>
      <c r="B250" t="s">
        <v>610</v>
      </c>
      <c r="C250" t="s">
        <v>611</v>
      </c>
      <c r="D250" s="22">
        <v>6.4481999999999994E-4</v>
      </c>
      <c r="E250" s="22">
        <f>IFERROR(_xlfn.LET(_xlpm.m,MATCH($B250,Feed!$A:$A,0),_xlpm.p,INDEX(Feed!$B:$B,_xlpm.m),_xlpm.c,INDEX(Feed!$G:$G,_xlpm.m),IF(AND(_xlpm.p&gt;0,_xlpm.c&gt;0),_xlpm.p/_xlpm.c-1,"")),"")</f>
        <v>-6.4178749702876736E-3</v>
      </c>
      <c r="F250" s="23">
        <f>IF(ISNUMBER(E250),D250*E250,0)</f>
        <v>-4.1383741383408969E-6</v>
      </c>
      <c r="G250" s="22">
        <f>IF(ISNUMBER(E250),D250,0)</f>
        <v>6.4481999999999994E-4</v>
      </c>
      <c r="H250" t="s">
        <v>40</v>
      </c>
      <c r="I250" s="21">
        <v>46288</v>
      </c>
    </row>
    <row r="251" spans="1:9" x14ac:dyDescent="0.15">
      <c r="A251" t="s">
        <v>36</v>
      </c>
      <c r="B251" t="s">
        <v>620</v>
      </c>
      <c r="C251" t="s">
        <v>621</v>
      </c>
      <c r="D251" s="22">
        <v>6.4245999999999997E-4</v>
      </c>
      <c r="E251" s="22">
        <f>IFERROR(_xlfn.LET(_xlpm.m,MATCH($B251,Feed!$A:$A,0),_xlpm.p,INDEX(Feed!$B:$B,_xlpm.m),_xlpm.c,INDEX(Feed!$G:$G,_xlpm.m),IF(AND(_xlpm.p&gt;0,_xlpm.c&gt;0),_xlpm.p/_xlpm.c-1,"")),"")</f>
        <v>1.7764857881136908E-2</v>
      </c>
      <c r="F251" s="23">
        <f>IF(ISNUMBER(E251),D251*E251,0)</f>
        <v>1.1413210594315218E-5</v>
      </c>
      <c r="G251" s="22">
        <f>IF(ISNUMBER(E251),D251,0)</f>
        <v>6.4245999999999997E-4</v>
      </c>
      <c r="H251" t="s">
        <v>40</v>
      </c>
      <c r="I251" s="21">
        <v>46288</v>
      </c>
    </row>
    <row r="252" spans="1:9" x14ac:dyDescent="0.15">
      <c r="A252" t="s">
        <v>36</v>
      </c>
      <c r="B252" t="s">
        <v>624</v>
      </c>
      <c r="C252" t="s">
        <v>625</v>
      </c>
      <c r="D252" s="22">
        <v>6.3937999999999994E-4</v>
      </c>
      <c r="E252" s="22">
        <f>IFERROR(_xlfn.LET(_xlpm.m,MATCH($B252,Feed!$A:$A,0),_xlpm.p,INDEX(Feed!$B:$B,_xlpm.m),_xlpm.c,INDEX(Feed!$G:$G,_xlpm.m),IF(AND(_xlpm.p&gt;0,_xlpm.c&gt;0),_xlpm.p/_xlpm.c-1,"")),"")</f>
        <v>3.1432169006202493E-2</v>
      </c>
      <c r="F252" s="23">
        <f>IF(ISNUMBER(E252),D252*E252,0)</f>
        <v>2.0097100219185748E-5</v>
      </c>
      <c r="G252" s="22">
        <f>IF(ISNUMBER(E252),D252,0)</f>
        <v>6.3937999999999994E-4</v>
      </c>
      <c r="H252" t="s">
        <v>40</v>
      </c>
      <c r="I252" s="21">
        <v>46288</v>
      </c>
    </row>
    <row r="253" spans="1:9" x14ac:dyDescent="0.15">
      <c r="A253" t="s">
        <v>36</v>
      </c>
      <c r="B253" t="s">
        <v>642</v>
      </c>
      <c r="C253" t="s">
        <v>643</v>
      </c>
      <c r="D253" s="22">
        <v>6.3062999999999997E-4</v>
      </c>
      <c r="E253" s="22">
        <f>IFERROR(_xlfn.LET(_xlpm.m,MATCH($B253,Feed!$A:$A,0),_xlpm.p,INDEX(Feed!$B:$B,_xlpm.m),_xlpm.c,INDEX(Feed!$G:$G,_xlpm.m),IF(AND(_xlpm.p&gt;0,_xlpm.c&gt;0),_xlpm.p/_xlpm.c-1,"")),"")</f>
        <v>5.4741498479402795E-2</v>
      </c>
      <c r="F253" s="23">
        <f>IF(ISNUMBER(E253),D253*E253,0)</f>
        <v>3.4521631186065786E-5</v>
      </c>
      <c r="G253" s="22">
        <f>IF(ISNUMBER(E253),D253,0)</f>
        <v>6.3062999999999997E-4</v>
      </c>
      <c r="H253" t="s">
        <v>40</v>
      </c>
      <c r="I253" s="21">
        <v>46288</v>
      </c>
    </row>
    <row r="254" spans="1:9" x14ac:dyDescent="0.15">
      <c r="A254" t="s">
        <v>36</v>
      </c>
      <c r="B254" t="s">
        <v>630</v>
      </c>
      <c r="C254" t="s">
        <v>631</v>
      </c>
      <c r="D254" s="22">
        <v>6.2660999999999999E-4</v>
      </c>
      <c r="E254" s="22" t="str">
        <f>IFERROR(_xlfn.LET(_xlpm.m,MATCH($B254,Feed!$A:$A,0),_xlpm.p,INDEX(Feed!$B:$B,_xlpm.m),_xlpm.c,INDEX(Feed!$G:$G,_xlpm.m),IF(AND(_xlpm.p&gt;0,_xlpm.c&gt;0),_xlpm.p/_xlpm.c-1,"")),"")</f>
        <v/>
      </c>
      <c r="F254" s="23">
        <f>IF(ISNUMBER(E254),D254*E254,0)</f>
        <v>0</v>
      </c>
      <c r="G254" s="22">
        <f>IF(ISNUMBER(E254),D254,0)</f>
        <v>0</v>
      </c>
      <c r="H254" t="s">
        <v>40</v>
      </c>
      <c r="I254" s="21">
        <v>46288</v>
      </c>
    </row>
    <row r="255" spans="1:9" x14ac:dyDescent="0.15">
      <c r="A255" t="s">
        <v>36</v>
      </c>
      <c r="B255" t="s">
        <v>626</v>
      </c>
      <c r="C255" t="s">
        <v>627</v>
      </c>
      <c r="D255" s="22">
        <v>6.2562999999999996E-4</v>
      </c>
      <c r="E255" s="22" t="str">
        <f>IFERROR(_xlfn.LET(_xlpm.m,MATCH($B255,Feed!$A:$A,0),_xlpm.p,INDEX(Feed!$B:$B,_xlpm.m),_xlpm.c,INDEX(Feed!$G:$G,_xlpm.m),IF(AND(_xlpm.p&gt;0,_xlpm.c&gt;0),_xlpm.p/_xlpm.c-1,"")),"")</f>
        <v/>
      </c>
      <c r="F255" s="23">
        <f>IF(ISNUMBER(E255),D255*E255,0)</f>
        <v>0</v>
      </c>
      <c r="G255" s="22">
        <f>IF(ISNUMBER(E255),D255,0)</f>
        <v>0</v>
      </c>
      <c r="H255" t="s">
        <v>40</v>
      </c>
      <c r="I255" s="21">
        <v>46288</v>
      </c>
    </row>
    <row r="256" spans="1:9" x14ac:dyDescent="0.15">
      <c r="A256" t="s">
        <v>36</v>
      </c>
      <c r="B256" t="s">
        <v>618</v>
      </c>
      <c r="C256" t="s">
        <v>619</v>
      </c>
      <c r="D256" s="22">
        <v>6.2447999999999996E-4</v>
      </c>
      <c r="E256" s="22">
        <f>IFERROR(_xlfn.LET(_xlpm.m,MATCH($B256,Feed!$A:$A,0),_xlpm.p,INDEX(Feed!$B:$B,_xlpm.m),_xlpm.c,INDEX(Feed!$G:$G,_xlpm.m),IF(AND(_xlpm.p&gt;0,_xlpm.c&gt;0),_xlpm.p/_xlpm.c-1,"")),"")</f>
        <v>-1.92140138487642E-2</v>
      </c>
      <c r="F256" s="23">
        <f>IF(ISNUMBER(E256),D256*E256,0)</f>
        <v>-1.1998767368276267E-5</v>
      </c>
      <c r="G256" s="22">
        <f>IF(ISNUMBER(E256),D256,0)</f>
        <v>6.2447999999999996E-4</v>
      </c>
      <c r="H256" t="s">
        <v>40</v>
      </c>
      <c r="I256" s="21">
        <v>46288</v>
      </c>
    </row>
    <row r="257" spans="1:9" x14ac:dyDescent="0.15">
      <c r="A257" t="s">
        <v>36</v>
      </c>
      <c r="B257" t="s">
        <v>628</v>
      </c>
      <c r="C257" t="s">
        <v>629</v>
      </c>
      <c r="D257" s="22">
        <v>6.2361000000000003E-4</v>
      </c>
      <c r="E257" s="22">
        <f>IFERROR(_xlfn.LET(_xlpm.m,MATCH($B257,Feed!$A:$A,0),_xlpm.p,INDEX(Feed!$B:$B,_xlpm.m),_xlpm.c,INDEX(Feed!$G:$G,_xlpm.m),IF(AND(_xlpm.p&gt;0,_xlpm.c&gt;0),_xlpm.p/_xlpm.c-1,"")),"")</f>
        <v>4.917682274962587E-3</v>
      </c>
      <c r="F257" s="23">
        <f>IF(ISNUMBER(E257),D257*E257,0)</f>
        <v>3.0667158434894192E-6</v>
      </c>
      <c r="G257" s="22">
        <f>IF(ISNUMBER(E257),D257,0)</f>
        <v>6.2361000000000003E-4</v>
      </c>
      <c r="H257" t="s">
        <v>40</v>
      </c>
      <c r="I257" s="21">
        <v>46288</v>
      </c>
    </row>
    <row r="258" spans="1:9" x14ac:dyDescent="0.15">
      <c r="A258" t="s">
        <v>36</v>
      </c>
      <c r="B258" t="s">
        <v>634</v>
      </c>
      <c r="C258" t="s">
        <v>635</v>
      </c>
      <c r="D258" s="22">
        <v>6.2211000000000005E-4</v>
      </c>
      <c r="E258" s="22">
        <f>IFERROR(_xlfn.LET(_xlpm.m,MATCH($B258,Feed!$A:$A,0),_xlpm.p,INDEX(Feed!$B:$B,_xlpm.m),_xlpm.c,INDEX(Feed!$G:$G,_xlpm.m),IF(AND(_xlpm.p&gt;0,_xlpm.c&gt;0),_xlpm.p/_xlpm.c-1,"")),"")</f>
        <v>1.3121623111699066E-2</v>
      </c>
      <c r="F258" s="23">
        <f>IF(ISNUMBER(E258),D258*E258,0)</f>
        <v>8.1630929540191068E-6</v>
      </c>
      <c r="G258" s="22">
        <f>IF(ISNUMBER(E258),D258,0)</f>
        <v>6.2211000000000005E-4</v>
      </c>
      <c r="H258" t="s">
        <v>40</v>
      </c>
      <c r="I258" s="21">
        <v>46288</v>
      </c>
    </row>
    <row r="259" spans="1:9" x14ac:dyDescent="0.15">
      <c r="A259" t="s">
        <v>36</v>
      </c>
      <c r="B259" t="s">
        <v>638</v>
      </c>
      <c r="C259" t="s">
        <v>639</v>
      </c>
      <c r="D259" s="22">
        <v>6.1660999999999997E-4</v>
      </c>
      <c r="E259" s="22">
        <f>IFERROR(_xlfn.LET(_xlpm.m,MATCH($B259,Feed!$A:$A,0),_xlpm.p,INDEX(Feed!$B:$B,_xlpm.m),_xlpm.c,INDEX(Feed!$G:$G,_xlpm.m),IF(AND(_xlpm.p&gt;0,_xlpm.c&gt;0),_xlpm.p/_xlpm.c-1,"")),"")</f>
        <v>1.9251441415029769E-2</v>
      </c>
      <c r="F259" s="23">
        <f>IF(ISNUMBER(E259),D259*E259,0)</f>
        <v>1.1870631290921505E-5</v>
      </c>
      <c r="G259" s="22">
        <f>IF(ISNUMBER(E259),D259,0)</f>
        <v>6.1660999999999997E-4</v>
      </c>
      <c r="H259" t="s">
        <v>40</v>
      </c>
      <c r="I259" s="21">
        <v>46288</v>
      </c>
    </row>
    <row r="260" spans="1:9" x14ac:dyDescent="0.15">
      <c r="A260" t="s">
        <v>36</v>
      </c>
      <c r="B260" t="s">
        <v>622</v>
      </c>
      <c r="C260" t="s">
        <v>623</v>
      </c>
      <c r="D260" s="22">
        <v>6.1516000000000001E-4</v>
      </c>
      <c r="E260" s="22">
        <f>IFERROR(_xlfn.LET(_xlpm.m,MATCH($B260,Feed!$A:$A,0),_xlpm.p,INDEX(Feed!$B:$B,_xlpm.m),_xlpm.c,INDEX(Feed!$G:$G,_xlpm.m),IF(AND(_xlpm.p&gt;0,_xlpm.c&gt;0),_xlpm.p/_xlpm.c-1,"")),"")</f>
        <v>-2.3930601256356487E-2</v>
      </c>
      <c r="F260" s="23">
        <f>IF(ISNUMBER(E260),D260*E260,0)</f>
        <v>-1.4721148668860256E-5</v>
      </c>
      <c r="G260" s="22">
        <f>IF(ISNUMBER(E260),D260,0)</f>
        <v>6.1516000000000001E-4</v>
      </c>
      <c r="H260" t="s">
        <v>40</v>
      </c>
      <c r="I260" s="21">
        <v>46288</v>
      </c>
    </row>
    <row r="261" spans="1:9" x14ac:dyDescent="0.15">
      <c r="A261" t="s">
        <v>36</v>
      </c>
      <c r="B261" t="s">
        <v>644</v>
      </c>
      <c r="C261" t="s">
        <v>645</v>
      </c>
      <c r="D261" s="22">
        <v>6.1494999999999996E-4</v>
      </c>
      <c r="E261" s="22">
        <f>IFERROR(_xlfn.LET(_xlpm.m,MATCH($B261,Feed!$A:$A,0),_xlpm.p,INDEX(Feed!$B:$B,_xlpm.m),_xlpm.c,INDEX(Feed!$G:$G,_xlpm.m),IF(AND(_xlpm.p&gt;0,_xlpm.c&gt;0),_xlpm.p/_xlpm.c-1,"")),"")</f>
        <v>3.4802784222737859E-2</v>
      </c>
      <c r="F261" s="23">
        <f>IF(ISNUMBER(E261),D261*E261,0)</f>
        <v>2.1401972157772646E-5</v>
      </c>
      <c r="G261" s="22">
        <f>IF(ISNUMBER(E261),D261,0)</f>
        <v>6.1494999999999996E-4</v>
      </c>
      <c r="H261" t="s">
        <v>40</v>
      </c>
      <c r="I261" s="21">
        <v>46288</v>
      </c>
    </row>
    <row r="262" spans="1:9" x14ac:dyDescent="0.15">
      <c r="A262" t="s">
        <v>36</v>
      </c>
      <c r="B262" t="s">
        <v>614</v>
      </c>
      <c r="C262" t="s">
        <v>615</v>
      </c>
      <c r="D262" s="22">
        <v>6.1280000000000004E-4</v>
      </c>
      <c r="E262" s="22">
        <f>IFERROR(_xlfn.LET(_xlpm.m,MATCH($B262,Feed!$A:$A,0),_xlpm.p,INDEX(Feed!$B:$B,_xlpm.m),_xlpm.c,INDEX(Feed!$G:$G,_xlpm.m),IF(AND(_xlpm.p&gt;0,_xlpm.c&gt;0),_xlpm.p/_xlpm.c-1,"")),"")</f>
        <v>-4.2997960571040106E-2</v>
      </c>
      <c r="F262" s="23">
        <f>IF(ISNUMBER(E262),D262*E262,0)</f>
        <v>-2.6349150237933379E-5</v>
      </c>
      <c r="G262" s="22">
        <f>IF(ISNUMBER(E262),D262,0)</f>
        <v>6.1280000000000004E-4</v>
      </c>
      <c r="H262" t="s">
        <v>40</v>
      </c>
      <c r="I262" s="21">
        <v>46288</v>
      </c>
    </row>
    <row r="263" spans="1:9" x14ac:dyDescent="0.15">
      <c r="A263" t="s">
        <v>36</v>
      </c>
      <c r="B263" t="s">
        <v>636</v>
      </c>
      <c r="C263" t="s">
        <v>637</v>
      </c>
      <c r="D263" s="22">
        <v>6.0466999999999997E-4</v>
      </c>
      <c r="E263" s="22" t="str">
        <f>IFERROR(_xlfn.LET(_xlpm.m,MATCH($B263,Feed!$A:$A,0),_xlpm.p,INDEX(Feed!$B:$B,_xlpm.m),_xlpm.c,INDEX(Feed!$G:$G,_xlpm.m),IF(AND(_xlpm.p&gt;0,_xlpm.c&gt;0),_xlpm.p/_xlpm.c-1,"")),"")</f>
        <v/>
      </c>
      <c r="F263" s="23">
        <f>IF(ISNUMBER(E263),D263*E263,0)</f>
        <v>0</v>
      </c>
      <c r="G263" s="22">
        <f>IF(ISNUMBER(E263),D263,0)</f>
        <v>0</v>
      </c>
      <c r="H263" t="s">
        <v>40</v>
      </c>
      <c r="I263" s="21">
        <v>46288</v>
      </c>
    </row>
    <row r="264" spans="1:9" x14ac:dyDescent="0.15">
      <c r="A264" t="s">
        <v>36</v>
      </c>
      <c r="B264" t="s">
        <v>646</v>
      </c>
      <c r="C264" t="s">
        <v>647</v>
      </c>
      <c r="D264" s="22">
        <v>5.9875999999999994E-4</v>
      </c>
      <c r="E264" s="22">
        <f>IFERROR(_xlfn.LET(_xlpm.m,MATCH($B264,Feed!$A:$A,0),_xlpm.p,INDEX(Feed!$B:$B,_xlpm.m),_xlpm.c,INDEX(Feed!$G:$G,_xlpm.m),IF(AND(_xlpm.p&gt;0,_xlpm.c&gt;0),_xlpm.p/_xlpm.c-1,"")),"")</f>
        <v>1.1111111111111294E-2</v>
      </c>
      <c r="F264" s="23">
        <f>IF(ISNUMBER(E264),D264*E264,0)</f>
        <v>6.6528888888889973E-6</v>
      </c>
      <c r="G264" s="22">
        <f>IF(ISNUMBER(E264),D264,0)</f>
        <v>5.9875999999999994E-4</v>
      </c>
      <c r="H264" t="s">
        <v>40</v>
      </c>
      <c r="I264" s="21">
        <v>46288</v>
      </c>
    </row>
    <row r="265" spans="1:9" x14ac:dyDescent="0.15">
      <c r="A265" t="s">
        <v>36</v>
      </c>
      <c r="B265" t="s">
        <v>640</v>
      </c>
      <c r="C265" t="s">
        <v>641</v>
      </c>
      <c r="D265" s="22">
        <v>5.9875E-4</v>
      </c>
      <c r="E265" s="22">
        <f>IFERROR(_xlfn.LET(_xlpm.m,MATCH($B265,Feed!$A:$A,0),_xlpm.p,INDEX(Feed!$B:$B,_xlpm.m),_xlpm.c,INDEX(Feed!$G:$G,_xlpm.m),IF(AND(_xlpm.p&gt;0,_xlpm.c&gt;0),_xlpm.p/_xlpm.c-1,"")),"")</f>
        <v>-7.2168864289977597E-3</v>
      </c>
      <c r="F265" s="23">
        <f>IF(ISNUMBER(E265),D265*E265,0)</f>
        <v>-4.3211107493624089E-6</v>
      </c>
      <c r="G265" s="22">
        <f>IF(ISNUMBER(E265),D265,0)</f>
        <v>5.9875E-4</v>
      </c>
      <c r="H265" t="s">
        <v>40</v>
      </c>
      <c r="I265" s="21">
        <v>46288</v>
      </c>
    </row>
    <row r="266" spans="1:9" x14ac:dyDescent="0.15">
      <c r="A266" t="s">
        <v>36</v>
      </c>
      <c r="B266" t="s">
        <v>632</v>
      </c>
      <c r="C266" t="s">
        <v>633</v>
      </c>
      <c r="D266" s="22">
        <v>5.9466999999999994E-4</v>
      </c>
      <c r="E266" s="22">
        <f>IFERROR(_xlfn.LET(_xlpm.m,MATCH($B266,Feed!$A:$A,0),_xlpm.p,INDEX(Feed!$B:$B,_xlpm.m),_xlpm.c,INDEX(Feed!$G:$G,_xlpm.m),IF(AND(_xlpm.p&gt;0,_xlpm.c&gt;0),_xlpm.p/_xlpm.c-1,"")),"")</f>
        <v>-2.430147922047432E-2</v>
      </c>
      <c r="F266" s="23">
        <f>IF(ISNUMBER(E266),D266*E266,0)</f>
        <v>-1.4451360648039462E-5</v>
      </c>
      <c r="G266" s="22">
        <f>IF(ISNUMBER(E266),D266,0)</f>
        <v>5.9466999999999994E-4</v>
      </c>
      <c r="H266" t="s">
        <v>40</v>
      </c>
      <c r="I266" s="21">
        <v>46288</v>
      </c>
    </row>
    <row r="267" spans="1:9" x14ac:dyDescent="0.15">
      <c r="A267" t="s">
        <v>36</v>
      </c>
      <c r="B267" t="s">
        <v>648</v>
      </c>
      <c r="C267" t="s">
        <v>649</v>
      </c>
      <c r="D267" s="22">
        <v>5.8746000000000004E-4</v>
      </c>
      <c r="E267" s="22">
        <f>IFERROR(_xlfn.LET(_xlpm.m,MATCH($B267,Feed!$A:$A,0),_xlpm.p,INDEX(Feed!$B:$B,_xlpm.m),_xlpm.c,INDEX(Feed!$G:$G,_xlpm.m),IF(AND(_xlpm.p&gt;0,_xlpm.c&gt;0),_xlpm.p/_xlpm.c-1,"")),"")</f>
        <v>-1.9912385503781938E-3</v>
      </c>
      <c r="F267" s="23">
        <f>IF(ISNUMBER(E267),D267*E267,0)</f>
        <v>-1.1697729988051737E-6</v>
      </c>
      <c r="G267" s="22">
        <f>IF(ISNUMBER(E267),D267,0)</f>
        <v>5.8746000000000004E-4</v>
      </c>
      <c r="H267" t="s">
        <v>40</v>
      </c>
      <c r="I267" s="21">
        <v>46288</v>
      </c>
    </row>
    <row r="268" spans="1:9" x14ac:dyDescent="0.15">
      <c r="A268" t="s">
        <v>36</v>
      </c>
      <c r="B268" t="s">
        <v>654</v>
      </c>
      <c r="C268" t="s">
        <v>655</v>
      </c>
      <c r="D268" s="22">
        <v>5.8266000000000004E-4</v>
      </c>
      <c r="E268" s="22" t="str">
        <f>IFERROR(_xlfn.LET(_xlpm.m,MATCH($B268,Feed!$A:$A,0),_xlpm.p,INDEX(Feed!$B:$B,_xlpm.m),_xlpm.c,INDEX(Feed!$G:$G,_xlpm.m),IF(AND(_xlpm.p&gt;0,_xlpm.c&gt;0),_xlpm.p/_xlpm.c-1,"")),"")</f>
        <v/>
      </c>
      <c r="F268" s="23">
        <f>IF(ISNUMBER(E268),D268*E268,0)</f>
        <v>0</v>
      </c>
      <c r="G268" s="22">
        <f>IF(ISNUMBER(E268),D268,0)</f>
        <v>0</v>
      </c>
      <c r="H268" t="s">
        <v>40</v>
      </c>
      <c r="I268" s="21">
        <v>46288</v>
      </c>
    </row>
    <row r="269" spans="1:9" x14ac:dyDescent="0.15">
      <c r="A269" t="s">
        <v>36</v>
      </c>
      <c r="B269" t="s">
        <v>652</v>
      </c>
      <c r="C269" t="s">
        <v>653</v>
      </c>
      <c r="D269" s="22">
        <v>5.7362000000000005E-4</v>
      </c>
      <c r="E269" s="22">
        <f>IFERROR(_xlfn.LET(_xlpm.m,MATCH($B269,Feed!$A:$A,0),_xlpm.p,INDEX(Feed!$B:$B,_xlpm.m),_xlpm.c,INDEX(Feed!$G:$G,_xlpm.m),IF(AND(_xlpm.p&gt;0,_xlpm.c&gt;0),_xlpm.p/_xlpm.c-1,"")),"")</f>
        <v>-1.5081096462107646E-2</v>
      </c>
      <c r="F269" s="23">
        <f>IF(ISNUMBER(E269),D269*E269,0)</f>
        <v>-8.6508185525941892E-6</v>
      </c>
      <c r="G269" s="22">
        <f>IF(ISNUMBER(E269),D269,0)</f>
        <v>5.7362000000000005E-4</v>
      </c>
      <c r="H269" t="s">
        <v>40</v>
      </c>
      <c r="I269" s="21">
        <v>46288</v>
      </c>
    </row>
    <row r="270" spans="1:9" x14ac:dyDescent="0.15">
      <c r="A270" t="s">
        <v>36</v>
      </c>
      <c r="B270" t="s">
        <v>662</v>
      </c>
      <c r="C270" t="s">
        <v>663</v>
      </c>
      <c r="D270" s="22">
        <v>5.6977999999999998E-4</v>
      </c>
      <c r="E270" s="22" t="str">
        <f>IFERROR(_xlfn.LET(_xlpm.m,MATCH($B270,Feed!$A:$A,0),_xlpm.p,INDEX(Feed!$B:$B,_xlpm.m),_xlpm.c,INDEX(Feed!$G:$G,_xlpm.m),IF(AND(_xlpm.p&gt;0,_xlpm.c&gt;0),_xlpm.p/_xlpm.c-1,"")),"")</f>
        <v/>
      </c>
      <c r="F270" s="23">
        <f>IF(ISNUMBER(E270),D270*E270,0)</f>
        <v>0</v>
      </c>
      <c r="G270" s="22">
        <f>IF(ISNUMBER(E270),D270,0)</f>
        <v>0</v>
      </c>
      <c r="H270" t="s">
        <v>40</v>
      </c>
      <c r="I270" s="21">
        <v>46288</v>
      </c>
    </row>
    <row r="271" spans="1:9" x14ac:dyDescent="0.15">
      <c r="A271" t="s">
        <v>36</v>
      </c>
      <c r="B271" t="s">
        <v>658</v>
      </c>
      <c r="C271" t="s">
        <v>659</v>
      </c>
      <c r="D271" s="22">
        <v>5.6568000000000005E-4</v>
      </c>
      <c r="E271" s="22">
        <f>IFERROR(_xlfn.LET(_xlpm.m,MATCH($B271,Feed!$A:$A,0),_xlpm.p,INDEX(Feed!$B:$B,_xlpm.m),_xlpm.c,INDEX(Feed!$G:$G,_xlpm.m),IF(AND(_xlpm.p&gt;0,_xlpm.c&gt;0),_xlpm.p/_xlpm.c-1,"")),"")</f>
        <v>-2.4672632590120869E-2</v>
      </c>
      <c r="F271" s="23">
        <f>IF(ISNUMBER(E271),D271*E271,0)</f>
        <v>-1.3956814803579574E-5</v>
      </c>
      <c r="G271" s="22">
        <f>IF(ISNUMBER(E271),D271,0)</f>
        <v>5.6568000000000005E-4</v>
      </c>
      <c r="H271" t="s">
        <v>40</v>
      </c>
      <c r="I271" s="21">
        <v>46288</v>
      </c>
    </row>
    <row r="272" spans="1:9" x14ac:dyDescent="0.15">
      <c r="A272" t="s">
        <v>36</v>
      </c>
      <c r="B272" t="s">
        <v>660</v>
      </c>
      <c r="C272" t="s">
        <v>661</v>
      </c>
      <c r="D272" s="22">
        <v>5.6375000000000001E-4</v>
      </c>
      <c r="E272" s="22">
        <f>IFERROR(_xlfn.LET(_xlpm.m,MATCH($B272,Feed!$A:$A,0),_xlpm.p,INDEX(Feed!$B:$B,_xlpm.m),_xlpm.c,INDEX(Feed!$G:$G,_xlpm.m),IF(AND(_xlpm.p&gt;0,_xlpm.c&gt;0),_xlpm.p/_xlpm.c-1,"")),"")</f>
        <v>-4.8070841239721274E-3</v>
      </c>
      <c r="F272" s="23">
        <f>IF(ISNUMBER(E272),D272*E272,0)</f>
        <v>-2.7099936748892868E-6</v>
      </c>
      <c r="G272" s="22">
        <f>IF(ISNUMBER(E272),D272,0)</f>
        <v>5.6375000000000001E-4</v>
      </c>
      <c r="H272" t="s">
        <v>40</v>
      </c>
      <c r="I272" s="21">
        <v>46288</v>
      </c>
    </row>
    <row r="273" spans="1:9" x14ac:dyDescent="0.15">
      <c r="A273" t="s">
        <v>36</v>
      </c>
      <c r="B273" t="s">
        <v>650</v>
      </c>
      <c r="C273" t="s">
        <v>651</v>
      </c>
      <c r="D273" s="22">
        <v>5.6360999999999998E-4</v>
      </c>
      <c r="E273" s="22">
        <f>IFERROR(_xlfn.LET(_xlpm.m,MATCH($B273,Feed!$A:$A,0),_xlpm.p,INDEX(Feed!$B:$B,_xlpm.m),_xlpm.c,INDEX(Feed!$G:$G,_xlpm.m),IF(AND(_xlpm.p&gt;0,_xlpm.c&gt;0),_xlpm.p/_xlpm.c-1,"")),"")</f>
        <v>-4.1159962581852172E-2</v>
      </c>
      <c r="F273" s="23">
        <f>IF(ISNUMBER(E273),D273*E273,0)</f>
        <v>-2.3198166510757701E-5</v>
      </c>
      <c r="G273" s="22">
        <f>IF(ISNUMBER(E273),D273,0)</f>
        <v>5.6360999999999998E-4</v>
      </c>
      <c r="H273" t="s">
        <v>40</v>
      </c>
      <c r="I273" s="21">
        <v>46288</v>
      </c>
    </row>
    <row r="274" spans="1:9" x14ac:dyDescent="0.15">
      <c r="A274" t="s">
        <v>36</v>
      </c>
      <c r="B274" t="s">
        <v>656</v>
      </c>
      <c r="C274" t="s">
        <v>657</v>
      </c>
      <c r="D274" s="22">
        <v>5.6356000000000006E-4</v>
      </c>
      <c r="E274" s="22" t="str">
        <f>IFERROR(_xlfn.LET(_xlpm.m,MATCH($B274,Feed!$A:$A,0),_xlpm.p,INDEX(Feed!$B:$B,_xlpm.m),_xlpm.c,INDEX(Feed!$G:$G,_xlpm.m),IF(AND(_xlpm.p&gt;0,_xlpm.c&gt;0),_xlpm.p/_xlpm.c-1,"")),"")</f>
        <v/>
      </c>
      <c r="F274" s="23">
        <f>IF(ISNUMBER(E274),D274*E274,0)</f>
        <v>0</v>
      </c>
      <c r="G274" s="22">
        <f>IF(ISNUMBER(E274),D274,0)</f>
        <v>0</v>
      </c>
      <c r="H274" t="s">
        <v>40</v>
      </c>
      <c r="I274" s="21">
        <v>46288</v>
      </c>
    </row>
    <row r="275" spans="1:9" x14ac:dyDescent="0.15">
      <c r="A275" t="s">
        <v>36</v>
      </c>
      <c r="B275" t="s">
        <v>676</v>
      </c>
      <c r="C275" t="s">
        <v>677</v>
      </c>
      <c r="D275" s="22">
        <v>5.6037999999999997E-4</v>
      </c>
      <c r="E275" s="22" t="str">
        <f>IFERROR(_xlfn.LET(_xlpm.m,MATCH($B275,Feed!$A:$A,0),_xlpm.p,INDEX(Feed!$B:$B,_xlpm.m),_xlpm.c,INDEX(Feed!$G:$G,_xlpm.m),IF(AND(_xlpm.p&gt;0,_xlpm.c&gt;0),_xlpm.p/_xlpm.c-1,"")),"")</f>
        <v/>
      </c>
      <c r="F275" s="23">
        <f>IF(ISNUMBER(E275),D275*E275,0)</f>
        <v>0</v>
      </c>
      <c r="G275" s="22">
        <f>IF(ISNUMBER(E275),D275,0)</f>
        <v>0</v>
      </c>
      <c r="H275" t="s">
        <v>40</v>
      </c>
      <c r="I275" s="21">
        <v>46288</v>
      </c>
    </row>
    <row r="276" spans="1:9" x14ac:dyDescent="0.15">
      <c r="A276" t="s">
        <v>36</v>
      </c>
      <c r="B276" t="s">
        <v>670</v>
      </c>
      <c r="C276" t="s">
        <v>671</v>
      </c>
      <c r="D276" s="22">
        <v>5.5838999999999997E-4</v>
      </c>
      <c r="E276" s="22">
        <f>IFERROR(_xlfn.LET(_xlpm.m,MATCH($B276,Feed!$A:$A,0),_xlpm.p,INDEX(Feed!$B:$B,_xlpm.m),_xlpm.c,INDEX(Feed!$G:$G,_xlpm.m),IF(AND(_xlpm.p&gt;0,_xlpm.c&gt;0),_xlpm.p/_xlpm.c-1,"")),"")</f>
        <v>3.2718470912277864E-2</v>
      </c>
      <c r="F276" s="23">
        <f>IF(ISNUMBER(E276),D276*E276,0)</f>
        <v>1.8269666972706835E-5</v>
      </c>
      <c r="G276" s="22">
        <f>IF(ISNUMBER(E276),D276,0)</f>
        <v>5.5838999999999997E-4</v>
      </c>
      <c r="H276" t="s">
        <v>40</v>
      </c>
      <c r="I276" s="21">
        <v>46288</v>
      </c>
    </row>
    <row r="277" spans="1:9" x14ac:dyDescent="0.15">
      <c r="A277" t="s">
        <v>36</v>
      </c>
      <c r="B277" t="s">
        <v>668</v>
      </c>
      <c r="C277" t="s">
        <v>669</v>
      </c>
      <c r="D277" s="22">
        <v>5.5763999999999998E-4</v>
      </c>
      <c r="E277" s="22">
        <f>IFERROR(_xlfn.LET(_xlpm.m,MATCH($B277,Feed!$A:$A,0),_xlpm.p,INDEX(Feed!$B:$B,_xlpm.m),_xlpm.c,INDEX(Feed!$G:$G,_xlpm.m),IF(AND(_xlpm.p&gt;0,_xlpm.c&gt;0),_xlpm.p/_xlpm.c-1,"")),"")</f>
        <v>2.5795068786850228E-2</v>
      </c>
      <c r="F277" s="23">
        <f>IF(ISNUMBER(E277),D277*E277,0)</f>
        <v>1.438436215829916E-5</v>
      </c>
      <c r="G277" s="22">
        <f>IF(ISNUMBER(E277),D277,0)</f>
        <v>5.5763999999999998E-4</v>
      </c>
      <c r="H277" t="s">
        <v>40</v>
      </c>
      <c r="I277" s="21">
        <v>46288</v>
      </c>
    </row>
    <row r="278" spans="1:9" x14ac:dyDescent="0.15">
      <c r="A278" t="s">
        <v>36</v>
      </c>
      <c r="B278" t="s">
        <v>682</v>
      </c>
      <c r="C278" t="s">
        <v>683</v>
      </c>
      <c r="D278" s="22">
        <v>5.5084000000000003E-4</v>
      </c>
      <c r="E278" s="22">
        <f>IFERROR(_xlfn.LET(_xlpm.m,MATCH($B278,Feed!$A:$A,0),_xlpm.p,INDEX(Feed!$B:$B,_xlpm.m),_xlpm.c,INDEX(Feed!$G:$G,_xlpm.m),IF(AND(_xlpm.p&gt;0,_xlpm.c&gt;0),_xlpm.p/_xlpm.c-1,"")),"")</f>
        <v>5.6270405223737274E-2</v>
      </c>
      <c r="F278" s="23">
        <f>IF(ISNUMBER(E278),D278*E278,0)</f>
        <v>3.0995990013443442E-5</v>
      </c>
      <c r="G278" s="22">
        <f>IF(ISNUMBER(E278),D278,0)</f>
        <v>5.5084000000000003E-4</v>
      </c>
      <c r="H278" t="s">
        <v>40</v>
      </c>
      <c r="I278" s="21">
        <v>46288</v>
      </c>
    </row>
    <row r="279" spans="1:9" x14ac:dyDescent="0.15">
      <c r="A279" t="s">
        <v>36</v>
      </c>
      <c r="B279" t="s">
        <v>678</v>
      </c>
      <c r="C279" t="s">
        <v>679</v>
      </c>
      <c r="D279" s="22">
        <v>5.4615999999999996E-4</v>
      </c>
      <c r="E279" s="22">
        <f>IFERROR(_xlfn.LET(_xlpm.m,MATCH($B279,Feed!$A:$A,0),_xlpm.p,INDEX(Feed!$B:$B,_xlpm.m),_xlpm.c,INDEX(Feed!$G:$G,_xlpm.m),IF(AND(_xlpm.p&gt;0,_xlpm.c&gt;0),_xlpm.p/_xlpm.c-1,"")),"")</f>
        <v>4.4124039994203779E-2</v>
      </c>
      <c r="F279" s="23">
        <f>IF(ISNUMBER(E279),D279*E279,0)</f>
        <v>2.4098785683234335E-5</v>
      </c>
      <c r="G279" s="22">
        <f>IF(ISNUMBER(E279),D279,0)</f>
        <v>5.4615999999999996E-4</v>
      </c>
      <c r="H279" t="s">
        <v>40</v>
      </c>
      <c r="I279" s="21">
        <v>46288</v>
      </c>
    </row>
    <row r="280" spans="1:9" x14ac:dyDescent="0.15">
      <c r="A280" t="s">
        <v>36</v>
      </c>
      <c r="B280" t="s">
        <v>664</v>
      </c>
      <c r="C280" t="s">
        <v>665</v>
      </c>
      <c r="D280" s="22">
        <v>5.4599E-4</v>
      </c>
      <c r="E280" s="22">
        <f>IFERROR(_xlfn.LET(_xlpm.m,MATCH($B280,Feed!$A:$A,0),_xlpm.p,INDEX(Feed!$B:$B,_xlpm.m),_xlpm.c,INDEX(Feed!$G:$G,_xlpm.m),IF(AND(_xlpm.p&gt;0,_xlpm.c&gt;0),_xlpm.p/_xlpm.c-1,"")),"")</f>
        <v>-1.3862579645255724E-2</v>
      </c>
      <c r="F280" s="23">
        <f>IF(ISNUMBER(E280),D280*E280,0)</f>
        <v>-7.5688298605131721E-6</v>
      </c>
      <c r="G280" s="22">
        <f>IF(ISNUMBER(E280),D280,0)</f>
        <v>5.4599E-4</v>
      </c>
      <c r="H280" t="s">
        <v>40</v>
      </c>
      <c r="I280" s="21">
        <v>46288</v>
      </c>
    </row>
    <row r="281" spans="1:9" x14ac:dyDescent="0.15">
      <c r="A281" t="s">
        <v>36</v>
      </c>
      <c r="B281" t="s">
        <v>672</v>
      </c>
      <c r="C281" t="s">
        <v>673</v>
      </c>
      <c r="D281" s="22">
        <v>5.3987000000000002E-4</v>
      </c>
      <c r="E281" s="22" t="str">
        <f>IFERROR(_xlfn.LET(_xlpm.m,MATCH($B281,Feed!$A:$A,0),_xlpm.p,INDEX(Feed!$B:$B,_xlpm.m),_xlpm.c,INDEX(Feed!$G:$G,_xlpm.m),IF(AND(_xlpm.p&gt;0,_xlpm.c&gt;0),_xlpm.p/_xlpm.c-1,"")),"")</f>
        <v/>
      </c>
      <c r="F281" s="23">
        <f>IF(ISNUMBER(E281),D281*E281,0)</f>
        <v>0</v>
      </c>
      <c r="G281" s="22">
        <f>IF(ISNUMBER(E281),D281,0)</f>
        <v>0</v>
      </c>
      <c r="H281" t="s">
        <v>40</v>
      </c>
      <c r="I281" s="21">
        <v>46288</v>
      </c>
    </row>
    <row r="282" spans="1:9" x14ac:dyDescent="0.15">
      <c r="A282" t="s">
        <v>36</v>
      </c>
      <c r="B282" t="s">
        <v>666</v>
      </c>
      <c r="C282" t="s">
        <v>667</v>
      </c>
      <c r="D282" s="22">
        <v>5.3775000000000003E-4</v>
      </c>
      <c r="E282" s="22">
        <f>IFERROR(_xlfn.LET(_xlpm.m,MATCH($B282,Feed!$A:$A,0),_xlpm.p,INDEX(Feed!$B:$B,_xlpm.m),_xlpm.c,INDEX(Feed!$G:$G,_xlpm.m),IF(AND(_xlpm.p&gt;0,_xlpm.c&gt;0),_xlpm.p/_xlpm.c-1,"")),"")</f>
        <v>-2.38504051081182E-2</v>
      </c>
      <c r="F282" s="23">
        <f>IF(ISNUMBER(E282),D282*E282,0)</f>
        <v>-1.2825555346890563E-5</v>
      </c>
      <c r="G282" s="22">
        <f>IF(ISNUMBER(E282),D282,0)</f>
        <v>5.3775000000000003E-4</v>
      </c>
      <c r="H282" t="s">
        <v>40</v>
      </c>
      <c r="I282" s="21">
        <v>46288</v>
      </c>
    </row>
    <row r="283" spans="1:9" x14ac:dyDescent="0.15">
      <c r="A283" t="s">
        <v>36</v>
      </c>
      <c r="B283" t="s">
        <v>686</v>
      </c>
      <c r="C283" t="s">
        <v>687</v>
      </c>
      <c r="D283" s="22">
        <v>5.2667000000000002E-4</v>
      </c>
      <c r="E283" s="22">
        <f>IFERROR(_xlfn.LET(_xlpm.m,MATCH($B283,Feed!$A:$A,0),_xlpm.p,INDEX(Feed!$B:$B,_xlpm.m),_xlpm.c,INDEX(Feed!$G:$G,_xlpm.m),IF(AND(_xlpm.p&gt;0,_xlpm.c&gt;0),_xlpm.p/_xlpm.c-1,"")),"")</f>
        <v>3.3146755291236563E-2</v>
      </c>
      <c r="F283" s="23">
        <f>IF(ISNUMBER(E283),D283*E283,0)</f>
        <v>1.7457401609235562E-5</v>
      </c>
      <c r="G283" s="22">
        <f>IF(ISNUMBER(E283),D283,0)</f>
        <v>5.2667000000000002E-4</v>
      </c>
      <c r="H283" t="s">
        <v>40</v>
      </c>
      <c r="I283" s="21">
        <v>46288</v>
      </c>
    </row>
    <row r="284" spans="1:9" x14ac:dyDescent="0.15">
      <c r="A284" t="s">
        <v>36</v>
      </c>
      <c r="B284" t="s">
        <v>674</v>
      </c>
      <c r="C284" t="s">
        <v>675</v>
      </c>
      <c r="D284" s="22">
        <v>5.1924999999999996E-4</v>
      </c>
      <c r="E284" s="22">
        <f>IFERROR(_xlfn.LET(_xlpm.m,MATCH($B284,Feed!$A:$A,0),_xlpm.p,INDEX(Feed!$B:$B,_xlpm.m),_xlpm.c,INDEX(Feed!$G:$G,_xlpm.m),IF(AND(_xlpm.p&gt;0,_xlpm.c&gt;0),_xlpm.p/_xlpm.c-1,"")),"")</f>
        <v>-2.3959360072787872E-2</v>
      </c>
      <c r="F284" s="23">
        <f>IF(ISNUMBER(E284),D284*E284,0)</f>
        <v>-1.2440897717795101E-5</v>
      </c>
      <c r="G284" s="22">
        <f>IF(ISNUMBER(E284),D284,0)</f>
        <v>5.1924999999999996E-4</v>
      </c>
      <c r="H284" t="s">
        <v>40</v>
      </c>
      <c r="I284" s="21">
        <v>46288</v>
      </c>
    </row>
    <row r="285" spans="1:9" x14ac:dyDescent="0.15">
      <c r="A285" t="s">
        <v>36</v>
      </c>
      <c r="B285" t="s">
        <v>680</v>
      </c>
      <c r="C285" t="s">
        <v>681</v>
      </c>
      <c r="D285" s="22">
        <v>5.1615999999999999E-4</v>
      </c>
      <c r="E285" s="22">
        <f>IFERROR(_xlfn.LET(_xlpm.m,MATCH($B285,Feed!$A:$A,0),_xlpm.p,INDEX(Feed!$B:$B,_xlpm.m),_xlpm.c,INDEX(Feed!$G:$G,_xlpm.m),IF(AND(_xlpm.p&gt;0,_xlpm.c&gt;0),_xlpm.p/_xlpm.c-1,"")),"")</f>
        <v>-9.3163250680806664E-3</v>
      </c>
      <c r="F285" s="23">
        <f>IF(ISNUMBER(E285),D285*E285,0)</f>
        <v>-4.8087143471405167E-6</v>
      </c>
      <c r="G285" s="22">
        <f>IF(ISNUMBER(E285),D285,0)</f>
        <v>5.1615999999999999E-4</v>
      </c>
      <c r="H285" t="s">
        <v>40</v>
      </c>
      <c r="I285" s="21">
        <v>46288</v>
      </c>
    </row>
    <row r="286" spans="1:9" x14ac:dyDescent="0.15">
      <c r="A286" t="s">
        <v>36</v>
      </c>
      <c r="B286" t="s">
        <v>688</v>
      </c>
      <c r="C286" t="s">
        <v>689</v>
      </c>
      <c r="D286" s="22">
        <v>5.1388999999999992E-4</v>
      </c>
      <c r="E286" s="22">
        <f>IFERROR(_xlfn.LET(_xlpm.m,MATCH($B286,Feed!$A:$A,0),_xlpm.p,INDEX(Feed!$B:$B,_xlpm.m),_xlpm.c,INDEX(Feed!$G:$G,_xlpm.m),IF(AND(_xlpm.p&gt;0,_xlpm.c&gt;0),_xlpm.p/_xlpm.c-1,"")),"")</f>
        <v>2.8074115665357446E-3</v>
      </c>
      <c r="F286" s="23">
        <f>IF(ISNUMBER(E286),D286*E286,0)</f>
        <v>1.4427007299270536E-6</v>
      </c>
      <c r="G286" s="22">
        <f>IF(ISNUMBER(E286),D286,0)</f>
        <v>5.1388999999999992E-4</v>
      </c>
      <c r="H286" t="s">
        <v>40</v>
      </c>
      <c r="I286" s="21">
        <v>46288</v>
      </c>
    </row>
    <row r="287" spans="1:9" x14ac:dyDescent="0.15">
      <c r="A287" t="s">
        <v>36</v>
      </c>
      <c r="B287" t="s">
        <v>692</v>
      </c>
      <c r="C287" t="s">
        <v>693</v>
      </c>
      <c r="D287" s="22">
        <v>5.0291000000000008E-4</v>
      </c>
      <c r="E287" s="22">
        <f>IFERROR(_xlfn.LET(_xlpm.m,MATCH($B287,Feed!$A:$A,0),_xlpm.p,INDEX(Feed!$B:$B,_xlpm.m),_xlpm.c,INDEX(Feed!$G:$G,_xlpm.m),IF(AND(_xlpm.p&gt;0,_xlpm.c&gt;0),_xlpm.p/_xlpm.c-1,"")),"")</f>
        <v>2.014549524342657E-3</v>
      </c>
      <c r="F287" s="23">
        <f>IF(ISNUMBER(E287),D287*E287,0)</f>
        <v>1.0131371012871659E-6</v>
      </c>
      <c r="G287" s="22">
        <f>IF(ISNUMBER(E287),D287,0)</f>
        <v>5.0291000000000008E-4</v>
      </c>
      <c r="H287" t="s">
        <v>40</v>
      </c>
      <c r="I287" s="21">
        <v>46288</v>
      </c>
    </row>
    <row r="288" spans="1:9" x14ac:dyDescent="0.15">
      <c r="A288" t="s">
        <v>36</v>
      </c>
      <c r="B288" t="s">
        <v>690</v>
      </c>
      <c r="C288" t="s">
        <v>691</v>
      </c>
      <c r="D288" s="22">
        <v>5.0193000000000004E-4</v>
      </c>
      <c r="E288" s="22" t="str">
        <f>IFERROR(_xlfn.LET(_xlpm.m,MATCH($B288,Feed!$A:$A,0),_xlpm.p,INDEX(Feed!$B:$B,_xlpm.m),_xlpm.c,INDEX(Feed!$G:$G,_xlpm.m),IF(AND(_xlpm.p&gt;0,_xlpm.c&gt;0),_xlpm.p/_xlpm.c-1,"")),"")</f>
        <v/>
      </c>
      <c r="F288" s="23">
        <f>IF(ISNUMBER(E288),D288*E288,0)</f>
        <v>0</v>
      </c>
      <c r="G288" s="22">
        <f>IF(ISNUMBER(E288),D288,0)</f>
        <v>0</v>
      </c>
      <c r="H288" t="s">
        <v>40</v>
      </c>
      <c r="I288" s="21">
        <v>46288</v>
      </c>
    </row>
    <row r="289" spans="1:9" x14ac:dyDescent="0.15">
      <c r="A289" t="s">
        <v>36</v>
      </c>
      <c r="B289" t="s">
        <v>714</v>
      </c>
      <c r="C289" t="s">
        <v>715</v>
      </c>
      <c r="D289" s="22">
        <v>4.994E-4</v>
      </c>
      <c r="E289" s="22">
        <f>IFERROR(_xlfn.LET(_xlpm.m,MATCH($B289,Feed!$A:$A,0),_xlpm.p,INDEX(Feed!$B:$B,_xlpm.m),_xlpm.c,INDEX(Feed!$G:$G,_xlpm.m),IF(AND(_xlpm.p&gt;0,_xlpm.c&gt;0),_xlpm.p/_xlpm.c-1,"")),"")</f>
        <v>4.5754060324826096E-2</v>
      </c>
      <c r="F289" s="23">
        <f>IF(ISNUMBER(E289),D289*E289,0)</f>
        <v>2.284957772621815E-5</v>
      </c>
      <c r="G289" s="22">
        <f>IF(ISNUMBER(E289),D289,0)</f>
        <v>4.994E-4</v>
      </c>
      <c r="H289" t="s">
        <v>40</v>
      </c>
      <c r="I289" s="21">
        <v>46288</v>
      </c>
    </row>
    <row r="290" spans="1:9" x14ac:dyDescent="0.15">
      <c r="A290" t="s">
        <v>36</v>
      </c>
      <c r="B290" t="s">
        <v>694</v>
      </c>
      <c r="C290" t="s">
        <v>695</v>
      </c>
      <c r="D290" s="22">
        <v>4.9853000000000007E-4</v>
      </c>
      <c r="E290" s="22">
        <f>IFERROR(_xlfn.LET(_xlpm.m,MATCH($B290,Feed!$A:$A,0),_xlpm.p,INDEX(Feed!$B:$B,_xlpm.m),_xlpm.c,INDEX(Feed!$G:$G,_xlpm.m),IF(AND(_xlpm.p&gt;0,_xlpm.c&gt;0),_xlpm.p/_xlpm.c-1,"")),"")</f>
        <v>8.5456411897237849E-3</v>
      </c>
      <c r="F290" s="23">
        <f>IF(ISNUMBER(E290),D290*E290,0)</f>
        <v>4.2602585023129991E-6</v>
      </c>
      <c r="G290" s="22">
        <f>IF(ISNUMBER(E290),D290,0)</f>
        <v>4.9853000000000007E-4</v>
      </c>
      <c r="H290" t="s">
        <v>40</v>
      </c>
      <c r="I290" s="21">
        <v>46288</v>
      </c>
    </row>
    <row r="291" spans="1:9" x14ac:dyDescent="0.15">
      <c r="A291" t="s">
        <v>36</v>
      </c>
      <c r="B291" t="s">
        <v>684</v>
      </c>
      <c r="C291" t="s">
        <v>685</v>
      </c>
      <c r="D291" s="22">
        <v>4.9785999999999993E-4</v>
      </c>
      <c r="E291" s="22">
        <f>IFERROR(_xlfn.LET(_xlpm.m,MATCH($B291,Feed!$A:$A,0),_xlpm.p,INDEX(Feed!$B:$B,_xlpm.m),_xlpm.c,INDEX(Feed!$G:$G,_xlpm.m),IF(AND(_xlpm.p&gt;0,_xlpm.c&gt;0),_xlpm.p/_xlpm.c-1,"")),"")</f>
        <v>-1.8931144245267095E-2</v>
      </c>
      <c r="F291" s="23">
        <f>IF(ISNUMBER(E291),D291*E291,0)</f>
        <v>-9.4250594739486748E-6</v>
      </c>
      <c r="G291" s="22">
        <f>IF(ISNUMBER(E291),D291,0)</f>
        <v>4.9785999999999993E-4</v>
      </c>
      <c r="H291" t="s">
        <v>40</v>
      </c>
      <c r="I291" s="21">
        <v>46288</v>
      </c>
    </row>
    <row r="292" spans="1:9" x14ac:dyDescent="0.15">
      <c r="A292" t="s">
        <v>36</v>
      </c>
      <c r="B292" t="s">
        <v>706</v>
      </c>
      <c r="C292" t="s">
        <v>707</v>
      </c>
      <c r="D292" s="22">
        <v>4.9450999999999998E-4</v>
      </c>
      <c r="E292" s="22">
        <f>IFERROR(_xlfn.LET(_xlpm.m,MATCH($B292,Feed!$A:$A,0),_xlpm.p,INDEX(Feed!$B:$B,_xlpm.m),_xlpm.c,INDEX(Feed!$G:$G,_xlpm.m),IF(AND(_xlpm.p&gt;0,_xlpm.c&gt;0),_xlpm.p/_xlpm.c-1,"")),"")</f>
        <v>2.5260115606936528E-2</v>
      </c>
      <c r="F292" s="23">
        <f>IF(ISNUMBER(E292),D292*E292,0)</f>
        <v>1.2491379768786183E-5</v>
      </c>
      <c r="G292" s="22">
        <f>IF(ISNUMBER(E292),D292,0)</f>
        <v>4.9450999999999998E-4</v>
      </c>
      <c r="H292" t="s">
        <v>40</v>
      </c>
      <c r="I292" s="21">
        <v>46288</v>
      </c>
    </row>
    <row r="293" spans="1:9" x14ac:dyDescent="0.15">
      <c r="A293" t="s">
        <v>36</v>
      </c>
      <c r="B293" t="s">
        <v>700</v>
      </c>
      <c r="C293" t="s">
        <v>701</v>
      </c>
      <c r="D293" s="22">
        <v>4.9198999999999998E-4</v>
      </c>
      <c r="E293" s="22">
        <f>IFERROR(_xlfn.LET(_xlpm.m,MATCH($B293,Feed!$A:$A,0),_xlpm.p,INDEX(Feed!$B:$B,_xlpm.m),_xlpm.c,INDEX(Feed!$G:$G,_xlpm.m),IF(AND(_xlpm.p&gt;0,_xlpm.c&gt;0),_xlpm.p/_xlpm.c-1,"")),"")</f>
        <v>1.0014306151645336E-2</v>
      </c>
      <c r="F293" s="23">
        <f>IF(ISNUMBER(E293),D293*E293,0)</f>
        <v>4.926938483547989E-6</v>
      </c>
      <c r="G293" s="22">
        <f>IF(ISNUMBER(E293),D293,0)</f>
        <v>4.9198999999999998E-4</v>
      </c>
      <c r="H293" t="s">
        <v>40</v>
      </c>
      <c r="I293" s="21">
        <v>46288</v>
      </c>
    </row>
    <row r="294" spans="1:9" x14ac:dyDescent="0.15">
      <c r="A294" t="s">
        <v>36</v>
      </c>
      <c r="B294" t="s">
        <v>720</v>
      </c>
      <c r="C294" t="s">
        <v>721</v>
      </c>
      <c r="D294" s="22">
        <v>4.839E-4</v>
      </c>
      <c r="E294" s="22">
        <f>IFERROR(_xlfn.LET(_xlpm.m,MATCH($B294,Feed!$A:$A,0),_xlpm.p,INDEX(Feed!$B:$B,_xlpm.m),_xlpm.c,INDEX(Feed!$G:$G,_xlpm.m),IF(AND(_xlpm.p&gt;0,_xlpm.c&gt;0),_xlpm.p/_xlpm.c-1,"")),"")</f>
        <v>3.1411690089127919E-2</v>
      </c>
      <c r="F294" s="23">
        <f>IF(ISNUMBER(E294),D294*E294,0)</f>
        <v>1.5200116834129001E-5</v>
      </c>
      <c r="G294" s="22">
        <f>IF(ISNUMBER(E294),D294,0)</f>
        <v>4.839E-4</v>
      </c>
      <c r="H294" t="s">
        <v>40</v>
      </c>
      <c r="I294" s="21">
        <v>46288</v>
      </c>
    </row>
    <row r="295" spans="1:9" x14ac:dyDescent="0.15">
      <c r="A295" t="s">
        <v>36</v>
      </c>
      <c r="B295" t="s">
        <v>724</v>
      </c>
      <c r="C295" t="s">
        <v>725</v>
      </c>
      <c r="D295" s="22">
        <v>4.8195000000000003E-4</v>
      </c>
      <c r="E295" s="22" t="str">
        <f>IFERROR(_xlfn.LET(_xlpm.m,MATCH($B295,Feed!$A:$A,0),_xlpm.p,INDEX(Feed!$B:$B,_xlpm.m),_xlpm.c,INDEX(Feed!$G:$G,_xlpm.m),IF(AND(_xlpm.p&gt;0,_xlpm.c&gt;0),_xlpm.p/_xlpm.c-1,"")),"")</f>
        <v/>
      </c>
      <c r="F295" s="23">
        <f>IF(ISNUMBER(E295),D295*E295,0)</f>
        <v>0</v>
      </c>
      <c r="G295" s="22">
        <f>IF(ISNUMBER(E295),D295,0)</f>
        <v>0</v>
      </c>
      <c r="H295" t="s">
        <v>40</v>
      </c>
      <c r="I295" s="21">
        <v>46288</v>
      </c>
    </row>
    <row r="296" spans="1:9" x14ac:dyDescent="0.15">
      <c r="A296" t="s">
        <v>36</v>
      </c>
      <c r="B296" t="s">
        <v>712</v>
      </c>
      <c r="C296" t="s">
        <v>713</v>
      </c>
      <c r="D296" s="22">
        <v>4.8156999999999996E-4</v>
      </c>
      <c r="E296" s="22">
        <f>IFERROR(_xlfn.LET(_xlpm.m,MATCH($B296,Feed!$A:$A,0),_xlpm.p,INDEX(Feed!$B:$B,_xlpm.m),_xlpm.c,INDEX(Feed!$G:$G,_xlpm.m),IF(AND(_xlpm.p&gt;0,_xlpm.c&gt;0),_xlpm.p/_xlpm.c-1,"")),"")</f>
        <v>-4.7968498299625351E-3</v>
      </c>
      <c r="F296" s="23">
        <f>IF(ISNUMBER(E296),D296*E296,0)</f>
        <v>-2.3100189726150578E-6</v>
      </c>
      <c r="G296" s="22">
        <f>IF(ISNUMBER(E296),D296,0)</f>
        <v>4.8156999999999996E-4</v>
      </c>
      <c r="H296" t="s">
        <v>40</v>
      </c>
      <c r="I296" s="21">
        <v>46288</v>
      </c>
    </row>
    <row r="297" spans="1:9" x14ac:dyDescent="0.15">
      <c r="A297" t="s">
        <v>36</v>
      </c>
      <c r="B297" t="s">
        <v>696</v>
      </c>
      <c r="C297" t="s">
        <v>697</v>
      </c>
      <c r="D297" s="22">
        <v>4.8026999999999998E-4</v>
      </c>
      <c r="E297" s="22">
        <f>IFERROR(_xlfn.LET(_xlpm.m,MATCH($B297,Feed!$A:$A,0),_xlpm.p,INDEX(Feed!$B:$B,_xlpm.m),_xlpm.c,INDEX(Feed!$G:$G,_xlpm.m),IF(AND(_xlpm.p&gt;0,_xlpm.c&gt;0),_xlpm.p/_xlpm.c-1,"")),"")</f>
        <v>-4.9953555578490239E-3</v>
      </c>
      <c r="F297" s="23">
        <f>IF(ISNUMBER(E297),D297*E297,0)</f>
        <v>-2.3991194137681505E-6</v>
      </c>
      <c r="G297" s="22">
        <f>IF(ISNUMBER(E297),D297,0)</f>
        <v>4.8026999999999998E-4</v>
      </c>
      <c r="H297" t="s">
        <v>40</v>
      </c>
      <c r="I297" s="21">
        <v>46288</v>
      </c>
    </row>
    <row r="298" spans="1:9" x14ac:dyDescent="0.15">
      <c r="A298" t="s">
        <v>36</v>
      </c>
      <c r="B298" t="s">
        <v>698</v>
      </c>
      <c r="C298" t="s">
        <v>699</v>
      </c>
      <c r="D298" s="22">
        <v>4.8023000000000006E-4</v>
      </c>
      <c r="E298" s="22">
        <f>IFERROR(_xlfn.LET(_xlpm.m,MATCH($B298,Feed!$A:$A,0),_xlpm.p,INDEX(Feed!$B:$B,_xlpm.m),_xlpm.c,INDEX(Feed!$G:$G,_xlpm.m),IF(AND(_xlpm.p&gt;0,_xlpm.c&gt;0),_xlpm.p/_xlpm.c-1,"")),"")</f>
        <v>-1.5597462107860505E-2</v>
      </c>
      <c r="F298" s="23">
        <f>IF(ISNUMBER(E298),D298*E298,0)</f>
        <v>-7.4903692280578507E-6</v>
      </c>
      <c r="G298" s="22">
        <f>IF(ISNUMBER(E298),D298,0)</f>
        <v>4.8023000000000006E-4</v>
      </c>
      <c r="H298" t="s">
        <v>40</v>
      </c>
      <c r="I298" s="21">
        <v>46288</v>
      </c>
    </row>
    <row r="299" spans="1:9" x14ac:dyDescent="0.15">
      <c r="A299" t="s">
        <v>36</v>
      </c>
      <c r="B299" t="s">
        <v>704</v>
      </c>
      <c r="C299" t="s">
        <v>705</v>
      </c>
      <c r="D299" s="22">
        <v>4.7846999999999999E-4</v>
      </c>
      <c r="E299" s="22">
        <f>IFERROR(_xlfn.LET(_xlpm.m,MATCH($B299,Feed!$A:$A,0),_xlpm.p,INDEX(Feed!$B:$B,_xlpm.m),_xlpm.c,INDEX(Feed!$G:$G,_xlpm.m),IF(AND(_xlpm.p&gt;0,_xlpm.c&gt;0),_xlpm.p/_xlpm.c-1,"")),"")</f>
        <v>-1.34228187919464E-2</v>
      </c>
      <c r="F299" s="23">
        <f>IF(ISNUMBER(E299),D299*E299,0)</f>
        <v>-6.4224161073825944E-6</v>
      </c>
      <c r="G299" s="22">
        <f>IF(ISNUMBER(E299),D299,0)</f>
        <v>4.7846999999999999E-4</v>
      </c>
      <c r="H299" t="s">
        <v>40</v>
      </c>
      <c r="I299" s="21">
        <v>46288</v>
      </c>
    </row>
    <row r="300" spans="1:9" x14ac:dyDescent="0.15">
      <c r="A300" t="s">
        <v>36</v>
      </c>
      <c r="B300" t="s">
        <v>708</v>
      </c>
      <c r="C300" t="s">
        <v>709</v>
      </c>
      <c r="D300" s="22">
        <v>4.7661000000000003E-4</v>
      </c>
      <c r="E300" s="22">
        <f>IFERROR(_xlfn.LET(_xlpm.m,MATCH($B300,Feed!$A:$A,0),_xlpm.p,INDEX(Feed!$B:$B,_xlpm.m),_xlpm.c,INDEX(Feed!$G:$G,_xlpm.m),IF(AND(_xlpm.p&gt;0,_xlpm.c&gt;0),_xlpm.p/_xlpm.c-1,"")),"")</f>
        <v>-1.1964735516372893E-2</v>
      </c>
      <c r="F300" s="23">
        <f>IF(ISNUMBER(E300),D300*E300,0)</f>
        <v>-5.7025125944584852E-6</v>
      </c>
      <c r="G300" s="22">
        <f>IF(ISNUMBER(E300),D300,0)</f>
        <v>4.7661000000000003E-4</v>
      </c>
      <c r="H300" t="s">
        <v>40</v>
      </c>
      <c r="I300" s="21">
        <v>46288</v>
      </c>
    </row>
    <row r="301" spans="1:9" x14ac:dyDescent="0.15">
      <c r="A301" t="s">
        <v>36</v>
      </c>
      <c r="B301" t="s">
        <v>722</v>
      </c>
      <c r="C301" t="s">
        <v>723</v>
      </c>
      <c r="D301" s="22">
        <v>4.7625E-4</v>
      </c>
      <c r="E301" s="22">
        <f>IFERROR(_xlfn.LET(_xlpm.m,MATCH($B301,Feed!$A:$A,0),_xlpm.p,INDEX(Feed!$B:$B,_xlpm.m),_xlpm.c,INDEX(Feed!$G:$G,_xlpm.m),IF(AND(_xlpm.p&gt;0,_xlpm.c&gt;0),_xlpm.p/_xlpm.c-1,"")),"")</f>
        <v>1.6199999999999992E-2</v>
      </c>
      <c r="F301" s="23">
        <f>IF(ISNUMBER(E301),D301*E301,0)</f>
        <v>7.715249999999997E-6</v>
      </c>
      <c r="G301" s="22">
        <f>IF(ISNUMBER(E301),D301,0)</f>
        <v>4.7625E-4</v>
      </c>
      <c r="H301" t="s">
        <v>40</v>
      </c>
      <c r="I301" s="21">
        <v>46288</v>
      </c>
    </row>
    <row r="302" spans="1:9" x14ac:dyDescent="0.15">
      <c r="A302" t="s">
        <v>36</v>
      </c>
      <c r="B302" t="s">
        <v>702</v>
      </c>
      <c r="C302" t="s">
        <v>703</v>
      </c>
      <c r="D302" s="22">
        <v>4.7412000000000002E-4</v>
      </c>
      <c r="E302" s="22">
        <f>IFERROR(_xlfn.LET(_xlpm.m,MATCH($B302,Feed!$A:$A,0),_xlpm.p,INDEX(Feed!$B:$B,_xlpm.m),_xlpm.c,INDEX(Feed!$G:$G,_xlpm.m),IF(AND(_xlpm.p&gt;0,_xlpm.c&gt;0),_xlpm.p/_xlpm.c-1,"")),"")</f>
        <v>-2.5240317049862182E-2</v>
      </c>
      <c r="F302" s="23">
        <f>IF(ISNUMBER(E302),D302*E302,0)</f>
        <v>-1.1966939119680659E-5</v>
      </c>
      <c r="G302" s="22">
        <f>IF(ISNUMBER(E302),D302,0)</f>
        <v>4.7412000000000002E-4</v>
      </c>
      <c r="H302" t="s">
        <v>40</v>
      </c>
      <c r="I302" s="21">
        <v>46288</v>
      </c>
    </row>
    <row r="303" spans="1:9" x14ac:dyDescent="0.15">
      <c r="A303" t="s">
        <v>36</v>
      </c>
      <c r="B303" t="s">
        <v>716</v>
      </c>
      <c r="C303" t="s">
        <v>717</v>
      </c>
      <c r="D303" s="22">
        <v>4.7111000000000001E-4</v>
      </c>
      <c r="E303" s="22">
        <f>IFERROR(_xlfn.LET(_xlpm.m,MATCH($B303,Feed!$A:$A,0),_xlpm.p,INDEX(Feed!$B:$B,_xlpm.m),_xlpm.c,INDEX(Feed!$G:$G,_xlpm.m),IF(AND(_xlpm.p&gt;0,_xlpm.c&gt;0),_xlpm.p/_xlpm.c-1,"")),"")</f>
        <v>-5.3982827509988507E-3</v>
      </c>
      <c r="F303" s="23">
        <f>IF(ISNUMBER(E303),D303*E303,0)</f>
        <v>-2.5431849868230687E-6</v>
      </c>
      <c r="G303" s="22">
        <f>IF(ISNUMBER(E303),D303,0)</f>
        <v>4.7111000000000001E-4</v>
      </c>
      <c r="H303" t="s">
        <v>40</v>
      </c>
      <c r="I303" s="21">
        <v>46288</v>
      </c>
    </row>
    <row r="304" spans="1:9" x14ac:dyDescent="0.15">
      <c r="A304" t="s">
        <v>36</v>
      </c>
      <c r="B304" t="s">
        <v>710</v>
      </c>
      <c r="C304" t="s">
        <v>711</v>
      </c>
      <c r="D304" s="22">
        <v>4.6730000000000003E-4</v>
      </c>
      <c r="E304" s="22">
        <f>IFERROR(_xlfn.LET(_xlpm.m,MATCH($B304,Feed!$A:$A,0),_xlpm.p,INDEX(Feed!$B:$B,_xlpm.m),_xlpm.c,INDEX(Feed!$G:$G,_xlpm.m),IF(AND(_xlpm.p&gt;0,_xlpm.c&gt;0),_xlpm.p/_xlpm.c-1,"")),"")</f>
        <v>-2.7799109199815764E-2</v>
      </c>
      <c r="F304" s="23">
        <f>IF(ISNUMBER(E304),D304*E304,0)</f>
        <v>-1.2990523729073907E-5</v>
      </c>
      <c r="G304" s="22">
        <f>IF(ISNUMBER(E304),D304,0)</f>
        <v>4.6730000000000003E-4</v>
      </c>
      <c r="H304" t="s">
        <v>40</v>
      </c>
      <c r="I304" s="21">
        <v>46288</v>
      </c>
    </row>
    <row r="305" spans="1:9" x14ac:dyDescent="0.15">
      <c r="A305" t="s">
        <v>36</v>
      </c>
      <c r="B305" t="s">
        <v>726</v>
      </c>
      <c r="C305" t="s">
        <v>727</v>
      </c>
      <c r="D305" s="22">
        <v>4.6013E-4</v>
      </c>
      <c r="E305" s="22">
        <f>IFERROR(_xlfn.LET(_xlpm.m,MATCH($B305,Feed!$A:$A,0),_xlpm.p,INDEX(Feed!$B:$B,_xlpm.m),_xlpm.c,INDEX(Feed!$G:$G,_xlpm.m),IF(AND(_xlpm.p&gt;0,_xlpm.c&gt;0),_xlpm.p/_xlpm.c-1,"")),"")</f>
        <v>-9.4442923624418196E-3</v>
      </c>
      <c r="F305" s="23">
        <f>IF(ISNUMBER(E305),D305*E305,0)</f>
        <v>-4.3456022447303546E-6</v>
      </c>
      <c r="G305" s="22">
        <f>IF(ISNUMBER(E305),D305,0)</f>
        <v>4.6013E-4</v>
      </c>
      <c r="H305" t="s">
        <v>40</v>
      </c>
      <c r="I305" s="21">
        <v>46288</v>
      </c>
    </row>
    <row r="306" spans="1:9" x14ac:dyDescent="0.15">
      <c r="A306" t="s">
        <v>36</v>
      </c>
      <c r="B306" t="s">
        <v>730</v>
      </c>
      <c r="C306" t="s">
        <v>731</v>
      </c>
      <c r="D306" s="22">
        <v>4.4994000000000002E-4</v>
      </c>
      <c r="E306" s="22" t="str">
        <f>IFERROR(_xlfn.LET(_xlpm.m,MATCH($B306,Feed!$A:$A,0),_xlpm.p,INDEX(Feed!$B:$B,_xlpm.m),_xlpm.c,INDEX(Feed!$G:$G,_xlpm.m),IF(AND(_xlpm.p&gt;0,_xlpm.c&gt;0),_xlpm.p/_xlpm.c-1,"")),"")</f>
        <v/>
      </c>
      <c r="F306" s="23">
        <f>IF(ISNUMBER(E306),D306*E306,0)</f>
        <v>0</v>
      </c>
      <c r="G306" s="22">
        <f>IF(ISNUMBER(E306),D306,0)</f>
        <v>0</v>
      </c>
      <c r="H306" t="s">
        <v>40</v>
      </c>
      <c r="I306" s="21">
        <v>46288</v>
      </c>
    </row>
    <row r="307" spans="1:9" x14ac:dyDescent="0.15">
      <c r="A307" t="s">
        <v>36</v>
      </c>
      <c r="B307" t="s">
        <v>728</v>
      </c>
      <c r="C307" t="s">
        <v>729</v>
      </c>
      <c r="D307" s="22">
        <v>4.4940000000000003E-4</v>
      </c>
      <c r="E307" s="22">
        <f>IFERROR(_xlfn.LET(_xlpm.m,MATCH($B307,Feed!$A:$A,0),_xlpm.p,INDEX(Feed!$B:$B,_xlpm.m),_xlpm.c,INDEX(Feed!$G:$G,_xlpm.m),IF(AND(_xlpm.p&gt;0,_xlpm.c&gt;0),_xlpm.p/_xlpm.c-1,"")),"")</f>
        <v>1.7731941953367025E-2</v>
      </c>
      <c r="F307" s="23">
        <f>IF(ISNUMBER(E307),D307*E307,0)</f>
        <v>7.9687347138431422E-6</v>
      </c>
      <c r="G307" s="22">
        <f>IF(ISNUMBER(E307),D307,0)</f>
        <v>4.4940000000000003E-4</v>
      </c>
      <c r="H307" t="s">
        <v>40</v>
      </c>
      <c r="I307" s="21">
        <v>46288</v>
      </c>
    </row>
    <row r="308" spans="1:9" x14ac:dyDescent="0.15">
      <c r="A308" t="s">
        <v>36</v>
      </c>
      <c r="B308" t="s">
        <v>750</v>
      </c>
      <c r="C308" t="s">
        <v>751</v>
      </c>
      <c r="D308" s="22">
        <v>4.4893E-4</v>
      </c>
      <c r="E308" s="22">
        <f>IFERROR(_xlfn.LET(_xlpm.m,MATCH($B308,Feed!$A:$A,0),_xlpm.p,INDEX(Feed!$B:$B,_xlpm.m),_xlpm.c,INDEX(Feed!$G:$G,_xlpm.m),IF(AND(_xlpm.p&gt;0,_xlpm.c&gt;0),_xlpm.p/_xlpm.c-1,"")),"")</f>
        <v>7.0702137439669022E-2</v>
      </c>
      <c r="F308" s="23">
        <f>IF(ISNUMBER(E308),D308*E308,0)</f>
        <v>3.1740310560790617E-5</v>
      </c>
      <c r="G308" s="22">
        <f>IF(ISNUMBER(E308),D308,0)</f>
        <v>4.4893E-4</v>
      </c>
      <c r="H308" t="s">
        <v>40</v>
      </c>
      <c r="I308" s="21">
        <v>46288</v>
      </c>
    </row>
    <row r="309" spans="1:9" x14ac:dyDescent="0.15">
      <c r="A309" t="s">
        <v>36</v>
      </c>
      <c r="B309" t="s">
        <v>734</v>
      </c>
      <c r="C309" t="s">
        <v>735</v>
      </c>
      <c r="D309" s="22">
        <v>4.4732000000000002E-4</v>
      </c>
      <c r="E309" s="22">
        <f>IFERROR(_xlfn.LET(_xlpm.m,MATCH($B309,Feed!$A:$A,0),_xlpm.p,INDEX(Feed!$B:$B,_xlpm.m),_xlpm.c,INDEX(Feed!$G:$G,_xlpm.m),IF(AND(_xlpm.p&gt;0,_xlpm.c&gt;0),_xlpm.p/_xlpm.c-1,"")),"")</f>
        <v>3.2278184936847198E-2</v>
      </c>
      <c r="F309" s="23">
        <f>IF(ISNUMBER(E309),D309*E309,0)</f>
        <v>1.4438677685950489E-5</v>
      </c>
      <c r="G309" s="22">
        <f>IF(ISNUMBER(E309),D309,0)</f>
        <v>4.4732000000000002E-4</v>
      </c>
      <c r="H309" t="s">
        <v>40</v>
      </c>
      <c r="I309" s="21">
        <v>46288</v>
      </c>
    </row>
    <row r="310" spans="1:9" x14ac:dyDescent="0.15">
      <c r="A310" t="s">
        <v>36</v>
      </c>
      <c r="B310" t="s">
        <v>718</v>
      </c>
      <c r="C310" t="s">
        <v>719</v>
      </c>
      <c r="D310" s="22">
        <v>4.3942000000000004E-4</v>
      </c>
      <c r="E310" s="22">
        <f>IFERROR(_xlfn.LET(_xlpm.m,MATCH($B310,Feed!$A:$A,0),_xlpm.p,INDEX(Feed!$B:$B,_xlpm.m),_xlpm.c,INDEX(Feed!$G:$G,_xlpm.m),IF(AND(_xlpm.p&gt;0,_xlpm.c&gt;0),_xlpm.p/_xlpm.c-1,"")),"")</f>
        <v>-6.8604651162790686E-2</v>
      </c>
      <c r="F310" s="23">
        <f>IF(ISNUMBER(E310),D310*E310,0)</f>
        <v>-3.0146255813953485E-5</v>
      </c>
      <c r="G310" s="22">
        <f>IF(ISNUMBER(E310),D310,0)</f>
        <v>4.3942000000000004E-4</v>
      </c>
      <c r="H310" t="s">
        <v>40</v>
      </c>
      <c r="I310" s="21">
        <v>46288</v>
      </c>
    </row>
    <row r="311" spans="1:9" x14ac:dyDescent="0.15">
      <c r="A311" t="s">
        <v>36</v>
      </c>
      <c r="B311" t="s">
        <v>760</v>
      </c>
      <c r="C311" t="s">
        <v>761</v>
      </c>
      <c r="D311" s="22">
        <v>4.2819999999999995E-4</v>
      </c>
      <c r="E311" s="22">
        <f>IFERROR(_xlfn.LET(_xlpm.m,MATCH($B311,Feed!$A:$A,0),_xlpm.p,INDEX(Feed!$B:$B,_xlpm.m),_xlpm.c,INDEX(Feed!$G:$G,_xlpm.m),IF(AND(_xlpm.p&gt;0,_xlpm.c&gt;0),_xlpm.p/_xlpm.c-1,"")),"")</f>
        <v>5.030008573878253E-2</v>
      </c>
      <c r="F311" s="23">
        <f>IF(ISNUMBER(E311),D311*E311,0)</f>
        <v>2.1538496713346675E-5</v>
      </c>
      <c r="G311" s="22">
        <f>IF(ISNUMBER(E311),D311,0)</f>
        <v>4.2819999999999995E-4</v>
      </c>
      <c r="H311" t="s">
        <v>40</v>
      </c>
      <c r="I311" s="21">
        <v>46288</v>
      </c>
    </row>
    <row r="312" spans="1:9" x14ac:dyDescent="0.15">
      <c r="A312" t="s">
        <v>36</v>
      </c>
      <c r="B312" t="s">
        <v>736</v>
      </c>
      <c r="C312" t="s">
        <v>737</v>
      </c>
      <c r="D312" s="22">
        <v>4.2734000000000001E-4</v>
      </c>
      <c r="E312" s="22">
        <f>IFERROR(_xlfn.LET(_xlpm.m,MATCH($B312,Feed!$A:$A,0),_xlpm.p,INDEX(Feed!$B:$B,_xlpm.m),_xlpm.c,INDEX(Feed!$G:$G,_xlpm.m),IF(AND(_xlpm.p&gt;0,_xlpm.c&gt;0),_xlpm.p/_xlpm.c-1,"")),"")</f>
        <v>-1.2581376636676134E-2</v>
      </c>
      <c r="F312" s="23">
        <f>IF(ISNUMBER(E312),D312*E312,0)</f>
        <v>-5.3765254919171795E-6</v>
      </c>
      <c r="G312" s="22">
        <f>IF(ISNUMBER(E312),D312,0)</f>
        <v>4.2734000000000001E-4</v>
      </c>
      <c r="H312" t="s">
        <v>40</v>
      </c>
      <c r="I312" s="21">
        <v>46288</v>
      </c>
    </row>
    <row r="313" spans="1:9" x14ac:dyDescent="0.15">
      <c r="A313" t="s">
        <v>36</v>
      </c>
      <c r="B313" t="s">
        <v>752</v>
      </c>
      <c r="C313" t="s">
        <v>753</v>
      </c>
      <c r="D313" s="22">
        <v>4.2548E-4</v>
      </c>
      <c r="E313" s="22">
        <f>IFERROR(_xlfn.LET(_xlpm.m,MATCH($B313,Feed!$A:$A,0),_xlpm.p,INDEX(Feed!$B:$B,_xlpm.m),_xlpm.c,INDEX(Feed!$G:$G,_xlpm.m),IF(AND(_xlpm.p&gt;0,_xlpm.c&gt;0),_xlpm.p/_xlpm.c-1,"")),"")</f>
        <v>1.5377986941967903E-2</v>
      </c>
      <c r="F313" s="23">
        <f>IF(ISNUMBER(E313),D313*E313,0)</f>
        <v>6.5430258840685031E-6</v>
      </c>
      <c r="G313" s="22">
        <f>IF(ISNUMBER(E313),D313,0)</f>
        <v>4.2548E-4</v>
      </c>
      <c r="H313" t="s">
        <v>40</v>
      </c>
      <c r="I313" s="21">
        <v>46288</v>
      </c>
    </row>
    <row r="314" spans="1:9" x14ac:dyDescent="0.15">
      <c r="A314" t="s">
        <v>36</v>
      </c>
      <c r="B314" t="s">
        <v>732</v>
      </c>
      <c r="C314" t="s">
        <v>733</v>
      </c>
      <c r="D314" s="22">
        <v>4.2507000000000005E-4</v>
      </c>
      <c r="E314" s="22">
        <f>IFERROR(_xlfn.LET(_xlpm.m,MATCH($B314,Feed!$A:$A,0),_xlpm.p,INDEX(Feed!$B:$B,_xlpm.m),_xlpm.c,INDEX(Feed!$G:$G,_xlpm.m),IF(AND(_xlpm.p&gt;0,_xlpm.c&gt;0),_xlpm.p/_xlpm.c-1,"")),"")</f>
        <v>-2.1969696969696861E-2</v>
      </c>
      <c r="F314" s="23">
        <f>IF(ISNUMBER(E314),D314*E314,0)</f>
        <v>-9.3386590909090464E-6</v>
      </c>
      <c r="G314" s="22">
        <f>IF(ISNUMBER(E314),D314,0)</f>
        <v>4.2507000000000005E-4</v>
      </c>
      <c r="H314" t="s">
        <v>40</v>
      </c>
      <c r="I314" s="21">
        <v>46288</v>
      </c>
    </row>
    <row r="315" spans="1:9" x14ac:dyDescent="0.15">
      <c r="A315" t="s">
        <v>36</v>
      </c>
      <c r="B315" t="s">
        <v>754</v>
      </c>
      <c r="C315" t="s">
        <v>755</v>
      </c>
      <c r="D315" s="22">
        <v>4.2410999999999995E-4</v>
      </c>
      <c r="E315" s="22">
        <f>IFERROR(_xlfn.LET(_xlpm.m,MATCH($B315,Feed!$A:$A,0),_xlpm.p,INDEX(Feed!$B:$B,_xlpm.m),_xlpm.c,INDEX(Feed!$G:$G,_xlpm.m),IF(AND(_xlpm.p&gt;0,_xlpm.c&gt;0),_xlpm.p/_xlpm.c-1,"")),"")</f>
        <v>2.19780219780219E-2</v>
      </c>
      <c r="F315" s="23">
        <f>IF(ISNUMBER(E315),D315*E315,0)</f>
        <v>9.3210989010988663E-6</v>
      </c>
      <c r="G315" s="22">
        <f>IF(ISNUMBER(E315),D315,0)</f>
        <v>4.2410999999999995E-4</v>
      </c>
      <c r="H315" t="s">
        <v>40</v>
      </c>
      <c r="I315" s="21">
        <v>46288</v>
      </c>
    </row>
    <row r="316" spans="1:9" x14ac:dyDescent="0.15">
      <c r="A316" t="s">
        <v>36</v>
      </c>
      <c r="B316" t="s">
        <v>746</v>
      </c>
      <c r="C316" t="s">
        <v>747</v>
      </c>
      <c r="D316" s="22">
        <v>4.215E-4</v>
      </c>
      <c r="E316" s="22">
        <f>IFERROR(_xlfn.LET(_xlpm.m,MATCH($B316,Feed!$A:$A,0),_xlpm.p,INDEX(Feed!$B:$B,_xlpm.m),_xlpm.c,INDEX(Feed!$G:$G,_xlpm.m),IF(AND(_xlpm.p&gt;0,_xlpm.c&gt;0),_xlpm.p/_xlpm.c-1,"")),"")</f>
        <v>-5.5756627213147114E-3</v>
      </c>
      <c r="F316" s="23">
        <f>IF(ISNUMBER(E316),D316*E316,0)</f>
        <v>-2.3501418370341509E-6</v>
      </c>
      <c r="G316" s="22">
        <f>IF(ISNUMBER(E316),D316,0)</f>
        <v>4.215E-4</v>
      </c>
      <c r="H316" t="s">
        <v>40</v>
      </c>
      <c r="I316" s="21">
        <v>46288</v>
      </c>
    </row>
    <row r="317" spans="1:9" x14ac:dyDescent="0.15">
      <c r="A317" t="s">
        <v>36</v>
      </c>
      <c r="B317" t="s">
        <v>740</v>
      </c>
      <c r="C317" t="s">
        <v>741</v>
      </c>
      <c r="D317" s="22">
        <v>4.1919E-4</v>
      </c>
      <c r="E317" s="22">
        <f>IFERROR(_xlfn.LET(_xlpm.m,MATCH($B317,Feed!$A:$A,0),_xlpm.p,INDEX(Feed!$B:$B,_xlpm.m),_xlpm.c,INDEX(Feed!$G:$G,_xlpm.m),IF(AND(_xlpm.p&gt;0,_xlpm.c&gt;0),_xlpm.p/_xlpm.c-1,"")),"")</f>
        <v>-2.2099245034083559E-2</v>
      </c>
      <c r="F317" s="23">
        <f>IF(ISNUMBER(E317),D317*E317,0)</f>
        <v>-9.2637825258374879E-6</v>
      </c>
      <c r="G317" s="22">
        <f>IF(ISNUMBER(E317),D317,0)</f>
        <v>4.1919E-4</v>
      </c>
      <c r="H317" t="s">
        <v>40</v>
      </c>
      <c r="I317" s="21">
        <v>46288</v>
      </c>
    </row>
    <row r="318" spans="1:9" x14ac:dyDescent="0.15">
      <c r="A318" t="s">
        <v>36</v>
      </c>
      <c r="B318" t="s">
        <v>738</v>
      </c>
      <c r="C318" t="s">
        <v>739</v>
      </c>
      <c r="D318" s="22">
        <v>4.1879999999999999E-4</v>
      </c>
      <c r="E318" s="22" t="str">
        <f>IFERROR(_xlfn.LET(_xlpm.m,MATCH($B318,Feed!$A:$A,0),_xlpm.p,INDEX(Feed!$B:$B,_xlpm.m),_xlpm.c,INDEX(Feed!$G:$G,_xlpm.m),IF(AND(_xlpm.p&gt;0,_xlpm.c&gt;0),_xlpm.p/_xlpm.c-1,"")),"")</f>
        <v/>
      </c>
      <c r="F318" s="23">
        <f>IF(ISNUMBER(E318),D318*E318,0)</f>
        <v>0</v>
      </c>
      <c r="G318" s="22">
        <f>IF(ISNUMBER(E318),D318,0)</f>
        <v>0</v>
      </c>
      <c r="H318" t="s">
        <v>40</v>
      </c>
      <c r="I318" s="21">
        <v>46288</v>
      </c>
    </row>
    <row r="319" spans="1:9" x14ac:dyDescent="0.15">
      <c r="A319" t="s">
        <v>36</v>
      </c>
      <c r="B319" t="s">
        <v>756</v>
      </c>
      <c r="C319" t="s">
        <v>757</v>
      </c>
      <c r="D319" s="22">
        <v>4.1738999999999996E-4</v>
      </c>
      <c r="E319" s="22">
        <f>IFERROR(_xlfn.LET(_xlpm.m,MATCH($B319,Feed!$A:$A,0),_xlpm.p,INDEX(Feed!$B:$B,_xlpm.m),_xlpm.c,INDEX(Feed!$G:$G,_xlpm.m),IF(AND(_xlpm.p&gt;0,_xlpm.c&gt;0),_xlpm.p/_xlpm.c-1,"")),"")</f>
        <v>7.4313408723747365E-3</v>
      </c>
      <c r="F319" s="23">
        <f>IF(ISNUMBER(E319),D319*E319,0)</f>
        <v>3.101767366720491E-6</v>
      </c>
      <c r="G319" s="22">
        <f>IF(ISNUMBER(E319),D319,0)</f>
        <v>4.1738999999999996E-4</v>
      </c>
      <c r="H319" t="s">
        <v>40</v>
      </c>
      <c r="I319" s="21">
        <v>46288</v>
      </c>
    </row>
    <row r="320" spans="1:9" x14ac:dyDescent="0.15">
      <c r="A320" t="s">
        <v>36</v>
      </c>
      <c r="B320" t="s">
        <v>744</v>
      </c>
      <c r="C320" t="s">
        <v>745</v>
      </c>
      <c r="D320" s="22">
        <v>4.1496999999999997E-4</v>
      </c>
      <c r="E320" s="22">
        <f>IFERROR(_xlfn.LET(_xlpm.m,MATCH($B320,Feed!$A:$A,0),_xlpm.p,INDEX(Feed!$B:$B,_xlpm.m),_xlpm.c,INDEX(Feed!$G:$G,_xlpm.m),IF(AND(_xlpm.p&gt;0,_xlpm.c&gt;0),_xlpm.p/_xlpm.c-1,"")),"")</f>
        <v>-2.3120525059665997E-2</v>
      </c>
      <c r="F320" s="23">
        <f>IF(ISNUMBER(E320),D320*E320,0)</f>
        <v>-9.5943242840095979E-6</v>
      </c>
      <c r="G320" s="22">
        <f>IF(ISNUMBER(E320),D320,0)</f>
        <v>4.1496999999999997E-4</v>
      </c>
      <c r="H320" t="s">
        <v>40</v>
      </c>
      <c r="I320" s="21">
        <v>46288</v>
      </c>
    </row>
    <row r="321" spans="1:9" x14ac:dyDescent="0.15">
      <c r="A321" t="s">
        <v>36</v>
      </c>
      <c r="B321" t="s">
        <v>742</v>
      </c>
      <c r="C321" t="s">
        <v>743</v>
      </c>
      <c r="D321" s="22">
        <v>4.1438999999999994E-4</v>
      </c>
      <c r="E321" s="22">
        <f>IFERROR(_xlfn.LET(_xlpm.m,MATCH($B321,Feed!$A:$A,0),_xlpm.p,INDEX(Feed!$B:$B,_xlpm.m),_xlpm.c,INDEX(Feed!$G:$G,_xlpm.m),IF(AND(_xlpm.p&gt;0,_xlpm.c&gt;0),_xlpm.p/_xlpm.c-1,"")),"")</f>
        <v>-3.511108420606579E-2</v>
      </c>
      <c r="F321" s="23">
        <f>IF(ISNUMBER(E321),D321*E321,0)</f>
        <v>-1.4549682184151601E-5</v>
      </c>
      <c r="G321" s="22">
        <f>IF(ISNUMBER(E321),D321,0)</f>
        <v>4.1438999999999994E-4</v>
      </c>
      <c r="H321" t="s">
        <v>40</v>
      </c>
      <c r="I321" s="21">
        <v>46288</v>
      </c>
    </row>
    <row r="322" spans="1:9" x14ac:dyDescent="0.15">
      <c r="A322" t="s">
        <v>36</v>
      </c>
      <c r="B322" t="s">
        <v>748</v>
      </c>
      <c r="C322" t="s">
        <v>749</v>
      </c>
      <c r="D322" s="22">
        <v>4.1109000000000002E-4</v>
      </c>
      <c r="E322" s="22">
        <f>IFERROR(_xlfn.LET(_xlpm.m,MATCH($B322,Feed!$A:$A,0),_xlpm.p,INDEX(Feed!$B:$B,_xlpm.m),_xlpm.c,INDEX(Feed!$G:$G,_xlpm.m),IF(AND(_xlpm.p&gt;0,_xlpm.c&gt;0),_xlpm.p/_xlpm.c-1,"")),"")</f>
        <v>-2.1837098692033319E-2</v>
      </c>
      <c r="F322" s="23">
        <f>IF(ISNUMBER(E322),D322*E322,0)</f>
        <v>-8.9770129013079777E-6</v>
      </c>
      <c r="G322" s="22">
        <f>IF(ISNUMBER(E322),D322,0)</f>
        <v>4.1109000000000002E-4</v>
      </c>
      <c r="H322" t="s">
        <v>40</v>
      </c>
      <c r="I322" s="21">
        <v>46288</v>
      </c>
    </row>
    <row r="323" spans="1:9" x14ac:dyDescent="0.15">
      <c r="A323" t="s">
        <v>36</v>
      </c>
      <c r="B323" t="s">
        <v>774</v>
      </c>
      <c r="C323" t="s">
        <v>775</v>
      </c>
      <c r="D323" s="22">
        <v>4.1055000000000003E-4</v>
      </c>
      <c r="E323" s="22" t="str">
        <f>IFERROR(_xlfn.LET(_xlpm.m,MATCH($B323,Feed!$A:$A,0),_xlpm.p,INDEX(Feed!$B:$B,_xlpm.m),_xlpm.c,INDEX(Feed!$G:$G,_xlpm.m),IF(AND(_xlpm.p&gt;0,_xlpm.c&gt;0),_xlpm.p/_xlpm.c-1,"")),"")</f>
        <v/>
      </c>
      <c r="F323" s="23">
        <f>IF(ISNUMBER(E323),D323*E323,0)</f>
        <v>0</v>
      </c>
      <c r="G323" s="22">
        <f>IF(ISNUMBER(E323),D323,0)</f>
        <v>0</v>
      </c>
      <c r="H323" t="s">
        <v>40</v>
      </c>
      <c r="I323" s="21">
        <v>46288</v>
      </c>
    </row>
    <row r="324" spans="1:9" x14ac:dyDescent="0.15">
      <c r="A324" t="s">
        <v>36</v>
      </c>
      <c r="B324" t="s">
        <v>764</v>
      </c>
      <c r="C324" t="s">
        <v>765</v>
      </c>
      <c r="D324" s="22">
        <v>4.0516000000000006E-4</v>
      </c>
      <c r="E324" s="22">
        <f>IFERROR(_xlfn.LET(_xlpm.m,MATCH($B324,Feed!$A:$A,0),_xlpm.p,INDEX(Feed!$B:$B,_xlpm.m),_xlpm.c,INDEX(Feed!$G:$G,_xlpm.m),IF(AND(_xlpm.p&gt;0,_xlpm.c&gt;0),_xlpm.p/_xlpm.c-1,"")),"")</f>
        <v>1.7972387876807883E-3</v>
      </c>
      <c r="F324" s="23">
        <f>IF(ISNUMBER(E324),D324*E324,0)</f>
        <v>7.281692672167483E-7</v>
      </c>
      <c r="G324" s="22">
        <f>IF(ISNUMBER(E324),D324,0)</f>
        <v>4.0516000000000006E-4</v>
      </c>
      <c r="H324" t="s">
        <v>40</v>
      </c>
      <c r="I324" s="21">
        <v>46288</v>
      </c>
    </row>
    <row r="325" spans="1:9" x14ac:dyDescent="0.15">
      <c r="A325" t="s">
        <v>36</v>
      </c>
      <c r="B325" t="s">
        <v>772</v>
      </c>
      <c r="C325" t="s">
        <v>773</v>
      </c>
      <c r="D325" s="22">
        <v>4.0280999999999997E-4</v>
      </c>
      <c r="E325" s="22">
        <f>IFERROR(_xlfn.LET(_xlpm.m,MATCH($B325,Feed!$A:$A,0),_xlpm.p,INDEX(Feed!$B:$B,_xlpm.m),_xlpm.c,INDEX(Feed!$G:$G,_xlpm.m),IF(AND(_xlpm.p&gt;0,_xlpm.c&gt;0),_xlpm.p/_xlpm.c-1,"")),"")</f>
        <v>1.6275730014361001E-2</v>
      </c>
      <c r="F325" s="23">
        <f>IF(ISNUMBER(E325),D325*E325,0)</f>
        <v>6.5560268070847541E-6</v>
      </c>
      <c r="G325" s="22">
        <f>IF(ISNUMBER(E325),D325,0)</f>
        <v>4.0280999999999997E-4</v>
      </c>
      <c r="H325" t="s">
        <v>40</v>
      </c>
      <c r="I325" s="21">
        <v>46288</v>
      </c>
    </row>
    <row r="326" spans="1:9" x14ac:dyDescent="0.15">
      <c r="A326" t="s">
        <v>36</v>
      </c>
      <c r="B326" t="s">
        <v>766</v>
      </c>
      <c r="C326" t="s">
        <v>767</v>
      </c>
      <c r="D326" s="22">
        <v>3.9742999999999999E-4</v>
      </c>
      <c r="E326" s="22">
        <f>IFERROR(_xlfn.LET(_xlpm.m,MATCH($B326,Feed!$A:$A,0),_xlpm.p,INDEX(Feed!$B:$B,_xlpm.m),_xlpm.c,INDEX(Feed!$G:$G,_xlpm.m),IF(AND(_xlpm.p&gt;0,_xlpm.c&gt;0),_xlpm.p/_xlpm.c-1,"")),"")</f>
        <v>-1.5305371596762374E-2</v>
      </c>
      <c r="F326" s="23">
        <f>IF(ISNUMBER(E326),D326*E326,0)</f>
        <v>-6.0828138337012706E-6</v>
      </c>
      <c r="G326" s="22">
        <f>IF(ISNUMBER(E326),D326,0)</f>
        <v>3.9742999999999999E-4</v>
      </c>
      <c r="H326" t="s">
        <v>40</v>
      </c>
      <c r="I326" s="21">
        <v>46288</v>
      </c>
    </row>
    <row r="327" spans="1:9" x14ac:dyDescent="0.15">
      <c r="A327" t="s">
        <v>36</v>
      </c>
      <c r="B327" t="s">
        <v>762</v>
      </c>
      <c r="C327" t="s">
        <v>763</v>
      </c>
      <c r="D327" s="22">
        <v>3.9737000000000003E-4</v>
      </c>
      <c r="E327" s="22">
        <f>IFERROR(_xlfn.LET(_xlpm.m,MATCH($B327,Feed!$A:$A,0),_xlpm.p,INDEX(Feed!$B:$B,_xlpm.m),_xlpm.c,INDEX(Feed!$G:$G,_xlpm.m),IF(AND(_xlpm.p&gt;0,_xlpm.c&gt;0),_xlpm.p/_xlpm.c-1,"")),"")</f>
        <v>-1.8465377417342554E-2</v>
      </c>
      <c r="F327" s="23">
        <f>IF(ISNUMBER(E327),D327*E327,0)</f>
        <v>-7.3375870243294113E-6</v>
      </c>
      <c r="G327" s="22">
        <f>IF(ISNUMBER(E327),D327,0)</f>
        <v>3.9737000000000003E-4</v>
      </c>
      <c r="H327" t="s">
        <v>40</v>
      </c>
      <c r="I327" s="21">
        <v>46288</v>
      </c>
    </row>
    <row r="328" spans="1:9" x14ac:dyDescent="0.15">
      <c r="A328" t="s">
        <v>36</v>
      </c>
      <c r="B328" t="s">
        <v>768</v>
      </c>
      <c r="C328" t="s">
        <v>769</v>
      </c>
      <c r="D328" s="22">
        <v>3.9499000000000001E-4</v>
      </c>
      <c r="E328" s="22">
        <f>IFERROR(_xlfn.LET(_xlpm.m,MATCH($B328,Feed!$A:$A,0),_xlpm.p,INDEX(Feed!$B:$B,_xlpm.m),_xlpm.c,INDEX(Feed!$G:$G,_xlpm.m),IF(AND(_xlpm.p&gt;0,_xlpm.c&gt;0),_xlpm.p/_xlpm.c-1,"")),"")</f>
        <v>-1.987639886420578E-2</v>
      </c>
      <c r="F328" s="23">
        <f>IF(ISNUMBER(E328),D328*E328,0)</f>
        <v>-7.8509787873726404E-6</v>
      </c>
      <c r="G328" s="22">
        <f>IF(ISNUMBER(E328),D328,0)</f>
        <v>3.9499000000000001E-4</v>
      </c>
      <c r="H328" t="s">
        <v>40</v>
      </c>
      <c r="I328" s="21">
        <v>46288</v>
      </c>
    </row>
    <row r="329" spans="1:9" x14ac:dyDescent="0.15">
      <c r="A329" t="s">
        <v>36</v>
      </c>
      <c r="B329" t="s">
        <v>776</v>
      </c>
      <c r="C329" t="s">
        <v>777</v>
      </c>
      <c r="D329" s="22">
        <v>3.9458000000000001E-4</v>
      </c>
      <c r="E329" s="22" t="str">
        <f>IFERROR(_xlfn.LET(_xlpm.m,MATCH($B329,Feed!$A:$A,0),_xlpm.p,INDEX(Feed!$B:$B,_xlpm.m),_xlpm.c,INDEX(Feed!$G:$G,_xlpm.m),IF(AND(_xlpm.p&gt;0,_xlpm.c&gt;0),_xlpm.p/_xlpm.c-1,"")),"")</f>
        <v/>
      </c>
      <c r="F329" s="23">
        <f>IF(ISNUMBER(E329),D329*E329,0)</f>
        <v>0</v>
      </c>
      <c r="G329" s="22">
        <f>IF(ISNUMBER(E329),D329,0)</f>
        <v>0</v>
      </c>
      <c r="H329" t="s">
        <v>40</v>
      </c>
      <c r="I329" s="21">
        <v>46288</v>
      </c>
    </row>
    <row r="330" spans="1:9" x14ac:dyDescent="0.15">
      <c r="A330" t="s">
        <v>36</v>
      </c>
      <c r="B330" t="s">
        <v>786</v>
      </c>
      <c r="C330" t="s">
        <v>787</v>
      </c>
      <c r="D330" s="22">
        <v>3.9287999999999997E-4</v>
      </c>
      <c r="E330" s="22" t="str">
        <f>IFERROR(_xlfn.LET(_xlpm.m,MATCH($B330,Feed!$A:$A,0),_xlpm.p,INDEX(Feed!$B:$B,_xlpm.m),_xlpm.c,INDEX(Feed!$G:$G,_xlpm.m),IF(AND(_xlpm.p&gt;0,_xlpm.c&gt;0),_xlpm.p/_xlpm.c-1,"")),"")</f>
        <v/>
      </c>
      <c r="F330" s="23">
        <f>IF(ISNUMBER(E330),D330*E330,0)</f>
        <v>0</v>
      </c>
      <c r="G330" s="22">
        <f>IF(ISNUMBER(E330),D330,0)</f>
        <v>0</v>
      </c>
      <c r="H330" t="s">
        <v>40</v>
      </c>
      <c r="I330" s="21">
        <v>46288</v>
      </c>
    </row>
    <row r="331" spans="1:9" x14ac:dyDescent="0.15">
      <c r="A331" t="s">
        <v>36</v>
      </c>
      <c r="B331" t="s">
        <v>794</v>
      </c>
      <c r="C331" t="s">
        <v>795</v>
      </c>
      <c r="D331" s="22">
        <v>3.9146E-4</v>
      </c>
      <c r="E331" s="22" t="str">
        <f>IFERROR(_xlfn.LET(_xlpm.m,MATCH($B331,Feed!$A:$A,0),_xlpm.p,INDEX(Feed!$B:$B,_xlpm.m),_xlpm.c,INDEX(Feed!$G:$G,_xlpm.m),IF(AND(_xlpm.p&gt;0,_xlpm.c&gt;0),_xlpm.p/_xlpm.c-1,"")),"")</f>
        <v/>
      </c>
      <c r="F331" s="23">
        <f>IF(ISNUMBER(E331),D331*E331,0)</f>
        <v>0</v>
      </c>
      <c r="G331" s="22">
        <f>IF(ISNUMBER(E331),D331,0)</f>
        <v>0</v>
      </c>
      <c r="H331" t="s">
        <v>40</v>
      </c>
      <c r="I331" s="21">
        <v>46288</v>
      </c>
    </row>
    <row r="332" spans="1:9" x14ac:dyDescent="0.15">
      <c r="A332" t="s">
        <v>36</v>
      </c>
      <c r="B332" t="s">
        <v>770</v>
      </c>
      <c r="C332" t="s">
        <v>771</v>
      </c>
      <c r="D332" s="22">
        <v>3.9100999999999996E-4</v>
      </c>
      <c r="E332" s="22">
        <f>IFERROR(_xlfn.LET(_xlpm.m,MATCH($B332,Feed!$A:$A,0),_xlpm.p,INDEX(Feed!$B:$B,_xlpm.m),_xlpm.c,INDEX(Feed!$G:$G,_xlpm.m),IF(AND(_xlpm.p&gt;0,_xlpm.c&gt;0),_xlpm.p/_xlpm.c-1,"")),"")</f>
        <v>-2.4198568316215474E-2</v>
      </c>
      <c r="F332" s="23">
        <f>IF(ISNUMBER(E332),D332*E332,0)</f>
        <v>-9.4618821973234121E-6</v>
      </c>
      <c r="G332" s="22">
        <f>IF(ISNUMBER(E332),D332,0)</f>
        <v>3.9100999999999996E-4</v>
      </c>
      <c r="H332" t="s">
        <v>40</v>
      </c>
      <c r="I332" s="21">
        <v>46288</v>
      </c>
    </row>
    <row r="333" spans="1:9" x14ac:dyDescent="0.15">
      <c r="A333" t="s">
        <v>36</v>
      </c>
      <c r="B333" t="s">
        <v>758</v>
      </c>
      <c r="C333" t="s">
        <v>759</v>
      </c>
      <c r="D333" s="22">
        <v>3.8941999999999997E-4</v>
      </c>
      <c r="E333" s="22">
        <f>IFERROR(_xlfn.LET(_xlpm.m,MATCH($B333,Feed!$A:$A,0),_xlpm.p,INDEX(Feed!$B:$B,_xlpm.m),_xlpm.c,INDEX(Feed!$G:$G,_xlpm.m),IF(AND(_xlpm.p&gt;0,_xlpm.c&gt;0),_xlpm.p/_xlpm.c-1,"")),"")</f>
        <v>-4.4430919050517326E-2</v>
      </c>
      <c r="F333" s="23">
        <f>IF(ISNUMBER(E333),D333*E333,0)</f>
        <v>-1.7302288496652455E-5</v>
      </c>
      <c r="G333" s="22">
        <f>IF(ISNUMBER(E333),D333,0)</f>
        <v>3.8941999999999997E-4</v>
      </c>
      <c r="H333" t="s">
        <v>40</v>
      </c>
      <c r="I333" s="21">
        <v>46288</v>
      </c>
    </row>
    <row r="334" spans="1:9" x14ac:dyDescent="0.15">
      <c r="A334" t="s">
        <v>36</v>
      </c>
      <c r="B334" t="s">
        <v>778</v>
      </c>
      <c r="C334" t="s">
        <v>779</v>
      </c>
      <c r="D334" s="22">
        <v>3.8728999999999999E-4</v>
      </c>
      <c r="E334" s="22">
        <f>IFERROR(_xlfn.LET(_xlpm.m,MATCH($B334,Feed!$A:$A,0),_xlpm.p,INDEX(Feed!$B:$B,_xlpm.m),_xlpm.c,INDEX(Feed!$G:$G,_xlpm.m),IF(AND(_xlpm.p&gt;0,_xlpm.c&gt;0),_xlpm.p/_xlpm.c-1,"")),"")</f>
        <v>-6.4214827787506534E-3</v>
      </c>
      <c r="F334" s="23">
        <f>IF(ISNUMBER(E334),D334*E334,0)</f>
        <v>-2.4869760653823405E-6</v>
      </c>
      <c r="G334" s="22">
        <f>IF(ISNUMBER(E334),D334,0)</f>
        <v>3.8728999999999999E-4</v>
      </c>
      <c r="H334" t="s">
        <v>40</v>
      </c>
      <c r="I334" s="21">
        <v>46288</v>
      </c>
    </row>
    <row r="335" spans="1:9" x14ac:dyDescent="0.15">
      <c r="A335" t="s">
        <v>36</v>
      </c>
      <c r="B335" t="s">
        <v>780</v>
      </c>
      <c r="C335" t="s">
        <v>781</v>
      </c>
      <c r="D335" s="22">
        <v>3.8494000000000001E-4</v>
      </c>
      <c r="E335" s="22">
        <f>IFERROR(_xlfn.LET(_xlpm.m,MATCH($B335,Feed!$A:$A,0),_xlpm.p,INDEX(Feed!$B:$B,_xlpm.m),_xlpm.c,INDEX(Feed!$G:$G,_xlpm.m),IF(AND(_xlpm.p&gt;0,_xlpm.c&gt;0),_xlpm.p/_xlpm.c-1,"")),"")</f>
        <v>-1.2092719227674964E-2</v>
      </c>
      <c r="F335" s="23">
        <f>IF(ISNUMBER(E335),D335*E335,0)</f>
        <v>-4.6549713395012011E-6</v>
      </c>
      <c r="G335" s="22">
        <f>IF(ISNUMBER(E335),D335,0)</f>
        <v>3.8494000000000001E-4</v>
      </c>
      <c r="H335" t="s">
        <v>40</v>
      </c>
      <c r="I335" s="21">
        <v>46288</v>
      </c>
    </row>
    <row r="336" spans="1:9" x14ac:dyDescent="0.15">
      <c r="A336" t="s">
        <v>36</v>
      </c>
      <c r="B336" t="s">
        <v>812</v>
      </c>
      <c r="C336" t="s">
        <v>813</v>
      </c>
      <c r="D336" s="22">
        <v>3.8281999999999997E-4</v>
      </c>
      <c r="E336" s="22">
        <f>IFERROR(_xlfn.LET(_xlpm.m,MATCH($B336,Feed!$A:$A,0),_xlpm.p,INDEX(Feed!$B:$B,_xlpm.m),_xlpm.c,INDEX(Feed!$G:$G,_xlpm.m),IF(AND(_xlpm.p&gt;0,_xlpm.c&gt;0),_xlpm.p/_xlpm.c-1,"")),"")</f>
        <v>4.9302131796403081E-2</v>
      </c>
      <c r="F336" s="23">
        <f>IF(ISNUMBER(E336),D336*E336,0)</f>
        <v>1.8873842094299026E-5</v>
      </c>
      <c r="G336" s="22">
        <f>IF(ISNUMBER(E336),D336,0)</f>
        <v>3.8281999999999997E-4</v>
      </c>
      <c r="H336" t="s">
        <v>40</v>
      </c>
      <c r="I336" s="21">
        <v>46288</v>
      </c>
    </row>
    <row r="337" spans="1:9" x14ac:dyDescent="0.15">
      <c r="A337" t="s">
        <v>36</v>
      </c>
      <c r="B337" t="s">
        <v>806</v>
      </c>
      <c r="C337" t="s">
        <v>807</v>
      </c>
      <c r="D337" s="22">
        <v>3.7914999999999997E-4</v>
      </c>
      <c r="E337" s="22">
        <f>IFERROR(_xlfn.LET(_xlpm.m,MATCH($B337,Feed!$A:$A,0),_xlpm.p,INDEX(Feed!$B:$B,_xlpm.m),_xlpm.c,INDEX(Feed!$G:$G,_xlpm.m),IF(AND(_xlpm.p&gt;0,_xlpm.c&gt;0),_xlpm.p/_xlpm.c-1,"")),"")</f>
        <v>5.1232075734372939E-2</v>
      </c>
      <c r="F337" s="23">
        <f>IF(ISNUMBER(E337),D337*E337,0)</f>
        <v>1.9424641514687498E-5</v>
      </c>
      <c r="G337" s="22">
        <f>IF(ISNUMBER(E337),D337,0)</f>
        <v>3.7914999999999997E-4</v>
      </c>
      <c r="H337" t="s">
        <v>40</v>
      </c>
      <c r="I337" s="21">
        <v>46288</v>
      </c>
    </row>
    <row r="338" spans="1:9" x14ac:dyDescent="0.15">
      <c r="A338" t="s">
        <v>36</v>
      </c>
      <c r="B338" t="s">
        <v>782</v>
      </c>
      <c r="C338" t="s">
        <v>783</v>
      </c>
      <c r="D338" s="22">
        <v>3.7821000000000003E-4</v>
      </c>
      <c r="E338" s="22">
        <f>IFERROR(_xlfn.LET(_xlpm.m,MATCH($B338,Feed!$A:$A,0),_xlpm.p,INDEX(Feed!$B:$B,_xlpm.m),_xlpm.c,INDEX(Feed!$G:$G,_xlpm.m),IF(AND(_xlpm.p&gt;0,_xlpm.c&gt;0),_xlpm.p/_xlpm.c-1,"")),"")</f>
        <v>-1.8757396449704089E-2</v>
      </c>
      <c r="F338" s="23">
        <f>IF(ISNUMBER(E338),D338*E338,0)</f>
        <v>-7.0942349112425842E-6</v>
      </c>
      <c r="G338" s="22">
        <f>IF(ISNUMBER(E338),D338,0)</f>
        <v>3.7821000000000003E-4</v>
      </c>
      <c r="H338" t="s">
        <v>40</v>
      </c>
      <c r="I338" s="21">
        <v>46288</v>
      </c>
    </row>
    <row r="339" spans="1:9" x14ac:dyDescent="0.15">
      <c r="A339" t="s">
        <v>36</v>
      </c>
      <c r="B339" t="s">
        <v>788</v>
      </c>
      <c r="C339" t="s">
        <v>789</v>
      </c>
      <c r="D339" s="22">
        <v>3.7675000000000002E-4</v>
      </c>
      <c r="E339" s="22">
        <f>IFERROR(_xlfn.LET(_xlpm.m,MATCH($B339,Feed!$A:$A,0),_xlpm.p,INDEX(Feed!$B:$B,_xlpm.m),_xlpm.c,INDEX(Feed!$G:$G,_xlpm.m),IF(AND(_xlpm.p&gt;0,_xlpm.c&gt;0),_xlpm.p/_xlpm.c-1,"")),"")</f>
        <v>-4.6953366769821869E-3</v>
      </c>
      <c r="F339" s="23">
        <f>IF(ISNUMBER(E339),D339*E339,0)</f>
        <v>-1.768968093053039E-6</v>
      </c>
      <c r="G339" s="22">
        <f>IF(ISNUMBER(E339),D339,0)</f>
        <v>3.7675000000000002E-4</v>
      </c>
      <c r="H339" t="s">
        <v>40</v>
      </c>
      <c r="I339" s="21">
        <v>46288</v>
      </c>
    </row>
    <row r="340" spans="1:9" x14ac:dyDescent="0.15">
      <c r="A340" t="s">
        <v>36</v>
      </c>
      <c r="B340" t="s">
        <v>798</v>
      </c>
      <c r="C340" t="s">
        <v>799</v>
      </c>
      <c r="D340" s="22">
        <v>3.7631999999999997E-4</v>
      </c>
      <c r="E340" s="22" t="str">
        <f>IFERROR(_xlfn.LET(_xlpm.m,MATCH($B340,Feed!$A:$A,0),_xlpm.p,INDEX(Feed!$B:$B,_xlpm.m),_xlpm.c,INDEX(Feed!$G:$G,_xlpm.m),IF(AND(_xlpm.p&gt;0,_xlpm.c&gt;0),_xlpm.p/_xlpm.c-1,"")),"")</f>
        <v/>
      </c>
      <c r="F340" s="23">
        <f>IF(ISNUMBER(E340),D340*E340,0)</f>
        <v>0</v>
      </c>
      <c r="G340" s="22">
        <f>IF(ISNUMBER(E340),D340,0)</f>
        <v>0</v>
      </c>
      <c r="H340" t="s">
        <v>40</v>
      </c>
      <c r="I340" s="21">
        <v>46288</v>
      </c>
    </row>
    <row r="341" spans="1:9" x14ac:dyDescent="0.15">
      <c r="A341" t="s">
        <v>36</v>
      </c>
      <c r="B341" t="s">
        <v>784</v>
      </c>
      <c r="C341" t="s">
        <v>785</v>
      </c>
      <c r="D341" s="22">
        <v>3.7573000000000001E-4</v>
      </c>
      <c r="E341" s="22">
        <f>IFERROR(_xlfn.LET(_xlpm.m,MATCH($B341,Feed!$A:$A,0),_xlpm.p,INDEX(Feed!$B:$B,_xlpm.m),_xlpm.c,INDEX(Feed!$G:$G,_xlpm.m),IF(AND(_xlpm.p&gt;0,_xlpm.c&gt;0),_xlpm.p/_xlpm.c-1,"")),"")</f>
        <v>-2.8592809703470334E-2</v>
      </c>
      <c r="F341" s="23">
        <f>IF(ISNUMBER(E341),D341*E341,0)</f>
        <v>-1.0743176389884909E-5</v>
      </c>
      <c r="G341" s="22">
        <f>IF(ISNUMBER(E341),D341,0)</f>
        <v>3.7573000000000001E-4</v>
      </c>
      <c r="H341" t="s">
        <v>40</v>
      </c>
      <c r="I341" s="21">
        <v>46288</v>
      </c>
    </row>
    <row r="342" spans="1:9" x14ac:dyDescent="0.15">
      <c r="A342" t="s">
        <v>36</v>
      </c>
      <c r="B342" t="s">
        <v>792</v>
      </c>
      <c r="C342" t="s">
        <v>793</v>
      </c>
      <c r="D342" s="22">
        <v>3.7358000000000004E-4</v>
      </c>
      <c r="E342" s="22">
        <f>IFERROR(_xlfn.LET(_xlpm.m,MATCH($B342,Feed!$A:$A,0),_xlpm.p,INDEX(Feed!$B:$B,_xlpm.m),_xlpm.c,INDEX(Feed!$G:$G,_xlpm.m),IF(AND(_xlpm.p&gt;0,_xlpm.c&gt;0),_xlpm.p/_xlpm.c-1,"")),"")</f>
        <v>-1.9787359716479713E-2</v>
      </c>
      <c r="F342" s="23">
        <f>IF(ISNUMBER(E342),D342*E342,0)</f>
        <v>-7.3921618428824919E-6</v>
      </c>
      <c r="G342" s="22">
        <f>IF(ISNUMBER(E342),D342,0)</f>
        <v>3.7358000000000004E-4</v>
      </c>
      <c r="H342" t="s">
        <v>40</v>
      </c>
      <c r="I342" s="21">
        <v>46288</v>
      </c>
    </row>
    <row r="343" spans="1:9" x14ac:dyDescent="0.15">
      <c r="A343" t="s">
        <v>36</v>
      </c>
      <c r="B343" t="s">
        <v>800</v>
      </c>
      <c r="C343" t="s">
        <v>801</v>
      </c>
      <c r="D343" s="22">
        <v>3.7095000000000004E-4</v>
      </c>
      <c r="E343" s="22">
        <f>IFERROR(_xlfn.LET(_xlpm.m,MATCH($B343,Feed!$A:$A,0),_xlpm.p,INDEX(Feed!$B:$B,_xlpm.m),_xlpm.c,INDEX(Feed!$G:$G,_xlpm.m),IF(AND(_xlpm.p&gt;0,_xlpm.c&gt;0),_xlpm.p/_xlpm.c-1,"")),"")</f>
        <v>-9.6807953950810433E-3</v>
      </c>
      <c r="F343" s="23">
        <f>IF(ISNUMBER(E343),D343*E343,0)</f>
        <v>-3.5910910518053132E-6</v>
      </c>
      <c r="G343" s="22">
        <f>IF(ISNUMBER(E343),D343,0)</f>
        <v>3.7095000000000004E-4</v>
      </c>
      <c r="H343" t="s">
        <v>40</v>
      </c>
      <c r="I343" s="21">
        <v>46288</v>
      </c>
    </row>
    <row r="344" spans="1:9" x14ac:dyDescent="0.15">
      <c r="A344" t="s">
        <v>36</v>
      </c>
      <c r="B344" t="s">
        <v>796</v>
      </c>
      <c r="C344" t="s">
        <v>797</v>
      </c>
      <c r="D344" s="22">
        <v>3.7070000000000001E-4</v>
      </c>
      <c r="E344" s="22" t="str">
        <f>IFERROR(_xlfn.LET(_xlpm.m,MATCH($B344,Feed!$A:$A,0),_xlpm.p,INDEX(Feed!$B:$B,_xlpm.m),_xlpm.c,INDEX(Feed!$G:$G,_xlpm.m),IF(AND(_xlpm.p&gt;0,_xlpm.c&gt;0),_xlpm.p/_xlpm.c-1,"")),"")</f>
        <v/>
      </c>
      <c r="F344" s="23">
        <f>IF(ISNUMBER(E344),D344*E344,0)</f>
        <v>0</v>
      </c>
      <c r="G344" s="22">
        <f>IF(ISNUMBER(E344),D344,0)</f>
        <v>0</v>
      </c>
      <c r="H344" t="s">
        <v>40</v>
      </c>
      <c r="I344" s="21">
        <v>46288</v>
      </c>
    </row>
    <row r="345" spans="1:9" x14ac:dyDescent="0.15">
      <c r="A345" t="s">
        <v>36</v>
      </c>
      <c r="B345" t="s">
        <v>830</v>
      </c>
      <c r="C345" t="s">
        <v>831</v>
      </c>
      <c r="D345" s="22">
        <v>3.7050000000000001E-4</v>
      </c>
      <c r="E345" s="22">
        <f>IFERROR(_xlfn.LET(_xlpm.m,MATCH($B345,Feed!$A:$A,0),_xlpm.p,INDEX(Feed!$B:$B,_xlpm.m),_xlpm.c,INDEX(Feed!$G:$G,_xlpm.m),IF(AND(_xlpm.p&gt;0,_xlpm.c&gt;0),_xlpm.p/_xlpm.c-1,"")),"")</f>
        <v>7.342395376217481E-2</v>
      </c>
      <c r="F345" s="23">
        <f>IF(ISNUMBER(E345),D345*E345,0)</f>
        <v>2.7203574868885768E-5</v>
      </c>
      <c r="G345" s="22">
        <f>IF(ISNUMBER(E345),D345,0)</f>
        <v>3.7050000000000001E-4</v>
      </c>
      <c r="H345" t="s">
        <v>40</v>
      </c>
      <c r="I345" s="21">
        <v>46288</v>
      </c>
    </row>
    <row r="346" spans="1:9" x14ac:dyDescent="0.15">
      <c r="A346" t="s">
        <v>36</v>
      </c>
      <c r="B346" t="s">
        <v>790</v>
      </c>
      <c r="C346" t="s">
        <v>791</v>
      </c>
      <c r="D346" s="22">
        <v>3.6836000000000003E-4</v>
      </c>
      <c r="E346" s="22">
        <f>IFERROR(_xlfn.LET(_xlpm.m,MATCH($B346,Feed!$A:$A,0),_xlpm.p,INDEX(Feed!$B:$B,_xlpm.m),_xlpm.c,INDEX(Feed!$G:$G,_xlpm.m),IF(AND(_xlpm.p&gt;0,_xlpm.c&gt;0),_xlpm.p/_xlpm.c-1,"")),"")</f>
        <v>-2.3098114007204851E-2</v>
      </c>
      <c r="F346" s="23">
        <f>IF(ISNUMBER(E346),D346*E346,0)</f>
        <v>-8.5084212756939799E-6</v>
      </c>
      <c r="G346" s="22">
        <f>IF(ISNUMBER(E346),D346,0)</f>
        <v>3.6836000000000003E-4</v>
      </c>
      <c r="H346" t="s">
        <v>40</v>
      </c>
      <c r="I346" s="21">
        <v>46288</v>
      </c>
    </row>
    <row r="347" spans="1:9" x14ac:dyDescent="0.15">
      <c r="A347" t="s">
        <v>36</v>
      </c>
      <c r="B347" t="s">
        <v>802</v>
      </c>
      <c r="C347" t="s">
        <v>803</v>
      </c>
      <c r="D347" s="22">
        <v>3.6747E-4</v>
      </c>
      <c r="E347" s="22">
        <f>IFERROR(_xlfn.LET(_xlpm.m,MATCH($B347,Feed!$A:$A,0),_xlpm.p,INDEX(Feed!$B:$B,_xlpm.m),_xlpm.c,INDEX(Feed!$G:$G,_xlpm.m),IF(AND(_xlpm.p&gt;0,_xlpm.c&gt;0),_xlpm.p/_xlpm.c-1,"")),"")</f>
        <v>-1.7963758248664585E-2</v>
      </c>
      <c r="F347" s="23">
        <f>IF(ISNUMBER(E347),D347*E347,0)</f>
        <v>-6.601142243636775E-6</v>
      </c>
      <c r="G347" s="22">
        <f>IF(ISNUMBER(E347),D347,0)</f>
        <v>3.6747E-4</v>
      </c>
      <c r="H347" t="s">
        <v>40</v>
      </c>
      <c r="I347" s="21">
        <v>46288</v>
      </c>
    </row>
    <row r="348" spans="1:9" x14ac:dyDescent="0.15">
      <c r="A348" t="s">
        <v>36</v>
      </c>
      <c r="B348" t="s">
        <v>804</v>
      </c>
      <c r="C348" t="s">
        <v>805</v>
      </c>
      <c r="D348" s="22">
        <v>3.6644000000000005E-4</v>
      </c>
      <c r="E348" s="22">
        <f>IFERROR(_xlfn.LET(_xlpm.m,MATCH($B348,Feed!$A:$A,0),_xlpm.p,INDEX(Feed!$B:$B,_xlpm.m),_xlpm.c,INDEX(Feed!$G:$G,_xlpm.m),IF(AND(_xlpm.p&gt;0,_xlpm.c&gt;0),_xlpm.p/_xlpm.c-1,"")),"")</f>
        <v>-7.8332057247186837E-3</v>
      </c>
      <c r="F348" s="23">
        <f>IF(ISNUMBER(E348),D348*E348,0)</f>
        <v>-2.8703999057659148E-6</v>
      </c>
      <c r="G348" s="22">
        <f>IF(ISNUMBER(E348),D348,0)</f>
        <v>3.6644000000000005E-4</v>
      </c>
      <c r="H348" t="s">
        <v>40</v>
      </c>
      <c r="I348" s="21">
        <v>46288</v>
      </c>
    </row>
    <row r="349" spans="1:9" x14ac:dyDescent="0.15">
      <c r="A349" t="s">
        <v>36</v>
      </c>
      <c r="B349" t="s">
        <v>826</v>
      </c>
      <c r="C349" t="s">
        <v>827</v>
      </c>
      <c r="D349" s="22">
        <v>3.6532000000000003E-4</v>
      </c>
      <c r="E349" s="22">
        <f>IFERROR(_xlfn.LET(_xlpm.m,MATCH($B349,Feed!$A:$A,0),_xlpm.p,INDEX(Feed!$B:$B,_xlpm.m),_xlpm.c,INDEX(Feed!$G:$G,_xlpm.m),IF(AND(_xlpm.p&gt;0,_xlpm.c&gt;0),_xlpm.p/_xlpm.c-1,"")),"")</f>
        <v>4.7823144597338274E-2</v>
      </c>
      <c r="F349" s="23">
        <f>IF(ISNUMBER(E349),D349*E349,0)</f>
        <v>1.7470751184299619E-5</v>
      </c>
      <c r="G349" s="22">
        <f>IF(ISNUMBER(E349),D349,0)</f>
        <v>3.6532000000000003E-4</v>
      </c>
      <c r="H349" t="s">
        <v>40</v>
      </c>
      <c r="I349" s="21">
        <v>46288</v>
      </c>
    </row>
    <row r="350" spans="1:9" x14ac:dyDescent="0.15">
      <c r="A350" t="s">
        <v>36</v>
      </c>
      <c r="B350" t="s">
        <v>808</v>
      </c>
      <c r="C350" t="s">
        <v>809</v>
      </c>
      <c r="D350" s="22">
        <v>3.6363999999999998E-4</v>
      </c>
      <c r="E350" s="22" t="str">
        <f>IFERROR(_xlfn.LET(_xlpm.m,MATCH($B350,Feed!$A:$A,0),_xlpm.p,INDEX(Feed!$B:$B,_xlpm.m),_xlpm.c,INDEX(Feed!$G:$G,_xlpm.m),IF(AND(_xlpm.p&gt;0,_xlpm.c&gt;0),_xlpm.p/_xlpm.c-1,"")),"")</f>
        <v/>
      </c>
      <c r="F350" s="23">
        <f>IF(ISNUMBER(E350),D350*E350,0)</f>
        <v>0</v>
      </c>
      <c r="G350" s="22">
        <f>IF(ISNUMBER(E350),D350,0)</f>
        <v>0</v>
      </c>
      <c r="H350" t="s">
        <v>40</v>
      </c>
      <c r="I350" s="21">
        <v>46288</v>
      </c>
    </row>
    <row r="351" spans="1:9" x14ac:dyDescent="0.15">
      <c r="A351" t="s">
        <v>36</v>
      </c>
      <c r="B351" t="s">
        <v>820</v>
      </c>
      <c r="C351" t="s">
        <v>821</v>
      </c>
      <c r="D351" s="22">
        <v>3.6349E-4</v>
      </c>
      <c r="E351" s="22">
        <f>IFERROR(_xlfn.LET(_xlpm.m,MATCH($B351,Feed!$A:$A,0),_xlpm.p,INDEX(Feed!$B:$B,_xlpm.m),_xlpm.c,INDEX(Feed!$G:$G,_xlpm.m),IF(AND(_xlpm.p&gt;0,_xlpm.c&gt;0),_xlpm.p/_xlpm.c-1,"")),"")</f>
        <v>2.6649064709567627E-2</v>
      </c>
      <c r="F351" s="23">
        <f>IF(ISNUMBER(E351),D351*E351,0)</f>
        <v>9.6866685312807375E-6</v>
      </c>
      <c r="G351" s="22">
        <f>IF(ISNUMBER(E351),D351,0)</f>
        <v>3.6349E-4</v>
      </c>
      <c r="H351" t="s">
        <v>40</v>
      </c>
      <c r="I351" s="21">
        <v>46288</v>
      </c>
    </row>
    <row r="352" spans="1:9" x14ac:dyDescent="0.15">
      <c r="A352" t="s">
        <v>36</v>
      </c>
      <c r="B352" t="s">
        <v>818</v>
      </c>
      <c r="C352" t="s">
        <v>819</v>
      </c>
      <c r="D352" s="22">
        <v>3.6235999999999999E-4</v>
      </c>
      <c r="E352" s="22">
        <f>IFERROR(_xlfn.LET(_xlpm.m,MATCH($B352,Feed!$A:$A,0),_xlpm.p,INDEX(Feed!$B:$B,_xlpm.m),_xlpm.c,INDEX(Feed!$G:$G,_xlpm.m),IF(AND(_xlpm.p&gt;0,_xlpm.c&gt;0),_xlpm.p/_xlpm.c-1,"")),"")</f>
        <v>2.0355504587155959E-2</v>
      </c>
      <c r="F352" s="23">
        <f>IF(ISNUMBER(E352),D352*E352,0)</f>
        <v>7.376020642201833E-6</v>
      </c>
      <c r="G352" s="22">
        <f>IF(ISNUMBER(E352),D352,0)</f>
        <v>3.6235999999999999E-4</v>
      </c>
      <c r="H352" t="s">
        <v>40</v>
      </c>
      <c r="I352" s="21">
        <v>46288</v>
      </c>
    </row>
    <row r="353" spans="1:9" x14ac:dyDescent="0.15">
      <c r="A353" t="s">
        <v>36</v>
      </c>
      <c r="B353" t="s">
        <v>810</v>
      </c>
      <c r="C353" t="s">
        <v>811</v>
      </c>
      <c r="D353" s="22">
        <v>3.6066000000000001E-4</v>
      </c>
      <c r="E353" s="22">
        <f>IFERROR(_xlfn.LET(_xlpm.m,MATCH($B353,Feed!$A:$A,0),_xlpm.p,INDEX(Feed!$B:$B,_xlpm.m),_xlpm.c,INDEX(Feed!$G:$G,_xlpm.m),IF(AND(_xlpm.p&gt;0,_xlpm.c&gt;0),_xlpm.p/_xlpm.c-1,"")),"")</f>
        <v>-1.6564207650273222E-2</v>
      </c>
      <c r="F353" s="23">
        <f>IF(ISNUMBER(E353),D353*E353,0)</f>
        <v>-5.9740471311475403E-6</v>
      </c>
      <c r="G353" s="22">
        <f>IF(ISNUMBER(E353),D353,0)</f>
        <v>3.6066000000000001E-4</v>
      </c>
      <c r="H353" t="s">
        <v>40</v>
      </c>
      <c r="I353" s="21">
        <v>46288</v>
      </c>
    </row>
    <row r="354" spans="1:9" x14ac:dyDescent="0.15">
      <c r="A354" t="s">
        <v>36</v>
      </c>
      <c r="B354" t="s">
        <v>824</v>
      </c>
      <c r="C354" t="s">
        <v>825</v>
      </c>
      <c r="D354" s="22">
        <v>3.5992999999999995E-4</v>
      </c>
      <c r="E354" s="22" t="str">
        <f>IFERROR(_xlfn.LET(_xlpm.m,MATCH($B354,Feed!$A:$A,0),_xlpm.p,INDEX(Feed!$B:$B,_xlpm.m),_xlpm.c,INDEX(Feed!$G:$G,_xlpm.m),IF(AND(_xlpm.p&gt;0,_xlpm.c&gt;0),_xlpm.p/_xlpm.c-1,"")),"")</f>
        <v/>
      </c>
      <c r="F354" s="23">
        <f>IF(ISNUMBER(E354),D354*E354,0)</f>
        <v>0</v>
      </c>
      <c r="G354" s="22">
        <f>IF(ISNUMBER(E354),D354,0)</f>
        <v>0</v>
      </c>
      <c r="H354" t="s">
        <v>40</v>
      </c>
      <c r="I354" s="21">
        <v>46288</v>
      </c>
    </row>
    <row r="355" spans="1:9" x14ac:dyDescent="0.15">
      <c r="A355" t="s">
        <v>36</v>
      </c>
      <c r="B355" t="s">
        <v>814</v>
      </c>
      <c r="C355" t="s">
        <v>815</v>
      </c>
      <c r="D355" s="22">
        <v>3.5691999999999999E-4</v>
      </c>
      <c r="E355" s="22">
        <f>IFERROR(_xlfn.LET(_xlpm.m,MATCH($B355,Feed!$A:$A,0),_xlpm.p,INDEX(Feed!$B:$B,_xlpm.m),_xlpm.c,INDEX(Feed!$G:$G,_xlpm.m),IF(AND(_xlpm.p&gt;0,_xlpm.c&gt;0),_xlpm.p/_xlpm.c-1,"")),"")</f>
        <v>-2.0701754385964888E-2</v>
      </c>
      <c r="F355" s="23">
        <f>IF(ISNUMBER(E355),D355*E355,0)</f>
        <v>-7.3888701754385873E-6</v>
      </c>
      <c r="G355" s="22">
        <f>IF(ISNUMBER(E355),D355,0)</f>
        <v>3.5691999999999999E-4</v>
      </c>
      <c r="H355" t="s">
        <v>40</v>
      </c>
      <c r="I355" s="21">
        <v>46288</v>
      </c>
    </row>
    <row r="356" spans="1:9" x14ac:dyDescent="0.15">
      <c r="A356" t="s">
        <v>36</v>
      </c>
      <c r="B356" t="s">
        <v>828</v>
      </c>
      <c r="C356" t="s">
        <v>829</v>
      </c>
      <c r="D356" s="22">
        <v>3.5388000000000005E-4</v>
      </c>
      <c r="E356" s="22" t="str">
        <f>IFERROR(_xlfn.LET(_xlpm.m,MATCH($B356,Feed!$A:$A,0),_xlpm.p,INDEX(Feed!$B:$B,_xlpm.m),_xlpm.c,INDEX(Feed!$G:$G,_xlpm.m),IF(AND(_xlpm.p&gt;0,_xlpm.c&gt;0),_xlpm.p/_xlpm.c-1,"")),"")</f>
        <v/>
      </c>
      <c r="F356" s="23">
        <f>IF(ISNUMBER(E356),D356*E356,0)</f>
        <v>0</v>
      </c>
      <c r="G356" s="22">
        <f>IF(ISNUMBER(E356),D356,0)</f>
        <v>0</v>
      </c>
      <c r="H356" t="s">
        <v>40</v>
      </c>
      <c r="I356" s="21">
        <v>46288</v>
      </c>
    </row>
    <row r="357" spans="1:9" x14ac:dyDescent="0.15">
      <c r="A357" t="s">
        <v>36</v>
      </c>
      <c r="B357" t="s">
        <v>816</v>
      </c>
      <c r="C357" t="s">
        <v>817</v>
      </c>
      <c r="D357" s="22">
        <v>3.5145999999999995E-4</v>
      </c>
      <c r="E357" s="22">
        <f>IFERROR(_xlfn.LET(_xlpm.m,MATCH($B357,Feed!$A:$A,0),_xlpm.p,INDEX(Feed!$B:$B,_xlpm.m),_xlpm.c,INDEX(Feed!$G:$G,_xlpm.m),IF(AND(_xlpm.p&gt;0,_xlpm.c&gt;0),_xlpm.p/_xlpm.c-1,"")),"")</f>
        <v>-3.1583155650319883E-2</v>
      </c>
      <c r="F357" s="23">
        <f>IF(ISNUMBER(E357),D357*E357,0)</f>
        <v>-1.1100215884861424E-5</v>
      </c>
      <c r="G357" s="22">
        <f>IF(ISNUMBER(E357),D357,0)</f>
        <v>3.5145999999999995E-4</v>
      </c>
      <c r="H357" t="s">
        <v>40</v>
      </c>
      <c r="I357" s="21">
        <v>46288</v>
      </c>
    </row>
    <row r="358" spans="1:9" x14ac:dyDescent="0.15">
      <c r="A358" t="s">
        <v>36</v>
      </c>
      <c r="B358" t="s">
        <v>846</v>
      </c>
      <c r="C358" t="s">
        <v>847</v>
      </c>
      <c r="D358" s="22">
        <v>3.503E-4</v>
      </c>
      <c r="E358" s="22">
        <f>IFERROR(_xlfn.LET(_xlpm.m,MATCH($B358,Feed!$A:$A,0),_xlpm.p,INDEX(Feed!$B:$B,_xlpm.m),_xlpm.c,INDEX(Feed!$G:$G,_xlpm.m),IF(AND(_xlpm.p&gt;0,_xlpm.c&gt;0),_xlpm.p/_xlpm.c-1,"")),"")</f>
        <v>5.8838577641340484E-2</v>
      </c>
      <c r="F358" s="23">
        <f>IF(ISNUMBER(E358),D358*E358,0)</f>
        <v>2.0611153747761572E-5</v>
      </c>
      <c r="G358" s="22">
        <f>IF(ISNUMBER(E358),D358,0)</f>
        <v>3.503E-4</v>
      </c>
      <c r="H358" t="s">
        <v>40</v>
      </c>
      <c r="I358" s="21">
        <v>46288</v>
      </c>
    </row>
    <row r="359" spans="1:9" x14ac:dyDescent="0.15">
      <c r="A359" t="s">
        <v>36</v>
      </c>
      <c r="B359" t="s">
        <v>834</v>
      </c>
      <c r="C359" t="s">
        <v>835</v>
      </c>
      <c r="D359" s="22">
        <v>3.4898999999999998E-4</v>
      </c>
      <c r="E359" s="22" t="str">
        <f>IFERROR(_xlfn.LET(_xlpm.m,MATCH($B359,Feed!$A:$A,0),_xlpm.p,INDEX(Feed!$B:$B,_xlpm.m),_xlpm.c,INDEX(Feed!$G:$G,_xlpm.m),IF(AND(_xlpm.p&gt;0,_xlpm.c&gt;0),_xlpm.p/_xlpm.c-1,"")),"")</f>
        <v/>
      </c>
      <c r="F359" s="23">
        <f>IF(ISNUMBER(E359),D359*E359,0)</f>
        <v>0</v>
      </c>
      <c r="G359" s="22">
        <f>IF(ISNUMBER(E359),D359,0)</f>
        <v>0</v>
      </c>
      <c r="H359" t="s">
        <v>40</v>
      </c>
      <c r="I359" s="21">
        <v>46288</v>
      </c>
    </row>
    <row r="360" spans="1:9" x14ac:dyDescent="0.15">
      <c r="A360" t="s">
        <v>36</v>
      </c>
      <c r="B360" t="s">
        <v>822</v>
      </c>
      <c r="C360" t="s">
        <v>823</v>
      </c>
      <c r="D360" s="22">
        <v>3.4896999999999999E-4</v>
      </c>
      <c r="E360" s="22">
        <f>IFERROR(_xlfn.LET(_xlpm.m,MATCH($B360,Feed!$A:$A,0),_xlpm.p,INDEX(Feed!$B:$B,_xlpm.m),_xlpm.c,INDEX(Feed!$G:$G,_xlpm.m),IF(AND(_xlpm.p&gt;0,_xlpm.c&gt;0),_xlpm.p/_xlpm.c-1,"")),"")</f>
        <v>-1.171011931064958E-2</v>
      </c>
      <c r="F360" s="23">
        <f>IF(ISNUMBER(E360),D360*E360,0)</f>
        <v>-4.0864803358373836E-6</v>
      </c>
      <c r="G360" s="22">
        <f>IF(ISNUMBER(E360),D360,0)</f>
        <v>3.4896999999999999E-4</v>
      </c>
      <c r="H360" t="s">
        <v>40</v>
      </c>
      <c r="I360" s="21">
        <v>46288</v>
      </c>
    </row>
    <row r="361" spans="1:9" x14ac:dyDescent="0.15">
      <c r="A361" t="s">
        <v>36</v>
      </c>
      <c r="B361" t="s">
        <v>850</v>
      </c>
      <c r="C361" t="s">
        <v>851</v>
      </c>
      <c r="D361" s="22">
        <v>3.4255000000000001E-4</v>
      </c>
      <c r="E361" s="22">
        <f>IFERROR(_xlfn.LET(_xlpm.m,MATCH($B361,Feed!$A:$A,0),_xlpm.p,INDEX(Feed!$B:$B,_xlpm.m),_xlpm.c,INDEX(Feed!$G:$G,_xlpm.m),IF(AND(_xlpm.p&gt;0,_xlpm.c&gt;0),_xlpm.p/_xlpm.c-1,"")),"")</f>
        <v>4.2896128261981969E-2</v>
      </c>
      <c r="F361" s="23">
        <f>IF(ISNUMBER(E361),D361*E361,0)</f>
        <v>1.4694068736141924E-5</v>
      </c>
      <c r="G361" s="22">
        <f>IF(ISNUMBER(E361),D361,0)</f>
        <v>3.4255000000000001E-4</v>
      </c>
      <c r="H361" t="s">
        <v>40</v>
      </c>
      <c r="I361" s="21">
        <v>46288</v>
      </c>
    </row>
    <row r="362" spans="1:9" x14ac:dyDescent="0.15">
      <c r="A362" t="s">
        <v>36</v>
      </c>
      <c r="B362" t="s">
        <v>840</v>
      </c>
      <c r="C362" t="s">
        <v>841</v>
      </c>
      <c r="D362" s="22">
        <v>3.4042999999999996E-4</v>
      </c>
      <c r="E362" s="22">
        <f>IFERROR(_xlfn.LET(_xlpm.m,MATCH($B362,Feed!$A:$A,0),_xlpm.p,INDEX(Feed!$B:$B,_xlpm.m),_xlpm.c,INDEX(Feed!$G:$G,_xlpm.m),IF(AND(_xlpm.p&gt;0,_xlpm.c&gt;0),_xlpm.p/_xlpm.c-1,"")),"")</f>
        <v>1.4459102902374621E-2</v>
      </c>
      <c r="F362" s="23">
        <f>IF(ISNUMBER(E362),D362*E362,0)</f>
        <v>4.9223124010553916E-6</v>
      </c>
      <c r="G362" s="22">
        <f>IF(ISNUMBER(E362),D362,0)</f>
        <v>3.4042999999999996E-4</v>
      </c>
      <c r="H362" t="s">
        <v>40</v>
      </c>
      <c r="I362" s="21">
        <v>46288</v>
      </c>
    </row>
    <row r="363" spans="1:9" x14ac:dyDescent="0.15">
      <c r="A363" t="s">
        <v>36</v>
      </c>
      <c r="B363" t="s">
        <v>848</v>
      </c>
      <c r="C363" t="s">
        <v>849</v>
      </c>
      <c r="D363" s="22">
        <v>3.3984999999999999E-4</v>
      </c>
      <c r="E363" s="22">
        <f>IFERROR(_xlfn.LET(_xlpm.m,MATCH($B363,Feed!$A:$A,0),_xlpm.p,INDEX(Feed!$B:$B,_xlpm.m),_xlpm.c,INDEX(Feed!$G:$G,_xlpm.m),IF(AND(_xlpm.p&gt;0,_xlpm.c&gt;0),_xlpm.p/_xlpm.c-1,"")),"")</f>
        <v>3.1952270467351607E-2</v>
      </c>
      <c r="F363" s="23">
        <f>IF(ISNUMBER(E363),D363*E363,0)</f>
        <v>1.0858979118329444E-5</v>
      </c>
      <c r="G363" s="22">
        <f>IF(ISNUMBER(E363),D363,0)</f>
        <v>3.3984999999999999E-4</v>
      </c>
      <c r="H363" t="s">
        <v>40</v>
      </c>
      <c r="I363" s="21">
        <v>46288</v>
      </c>
    </row>
    <row r="364" spans="1:9" x14ac:dyDescent="0.15">
      <c r="A364" t="s">
        <v>36</v>
      </c>
      <c r="B364" t="s">
        <v>832</v>
      </c>
      <c r="C364" t="s">
        <v>833</v>
      </c>
      <c r="D364" s="22">
        <v>3.3754999999999999E-4</v>
      </c>
      <c r="E364" s="22" t="str">
        <f>IFERROR(_xlfn.LET(_xlpm.m,MATCH($B364,Feed!$A:$A,0),_xlpm.p,INDEX(Feed!$B:$B,_xlpm.m),_xlpm.c,INDEX(Feed!$G:$G,_xlpm.m),IF(AND(_xlpm.p&gt;0,_xlpm.c&gt;0),_xlpm.p/_xlpm.c-1,"")),"")</f>
        <v/>
      </c>
      <c r="F364" s="23">
        <f>IF(ISNUMBER(E364),D364*E364,0)</f>
        <v>0</v>
      </c>
      <c r="G364" s="22">
        <f>IF(ISNUMBER(E364),D364,0)</f>
        <v>0</v>
      </c>
      <c r="H364" t="s">
        <v>40</v>
      </c>
      <c r="I364" s="21">
        <v>46288</v>
      </c>
    </row>
    <row r="365" spans="1:9" x14ac:dyDescent="0.15">
      <c r="A365" t="s">
        <v>36</v>
      </c>
      <c r="B365" t="s">
        <v>842</v>
      </c>
      <c r="C365" t="s">
        <v>843</v>
      </c>
      <c r="D365" s="22">
        <v>3.3444000000000003E-4</v>
      </c>
      <c r="E365" s="22" t="str">
        <f>IFERROR(_xlfn.LET(_xlpm.m,MATCH($B365,Feed!$A:$A,0),_xlpm.p,INDEX(Feed!$B:$B,_xlpm.m),_xlpm.c,INDEX(Feed!$G:$G,_xlpm.m),IF(AND(_xlpm.p&gt;0,_xlpm.c&gt;0),_xlpm.p/_xlpm.c-1,"")),"")</f>
        <v/>
      </c>
      <c r="F365" s="23">
        <f>IF(ISNUMBER(E365),D365*E365,0)</f>
        <v>0</v>
      </c>
      <c r="G365" s="22">
        <f>IF(ISNUMBER(E365),D365,0)</f>
        <v>0</v>
      </c>
      <c r="H365" t="s">
        <v>40</v>
      </c>
      <c r="I365" s="21">
        <v>46288</v>
      </c>
    </row>
    <row r="366" spans="1:9" x14ac:dyDescent="0.15">
      <c r="A366" t="s">
        <v>36</v>
      </c>
      <c r="B366" t="s">
        <v>838</v>
      </c>
      <c r="C366" t="s">
        <v>839</v>
      </c>
      <c r="D366" s="22">
        <v>3.3361000000000003E-4</v>
      </c>
      <c r="E366" s="22" t="str">
        <f>IFERROR(_xlfn.LET(_xlpm.m,MATCH($B366,Feed!$A:$A,0),_xlpm.p,INDEX(Feed!$B:$B,_xlpm.m),_xlpm.c,INDEX(Feed!$G:$G,_xlpm.m),IF(AND(_xlpm.p&gt;0,_xlpm.c&gt;0),_xlpm.p/_xlpm.c-1,"")),"")</f>
        <v/>
      </c>
      <c r="F366" s="23">
        <f>IF(ISNUMBER(E366),D366*E366,0)</f>
        <v>0</v>
      </c>
      <c r="G366" s="22">
        <f>IF(ISNUMBER(E366),D366,0)</f>
        <v>0</v>
      </c>
      <c r="H366" t="s">
        <v>40</v>
      </c>
      <c r="I366" s="21">
        <v>46288</v>
      </c>
    </row>
    <row r="367" spans="1:9" x14ac:dyDescent="0.15">
      <c r="A367" t="s">
        <v>36</v>
      </c>
      <c r="B367" t="s">
        <v>836</v>
      </c>
      <c r="C367" t="s">
        <v>837</v>
      </c>
      <c r="D367" s="22">
        <v>3.3074999999999999E-4</v>
      </c>
      <c r="E367" s="22">
        <f>IFERROR(_xlfn.LET(_xlpm.m,MATCH($B367,Feed!$A:$A,0),_xlpm.p,INDEX(Feed!$B:$B,_xlpm.m),_xlpm.c,INDEX(Feed!$G:$G,_xlpm.m),IF(AND(_xlpm.p&gt;0,_xlpm.c&gt;0),_xlpm.p/_xlpm.c-1,"")),"")</f>
        <v>-3.467323871844985E-2</v>
      </c>
      <c r="F367" s="23">
        <f>IF(ISNUMBER(E367),D367*E367,0)</f>
        <v>-1.1468173706127288E-5</v>
      </c>
      <c r="G367" s="22">
        <f>IF(ISNUMBER(E367),D367,0)</f>
        <v>3.3074999999999999E-4</v>
      </c>
      <c r="H367" t="s">
        <v>40</v>
      </c>
      <c r="I367" s="21">
        <v>46288</v>
      </c>
    </row>
    <row r="368" spans="1:9" x14ac:dyDescent="0.15">
      <c r="A368" t="s">
        <v>36</v>
      </c>
      <c r="B368" t="s">
        <v>854</v>
      </c>
      <c r="C368" t="s">
        <v>855</v>
      </c>
      <c r="D368" s="22">
        <v>3.3037999999999996E-4</v>
      </c>
      <c r="E368" s="22">
        <f>IFERROR(_xlfn.LET(_xlpm.m,MATCH($B368,Feed!$A:$A,0),_xlpm.p,INDEX(Feed!$B:$B,_xlpm.m),_xlpm.c,INDEX(Feed!$G:$G,_xlpm.m),IF(AND(_xlpm.p&gt;0,_xlpm.c&gt;0),_xlpm.p/_xlpm.c-1,"")),"")</f>
        <v>2.7509824937477889E-2</v>
      </c>
      <c r="F368" s="23">
        <f>IF(ISNUMBER(E368),D368*E368,0)</f>
        <v>9.0886959628439433E-6</v>
      </c>
      <c r="G368" s="22">
        <f>IF(ISNUMBER(E368),D368,0)</f>
        <v>3.3037999999999996E-4</v>
      </c>
      <c r="H368" t="s">
        <v>40</v>
      </c>
      <c r="I368" s="21">
        <v>46288</v>
      </c>
    </row>
    <row r="369" spans="1:9" x14ac:dyDescent="0.15">
      <c r="A369" t="s">
        <v>36</v>
      </c>
      <c r="B369" t="s">
        <v>860</v>
      </c>
      <c r="C369" t="s">
        <v>861</v>
      </c>
      <c r="D369" s="22">
        <v>3.2897999999999998E-4</v>
      </c>
      <c r="E369" s="22">
        <f>IFERROR(_xlfn.LET(_xlpm.m,MATCH($B369,Feed!$A:$A,0),_xlpm.p,INDEX(Feed!$B:$B,_xlpm.m),_xlpm.c,INDEX(Feed!$G:$G,_xlpm.m),IF(AND(_xlpm.p&gt;0,_xlpm.c&gt;0),_xlpm.p/_xlpm.c-1,"")),"")</f>
        <v>3.4112825458052276E-2</v>
      </c>
      <c r="F369" s="23">
        <f>IF(ISNUMBER(E369),D369*E369,0)</f>
        <v>1.1222437319190037E-5</v>
      </c>
      <c r="G369" s="22">
        <f>IF(ISNUMBER(E369),D369,0)</f>
        <v>3.2897999999999998E-4</v>
      </c>
      <c r="H369" t="s">
        <v>40</v>
      </c>
      <c r="I369" s="21">
        <v>46288</v>
      </c>
    </row>
    <row r="370" spans="1:9" x14ac:dyDescent="0.15">
      <c r="A370" t="s">
        <v>36</v>
      </c>
      <c r="B370" t="s">
        <v>852</v>
      </c>
      <c r="C370" t="s">
        <v>853</v>
      </c>
      <c r="D370" s="22">
        <v>3.2481000000000003E-4</v>
      </c>
      <c r="E370" s="22">
        <f>IFERROR(_xlfn.LET(_xlpm.m,MATCH($B370,Feed!$A:$A,0),_xlpm.p,INDEX(Feed!$B:$B,_xlpm.m),_xlpm.c,INDEX(Feed!$G:$G,_xlpm.m),IF(AND(_xlpm.p&gt;0,_xlpm.c&gt;0),_xlpm.p/_xlpm.c-1,"")),"")</f>
        <v>-8.7786995948292423E-3</v>
      </c>
      <c r="F370" s="23">
        <f>IF(ISNUMBER(E370),D370*E370,0)</f>
        <v>-2.8514094153964863E-6</v>
      </c>
      <c r="G370" s="22">
        <f>IF(ISNUMBER(E370),D370,0)</f>
        <v>3.2481000000000003E-4</v>
      </c>
      <c r="H370" t="s">
        <v>40</v>
      </c>
      <c r="I370" s="21">
        <v>46288</v>
      </c>
    </row>
    <row r="371" spans="1:9" x14ac:dyDescent="0.15">
      <c r="A371" t="s">
        <v>36</v>
      </c>
      <c r="B371" t="s">
        <v>844</v>
      </c>
      <c r="C371" t="s">
        <v>845</v>
      </c>
      <c r="D371" s="22">
        <v>3.2443000000000001E-4</v>
      </c>
      <c r="E371" s="22">
        <f>IFERROR(_xlfn.LET(_xlpm.m,MATCH($B371,Feed!$A:$A,0),_xlpm.p,INDEX(Feed!$B:$B,_xlpm.m),_xlpm.c,INDEX(Feed!$G:$G,_xlpm.m),IF(AND(_xlpm.p&gt;0,_xlpm.c&gt;0),_xlpm.p/_xlpm.c-1,"")),"")</f>
        <v>-2.1172256811943457E-2</v>
      </c>
      <c r="F371" s="23">
        <f>IF(ISNUMBER(E371),D371*E371,0)</f>
        <v>-6.8689152774988158E-6</v>
      </c>
      <c r="G371" s="22">
        <f>IF(ISNUMBER(E371),D371,0)</f>
        <v>3.2443000000000001E-4</v>
      </c>
      <c r="H371" t="s">
        <v>40</v>
      </c>
      <c r="I371" s="21">
        <v>46288</v>
      </c>
    </row>
    <row r="372" spans="1:9" x14ac:dyDescent="0.15">
      <c r="A372" t="s">
        <v>36</v>
      </c>
      <c r="B372" t="s">
        <v>864</v>
      </c>
      <c r="C372" t="s">
        <v>865</v>
      </c>
      <c r="D372" s="22">
        <v>3.2303999999999997E-4</v>
      </c>
      <c r="E372" s="22">
        <f>IFERROR(_xlfn.LET(_xlpm.m,MATCH($B372,Feed!$A:$A,0),_xlpm.p,INDEX(Feed!$B:$B,_xlpm.m),_xlpm.c,INDEX(Feed!$G:$G,_xlpm.m),IF(AND(_xlpm.p&gt;0,_xlpm.c&gt;0),_xlpm.p/_xlpm.c-1,"")),"")</f>
        <v>2.6746785058175071E-2</v>
      </c>
      <c r="F372" s="23">
        <f>IF(ISNUMBER(E372),D372*E372,0)</f>
        <v>8.6402814451928741E-6</v>
      </c>
      <c r="G372" s="22">
        <f>IF(ISNUMBER(E372),D372,0)</f>
        <v>3.2303999999999997E-4</v>
      </c>
      <c r="H372" t="s">
        <v>40</v>
      </c>
      <c r="I372" s="21">
        <v>46288</v>
      </c>
    </row>
    <row r="373" spans="1:9" x14ac:dyDescent="0.15">
      <c r="A373" t="s">
        <v>36</v>
      </c>
      <c r="B373" t="s">
        <v>858</v>
      </c>
      <c r="C373" t="s">
        <v>859</v>
      </c>
      <c r="D373" s="22">
        <v>3.2294999999999996E-4</v>
      </c>
      <c r="E373" s="22">
        <f>IFERROR(_xlfn.LET(_xlpm.m,MATCH($B373,Feed!$A:$A,0),_xlpm.p,INDEX(Feed!$B:$B,_xlpm.m),_xlpm.c,INDEX(Feed!$G:$G,_xlpm.m),IF(AND(_xlpm.p&gt;0,_xlpm.c&gt;0),_xlpm.p/_xlpm.c-1,"")),"")</f>
        <v>1.2927938711994269E-2</v>
      </c>
      <c r="F373" s="23">
        <f>IF(ISNUMBER(E373),D373*E373,0)</f>
        <v>4.175077807038549E-6</v>
      </c>
      <c r="G373" s="22">
        <f>IF(ISNUMBER(E373),D373,0)</f>
        <v>3.2294999999999996E-4</v>
      </c>
      <c r="H373" t="s">
        <v>40</v>
      </c>
      <c r="I373" s="21">
        <v>46288</v>
      </c>
    </row>
    <row r="374" spans="1:9" x14ac:dyDescent="0.15">
      <c r="A374" t="s">
        <v>36</v>
      </c>
      <c r="B374" t="s">
        <v>856</v>
      </c>
      <c r="C374" t="s">
        <v>857</v>
      </c>
      <c r="D374" s="22">
        <v>3.1743E-4</v>
      </c>
      <c r="E374" s="22">
        <f>IFERROR(_xlfn.LET(_xlpm.m,MATCH($B374,Feed!$A:$A,0),_xlpm.p,INDEX(Feed!$B:$B,_xlpm.m),_xlpm.c,INDEX(Feed!$G:$G,_xlpm.m),IF(AND(_xlpm.p&gt;0,_xlpm.c&gt;0),_xlpm.p/_xlpm.c-1,"")),"")</f>
        <v>-4.7007774362683996E-3</v>
      </c>
      <c r="F374" s="23">
        <f>IF(ISNUMBER(E374),D374*E374,0)</f>
        <v>-1.4921677815946781E-6</v>
      </c>
      <c r="G374" s="22">
        <f>IF(ISNUMBER(E374),D374,0)</f>
        <v>3.1743E-4</v>
      </c>
      <c r="H374" t="s">
        <v>40</v>
      </c>
      <c r="I374" s="21">
        <v>46288</v>
      </c>
    </row>
    <row r="375" spans="1:9" x14ac:dyDescent="0.15">
      <c r="A375" t="s">
        <v>36</v>
      </c>
      <c r="B375" t="s">
        <v>872</v>
      </c>
      <c r="C375" t="s">
        <v>873</v>
      </c>
      <c r="D375" s="22">
        <v>3.1605000000000001E-4</v>
      </c>
      <c r="E375" s="22">
        <f>IFERROR(_xlfn.LET(_xlpm.m,MATCH($B375,Feed!$A:$A,0),_xlpm.p,INDEX(Feed!$B:$B,_xlpm.m),_xlpm.c,INDEX(Feed!$G:$G,_xlpm.m),IF(AND(_xlpm.p&gt;0,_xlpm.c&gt;0),_xlpm.p/_xlpm.c-1,"")),"")</f>
        <v>2.345663100915063E-2</v>
      </c>
      <c r="F375" s="23">
        <f>IF(ISNUMBER(E375),D375*E375,0)</f>
        <v>7.4134682304420567E-6</v>
      </c>
      <c r="G375" s="22">
        <f>IF(ISNUMBER(E375),D375,0)</f>
        <v>3.1605000000000001E-4</v>
      </c>
      <c r="H375" t="s">
        <v>40</v>
      </c>
      <c r="I375" s="21">
        <v>46288</v>
      </c>
    </row>
    <row r="376" spans="1:9" x14ac:dyDescent="0.15">
      <c r="A376" t="s">
        <v>36</v>
      </c>
      <c r="B376" t="s">
        <v>870</v>
      </c>
      <c r="C376" t="s">
        <v>871</v>
      </c>
      <c r="D376" s="22">
        <v>3.1126E-4</v>
      </c>
      <c r="E376" s="22" t="str">
        <f>IFERROR(_xlfn.LET(_xlpm.m,MATCH($B376,Feed!$A:$A,0),_xlpm.p,INDEX(Feed!$B:$B,_xlpm.m),_xlpm.c,INDEX(Feed!$G:$G,_xlpm.m),IF(AND(_xlpm.p&gt;0,_xlpm.c&gt;0),_xlpm.p/_xlpm.c-1,"")),"")</f>
        <v/>
      </c>
      <c r="F376" s="23">
        <f>IF(ISNUMBER(E376),D376*E376,0)</f>
        <v>0</v>
      </c>
      <c r="G376" s="22">
        <f>IF(ISNUMBER(E376),D376,0)</f>
        <v>0</v>
      </c>
      <c r="H376" t="s">
        <v>40</v>
      </c>
      <c r="I376" s="21">
        <v>46288</v>
      </c>
    </row>
    <row r="377" spans="1:9" x14ac:dyDescent="0.15">
      <c r="A377" t="s">
        <v>36</v>
      </c>
      <c r="B377" t="s">
        <v>862</v>
      </c>
      <c r="C377" t="s">
        <v>863</v>
      </c>
      <c r="D377" s="22">
        <v>3.1047000000000003E-4</v>
      </c>
      <c r="E377" s="22">
        <f>IFERROR(_xlfn.LET(_xlpm.m,MATCH($B377,Feed!$A:$A,0),_xlpm.p,INDEX(Feed!$B:$B,_xlpm.m),_xlpm.c,INDEX(Feed!$G:$G,_xlpm.m),IF(AND(_xlpm.p&gt;0,_xlpm.c&gt;0),_xlpm.p/_xlpm.c-1,"")),"")</f>
        <v>-1.5554645927138733E-2</v>
      </c>
      <c r="F377" s="23">
        <f>IF(ISNUMBER(E377),D377*E377,0)</f>
        <v>-4.8292509209987631E-6</v>
      </c>
      <c r="G377" s="22">
        <f>IF(ISNUMBER(E377),D377,0)</f>
        <v>3.1047000000000003E-4</v>
      </c>
      <c r="H377" t="s">
        <v>40</v>
      </c>
      <c r="I377" s="21">
        <v>46288</v>
      </c>
    </row>
    <row r="378" spans="1:9" x14ac:dyDescent="0.15">
      <c r="A378" t="s">
        <v>36</v>
      </c>
      <c r="B378" t="s">
        <v>866</v>
      </c>
      <c r="C378" t="s">
        <v>867</v>
      </c>
      <c r="D378" s="22">
        <v>3.0890000000000003E-4</v>
      </c>
      <c r="E378" s="22">
        <f>IFERROR(_xlfn.LET(_xlpm.m,MATCH($B378,Feed!$A:$A,0),_xlpm.p,INDEX(Feed!$B:$B,_xlpm.m),_xlpm.c,INDEX(Feed!$G:$G,_xlpm.m),IF(AND(_xlpm.p&gt;0,_xlpm.c&gt;0),_xlpm.p/_xlpm.c-1,"")),"")</f>
        <v>-1.6063732532323183E-2</v>
      </c>
      <c r="F378" s="23">
        <f>IF(ISNUMBER(E378),D378*E378,0)</f>
        <v>-4.9620869792346313E-6</v>
      </c>
      <c r="G378" s="22">
        <f>IF(ISNUMBER(E378),D378,0)</f>
        <v>3.0890000000000003E-4</v>
      </c>
      <c r="H378" t="s">
        <v>40</v>
      </c>
      <c r="I378" s="21">
        <v>46288</v>
      </c>
    </row>
    <row r="379" spans="1:9" x14ac:dyDescent="0.15">
      <c r="A379" t="s">
        <v>36</v>
      </c>
      <c r="B379" t="s">
        <v>882</v>
      </c>
      <c r="C379" t="s">
        <v>883</v>
      </c>
      <c r="D379" s="22">
        <v>3.0812999999999999E-4</v>
      </c>
      <c r="E379" s="22">
        <f>IFERROR(_xlfn.LET(_xlpm.m,MATCH($B379,Feed!$A:$A,0),_xlpm.p,INDEX(Feed!$B:$B,_xlpm.m),_xlpm.c,INDEX(Feed!$G:$G,_xlpm.m),IF(AND(_xlpm.p&gt;0,_xlpm.c&gt;0),_xlpm.p/_xlpm.c-1,"")),"")</f>
        <v>2.6842362127867281E-2</v>
      </c>
      <c r="F379" s="23">
        <f>IF(ISNUMBER(E379),D379*E379,0)</f>
        <v>8.2709370424597443E-6</v>
      </c>
      <c r="G379" s="22">
        <f>IF(ISNUMBER(E379),D379,0)</f>
        <v>3.0812999999999999E-4</v>
      </c>
      <c r="H379" t="s">
        <v>40</v>
      </c>
      <c r="I379" s="21">
        <v>46288</v>
      </c>
    </row>
    <row r="380" spans="1:9" x14ac:dyDescent="0.15">
      <c r="A380" t="s">
        <v>36</v>
      </c>
      <c r="B380" t="s">
        <v>878</v>
      </c>
      <c r="C380" t="s">
        <v>879</v>
      </c>
      <c r="D380" s="22">
        <v>3.0679999999999998E-4</v>
      </c>
      <c r="E380" s="22">
        <f>IFERROR(_xlfn.LET(_xlpm.m,MATCH($B380,Feed!$A:$A,0),_xlpm.p,INDEX(Feed!$B:$B,_xlpm.m),_xlpm.c,INDEX(Feed!$G:$G,_xlpm.m),IF(AND(_xlpm.p&gt;0,_xlpm.c&gt;0),_xlpm.p/_xlpm.c-1,"")),"")</f>
        <v>1.8289114319157251E-2</v>
      </c>
      <c r="F380" s="23">
        <f>IF(ISNUMBER(E380),D380*E380,0)</f>
        <v>5.6111002731174445E-6</v>
      </c>
      <c r="G380" s="22">
        <f>IF(ISNUMBER(E380),D380,0)</f>
        <v>3.0679999999999998E-4</v>
      </c>
      <c r="H380" t="s">
        <v>40</v>
      </c>
      <c r="I380" s="21">
        <v>46288</v>
      </c>
    </row>
    <row r="381" spans="1:9" x14ac:dyDescent="0.15">
      <c r="A381" t="s">
        <v>36</v>
      </c>
      <c r="B381" t="s">
        <v>868</v>
      </c>
      <c r="C381" t="s">
        <v>869</v>
      </c>
      <c r="D381" s="22">
        <v>3.0351999999999999E-4</v>
      </c>
      <c r="E381" s="22">
        <f>IFERROR(_xlfn.LET(_xlpm.m,MATCH($B381,Feed!$A:$A,0),_xlpm.p,INDEX(Feed!$B:$B,_xlpm.m),_xlpm.c,INDEX(Feed!$G:$G,_xlpm.m),IF(AND(_xlpm.p&gt;0,_xlpm.c&gt;0),_xlpm.p/_xlpm.c-1,"")),"")</f>
        <v>-1.8447615732683609E-2</v>
      </c>
      <c r="F381" s="23">
        <f>IF(ISNUMBER(E381),D381*E381,0)</f>
        <v>-5.5992203271841291E-6</v>
      </c>
      <c r="G381" s="22">
        <f>IF(ISNUMBER(E381),D381,0)</f>
        <v>3.0351999999999999E-4</v>
      </c>
      <c r="H381" t="s">
        <v>40</v>
      </c>
      <c r="I381" s="21">
        <v>46288</v>
      </c>
    </row>
    <row r="382" spans="1:9" x14ac:dyDescent="0.15">
      <c r="A382" t="s">
        <v>36</v>
      </c>
      <c r="B382" t="s">
        <v>876</v>
      </c>
      <c r="C382" t="s">
        <v>877</v>
      </c>
      <c r="D382" s="22">
        <v>3.0117000000000002E-4</v>
      </c>
      <c r="E382" s="22">
        <f>IFERROR(_xlfn.LET(_xlpm.m,MATCH($B382,Feed!$A:$A,0),_xlpm.p,INDEX(Feed!$B:$B,_xlpm.m),_xlpm.c,INDEX(Feed!$G:$G,_xlpm.m),IF(AND(_xlpm.p&gt;0,_xlpm.c&gt;0),_xlpm.p/_xlpm.c-1,"")),"")</f>
        <v>-1.6375880012243771E-2</v>
      </c>
      <c r="F382" s="23">
        <f>IF(ISNUMBER(E382),D382*E382,0)</f>
        <v>-4.9319237832874564E-6</v>
      </c>
      <c r="G382" s="22">
        <f>IF(ISNUMBER(E382),D382,0)</f>
        <v>3.0117000000000002E-4</v>
      </c>
      <c r="H382" t="s">
        <v>40</v>
      </c>
      <c r="I382" s="21">
        <v>46288</v>
      </c>
    </row>
    <row r="383" spans="1:9" x14ac:dyDescent="0.15">
      <c r="A383" t="s">
        <v>36</v>
      </c>
      <c r="B383" t="s">
        <v>880</v>
      </c>
      <c r="C383" t="s">
        <v>881</v>
      </c>
      <c r="D383" s="22">
        <v>2.9919000000000001E-4</v>
      </c>
      <c r="E383" s="22">
        <f>IFERROR(_xlfn.LET(_xlpm.m,MATCH($B383,Feed!$A:$A,0),_xlpm.p,INDEX(Feed!$B:$B,_xlpm.m),_xlpm.c,INDEX(Feed!$G:$G,_xlpm.m),IF(AND(_xlpm.p&gt;0,_xlpm.c&gt;0),_xlpm.p/_xlpm.c-1,"")),"")</f>
        <v>-5.6006400731511974E-3</v>
      </c>
      <c r="F383" s="23">
        <f>IF(ISNUMBER(E383),D383*E383,0)</f>
        <v>-1.6756555034861069E-6</v>
      </c>
      <c r="G383" s="22">
        <f>IF(ISNUMBER(E383),D383,0)</f>
        <v>2.9919000000000001E-4</v>
      </c>
      <c r="H383" t="s">
        <v>40</v>
      </c>
      <c r="I383" s="21">
        <v>46288</v>
      </c>
    </row>
    <row r="384" spans="1:9" x14ac:dyDescent="0.15">
      <c r="A384" t="s">
        <v>36</v>
      </c>
      <c r="B384" t="s">
        <v>894</v>
      </c>
      <c r="C384" t="s">
        <v>895</v>
      </c>
      <c r="D384" s="22">
        <v>2.9747999999999998E-4</v>
      </c>
      <c r="E384" s="22">
        <f>IFERROR(_xlfn.LET(_xlpm.m,MATCH($B384,Feed!$A:$A,0),_xlpm.p,INDEX(Feed!$B:$B,_xlpm.m),_xlpm.c,INDEX(Feed!$G:$G,_xlpm.m),IF(AND(_xlpm.p&gt;0,_xlpm.c&gt;0),_xlpm.p/_xlpm.c-1,"")),"")</f>
        <v>3.1980906921241115E-2</v>
      </c>
      <c r="F384" s="23">
        <f>IF(ISNUMBER(E384),D384*E384,0)</f>
        <v>9.5136801909308066E-6</v>
      </c>
      <c r="G384" s="22">
        <f>IF(ISNUMBER(E384),D384,0)</f>
        <v>2.9747999999999998E-4</v>
      </c>
      <c r="H384" t="s">
        <v>40</v>
      </c>
      <c r="I384" s="21">
        <v>46288</v>
      </c>
    </row>
    <row r="385" spans="1:9" x14ac:dyDescent="0.15">
      <c r="A385" t="s">
        <v>36</v>
      </c>
      <c r="B385" t="s">
        <v>874</v>
      </c>
      <c r="C385" t="s">
        <v>875</v>
      </c>
      <c r="D385" s="22">
        <v>2.9496999999999998E-4</v>
      </c>
      <c r="E385" s="22">
        <f>IFERROR(_xlfn.LET(_xlpm.m,MATCH($B385,Feed!$A:$A,0),_xlpm.p,INDEX(Feed!$B:$B,_xlpm.m),_xlpm.c,INDEX(Feed!$G:$G,_xlpm.m),IF(AND(_xlpm.p&gt;0,_xlpm.c&gt;0),_xlpm.p/_xlpm.c-1,"")),"")</f>
        <v>-3.7065116670878528E-2</v>
      </c>
      <c r="F385" s="23">
        <f>IF(ISNUMBER(E385),D385*E385,0)</f>
        <v>-1.0933097464409038E-5</v>
      </c>
      <c r="G385" s="22">
        <f>IF(ISNUMBER(E385),D385,0)</f>
        <v>2.9496999999999998E-4</v>
      </c>
      <c r="H385" t="s">
        <v>40</v>
      </c>
      <c r="I385" s="21">
        <v>46288</v>
      </c>
    </row>
    <row r="386" spans="1:9" x14ac:dyDescent="0.15">
      <c r="A386" t="s">
        <v>36</v>
      </c>
      <c r="B386" t="s">
        <v>884</v>
      </c>
      <c r="C386" t="s">
        <v>885</v>
      </c>
      <c r="D386" s="22">
        <v>2.9489000000000002E-4</v>
      </c>
      <c r="E386" s="22" t="str">
        <f>IFERROR(_xlfn.LET(_xlpm.m,MATCH($B386,Feed!$A:$A,0),_xlpm.p,INDEX(Feed!$B:$B,_xlpm.m),_xlpm.c,INDEX(Feed!$G:$G,_xlpm.m),IF(AND(_xlpm.p&gt;0,_xlpm.c&gt;0),_xlpm.p/_xlpm.c-1,"")),"")</f>
        <v/>
      </c>
      <c r="F386" s="23">
        <f>IF(ISNUMBER(E386),D386*E386,0)</f>
        <v>0</v>
      </c>
      <c r="G386" s="22">
        <f>IF(ISNUMBER(E386),D386,0)</f>
        <v>0</v>
      </c>
      <c r="H386" t="s">
        <v>40</v>
      </c>
      <c r="I386" s="21">
        <v>46288</v>
      </c>
    </row>
    <row r="387" spans="1:9" x14ac:dyDescent="0.15">
      <c r="A387" t="s">
        <v>36</v>
      </c>
      <c r="B387" t="s">
        <v>890</v>
      </c>
      <c r="C387" t="s">
        <v>891</v>
      </c>
      <c r="D387" s="22">
        <v>2.8863000000000001E-4</v>
      </c>
      <c r="E387" s="22">
        <f>IFERROR(_xlfn.LET(_xlpm.m,MATCH($B387,Feed!$A:$A,0),_xlpm.p,INDEX(Feed!$B:$B,_xlpm.m),_xlpm.c,INDEX(Feed!$G:$G,_xlpm.m),IF(AND(_xlpm.p&gt;0,_xlpm.c&gt;0),_xlpm.p/_xlpm.c-1,"")),"")</f>
        <v>-9.4048098884846887E-4</v>
      </c>
      <c r="F387" s="23">
        <f>IF(ISNUMBER(E387),D387*E387,0)</f>
        <v>-2.7145102781133356E-7</v>
      </c>
      <c r="G387" s="22">
        <f>IF(ISNUMBER(E387),D387,0)</f>
        <v>2.8863000000000001E-4</v>
      </c>
      <c r="H387" t="s">
        <v>40</v>
      </c>
      <c r="I387" s="21">
        <v>46288</v>
      </c>
    </row>
    <row r="388" spans="1:9" x14ac:dyDescent="0.15">
      <c r="A388" t="s">
        <v>36</v>
      </c>
      <c r="B388" t="s">
        <v>886</v>
      </c>
      <c r="C388" t="s">
        <v>887</v>
      </c>
      <c r="D388" s="22">
        <v>2.8571E-4</v>
      </c>
      <c r="E388" s="22">
        <f>IFERROR(_xlfn.LET(_xlpm.m,MATCH($B388,Feed!$A:$A,0),_xlpm.p,INDEX(Feed!$B:$B,_xlpm.m),_xlpm.c,INDEX(Feed!$G:$G,_xlpm.m),IF(AND(_xlpm.p&gt;0,_xlpm.c&gt;0),_xlpm.p/_xlpm.c-1,"")),"")</f>
        <v>-1.7249876786594287E-2</v>
      </c>
      <c r="F388" s="23">
        <f>IF(ISNUMBER(E388),D388*E388,0)</f>
        <v>-4.9284622966978534E-6</v>
      </c>
      <c r="G388" s="22">
        <f>IF(ISNUMBER(E388),D388,0)</f>
        <v>2.8571E-4</v>
      </c>
      <c r="H388" t="s">
        <v>40</v>
      </c>
      <c r="I388" s="21">
        <v>46288</v>
      </c>
    </row>
    <row r="389" spans="1:9" x14ac:dyDescent="0.15">
      <c r="A389" t="s">
        <v>36</v>
      </c>
      <c r="B389" t="s">
        <v>888</v>
      </c>
      <c r="C389" t="s">
        <v>889</v>
      </c>
      <c r="D389" s="22">
        <v>2.8352E-4</v>
      </c>
      <c r="E389" s="22">
        <f>IFERROR(_xlfn.LET(_xlpm.m,MATCH($B389,Feed!$A:$A,0),_xlpm.p,INDEX(Feed!$B:$B,_xlpm.m),_xlpm.c,INDEX(Feed!$G:$G,_xlpm.m),IF(AND(_xlpm.p&gt;0,_xlpm.c&gt;0),_xlpm.p/_xlpm.c-1,"")),"")</f>
        <v>-1.9823788546255439E-2</v>
      </c>
      <c r="F389" s="23">
        <f>IF(ISNUMBER(E389),D389*E389,0)</f>
        <v>-5.6204405286343422E-6</v>
      </c>
      <c r="G389" s="22">
        <f>IF(ISNUMBER(E389),D389,0)</f>
        <v>2.8352E-4</v>
      </c>
      <c r="H389" t="s">
        <v>40</v>
      </c>
      <c r="I389" s="21">
        <v>46288</v>
      </c>
    </row>
    <row r="390" spans="1:9" x14ac:dyDescent="0.15">
      <c r="A390" t="s">
        <v>36</v>
      </c>
      <c r="B390" t="s">
        <v>914</v>
      </c>
      <c r="C390" t="s">
        <v>915</v>
      </c>
      <c r="D390" s="22">
        <v>2.8274000000000002E-4</v>
      </c>
      <c r="E390" s="22">
        <f>IFERROR(_xlfn.LET(_xlpm.m,MATCH($B390,Feed!$A:$A,0),_xlpm.p,INDEX(Feed!$B:$B,_xlpm.m),_xlpm.c,INDEX(Feed!$G:$G,_xlpm.m),IF(AND(_xlpm.p&gt;0,_xlpm.c&gt;0),_xlpm.p/_xlpm.c-1,"")),"")</f>
        <v>3.4173182739646757E-2</v>
      </c>
      <c r="F390" s="23">
        <f>IF(ISNUMBER(E390),D390*E390,0)</f>
        <v>9.6621256878077246E-6</v>
      </c>
      <c r="G390" s="22">
        <f>IF(ISNUMBER(E390),D390,0)</f>
        <v>2.8274000000000002E-4</v>
      </c>
      <c r="H390" t="s">
        <v>40</v>
      </c>
      <c r="I390" s="21">
        <v>46288</v>
      </c>
    </row>
    <row r="391" spans="1:9" x14ac:dyDescent="0.15">
      <c r="A391" t="s">
        <v>36</v>
      </c>
      <c r="B391" t="s">
        <v>898</v>
      </c>
      <c r="C391" t="s">
        <v>899</v>
      </c>
      <c r="D391" s="22">
        <v>2.8160000000000001E-4</v>
      </c>
      <c r="E391" s="22">
        <f>IFERROR(_xlfn.LET(_xlpm.m,MATCH($B391,Feed!$A:$A,0),_xlpm.p,INDEX(Feed!$B:$B,_xlpm.m),_xlpm.c,INDEX(Feed!$G:$G,_xlpm.m),IF(AND(_xlpm.p&gt;0,_xlpm.c&gt;0),_xlpm.p/_xlpm.c-1,"")),"")</f>
        <v>-3.2917940277451541E-3</v>
      </c>
      <c r="F391" s="23">
        <f>IF(ISNUMBER(E391),D391*E391,0)</f>
        <v>-9.269691982130354E-7</v>
      </c>
      <c r="G391" s="22">
        <f>IF(ISNUMBER(E391),D391,0)</f>
        <v>2.8160000000000001E-4</v>
      </c>
      <c r="H391" t="s">
        <v>40</v>
      </c>
      <c r="I391" s="21">
        <v>46288</v>
      </c>
    </row>
    <row r="392" spans="1:9" x14ac:dyDescent="0.15">
      <c r="A392" t="s">
        <v>36</v>
      </c>
      <c r="B392" t="s">
        <v>904</v>
      </c>
      <c r="C392" t="s">
        <v>905</v>
      </c>
      <c r="D392" s="22">
        <v>2.8053000000000003E-4</v>
      </c>
      <c r="E392" s="22">
        <f>IFERROR(_xlfn.LET(_xlpm.m,MATCH($B392,Feed!$A:$A,0),_xlpm.p,INDEX(Feed!$B:$B,_xlpm.m),_xlpm.c,INDEX(Feed!$G:$G,_xlpm.m),IF(AND(_xlpm.p&gt;0,_xlpm.c&gt;0),_xlpm.p/_xlpm.c-1,"")),"")</f>
        <v>5.7279536728143121E-3</v>
      </c>
      <c r="F392" s="23">
        <f>IF(ISNUMBER(E392),D392*E392,0)</f>
        <v>1.6068628438345992E-6</v>
      </c>
      <c r="G392" s="22">
        <f>IF(ISNUMBER(E392),D392,0)</f>
        <v>2.8053000000000003E-4</v>
      </c>
      <c r="H392" t="s">
        <v>40</v>
      </c>
      <c r="I392" s="21">
        <v>46288</v>
      </c>
    </row>
    <row r="393" spans="1:9" x14ac:dyDescent="0.15">
      <c r="A393" t="s">
        <v>36</v>
      </c>
      <c r="B393" t="s">
        <v>912</v>
      </c>
      <c r="C393" t="s">
        <v>913</v>
      </c>
      <c r="D393" s="22">
        <v>2.7949000000000002E-4</v>
      </c>
      <c r="E393" s="22">
        <f>IFERROR(_xlfn.LET(_xlpm.m,MATCH($B393,Feed!$A:$A,0),_xlpm.p,INDEX(Feed!$B:$B,_xlpm.m),_xlpm.c,INDEX(Feed!$G:$G,_xlpm.m),IF(AND(_xlpm.p&gt;0,_xlpm.c&gt;0),_xlpm.p/_xlpm.c-1,"")),"")</f>
        <v>5.7458266020462556E-3</v>
      </c>
      <c r="F393" s="23">
        <f>IF(ISNUMBER(E393),D393*E393,0)</f>
        <v>1.6059010770059082E-6</v>
      </c>
      <c r="G393" s="22">
        <f>IF(ISNUMBER(E393),D393,0)</f>
        <v>2.7949000000000002E-4</v>
      </c>
      <c r="H393" t="s">
        <v>40</v>
      </c>
      <c r="I393" s="21">
        <v>46288</v>
      </c>
    </row>
    <row r="394" spans="1:9" x14ac:dyDescent="0.15">
      <c r="A394" t="s">
        <v>36</v>
      </c>
      <c r="B394" t="s">
        <v>896</v>
      </c>
      <c r="C394" t="s">
        <v>897</v>
      </c>
      <c r="D394" s="22">
        <v>2.7942E-4</v>
      </c>
      <c r="E394" s="22">
        <f>IFERROR(_xlfn.LET(_xlpm.m,MATCH($B394,Feed!$A:$A,0),_xlpm.p,INDEX(Feed!$B:$B,_xlpm.m),_xlpm.c,INDEX(Feed!$G:$G,_xlpm.m),IF(AND(_xlpm.p&gt;0,_xlpm.c&gt;0),_xlpm.p/_xlpm.c-1,"")),"")</f>
        <v>-1.5398398566549121E-2</v>
      </c>
      <c r="F394" s="23">
        <f>IF(ISNUMBER(E394),D394*E394,0)</f>
        <v>-4.3026205274651555E-6</v>
      </c>
      <c r="G394" s="22">
        <f>IF(ISNUMBER(E394),D394,0)</f>
        <v>2.7942E-4</v>
      </c>
      <c r="H394" t="s">
        <v>40</v>
      </c>
      <c r="I394" s="21">
        <v>46288</v>
      </c>
    </row>
    <row r="395" spans="1:9" x14ac:dyDescent="0.15">
      <c r="A395" t="s">
        <v>36</v>
      </c>
      <c r="B395" t="s">
        <v>906</v>
      </c>
      <c r="C395" t="s">
        <v>907</v>
      </c>
      <c r="D395" s="22">
        <v>2.7779000000000004E-4</v>
      </c>
      <c r="E395" s="22">
        <f>IFERROR(_xlfn.LET(_xlpm.m,MATCH($B395,Feed!$A:$A,0),_xlpm.p,INDEX(Feed!$B:$B,_xlpm.m),_xlpm.c,INDEX(Feed!$G:$G,_xlpm.m),IF(AND(_xlpm.p&gt;0,_xlpm.c&gt;0),_xlpm.p/_xlpm.c-1,"")),"")</f>
        <v>-1.9187151351682696E-2</v>
      </c>
      <c r="F395" s="23">
        <f>IF(ISNUMBER(E395),D395*E395,0)</f>
        <v>-5.3299987739839367E-6</v>
      </c>
      <c r="G395" s="22">
        <f>IF(ISNUMBER(E395),D395,0)</f>
        <v>2.7779000000000004E-4</v>
      </c>
      <c r="H395" t="s">
        <v>40</v>
      </c>
      <c r="I395" s="21">
        <v>46288</v>
      </c>
    </row>
    <row r="396" spans="1:9" x14ac:dyDescent="0.15">
      <c r="A396" t="s">
        <v>36</v>
      </c>
      <c r="B396" t="s">
        <v>900</v>
      </c>
      <c r="C396" t="s">
        <v>901</v>
      </c>
      <c r="D396" s="22">
        <v>2.7761000000000002E-4</v>
      </c>
      <c r="E396" s="22">
        <f>IFERROR(_xlfn.LET(_xlpm.m,MATCH($B396,Feed!$A:$A,0),_xlpm.p,INDEX(Feed!$B:$B,_xlpm.m),_xlpm.c,INDEX(Feed!$G:$G,_xlpm.m),IF(AND(_xlpm.p&gt;0,_xlpm.c&gt;0),_xlpm.p/_xlpm.c-1,"")),"")</f>
        <v>-1.5857760691974976E-2</v>
      </c>
      <c r="F396" s="23">
        <f>IF(ISNUMBER(E396),D396*E396,0)</f>
        <v>-4.402272945699173E-6</v>
      </c>
      <c r="G396" s="22">
        <f>IF(ISNUMBER(E396),D396,0)</f>
        <v>2.7761000000000002E-4</v>
      </c>
      <c r="H396" t="s">
        <v>40</v>
      </c>
      <c r="I396" s="21">
        <v>46288</v>
      </c>
    </row>
    <row r="397" spans="1:9" x14ac:dyDescent="0.15">
      <c r="A397" t="s">
        <v>36</v>
      </c>
      <c r="B397" t="s">
        <v>910</v>
      </c>
      <c r="C397" t="s">
        <v>911</v>
      </c>
      <c r="D397" s="22">
        <v>2.7389999999999999E-4</v>
      </c>
      <c r="E397" s="22">
        <f>IFERROR(_xlfn.LET(_xlpm.m,MATCH($B397,Feed!$A:$A,0),_xlpm.p,INDEX(Feed!$B:$B,_xlpm.m),_xlpm.c,INDEX(Feed!$G:$G,_xlpm.m),IF(AND(_xlpm.p&gt;0,_xlpm.c&gt;0),_xlpm.p/_xlpm.c-1,"")),"")</f>
        <v>-6.3925795938832852E-3</v>
      </c>
      <c r="F397" s="23">
        <f>IF(ISNUMBER(E397),D397*E397,0)</f>
        <v>-1.7509275507646317E-6</v>
      </c>
      <c r="G397" s="22">
        <f>IF(ISNUMBER(E397),D397,0)</f>
        <v>2.7389999999999999E-4</v>
      </c>
      <c r="H397" t="s">
        <v>40</v>
      </c>
      <c r="I397" s="21">
        <v>46288</v>
      </c>
    </row>
    <row r="398" spans="1:9" x14ac:dyDescent="0.15">
      <c r="A398" t="s">
        <v>36</v>
      </c>
      <c r="B398" t="s">
        <v>920</v>
      </c>
      <c r="C398" t="s">
        <v>921</v>
      </c>
      <c r="D398" s="22">
        <v>2.7352000000000002E-4</v>
      </c>
      <c r="E398" s="22">
        <f>IFERROR(_xlfn.LET(_xlpm.m,MATCH($B398,Feed!$A:$A,0),_xlpm.p,INDEX(Feed!$B:$B,_xlpm.m),_xlpm.c,INDEX(Feed!$G:$G,_xlpm.m),IF(AND(_xlpm.p&gt;0,_xlpm.c&gt;0),_xlpm.p/_xlpm.c-1,"")),"")</f>
        <v>6.9667372447237419E-3</v>
      </c>
      <c r="F398" s="23">
        <f>IF(ISNUMBER(E398),D398*E398,0)</f>
        <v>1.9055419711768381E-6</v>
      </c>
      <c r="G398" s="22">
        <f>IF(ISNUMBER(E398),D398,0)</f>
        <v>2.7352000000000002E-4</v>
      </c>
      <c r="H398" t="s">
        <v>40</v>
      </c>
      <c r="I398" s="21">
        <v>46288</v>
      </c>
    </row>
    <row r="399" spans="1:9" x14ac:dyDescent="0.15">
      <c r="A399" t="s">
        <v>36</v>
      </c>
      <c r="B399" t="s">
        <v>892</v>
      </c>
      <c r="C399" t="s">
        <v>893</v>
      </c>
      <c r="D399" s="22">
        <v>2.7271000000000001E-4</v>
      </c>
      <c r="E399" s="22">
        <f>IFERROR(_xlfn.LET(_xlpm.m,MATCH($B399,Feed!$A:$A,0),_xlpm.p,INDEX(Feed!$B:$B,_xlpm.m),_xlpm.c,INDEX(Feed!$G:$G,_xlpm.m),IF(AND(_xlpm.p&gt;0,_xlpm.c&gt;0),_xlpm.p/_xlpm.c-1,"")),"")</f>
        <v>-5.5677368833202845E-2</v>
      </c>
      <c r="F399" s="23">
        <f>IF(ISNUMBER(E399),D399*E399,0)</f>
        <v>-1.5183775254502748E-5</v>
      </c>
      <c r="G399" s="22">
        <f>IF(ISNUMBER(E399),D399,0)</f>
        <v>2.7271000000000001E-4</v>
      </c>
      <c r="H399" t="s">
        <v>40</v>
      </c>
      <c r="I399" s="21">
        <v>46288</v>
      </c>
    </row>
    <row r="400" spans="1:9" x14ac:dyDescent="0.15">
      <c r="A400" t="s">
        <v>36</v>
      </c>
      <c r="B400" t="s">
        <v>908</v>
      </c>
      <c r="C400" t="s">
        <v>909</v>
      </c>
      <c r="D400" s="22">
        <v>2.7080000000000002E-4</v>
      </c>
      <c r="E400" s="22">
        <f>IFERROR(_xlfn.LET(_xlpm.m,MATCH($B400,Feed!$A:$A,0),_xlpm.p,INDEX(Feed!$B:$B,_xlpm.m),_xlpm.c,INDEX(Feed!$G:$G,_xlpm.m),IF(AND(_xlpm.p&gt;0,_xlpm.c&gt;0),_xlpm.p/_xlpm.c-1,"")),"")</f>
        <v>-3.9303761931499537E-3</v>
      </c>
      <c r="F400" s="23">
        <f>IF(ISNUMBER(E400),D400*E400,0)</f>
        <v>-1.0643458731050075E-6</v>
      </c>
      <c r="G400" s="22">
        <f>IF(ISNUMBER(E400),D400,0)</f>
        <v>2.7080000000000002E-4</v>
      </c>
      <c r="H400" t="s">
        <v>40</v>
      </c>
      <c r="I400" s="21">
        <v>46288</v>
      </c>
    </row>
    <row r="401" spans="1:9" x14ac:dyDescent="0.15">
      <c r="A401" t="s">
        <v>36</v>
      </c>
      <c r="B401" t="s">
        <v>902</v>
      </c>
      <c r="C401" t="s">
        <v>903</v>
      </c>
      <c r="D401" s="22">
        <v>2.6849999999999997E-4</v>
      </c>
      <c r="E401" s="22">
        <f>IFERROR(_xlfn.LET(_xlpm.m,MATCH($B401,Feed!$A:$A,0),_xlpm.p,INDEX(Feed!$B:$B,_xlpm.m),_xlpm.c,INDEX(Feed!$G:$G,_xlpm.m),IF(AND(_xlpm.p&gt;0,_xlpm.c&gt;0),_xlpm.p/_xlpm.c-1,"")),"")</f>
        <v>-3.9680098431251865E-2</v>
      </c>
      <c r="F401" s="23">
        <f>IF(ISNUMBER(E401),D401*E401,0)</f>
        <v>-1.0654106428791124E-5</v>
      </c>
      <c r="G401" s="22">
        <f>IF(ISNUMBER(E401),D401,0)</f>
        <v>2.6849999999999997E-4</v>
      </c>
      <c r="H401" t="s">
        <v>40</v>
      </c>
      <c r="I401" s="21">
        <v>46288</v>
      </c>
    </row>
    <row r="402" spans="1:9" x14ac:dyDescent="0.15">
      <c r="A402" t="s">
        <v>36</v>
      </c>
      <c r="B402" t="s">
        <v>918</v>
      </c>
      <c r="C402" t="s">
        <v>919</v>
      </c>
      <c r="D402" s="22">
        <v>2.6786999999999997E-4</v>
      </c>
      <c r="E402" s="22" t="str">
        <f>IFERROR(_xlfn.LET(_xlpm.m,MATCH($B402,Feed!$A:$A,0),_xlpm.p,INDEX(Feed!$B:$B,_xlpm.m),_xlpm.c,INDEX(Feed!$G:$G,_xlpm.m),IF(AND(_xlpm.p&gt;0,_xlpm.c&gt;0),_xlpm.p/_xlpm.c-1,"")),"")</f>
        <v/>
      </c>
      <c r="F402" s="23">
        <f>IF(ISNUMBER(E402),D402*E402,0)</f>
        <v>0</v>
      </c>
      <c r="G402" s="22">
        <f>IF(ISNUMBER(E402),D402,0)</f>
        <v>0</v>
      </c>
      <c r="H402" t="s">
        <v>40</v>
      </c>
      <c r="I402" s="21">
        <v>46288</v>
      </c>
    </row>
    <row r="403" spans="1:9" x14ac:dyDescent="0.15">
      <c r="A403" t="s">
        <v>36</v>
      </c>
      <c r="B403" t="s">
        <v>930</v>
      </c>
      <c r="C403" t="s">
        <v>931</v>
      </c>
      <c r="D403" s="22">
        <v>2.6784999999999998E-4</v>
      </c>
      <c r="E403" s="22">
        <f>IFERROR(_xlfn.LET(_xlpm.m,MATCH($B403,Feed!$A:$A,0),_xlpm.p,INDEX(Feed!$B:$B,_xlpm.m),_xlpm.c,INDEX(Feed!$G:$G,_xlpm.m),IF(AND(_xlpm.p&gt;0,_xlpm.c&gt;0),_xlpm.p/_xlpm.c-1,"")),"")</f>
        <v>2.1626230524765644E-2</v>
      </c>
      <c r="F403" s="23">
        <f>IF(ISNUMBER(E403),D403*E403,0)</f>
        <v>5.7925858460584774E-6</v>
      </c>
      <c r="G403" s="22">
        <f>IF(ISNUMBER(E403),D403,0)</f>
        <v>2.6784999999999998E-4</v>
      </c>
      <c r="H403" t="s">
        <v>40</v>
      </c>
      <c r="I403" s="21">
        <v>46288</v>
      </c>
    </row>
    <row r="404" spans="1:9" x14ac:dyDescent="0.15">
      <c r="A404" t="s">
        <v>36</v>
      </c>
      <c r="B404" t="s">
        <v>928</v>
      </c>
      <c r="C404" t="s">
        <v>929</v>
      </c>
      <c r="D404" s="22">
        <v>2.6729999999999999E-4</v>
      </c>
      <c r="E404" s="22">
        <f>IFERROR(_xlfn.LET(_xlpm.m,MATCH($B404,Feed!$A:$A,0),_xlpm.p,INDEX(Feed!$B:$B,_xlpm.m),_xlpm.c,INDEX(Feed!$G:$G,_xlpm.m),IF(AND(_xlpm.p&gt;0,_xlpm.c&gt;0),_xlpm.p/_xlpm.c-1,"")),"")</f>
        <v>1.1789506558400831E-2</v>
      </c>
      <c r="F404" s="23">
        <f>IF(ISNUMBER(E404),D404*E404,0)</f>
        <v>3.1513351030605419E-6</v>
      </c>
      <c r="G404" s="22">
        <f>IF(ISNUMBER(E404),D404,0)</f>
        <v>2.6729999999999999E-4</v>
      </c>
      <c r="H404" t="s">
        <v>40</v>
      </c>
      <c r="I404" s="21">
        <v>46288</v>
      </c>
    </row>
    <row r="405" spans="1:9" x14ac:dyDescent="0.15">
      <c r="A405" t="s">
        <v>36</v>
      </c>
      <c r="B405" t="s">
        <v>932</v>
      </c>
      <c r="C405" t="s">
        <v>933</v>
      </c>
      <c r="D405" s="22">
        <v>2.6490999999999998E-4</v>
      </c>
      <c r="E405" s="22">
        <f>IFERROR(_xlfn.LET(_xlpm.m,MATCH($B405,Feed!$A:$A,0),_xlpm.p,INDEX(Feed!$B:$B,_xlpm.m),_xlpm.c,INDEX(Feed!$G:$G,_xlpm.m),IF(AND(_xlpm.p&gt;0,_xlpm.c&gt;0),_xlpm.p/_xlpm.c-1,"")),"")</f>
        <v>1.3489861259338376E-2</v>
      </c>
      <c r="F405" s="23">
        <f>IF(ISNUMBER(E405),D405*E405,0)</f>
        <v>3.5735991462113288E-6</v>
      </c>
      <c r="G405" s="22">
        <f>IF(ISNUMBER(E405),D405,0)</f>
        <v>2.6490999999999998E-4</v>
      </c>
      <c r="H405" t="s">
        <v>40</v>
      </c>
      <c r="I405" s="21">
        <v>46288</v>
      </c>
    </row>
    <row r="406" spans="1:9" x14ac:dyDescent="0.15">
      <c r="A406" t="s">
        <v>36</v>
      </c>
      <c r="B406" t="s">
        <v>934</v>
      </c>
      <c r="C406" t="s">
        <v>935</v>
      </c>
      <c r="D406" s="22">
        <v>2.6450999999999997E-4</v>
      </c>
      <c r="E406" s="22">
        <f>IFERROR(_xlfn.LET(_xlpm.m,MATCH($B406,Feed!$A:$A,0),_xlpm.p,INDEX(Feed!$B:$B,_xlpm.m),_xlpm.c,INDEX(Feed!$G:$G,_xlpm.m),IF(AND(_xlpm.p&gt;0,_xlpm.c&gt;0),_xlpm.p/_xlpm.c-1,"")),"")</f>
        <v>1.7441214589890786E-2</v>
      </c>
      <c r="F406" s="23">
        <f>IF(ISNUMBER(E406),D406*E406,0)</f>
        <v>4.6133756711720113E-6</v>
      </c>
      <c r="G406" s="22">
        <f>IF(ISNUMBER(E406),D406,0)</f>
        <v>2.6450999999999997E-4</v>
      </c>
      <c r="H406" t="s">
        <v>40</v>
      </c>
      <c r="I406" s="21">
        <v>46288</v>
      </c>
    </row>
    <row r="407" spans="1:9" x14ac:dyDescent="0.15">
      <c r="A407" t="s">
        <v>36</v>
      </c>
      <c r="B407" t="s">
        <v>922</v>
      </c>
      <c r="C407" t="s">
        <v>923</v>
      </c>
      <c r="D407" s="22">
        <v>2.6415999999999999E-4</v>
      </c>
      <c r="E407" s="22">
        <f>IFERROR(_xlfn.LET(_xlpm.m,MATCH($B407,Feed!$A:$A,0),_xlpm.p,INDEX(Feed!$B:$B,_xlpm.m),_xlpm.c,INDEX(Feed!$G:$G,_xlpm.m),IF(AND(_xlpm.p&gt;0,_xlpm.c&gt;0),_xlpm.p/_xlpm.c-1,"")),"")</f>
        <v>-2.241976599777773E-2</v>
      </c>
      <c r="F407" s="23">
        <f>IF(ISNUMBER(E407),D407*E407,0)</f>
        <v>-5.9224053859729645E-6</v>
      </c>
      <c r="G407" s="22">
        <f>IF(ISNUMBER(E407),D407,0)</f>
        <v>2.6415999999999999E-4</v>
      </c>
      <c r="H407" t="s">
        <v>40</v>
      </c>
      <c r="I407" s="21">
        <v>46288</v>
      </c>
    </row>
    <row r="408" spans="1:9" x14ac:dyDescent="0.15">
      <c r="A408" t="s">
        <v>36</v>
      </c>
      <c r="B408" t="s">
        <v>924</v>
      </c>
      <c r="C408" t="s">
        <v>925</v>
      </c>
      <c r="D408" s="22">
        <v>2.6404999999999999E-4</v>
      </c>
      <c r="E408" s="22">
        <f>IFERROR(_xlfn.LET(_xlpm.m,MATCH($B408,Feed!$A:$A,0),_xlpm.p,INDEX(Feed!$B:$B,_xlpm.m),_xlpm.c,INDEX(Feed!$G:$G,_xlpm.m),IF(AND(_xlpm.p&gt;0,_xlpm.c&gt;0),_xlpm.p/_xlpm.c-1,"")),"")</f>
        <v>-1.1599562915020512E-2</v>
      </c>
      <c r="F408" s="23">
        <f>IF(ISNUMBER(E408),D408*E408,0)</f>
        <v>-3.0628645877111658E-6</v>
      </c>
      <c r="G408" s="22">
        <f>IF(ISNUMBER(E408),D408,0)</f>
        <v>2.6404999999999999E-4</v>
      </c>
      <c r="H408" t="s">
        <v>40</v>
      </c>
      <c r="I408" s="21">
        <v>46288</v>
      </c>
    </row>
    <row r="409" spans="1:9" x14ac:dyDescent="0.15">
      <c r="A409" t="s">
        <v>36</v>
      </c>
      <c r="B409" t="s">
        <v>926</v>
      </c>
      <c r="C409" t="s">
        <v>927</v>
      </c>
      <c r="D409" s="22">
        <v>2.6020000000000004E-4</v>
      </c>
      <c r="E409" s="22">
        <f>IFERROR(_xlfn.LET(_xlpm.m,MATCH($B409,Feed!$A:$A,0),_xlpm.p,INDEX(Feed!$B:$B,_xlpm.m),_xlpm.c,INDEX(Feed!$G:$G,_xlpm.m),IF(AND(_xlpm.p&gt;0,_xlpm.c&gt;0),_xlpm.p/_xlpm.c-1,"")),"")</f>
        <v>-7.8688524590164732E-3</v>
      </c>
      <c r="F409" s="23">
        <f>IF(ISNUMBER(E409),D409*E409,0)</f>
        <v>-2.0474754098360867E-6</v>
      </c>
      <c r="G409" s="22">
        <f>IF(ISNUMBER(E409),D409,0)</f>
        <v>2.6020000000000004E-4</v>
      </c>
      <c r="H409" t="s">
        <v>40</v>
      </c>
      <c r="I409" s="21">
        <v>46288</v>
      </c>
    </row>
    <row r="410" spans="1:9" x14ac:dyDescent="0.15">
      <c r="A410" t="s">
        <v>36</v>
      </c>
      <c r="B410" t="s">
        <v>916</v>
      </c>
      <c r="C410" t="s">
        <v>917</v>
      </c>
      <c r="D410" s="22">
        <v>2.5897000000000002E-4</v>
      </c>
      <c r="E410" s="22">
        <f>IFERROR(_xlfn.LET(_xlpm.m,MATCH($B410,Feed!$A:$A,0),_xlpm.p,INDEX(Feed!$B:$B,_xlpm.m),_xlpm.c,INDEX(Feed!$G:$G,_xlpm.m),IF(AND(_xlpm.p&gt;0,_xlpm.c&gt;0),_xlpm.p/_xlpm.c-1,"")),"")</f>
        <v>-4.8278248831977844E-2</v>
      </c>
      <c r="F410" s="23">
        <f>IF(ISNUMBER(E410),D410*E410,0)</f>
        <v>-1.2502618100017304E-5</v>
      </c>
      <c r="G410" s="22">
        <f>IF(ISNUMBER(E410),D410,0)</f>
        <v>2.5897000000000002E-4</v>
      </c>
      <c r="H410" t="s">
        <v>40</v>
      </c>
      <c r="I410" s="21">
        <v>46288</v>
      </c>
    </row>
    <row r="411" spans="1:9" x14ac:dyDescent="0.15">
      <c r="A411" t="s">
        <v>36</v>
      </c>
      <c r="B411" t="s">
        <v>948</v>
      </c>
      <c r="C411" t="s">
        <v>949</v>
      </c>
      <c r="D411" s="22">
        <v>2.5808E-4</v>
      </c>
      <c r="E411" s="22" t="str">
        <f>IFERROR(_xlfn.LET(_xlpm.m,MATCH($B411,Feed!$A:$A,0),_xlpm.p,INDEX(Feed!$B:$B,_xlpm.m),_xlpm.c,INDEX(Feed!$G:$G,_xlpm.m),IF(AND(_xlpm.p&gt;0,_xlpm.c&gt;0),_xlpm.p/_xlpm.c-1,"")),"")</f>
        <v/>
      </c>
      <c r="F411" s="23">
        <f>IF(ISNUMBER(E411),D411*E411,0)</f>
        <v>0</v>
      </c>
      <c r="G411" s="22">
        <f>IF(ISNUMBER(E411),D411,0)</f>
        <v>0</v>
      </c>
      <c r="H411" t="s">
        <v>40</v>
      </c>
      <c r="I411" s="21">
        <v>46288</v>
      </c>
    </row>
    <row r="412" spans="1:9" x14ac:dyDescent="0.15">
      <c r="A412" t="s">
        <v>36</v>
      </c>
      <c r="B412" t="s">
        <v>938</v>
      </c>
      <c r="C412" t="s">
        <v>939</v>
      </c>
      <c r="D412" s="22">
        <v>2.5807E-4</v>
      </c>
      <c r="E412" s="22" t="str">
        <f>IFERROR(_xlfn.LET(_xlpm.m,MATCH($B412,Feed!$A:$A,0),_xlpm.p,INDEX(Feed!$B:$B,_xlpm.m),_xlpm.c,INDEX(Feed!$G:$G,_xlpm.m),IF(AND(_xlpm.p&gt;0,_xlpm.c&gt;0),_xlpm.p/_xlpm.c-1,"")),"")</f>
        <v/>
      </c>
      <c r="F412" s="23">
        <f>IF(ISNUMBER(E412),D412*E412,0)</f>
        <v>0</v>
      </c>
      <c r="G412" s="22">
        <f>IF(ISNUMBER(E412),D412,0)</f>
        <v>0</v>
      </c>
      <c r="H412" t="s">
        <v>40</v>
      </c>
      <c r="I412" s="21">
        <v>46288</v>
      </c>
    </row>
    <row r="413" spans="1:9" x14ac:dyDescent="0.15">
      <c r="A413" t="s">
        <v>36</v>
      </c>
      <c r="B413" t="s">
        <v>968</v>
      </c>
      <c r="C413" t="s">
        <v>969</v>
      </c>
      <c r="D413" s="22">
        <v>2.5776999999999999E-4</v>
      </c>
      <c r="E413" s="22">
        <f>IFERROR(_xlfn.LET(_xlpm.m,MATCH($B413,Feed!$A:$A,0),_xlpm.p,INDEX(Feed!$B:$B,_xlpm.m),_xlpm.c,INDEX(Feed!$G:$G,_xlpm.m),IF(AND(_xlpm.p&gt;0,_xlpm.c&gt;0),_xlpm.p/_xlpm.c-1,"")),"")</f>
        <v>0.13222349789513976</v>
      </c>
      <c r="F413" s="23">
        <f>IF(ISNUMBER(E413),D413*E413,0)</f>
        <v>3.4083251052430173E-5</v>
      </c>
      <c r="G413" s="22">
        <f>IF(ISNUMBER(E413),D413,0)</f>
        <v>2.5776999999999999E-4</v>
      </c>
      <c r="H413" t="s">
        <v>40</v>
      </c>
      <c r="I413" s="21">
        <v>46288</v>
      </c>
    </row>
    <row r="414" spans="1:9" x14ac:dyDescent="0.15">
      <c r="A414" t="s">
        <v>36</v>
      </c>
      <c r="B414" t="s">
        <v>942</v>
      </c>
      <c r="C414" t="s">
        <v>943</v>
      </c>
      <c r="D414" s="22">
        <v>2.5558999999999998E-4</v>
      </c>
      <c r="E414" s="22">
        <f>IFERROR(_xlfn.LET(_xlpm.m,MATCH($B414,Feed!$A:$A,0),_xlpm.p,INDEX(Feed!$B:$B,_xlpm.m),_xlpm.c,INDEX(Feed!$G:$G,_xlpm.m),IF(AND(_xlpm.p&gt;0,_xlpm.c&gt;0),_xlpm.p/_xlpm.c-1,"")),"")</f>
        <v>1.7272727272727328E-2</v>
      </c>
      <c r="F414" s="23">
        <f>IF(ISNUMBER(E414),D414*E414,0)</f>
        <v>4.4147363636363777E-6</v>
      </c>
      <c r="G414" s="22">
        <f>IF(ISNUMBER(E414),D414,0)</f>
        <v>2.5558999999999998E-4</v>
      </c>
      <c r="H414" t="s">
        <v>40</v>
      </c>
      <c r="I414" s="21">
        <v>46288</v>
      </c>
    </row>
    <row r="415" spans="1:9" x14ac:dyDescent="0.15">
      <c r="A415" t="s">
        <v>36</v>
      </c>
      <c r="B415" t="s">
        <v>946</v>
      </c>
      <c r="C415" t="s">
        <v>947</v>
      </c>
      <c r="D415" s="22">
        <v>2.5394000000000003E-4</v>
      </c>
      <c r="E415" s="22">
        <f>IFERROR(_xlfn.LET(_xlpm.m,MATCH($B415,Feed!$A:$A,0),_xlpm.p,INDEX(Feed!$B:$B,_xlpm.m),_xlpm.c,INDEX(Feed!$G:$G,_xlpm.m),IF(AND(_xlpm.p&gt;0,_xlpm.c&gt;0),_xlpm.p/_xlpm.c-1,"")),"")</f>
        <v>2.5997368167667068E-2</v>
      </c>
      <c r="F415" s="23">
        <f>IF(ISNUMBER(E415),D415*E415,0)</f>
        <v>6.6017716724973758E-6</v>
      </c>
      <c r="G415" s="22">
        <f>IF(ISNUMBER(E415),D415,0)</f>
        <v>2.5394000000000003E-4</v>
      </c>
      <c r="H415" t="s">
        <v>40</v>
      </c>
      <c r="I415" s="21">
        <v>46288</v>
      </c>
    </row>
    <row r="416" spans="1:9" x14ac:dyDescent="0.15">
      <c r="A416" t="s">
        <v>36</v>
      </c>
      <c r="B416" t="s">
        <v>936</v>
      </c>
      <c r="C416" t="s">
        <v>937</v>
      </c>
      <c r="D416" s="22">
        <v>2.5321000000000002E-4</v>
      </c>
      <c r="E416" s="22">
        <f>IFERROR(_xlfn.LET(_xlpm.m,MATCH($B416,Feed!$A:$A,0),_xlpm.p,INDEX(Feed!$B:$B,_xlpm.m),_xlpm.c,INDEX(Feed!$G:$G,_xlpm.m),IF(AND(_xlpm.p&gt;0,_xlpm.c&gt;0),_xlpm.p/_xlpm.c-1,"")),"")</f>
        <v>-1.9525801952580135E-3</v>
      </c>
      <c r="F416" s="23">
        <f>IF(ISNUMBER(E416),D416*E416,0)</f>
        <v>-4.9441283124128161E-7</v>
      </c>
      <c r="G416" s="22">
        <f>IF(ISNUMBER(E416),D416,0)</f>
        <v>2.5321000000000002E-4</v>
      </c>
      <c r="H416" t="s">
        <v>40</v>
      </c>
      <c r="I416" s="21">
        <v>46288</v>
      </c>
    </row>
    <row r="417" spans="1:9" x14ac:dyDescent="0.15">
      <c r="A417" t="s">
        <v>36</v>
      </c>
      <c r="B417" t="s">
        <v>944</v>
      </c>
      <c r="C417" t="s">
        <v>945</v>
      </c>
      <c r="D417" s="22">
        <v>2.5033999999999999E-4</v>
      </c>
      <c r="E417" s="22">
        <f>IFERROR(_xlfn.LET(_xlpm.m,MATCH($B417,Feed!$A:$A,0),_xlpm.p,INDEX(Feed!$B:$B,_xlpm.m),_xlpm.c,INDEX(Feed!$G:$G,_xlpm.m),IF(AND(_xlpm.p&gt;0,_xlpm.c&gt;0),_xlpm.p/_xlpm.c-1,"")),"")</f>
        <v>8.8056499195423577E-3</v>
      </c>
      <c r="F417" s="23">
        <f>IF(ISNUMBER(E417),D417*E417,0)</f>
        <v>2.2044064008582336E-6</v>
      </c>
      <c r="G417" s="22">
        <f>IF(ISNUMBER(E417),D417,0)</f>
        <v>2.5033999999999999E-4</v>
      </c>
      <c r="H417" t="s">
        <v>40</v>
      </c>
      <c r="I417" s="21">
        <v>46288</v>
      </c>
    </row>
    <row r="418" spans="1:9" x14ac:dyDescent="0.15">
      <c r="A418" t="s">
        <v>36</v>
      </c>
      <c r="B418" t="s">
        <v>940</v>
      </c>
      <c r="C418" t="s">
        <v>941</v>
      </c>
      <c r="D418" s="22">
        <v>2.4869999999999997E-4</v>
      </c>
      <c r="E418" s="22">
        <f>IFERROR(_xlfn.LET(_xlpm.m,MATCH($B418,Feed!$A:$A,0),_xlpm.p,INDEX(Feed!$B:$B,_xlpm.m),_xlpm.c,INDEX(Feed!$G:$G,_xlpm.m),IF(AND(_xlpm.p&gt;0,_xlpm.c&gt;0),_xlpm.p/_xlpm.c-1,"")),"")</f>
        <v>-1.5014099535096359E-2</v>
      </c>
      <c r="F418" s="23">
        <f>IF(ISNUMBER(E418),D418*E418,0)</f>
        <v>-3.7340065543784641E-6</v>
      </c>
      <c r="G418" s="22">
        <f>IF(ISNUMBER(E418),D418,0)</f>
        <v>2.4869999999999997E-4</v>
      </c>
      <c r="H418" t="s">
        <v>40</v>
      </c>
      <c r="I418" s="21">
        <v>46288</v>
      </c>
    </row>
    <row r="419" spans="1:9" x14ac:dyDescent="0.15">
      <c r="A419" t="s">
        <v>36</v>
      </c>
      <c r="B419" t="s">
        <v>956</v>
      </c>
      <c r="C419" t="s">
        <v>957</v>
      </c>
      <c r="D419" s="22">
        <v>2.3956999999999998E-4</v>
      </c>
      <c r="E419" s="22">
        <f>IFERROR(_xlfn.LET(_xlpm.m,MATCH($B419,Feed!$A:$A,0),_xlpm.p,INDEX(Feed!$B:$B,_xlpm.m),_xlpm.c,INDEX(Feed!$G:$G,_xlpm.m),IF(AND(_xlpm.p&gt;0,_xlpm.c&gt;0),_xlpm.p/_xlpm.c-1,"")),"")</f>
        <v>-9.7594980829551758E-4</v>
      </c>
      <c r="F419" s="23">
        <f>IF(ISNUMBER(E419),D419*E419,0)</f>
        <v>-2.3380829557335714E-7</v>
      </c>
      <c r="G419" s="22">
        <f>IF(ISNUMBER(E419),D419,0)</f>
        <v>2.3956999999999998E-4</v>
      </c>
      <c r="H419" t="s">
        <v>40</v>
      </c>
      <c r="I419" s="21">
        <v>46288</v>
      </c>
    </row>
    <row r="420" spans="1:9" x14ac:dyDescent="0.15">
      <c r="A420" t="s">
        <v>36</v>
      </c>
      <c r="B420" t="s">
        <v>954</v>
      </c>
      <c r="C420" t="s">
        <v>955</v>
      </c>
      <c r="D420" s="22">
        <v>2.3924000000000002E-4</v>
      </c>
      <c r="E420" s="22">
        <f>IFERROR(_xlfn.LET(_xlpm.m,MATCH($B420,Feed!$A:$A,0),_xlpm.p,INDEX(Feed!$B:$B,_xlpm.m),_xlpm.c,INDEX(Feed!$G:$G,_xlpm.m),IF(AND(_xlpm.p&gt;0,_xlpm.c&gt;0),_xlpm.p/_xlpm.c-1,"")),"")</f>
        <v>-2.9925187032419087E-3</v>
      </c>
      <c r="F420" s="23">
        <f>IF(ISNUMBER(E420),D420*E420,0)</f>
        <v>-7.1593017456359431E-7</v>
      </c>
      <c r="G420" s="22">
        <f>IF(ISNUMBER(E420),D420,0)</f>
        <v>2.3924000000000002E-4</v>
      </c>
      <c r="H420" t="s">
        <v>40</v>
      </c>
      <c r="I420" s="21">
        <v>46288</v>
      </c>
    </row>
    <row r="421" spans="1:9" x14ac:dyDescent="0.15">
      <c r="A421" t="s">
        <v>36</v>
      </c>
      <c r="B421" t="s">
        <v>976</v>
      </c>
      <c r="C421" t="s">
        <v>977</v>
      </c>
      <c r="D421" s="22">
        <v>2.3838E-4</v>
      </c>
      <c r="E421" s="22">
        <f>IFERROR(_xlfn.LET(_xlpm.m,MATCH($B421,Feed!$A:$A,0),_xlpm.p,INDEX(Feed!$B:$B,_xlpm.m),_xlpm.c,INDEX(Feed!$G:$G,_xlpm.m),IF(AND(_xlpm.p&gt;0,_xlpm.c&gt;0),_xlpm.p/_xlpm.c-1,"")),"")</f>
        <v>8.6746042130053658E-2</v>
      </c>
      <c r="F421" s="23">
        <f>IF(ISNUMBER(E421),D421*E421,0)</f>
        <v>2.067852152296219E-5</v>
      </c>
      <c r="G421" s="22">
        <f>IF(ISNUMBER(E421),D421,0)</f>
        <v>2.3838E-4</v>
      </c>
      <c r="H421" t="s">
        <v>40</v>
      </c>
      <c r="I421" s="21">
        <v>46288</v>
      </c>
    </row>
    <row r="422" spans="1:9" x14ac:dyDescent="0.15">
      <c r="A422" t="s">
        <v>36</v>
      </c>
      <c r="B422" t="s">
        <v>964</v>
      </c>
      <c r="C422" t="s">
        <v>965</v>
      </c>
      <c r="D422" s="22">
        <v>2.3664999999999998E-4</v>
      </c>
      <c r="E422" s="22">
        <f>IFERROR(_xlfn.LET(_xlpm.m,MATCH($B422,Feed!$A:$A,0),_xlpm.p,INDEX(Feed!$B:$B,_xlpm.m),_xlpm.c,INDEX(Feed!$G:$G,_xlpm.m),IF(AND(_xlpm.p&gt;0,_xlpm.c&gt;0),_xlpm.p/_xlpm.c-1,"")),"")</f>
        <v>3.0639934834248317E-2</v>
      </c>
      <c r="F422" s="23">
        <f>IF(ISNUMBER(E422),D422*E422,0)</f>
        <v>7.2509405785248639E-6</v>
      </c>
      <c r="G422" s="22">
        <f>IF(ISNUMBER(E422),D422,0)</f>
        <v>2.3664999999999998E-4</v>
      </c>
      <c r="H422" t="s">
        <v>40</v>
      </c>
      <c r="I422" s="21">
        <v>46288</v>
      </c>
    </row>
    <row r="423" spans="1:9" x14ac:dyDescent="0.15">
      <c r="A423" t="s">
        <v>36</v>
      </c>
      <c r="B423" t="s">
        <v>950</v>
      </c>
      <c r="C423" t="s">
        <v>951</v>
      </c>
      <c r="D423" s="22">
        <v>2.3244999999999999E-4</v>
      </c>
      <c r="E423" s="22">
        <f>IFERROR(_xlfn.LET(_xlpm.m,MATCH($B423,Feed!$A:$A,0),_xlpm.p,INDEX(Feed!$B:$B,_xlpm.m),_xlpm.c,INDEX(Feed!$G:$G,_xlpm.m),IF(AND(_xlpm.p&gt;0,_xlpm.c&gt;0),_xlpm.p/_xlpm.c-1,"")),"")</f>
        <v>-3.4301824731772235E-2</v>
      </c>
      <c r="F423" s="23">
        <f>IF(ISNUMBER(E423),D423*E423,0)</f>
        <v>-7.9734591589004556E-6</v>
      </c>
      <c r="G423" s="22">
        <f>IF(ISNUMBER(E423),D423,0)</f>
        <v>2.3244999999999999E-4</v>
      </c>
      <c r="H423" t="s">
        <v>40</v>
      </c>
      <c r="I423" s="21">
        <v>46288</v>
      </c>
    </row>
    <row r="424" spans="1:9" x14ac:dyDescent="0.15">
      <c r="A424" t="s">
        <v>36</v>
      </c>
      <c r="B424" t="s">
        <v>970</v>
      </c>
      <c r="C424" t="s">
        <v>971</v>
      </c>
      <c r="D424" s="22">
        <v>2.3099000000000001E-4</v>
      </c>
      <c r="E424" s="22" t="str">
        <f>IFERROR(_xlfn.LET(_xlpm.m,MATCH($B424,Feed!$A:$A,0),_xlpm.p,INDEX(Feed!$B:$B,_xlpm.m),_xlpm.c,INDEX(Feed!$G:$G,_xlpm.m),IF(AND(_xlpm.p&gt;0,_xlpm.c&gt;0),_xlpm.p/_xlpm.c-1,"")),"")</f>
        <v/>
      </c>
      <c r="F424" s="23">
        <f>IF(ISNUMBER(E424),D424*E424,0)</f>
        <v>0</v>
      </c>
      <c r="G424" s="22">
        <f>IF(ISNUMBER(E424),D424,0)</f>
        <v>0</v>
      </c>
      <c r="H424" t="s">
        <v>40</v>
      </c>
      <c r="I424" s="21">
        <v>46288</v>
      </c>
    </row>
    <row r="425" spans="1:9" x14ac:dyDescent="0.15">
      <c r="A425" t="s">
        <v>36</v>
      </c>
      <c r="B425" t="s">
        <v>960</v>
      </c>
      <c r="C425" t="s">
        <v>961</v>
      </c>
      <c r="D425" s="22">
        <v>2.307E-4</v>
      </c>
      <c r="E425" s="22" t="str">
        <f>IFERROR(_xlfn.LET(_xlpm.m,MATCH($B425,Feed!$A:$A,0),_xlpm.p,INDEX(Feed!$B:$B,_xlpm.m),_xlpm.c,INDEX(Feed!$G:$G,_xlpm.m),IF(AND(_xlpm.p&gt;0,_xlpm.c&gt;0),_xlpm.p/_xlpm.c-1,"")),"")</f>
        <v/>
      </c>
      <c r="F425" s="23">
        <f>IF(ISNUMBER(E425),D425*E425,0)</f>
        <v>0</v>
      </c>
      <c r="G425" s="22">
        <f>IF(ISNUMBER(E425),D425,0)</f>
        <v>0</v>
      </c>
      <c r="H425" t="s">
        <v>40</v>
      </c>
      <c r="I425" s="21">
        <v>46288</v>
      </c>
    </row>
    <row r="426" spans="1:9" x14ac:dyDescent="0.15">
      <c r="A426" t="s">
        <v>36</v>
      </c>
      <c r="B426" t="s">
        <v>952</v>
      </c>
      <c r="C426" t="s">
        <v>953</v>
      </c>
      <c r="D426" s="22">
        <v>2.3005999999999998E-4</v>
      </c>
      <c r="E426" s="22">
        <f>IFERROR(_xlfn.LET(_xlpm.m,MATCH($B426,Feed!$A:$A,0),_xlpm.p,INDEX(Feed!$B:$B,_xlpm.m),_xlpm.c,INDEX(Feed!$G:$G,_xlpm.m),IF(AND(_xlpm.p&gt;0,_xlpm.c&gt;0),_xlpm.p/_xlpm.c-1,"")),"")</f>
        <v>-4.3436137574681011E-2</v>
      </c>
      <c r="F426" s="23">
        <f>IF(ISNUMBER(E426),D426*E426,0)</f>
        <v>-9.9929178104311123E-6</v>
      </c>
      <c r="G426" s="22">
        <f>IF(ISNUMBER(E426),D426,0)</f>
        <v>2.3005999999999998E-4</v>
      </c>
      <c r="H426" t="s">
        <v>40</v>
      </c>
      <c r="I426" s="21">
        <v>46288</v>
      </c>
    </row>
    <row r="427" spans="1:9" x14ac:dyDescent="0.15">
      <c r="A427" t="s">
        <v>36</v>
      </c>
      <c r="B427" t="s">
        <v>972</v>
      </c>
      <c r="C427" t="s">
        <v>973</v>
      </c>
      <c r="D427" s="22">
        <v>2.2811000000000001E-4</v>
      </c>
      <c r="E427" s="22">
        <f>IFERROR(_xlfn.LET(_xlpm.m,MATCH($B427,Feed!$A:$A,0),_xlpm.p,INDEX(Feed!$B:$B,_xlpm.m),_xlpm.c,INDEX(Feed!$G:$G,_xlpm.m),IF(AND(_xlpm.p&gt;0,_xlpm.c&gt;0),_xlpm.p/_xlpm.c-1,"")),"")</f>
        <v>1.7857142857142794E-2</v>
      </c>
      <c r="F427" s="23">
        <f>IF(ISNUMBER(E427),D427*E427,0)</f>
        <v>4.0733928571428424E-6</v>
      </c>
      <c r="G427" s="22">
        <f>IF(ISNUMBER(E427),D427,0)</f>
        <v>2.2811000000000001E-4</v>
      </c>
      <c r="H427" t="s">
        <v>40</v>
      </c>
      <c r="I427" s="21">
        <v>46288</v>
      </c>
    </row>
    <row r="428" spans="1:9" x14ac:dyDescent="0.15">
      <c r="A428" t="s">
        <v>36</v>
      </c>
      <c r="B428" t="s">
        <v>966</v>
      </c>
      <c r="C428" t="s">
        <v>967</v>
      </c>
      <c r="D428" s="22">
        <v>2.2790000000000001E-4</v>
      </c>
      <c r="E428" s="22">
        <f>IFERROR(_xlfn.LET(_xlpm.m,MATCH($B428,Feed!$A:$A,0),_xlpm.p,INDEX(Feed!$B:$B,_xlpm.m),_xlpm.c,INDEX(Feed!$G:$G,_xlpm.m),IF(AND(_xlpm.p&gt;0,_xlpm.c&gt;0),_xlpm.p/_xlpm.c-1,"")),"")</f>
        <v>4.4385264092317023E-4</v>
      </c>
      <c r="F428" s="23">
        <f>IF(ISNUMBER(E428),D428*E428,0)</f>
        <v>1.0115401686639049E-7</v>
      </c>
      <c r="G428" s="22">
        <f>IF(ISNUMBER(E428),D428,0)</f>
        <v>2.2790000000000001E-4</v>
      </c>
      <c r="H428" t="s">
        <v>40</v>
      </c>
      <c r="I428" s="21">
        <v>46288</v>
      </c>
    </row>
    <row r="429" spans="1:9" x14ac:dyDescent="0.15">
      <c r="A429" t="s">
        <v>36</v>
      </c>
      <c r="B429" t="s">
        <v>978</v>
      </c>
      <c r="C429" t="s">
        <v>979</v>
      </c>
      <c r="D429" s="22">
        <v>2.2502000000000001E-4</v>
      </c>
      <c r="E429" s="22" t="str">
        <f>IFERROR(_xlfn.LET(_xlpm.m,MATCH($B429,Feed!$A:$A,0),_xlpm.p,INDEX(Feed!$B:$B,_xlpm.m),_xlpm.c,INDEX(Feed!$G:$G,_xlpm.m),IF(AND(_xlpm.p&gt;0,_xlpm.c&gt;0),_xlpm.p/_xlpm.c-1,"")),"")</f>
        <v/>
      </c>
      <c r="F429" s="23">
        <f>IF(ISNUMBER(E429),D429*E429,0)</f>
        <v>0</v>
      </c>
      <c r="G429" s="22">
        <f>IF(ISNUMBER(E429),D429,0)</f>
        <v>0</v>
      </c>
      <c r="H429" t="s">
        <v>40</v>
      </c>
      <c r="I429" s="21">
        <v>46288</v>
      </c>
    </row>
    <row r="430" spans="1:9" x14ac:dyDescent="0.15">
      <c r="A430" t="s">
        <v>36</v>
      </c>
      <c r="B430" t="s">
        <v>958</v>
      </c>
      <c r="C430" t="s">
        <v>959</v>
      </c>
      <c r="D430" s="22">
        <v>2.2401999999999999E-4</v>
      </c>
      <c r="E430" s="22">
        <f>IFERROR(_xlfn.LET(_xlpm.m,MATCH($B430,Feed!$A:$A,0),_xlpm.p,INDEX(Feed!$B:$B,_xlpm.m),_xlpm.c,INDEX(Feed!$G:$G,_xlpm.m),IF(AND(_xlpm.p&gt;0,_xlpm.c&gt;0),_xlpm.p/_xlpm.c-1,"")),"")</f>
        <v>-5.7276576777356869E-2</v>
      </c>
      <c r="F430" s="23">
        <f>IF(ISNUMBER(E430),D430*E430,0)</f>
        <v>-1.2831098729663486E-5</v>
      </c>
      <c r="G430" s="22">
        <f>IF(ISNUMBER(E430),D430,0)</f>
        <v>2.2401999999999999E-4</v>
      </c>
      <c r="H430" t="s">
        <v>40</v>
      </c>
      <c r="I430" s="21">
        <v>46288</v>
      </c>
    </row>
    <row r="431" spans="1:9" x14ac:dyDescent="0.15">
      <c r="A431" t="s">
        <v>36</v>
      </c>
      <c r="B431" t="s">
        <v>962</v>
      </c>
      <c r="C431" t="s">
        <v>963</v>
      </c>
      <c r="D431" s="22">
        <v>2.197E-4</v>
      </c>
      <c r="E431" s="22">
        <f>IFERROR(_xlfn.LET(_xlpm.m,MATCH($B431,Feed!$A:$A,0),_xlpm.p,INDEX(Feed!$B:$B,_xlpm.m),_xlpm.c,INDEX(Feed!$G:$G,_xlpm.m),IF(AND(_xlpm.p&gt;0,_xlpm.c&gt;0),_xlpm.p/_xlpm.c-1,"")),"")</f>
        <v>-5.9289900034470988E-2</v>
      </c>
      <c r="F431" s="23">
        <f>IF(ISNUMBER(E431),D431*E431,0)</f>
        <v>-1.3025991037573276E-5</v>
      </c>
      <c r="G431" s="22">
        <f>IF(ISNUMBER(E431),D431,0)</f>
        <v>2.197E-4</v>
      </c>
      <c r="H431" t="s">
        <v>40</v>
      </c>
      <c r="I431" s="21">
        <v>46288</v>
      </c>
    </row>
    <row r="432" spans="1:9" x14ac:dyDescent="0.15">
      <c r="A432" t="s">
        <v>36</v>
      </c>
      <c r="B432" t="s">
        <v>974</v>
      </c>
      <c r="C432" t="s">
        <v>975</v>
      </c>
      <c r="D432" s="22">
        <v>2.1909999999999999E-4</v>
      </c>
      <c r="E432" s="22" t="str">
        <f>IFERROR(_xlfn.LET(_xlpm.m,MATCH($B432,Feed!$A:$A,0),_xlpm.p,INDEX(Feed!$B:$B,_xlpm.m),_xlpm.c,INDEX(Feed!$G:$G,_xlpm.m),IF(AND(_xlpm.p&gt;0,_xlpm.c&gt;0),_xlpm.p/_xlpm.c-1,"")),"")</f>
        <v/>
      </c>
      <c r="F432" s="23">
        <f>IF(ISNUMBER(E432),D432*E432,0)</f>
        <v>0</v>
      </c>
      <c r="G432" s="22">
        <f>IF(ISNUMBER(E432),D432,0)</f>
        <v>0</v>
      </c>
      <c r="H432" t="s">
        <v>40</v>
      </c>
      <c r="I432" s="21">
        <v>46288</v>
      </c>
    </row>
    <row r="433" spans="1:9" x14ac:dyDescent="0.15">
      <c r="A433" t="s">
        <v>36</v>
      </c>
      <c r="B433" t="s">
        <v>980</v>
      </c>
      <c r="C433" t="s">
        <v>981</v>
      </c>
      <c r="D433" s="22">
        <v>2.1798999999999999E-4</v>
      </c>
      <c r="E433" s="22">
        <f>IFERROR(_xlfn.LET(_xlpm.m,MATCH($B433,Feed!$A:$A,0),_xlpm.p,INDEX(Feed!$B:$B,_xlpm.m),_xlpm.c,INDEX(Feed!$G:$G,_xlpm.m),IF(AND(_xlpm.p&gt;0,_xlpm.c&gt;0),_xlpm.p/_xlpm.c-1,"")),"")</f>
        <v>8.5470085470085166E-3</v>
      </c>
      <c r="F433" s="23">
        <f>IF(ISNUMBER(E433),D433*E433,0)</f>
        <v>1.8631623931623864E-6</v>
      </c>
      <c r="G433" s="22">
        <f>IF(ISNUMBER(E433),D433,0)</f>
        <v>2.1798999999999999E-4</v>
      </c>
      <c r="H433" t="s">
        <v>40</v>
      </c>
      <c r="I433" s="21">
        <v>46288</v>
      </c>
    </row>
    <row r="434" spans="1:9" x14ac:dyDescent="0.15">
      <c r="A434" t="s">
        <v>36</v>
      </c>
      <c r="B434" t="s">
        <v>986</v>
      </c>
      <c r="C434" t="s">
        <v>987</v>
      </c>
      <c r="D434" s="22">
        <v>2.1367000000000001E-4</v>
      </c>
      <c r="E434" s="22">
        <f>IFERROR(_xlfn.LET(_xlpm.m,MATCH($B434,Feed!$A:$A,0),_xlpm.p,INDEX(Feed!$B:$B,_xlpm.m),_xlpm.c,INDEX(Feed!$G:$G,_xlpm.m),IF(AND(_xlpm.p&gt;0,_xlpm.c&gt;0),_xlpm.p/_xlpm.c-1,"")),"")</f>
        <v>-5.7915057915056689E-3</v>
      </c>
      <c r="F434" s="23">
        <f>IF(ISNUMBER(E434),D434*E434,0)</f>
        <v>-1.2374710424710164E-6</v>
      </c>
      <c r="G434" s="22">
        <f>IF(ISNUMBER(E434),D434,0)</f>
        <v>2.1367000000000001E-4</v>
      </c>
      <c r="H434" t="s">
        <v>40</v>
      </c>
      <c r="I434" s="21">
        <v>46288</v>
      </c>
    </row>
    <row r="435" spans="1:9" x14ac:dyDescent="0.15">
      <c r="A435" t="s">
        <v>36</v>
      </c>
      <c r="B435" t="s">
        <v>982</v>
      </c>
      <c r="C435" t="s">
        <v>983</v>
      </c>
      <c r="D435" s="22">
        <v>2.1271999999999998E-4</v>
      </c>
      <c r="E435" s="22">
        <f>IFERROR(_xlfn.LET(_xlpm.m,MATCH($B435,Feed!$A:$A,0),_xlpm.p,INDEX(Feed!$B:$B,_xlpm.m),_xlpm.c,INDEX(Feed!$G:$G,_xlpm.m),IF(AND(_xlpm.p&gt;0,_xlpm.c&gt;0),_xlpm.p/_xlpm.c-1,"")),"")</f>
        <v>-1.3027553483725418E-3</v>
      </c>
      <c r="F435" s="23">
        <f>IF(ISNUMBER(E435),D435*E435,0)</f>
        <v>-2.7712211770580708E-7</v>
      </c>
      <c r="G435" s="22">
        <f>IF(ISNUMBER(E435),D435,0)</f>
        <v>2.1271999999999998E-4</v>
      </c>
      <c r="H435" t="s">
        <v>40</v>
      </c>
      <c r="I435" s="21">
        <v>46288</v>
      </c>
    </row>
    <row r="436" spans="1:9" x14ac:dyDescent="0.15">
      <c r="A436" t="s">
        <v>36</v>
      </c>
      <c r="B436" t="s">
        <v>990</v>
      </c>
      <c r="C436" t="s">
        <v>991</v>
      </c>
      <c r="D436" s="22">
        <v>2.0777E-4</v>
      </c>
      <c r="E436" s="22">
        <f>IFERROR(_xlfn.LET(_xlpm.m,MATCH($B436,Feed!$A:$A,0),_xlpm.p,INDEX(Feed!$B:$B,_xlpm.m),_xlpm.c,INDEX(Feed!$G:$G,_xlpm.m),IF(AND(_xlpm.p&gt;0,_xlpm.c&gt;0),_xlpm.p/_xlpm.c-1,"")),"")</f>
        <v>1.8498276296980976E-3</v>
      </c>
      <c r="F436" s="23">
        <f>IF(ISNUMBER(E436),D436*E436,0)</f>
        <v>3.8433868662237372E-7</v>
      </c>
      <c r="G436" s="22">
        <f>IF(ISNUMBER(E436),D436,0)</f>
        <v>2.0777E-4</v>
      </c>
      <c r="H436" t="s">
        <v>40</v>
      </c>
      <c r="I436" s="21">
        <v>46288</v>
      </c>
    </row>
    <row r="437" spans="1:9" x14ac:dyDescent="0.15">
      <c r="A437" t="s">
        <v>36</v>
      </c>
      <c r="B437" t="s">
        <v>998</v>
      </c>
      <c r="C437" t="s">
        <v>999</v>
      </c>
      <c r="D437" s="22">
        <v>2.0715999999999999E-4</v>
      </c>
      <c r="E437" s="22" t="str">
        <f>IFERROR(_xlfn.LET(_xlpm.m,MATCH($B437,Feed!$A:$A,0),_xlpm.p,INDEX(Feed!$B:$B,_xlpm.m),_xlpm.c,INDEX(Feed!$G:$G,_xlpm.m),IF(AND(_xlpm.p&gt;0,_xlpm.c&gt;0),_xlpm.p/_xlpm.c-1,"")),"")</f>
        <v/>
      </c>
      <c r="F437" s="23">
        <f>IF(ISNUMBER(E437),D437*E437,0)</f>
        <v>0</v>
      </c>
      <c r="G437" s="22">
        <f>IF(ISNUMBER(E437),D437,0)</f>
        <v>0</v>
      </c>
      <c r="H437" t="s">
        <v>40</v>
      </c>
      <c r="I437" s="21">
        <v>46288</v>
      </c>
    </row>
    <row r="438" spans="1:9" x14ac:dyDescent="0.15">
      <c r="A438" t="s">
        <v>36</v>
      </c>
      <c r="B438" t="s">
        <v>1012</v>
      </c>
      <c r="C438" t="s">
        <v>1013</v>
      </c>
      <c r="D438" s="22">
        <v>2.0615000000000002E-4</v>
      </c>
      <c r="E438" s="22">
        <f>IFERROR(_xlfn.LET(_xlpm.m,MATCH($B438,Feed!$A:$A,0),_xlpm.p,INDEX(Feed!$B:$B,_xlpm.m),_xlpm.c,INDEX(Feed!$G:$G,_xlpm.m),IF(AND(_xlpm.p&gt;0,_xlpm.c&gt;0),_xlpm.p/_xlpm.c-1,"")),"")</f>
        <v>5.3106122080966545E-2</v>
      </c>
      <c r="F438" s="23">
        <f>IF(ISNUMBER(E438),D438*E438,0)</f>
        <v>1.0947827066991254E-5</v>
      </c>
      <c r="G438" s="22">
        <f>IF(ISNUMBER(E438),D438,0)</f>
        <v>2.0615000000000002E-4</v>
      </c>
      <c r="H438" t="s">
        <v>40</v>
      </c>
      <c r="I438" s="21">
        <v>46288</v>
      </c>
    </row>
    <row r="439" spans="1:9" x14ac:dyDescent="0.15">
      <c r="A439" t="s">
        <v>36</v>
      </c>
      <c r="B439" t="s">
        <v>1002</v>
      </c>
      <c r="C439" t="s">
        <v>1003</v>
      </c>
      <c r="D439" s="22">
        <v>2.0591000000000001E-4</v>
      </c>
      <c r="E439" s="22">
        <f>IFERROR(_xlfn.LET(_xlpm.m,MATCH($B439,Feed!$A:$A,0),_xlpm.p,INDEX(Feed!$B:$B,_xlpm.m),_xlpm.c,INDEX(Feed!$G:$G,_xlpm.m),IF(AND(_xlpm.p&gt;0,_xlpm.c&gt;0),_xlpm.p/_xlpm.c-1,"")),"")</f>
        <v>2.8466175485599488E-2</v>
      </c>
      <c r="F439" s="23">
        <f>IF(ISNUMBER(E439),D439*E439,0)</f>
        <v>5.8614701942397906E-6</v>
      </c>
      <c r="G439" s="22">
        <f>IF(ISNUMBER(E439),D439,0)</f>
        <v>2.0591000000000001E-4</v>
      </c>
      <c r="H439" t="s">
        <v>40</v>
      </c>
      <c r="I439" s="21">
        <v>46288</v>
      </c>
    </row>
    <row r="440" spans="1:9" x14ac:dyDescent="0.15">
      <c r="A440" t="s">
        <v>36</v>
      </c>
      <c r="B440" t="s">
        <v>1000</v>
      </c>
      <c r="C440" t="s">
        <v>1001</v>
      </c>
      <c r="D440" s="22">
        <v>2.0580999999999998E-4</v>
      </c>
      <c r="E440" s="22">
        <f>IFERROR(_xlfn.LET(_xlpm.m,MATCH($B440,Feed!$A:$A,0),_xlpm.p,INDEX(Feed!$B:$B,_xlpm.m),_xlpm.c,INDEX(Feed!$G:$G,_xlpm.m),IF(AND(_xlpm.p&gt;0,_xlpm.c&gt;0),_xlpm.p/_xlpm.c-1,"")),"")</f>
        <v>2.1863015662521246E-2</v>
      </c>
      <c r="F440" s="23">
        <f>IF(ISNUMBER(E440),D440*E440,0)</f>
        <v>4.4996272535034973E-6</v>
      </c>
      <c r="G440" s="22">
        <f>IF(ISNUMBER(E440),D440,0)</f>
        <v>2.0580999999999998E-4</v>
      </c>
      <c r="H440" t="s">
        <v>40</v>
      </c>
      <c r="I440" s="21">
        <v>46288</v>
      </c>
    </row>
    <row r="441" spans="1:9" x14ac:dyDescent="0.15">
      <c r="A441" t="s">
        <v>36</v>
      </c>
      <c r="B441" t="s">
        <v>994</v>
      </c>
      <c r="C441" t="s">
        <v>995</v>
      </c>
      <c r="D441" s="22">
        <v>2.0536999999999999E-4</v>
      </c>
      <c r="E441" s="22">
        <f>IFERROR(_xlfn.LET(_xlpm.m,MATCH($B441,Feed!$A:$A,0),_xlpm.p,INDEX(Feed!$B:$B,_xlpm.m),_xlpm.c,INDEX(Feed!$G:$G,_xlpm.m),IF(AND(_xlpm.p&gt;0,_xlpm.c&gt;0),_xlpm.p/_xlpm.c-1,"")),"")</f>
        <v>1.0481493612839898E-2</v>
      </c>
      <c r="F441" s="23">
        <f>IF(ISNUMBER(E441),D441*E441,0)</f>
        <v>2.15258434326893E-6</v>
      </c>
      <c r="G441" s="22">
        <f>IF(ISNUMBER(E441),D441,0)</f>
        <v>2.0536999999999999E-4</v>
      </c>
      <c r="H441" t="s">
        <v>40</v>
      </c>
      <c r="I441" s="21">
        <v>46288</v>
      </c>
    </row>
    <row r="442" spans="1:9" x14ac:dyDescent="0.15">
      <c r="A442" t="s">
        <v>36</v>
      </c>
      <c r="B442" t="s">
        <v>1008</v>
      </c>
      <c r="C442" t="s">
        <v>1009</v>
      </c>
      <c r="D442" s="22">
        <v>2.0417999999999999E-4</v>
      </c>
      <c r="E442" s="22">
        <f>IFERROR(_xlfn.LET(_xlpm.m,MATCH($B442,Feed!$A:$A,0),_xlpm.p,INDEX(Feed!$B:$B,_xlpm.m),_xlpm.c,INDEX(Feed!$G:$G,_xlpm.m),IF(AND(_xlpm.p&gt;0,_xlpm.c&gt;0),_xlpm.p/_xlpm.c-1,"")),"")</f>
        <v>2.7916544225683015E-2</v>
      </c>
      <c r="F442" s="23">
        <f>IF(ISNUMBER(E442),D442*E442,0)</f>
        <v>5.6999999999999581E-6</v>
      </c>
      <c r="G442" s="22">
        <f>IF(ISNUMBER(E442),D442,0)</f>
        <v>2.0417999999999999E-4</v>
      </c>
      <c r="H442" t="s">
        <v>40</v>
      </c>
      <c r="I442" s="21">
        <v>46288</v>
      </c>
    </row>
    <row r="443" spans="1:9" x14ac:dyDescent="0.15">
      <c r="A443" t="s">
        <v>36</v>
      </c>
      <c r="B443" t="s">
        <v>1004</v>
      </c>
      <c r="C443" t="s">
        <v>1005</v>
      </c>
      <c r="D443" s="22">
        <v>2.0275000000000002E-4</v>
      </c>
      <c r="E443" s="22">
        <f>IFERROR(_xlfn.LET(_xlpm.m,MATCH($B443,Feed!$A:$A,0),_xlpm.p,INDEX(Feed!$B:$B,_xlpm.m),_xlpm.c,INDEX(Feed!$G:$G,_xlpm.m),IF(AND(_xlpm.p&gt;0,_xlpm.c&gt;0),_xlpm.p/_xlpm.c-1,"")),"")</f>
        <v>1.3519603424966053E-2</v>
      </c>
      <c r="F443" s="23">
        <f>IF(ISNUMBER(E443),D443*E443,0)</f>
        <v>2.7410995944118676E-6</v>
      </c>
      <c r="G443" s="22">
        <f>IF(ISNUMBER(E443),D443,0)</f>
        <v>2.0275000000000002E-4</v>
      </c>
      <c r="H443" t="s">
        <v>40</v>
      </c>
      <c r="I443" s="21">
        <v>46288</v>
      </c>
    </row>
    <row r="444" spans="1:9" x14ac:dyDescent="0.15">
      <c r="A444" t="s">
        <v>36</v>
      </c>
      <c r="B444" t="s">
        <v>992</v>
      </c>
      <c r="C444" t="s">
        <v>993</v>
      </c>
      <c r="D444" s="22">
        <v>2.0244000000000002E-4</v>
      </c>
      <c r="E444" s="22" t="str">
        <f>IFERROR(_xlfn.LET(_xlpm.m,MATCH($B444,Feed!$A:$A,0),_xlpm.p,INDEX(Feed!$B:$B,_xlpm.m),_xlpm.c,INDEX(Feed!$G:$G,_xlpm.m),IF(AND(_xlpm.p&gt;0,_xlpm.c&gt;0),_xlpm.p/_xlpm.c-1,"")),"")</f>
        <v/>
      </c>
      <c r="F444" s="23">
        <f>IF(ISNUMBER(E444),D444*E444,0)</f>
        <v>0</v>
      </c>
      <c r="G444" s="22">
        <f>IF(ISNUMBER(E444),D444,0)</f>
        <v>0</v>
      </c>
      <c r="H444" t="s">
        <v>40</v>
      </c>
      <c r="I444" s="21">
        <v>46288</v>
      </c>
    </row>
    <row r="445" spans="1:9" x14ac:dyDescent="0.15">
      <c r="A445" t="s">
        <v>36</v>
      </c>
      <c r="B445" t="s">
        <v>988</v>
      </c>
      <c r="C445" t="s">
        <v>989</v>
      </c>
      <c r="D445" s="22">
        <v>2.0136000000000001E-4</v>
      </c>
      <c r="E445" s="22">
        <f>IFERROR(_xlfn.LET(_xlpm.m,MATCH($B445,Feed!$A:$A,0),_xlpm.p,INDEX(Feed!$B:$B,_xlpm.m),_xlpm.c,INDEX(Feed!$G:$G,_xlpm.m),IF(AND(_xlpm.p&gt;0,_xlpm.c&gt;0),_xlpm.p/_xlpm.c-1,"")),"")</f>
        <v>-3.9506785246075982E-2</v>
      </c>
      <c r="F445" s="23">
        <f>IF(ISNUMBER(E445),D445*E445,0)</f>
        <v>-7.9550862771498608E-6</v>
      </c>
      <c r="G445" s="22">
        <f>IF(ISNUMBER(E445),D445,0)</f>
        <v>2.0136000000000001E-4</v>
      </c>
      <c r="H445" t="s">
        <v>40</v>
      </c>
      <c r="I445" s="21">
        <v>46288</v>
      </c>
    </row>
    <row r="446" spans="1:9" x14ac:dyDescent="0.15">
      <c r="A446" t="s">
        <v>36</v>
      </c>
      <c r="B446" t="s">
        <v>1006</v>
      </c>
      <c r="C446" t="s">
        <v>1007</v>
      </c>
      <c r="D446" s="22">
        <v>1.9772999999999999E-4</v>
      </c>
      <c r="E446" s="22">
        <f>IFERROR(_xlfn.LET(_xlpm.m,MATCH($B446,Feed!$A:$A,0),_xlpm.p,INDEX(Feed!$B:$B,_xlpm.m),_xlpm.c,INDEX(Feed!$G:$G,_xlpm.m),IF(AND(_xlpm.p&gt;0,_xlpm.c&gt;0),_xlpm.p/_xlpm.c-1,"")),"")</f>
        <v>-1.0377484327064312E-2</v>
      </c>
      <c r="F446" s="23">
        <f>IF(ISNUMBER(E446),D446*E446,0)</f>
        <v>-2.0519399759904264E-6</v>
      </c>
      <c r="G446" s="22">
        <f>IF(ISNUMBER(E446),D446,0)</f>
        <v>1.9772999999999999E-4</v>
      </c>
      <c r="H446" t="s">
        <v>40</v>
      </c>
      <c r="I446" s="21">
        <v>46288</v>
      </c>
    </row>
    <row r="447" spans="1:9" x14ac:dyDescent="0.15">
      <c r="A447" t="s">
        <v>36</v>
      </c>
      <c r="B447" t="s">
        <v>1016</v>
      </c>
      <c r="C447" t="s">
        <v>1017</v>
      </c>
      <c r="D447" s="22">
        <v>1.9751000000000002E-4</v>
      </c>
      <c r="E447" s="22">
        <f>IFERROR(_xlfn.LET(_xlpm.m,MATCH($B447,Feed!$A:$A,0),_xlpm.p,INDEX(Feed!$B:$B,_xlpm.m),_xlpm.c,INDEX(Feed!$G:$G,_xlpm.m),IF(AND(_xlpm.p&gt;0,_xlpm.c&gt;0),_xlpm.p/_xlpm.c-1,"")),"")</f>
        <v>2.1399529210357482E-2</v>
      </c>
      <c r="F447" s="23">
        <f>IF(ISNUMBER(E447),D447*E447,0)</f>
        <v>4.2266210143377066E-6</v>
      </c>
      <c r="G447" s="22">
        <f>IF(ISNUMBER(E447),D447,0)</f>
        <v>1.9751000000000002E-4</v>
      </c>
      <c r="H447" t="s">
        <v>40</v>
      </c>
      <c r="I447" s="21">
        <v>46288</v>
      </c>
    </row>
    <row r="448" spans="1:9" x14ac:dyDescent="0.15">
      <c r="A448" t="s">
        <v>36</v>
      </c>
      <c r="B448" t="s">
        <v>1020</v>
      </c>
      <c r="C448" t="s">
        <v>1021</v>
      </c>
      <c r="D448" s="22">
        <v>1.9722000000000001E-4</v>
      </c>
      <c r="E448" s="22">
        <f>IFERROR(_xlfn.LET(_xlpm.m,MATCH($B448,Feed!$A:$A,0),_xlpm.p,INDEX(Feed!$B:$B,_xlpm.m),_xlpm.c,INDEX(Feed!$G:$G,_xlpm.m),IF(AND(_xlpm.p&gt;0,_xlpm.c&gt;0),_xlpm.p/_xlpm.c-1,"")),"")</f>
        <v>2.6116510643372504E-2</v>
      </c>
      <c r="F448" s="23">
        <f>IF(ISNUMBER(E448),D448*E448,0)</f>
        <v>5.1506982290859255E-6</v>
      </c>
      <c r="G448" s="22">
        <f>IF(ISNUMBER(E448),D448,0)</f>
        <v>1.9722000000000001E-4</v>
      </c>
      <c r="H448" t="s">
        <v>40</v>
      </c>
      <c r="I448" s="21">
        <v>46288</v>
      </c>
    </row>
    <row r="449" spans="1:9" x14ac:dyDescent="0.15">
      <c r="A449" t="s">
        <v>36</v>
      </c>
      <c r="B449" t="s">
        <v>996</v>
      </c>
      <c r="C449" t="s">
        <v>997</v>
      </c>
      <c r="D449" s="22">
        <v>1.9708E-4</v>
      </c>
      <c r="E449" s="22">
        <f>IFERROR(_xlfn.LET(_xlpm.m,MATCH($B449,Feed!$A:$A,0),_xlpm.p,INDEX(Feed!$B:$B,_xlpm.m),_xlpm.c,INDEX(Feed!$G:$G,_xlpm.m),IF(AND(_xlpm.p&gt;0,_xlpm.c&gt;0),_xlpm.p/_xlpm.c-1,"")),"")</f>
        <v>-2.658286241494634E-2</v>
      </c>
      <c r="F449" s="23">
        <f>IF(ISNUMBER(E449),D449*E449,0)</f>
        <v>-5.2389505247376249E-6</v>
      </c>
      <c r="G449" s="22">
        <f>IF(ISNUMBER(E449),D449,0)</f>
        <v>1.9708E-4</v>
      </c>
      <c r="H449" t="s">
        <v>40</v>
      </c>
      <c r="I449" s="21">
        <v>46288</v>
      </c>
    </row>
    <row r="450" spans="1:9" x14ac:dyDescent="0.15">
      <c r="A450" t="s">
        <v>36</v>
      </c>
      <c r="B450" t="s">
        <v>1014</v>
      </c>
      <c r="C450" t="s">
        <v>1015</v>
      </c>
      <c r="D450" s="22">
        <v>1.9594E-4</v>
      </c>
      <c r="E450" s="22">
        <f>IFERROR(_xlfn.LET(_xlpm.m,MATCH($B450,Feed!$A:$A,0),_xlpm.p,INDEX(Feed!$B:$B,_xlpm.m),_xlpm.c,INDEX(Feed!$G:$G,_xlpm.m),IF(AND(_xlpm.p&gt;0,_xlpm.c&gt;0),_xlpm.p/_xlpm.c-1,"")),"")</f>
        <v>1.7111522198731244E-2</v>
      </c>
      <c r="F450" s="23">
        <f>IF(ISNUMBER(E450),D450*E450,0)</f>
        <v>3.3528316596193997E-6</v>
      </c>
      <c r="G450" s="22">
        <f>IF(ISNUMBER(E450),D450,0)</f>
        <v>1.9594E-4</v>
      </c>
      <c r="H450" t="s">
        <v>40</v>
      </c>
      <c r="I450" s="21">
        <v>46288</v>
      </c>
    </row>
    <row r="451" spans="1:9" x14ac:dyDescent="0.15">
      <c r="A451" t="s">
        <v>36</v>
      </c>
      <c r="B451" t="s">
        <v>984</v>
      </c>
      <c r="C451" t="s">
        <v>985</v>
      </c>
      <c r="D451" s="22">
        <v>1.9591999999999998E-4</v>
      </c>
      <c r="E451" s="22">
        <f>IFERROR(_xlfn.LET(_xlpm.m,MATCH($B451,Feed!$A:$A,0),_xlpm.p,INDEX(Feed!$B:$B,_xlpm.m),_xlpm.c,INDEX(Feed!$G:$G,_xlpm.m),IF(AND(_xlpm.p&gt;0,_xlpm.c&gt;0),_xlpm.p/_xlpm.c-1,"")),"")</f>
        <v>-8.5588671295934948E-2</v>
      </c>
      <c r="F451" s="23">
        <f>IF(ISNUMBER(E451),D451*E451,0)</f>
        <v>-1.6768532480299575E-5</v>
      </c>
      <c r="G451" s="22">
        <f>IF(ISNUMBER(E451),D451,0)</f>
        <v>1.9591999999999998E-4</v>
      </c>
      <c r="H451" t="s">
        <v>40</v>
      </c>
      <c r="I451" s="21">
        <v>46288</v>
      </c>
    </row>
    <row r="452" spans="1:9" x14ac:dyDescent="0.15">
      <c r="A452" t="s">
        <v>36</v>
      </c>
      <c r="B452" t="s">
        <v>1026</v>
      </c>
      <c r="C452" t="s">
        <v>1027</v>
      </c>
      <c r="D452" s="22">
        <v>1.95E-4</v>
      </c>
      <c r="E452" s="22">
        <f>IFERROR(_xlfn.LET(_xlpm.m,MATCH($B452,Feed!$A:$A,0),_xlpm.p,INDEX(Feed!$B:$B,_xlpm.m),_xlpm.c,INDEX(Feed!$G:$G,_xlpm.m),IF(AND(_xlpm.p&gt;0,_xlpm.c&gt;0),_xlpm.p/_xlpm.c-1,"")),"")</f>
        <v>3.2706654729931284E-2</v>
      </c>
      <c r="F452" s="23">
        <f>IF(ISNUMBER(E452),D452*E452,0)</f>
        <v>6.3777976723366001E-6</v>
      </c>
      <c r="G452" s="22">
        <f>IF(ISNUMBER(E452),D452,0)</f>
        <v>1.95E-4</v>
      </c>
      <c r="H452" t="s">
        <v>40</v>
      </c>
      <c r="I452" s="21">
        <v>46288</v>
      </c>
    </row>
    <row r="453" spans="1:9" x14ac:dyDescent="0.15">
      <c r="A453" t="s">
        <v>36</v>
      </c>
      <c r="B453" t="s">
        <v>1010</v>
      </c>
      <c r="C453" t="s">
        <v>1011</v>
      </c>
      <c r="D453" s="22">
        <v>1.9359000000000002E-4</v>
      </c>
      <c r="E453" s="22">
        <f>IFERROR(_xlfn.LET(_xlpm.m,MATCH($B453,Feed!$A:$A,0),_xlpm.p,INDEX(Feed!$B:$B,_xlpm.m),_xlpm.c,INDEX(Feed!$G:$G,_xlpm.m),IF(AND(_xlpm.p&gt;0,_xlpm.c&gt;0),_xlpm.p/_xlpm.c-1,"")),"")</f>
        <v>-1.4965433102887338E-2</v>
      </c>
      <c r="F453" s="23">
        <f>IF(ISNUMBER(E453),D453*E453,0)</f>
        <v>-2.8971581943879599E-6</v>
      </c>
      <c r="G453" s="22">
        <f>IF(ISNUMBER(E453),D453,0)</f>
        <v>1.9359000000000002E-4</v>
      </c>
      <c r="H453" t="s">
        <v>40</v>
      </c>
      <c r="I453" s="21">
        <v>46288</v>
      </c>
    </row>
    <row r="454" spans="1:9" x14ac:dyDescent="0.15">
      <c r="A454" t="s">
        <v>36</v>
      </c>
      <c r="B454" t="s">
        <v>1018</v>
      </c>
      <c r="C454" t="s">
        <v>1019</v>
      </c>
      <c r="D454" s="22">
        <v>1.9210000000000001E-4</v>
      </c>
      <c r="E454" s="22">
        <f>IFERROR(_xlfn.LET(_xlpm.m,MATCH($B454,Feed!$A:$A,0),_xlpm.p,INDEX(Feed!$B:$B,_xlpm.m),_xlpm.c,INDEX(Feed!$G:$G,_xlpm.m),IF(AND(_xlpm.p&gt;0,_xlpm.c&gt;0),_xlpm.p/_xlpm.c-1,"")),"")</f>
        <v>-2.6842513576415872E-2</v>
      </c>
      <c r="F454" s="23">
        <f>IF(ISNUMBER(E454),D454*E454,0)</f>
        <v>-5.1564468580294893E-6</v>
      </c>
      <c r="G454" s="22">
        <f>IF(ISNUMBER(E454),D454,0)</f>
        <v>1.9210000000000001E-4</v>
      </c>
      <c r="H454" t="s">
        <v>40</v>
      </c>
      <c r="I454" s="21">
        <v>46288</v>
      </c>
    </row>
    <row r="455" spans="1:9" x14ac:dyDescent="0.15">
      <c r="A455" t="s">
        <v>36</v>
      </c>
      <c r="B455" t="s">
        <v>1022</v>
      </c>
      <c r="C455" t="s">
        <v>1023</v>
      </c>
      <c r="D455" s="22">
        <v>1.9192000000000002E-4</v>
      </c>
      <c r="E455" s="22">
        <f>IFERROR(_xlfn.LET(_xlpm.m,MATCH($B455,Feed!$A:$A,0),_xlpm.p,INDEX(Feed!$B:$B,_xlpm.m),_xlpm.c,INDEX(Feed!$G:$G,_xlpm.m),IF(AND(_xlpm.p&gt;0,_xlpm.c&gt;0),_xlpm.p/_xlpm.c-1,"")),"")</f>
        <v>-1.013057181449839E-3</v>
      </c>
      <c r="F455" s="23">
        <f>IF(ISNUMBER(E455),D455*E455,0)</f>
        <v>-1.9442593426385311E-7</v>
      </c>
      <c r="G455" s="22">
        <f>IF(ISNUMBER(E455),D455,0)</f>
        <v>1.9192000000000002E-4</v>
      </c>
      <c r="H455" t="s">
        <v>40</v>
      </c>
      <c r="I455" s="21">
        <v>46288</v>
      </c>
    </row>
    <row r="456" spans="1:9" x14ac:dyDescent="0.15">
      <c r="A456" t="s">
        <v>36</v>
      </c>
      <c r="B456" t="s">
        <v>1028</v>
      </c>
      <c r="C456" t="s">
        <v>1029</v>
      </c>
      <c r="D456" s="22">
        <v>1.8869000000000001E-4</v>
      </c>
      <c r="E456" s="22">
        <f>IFERROR(_xlfn.LET(_xlpm.m,MATCH($B456,Feed!$A:$A,0),_xlpm.p,INDEX(Feed!$B:$B,_xlpm.m),_xlpm.c,INDEX(Feed!$G:$G,_xlpm.m),IF(AND(_xlpm.p&gt;0,_xlpm.c&gt;0),_xlpm.p/_xlpm.c-1,"")),"")</f>
        <v>1.4367816091954033E-2</v>
      </c>
      <c r="F456" s="23">
        <f>IF(ISNUMBER(E456),D456*E456,0)</f>
        <v>2.7110632183908066E-6</v>
      </c>
      <c r="G456" s="22">
        <f>IF(ISNUMBER(E456),D456,0)</f>
        <v>1.8869000000000001E-4</v>
      </c>
      <c r="H456" t="s">
        <v>40</v>
      </c>
      <c r="I456" s="21">
        <v>46288</v>
      </c>
    </row>
    <row r="457" spans="1:9" x14ac:dyDescent="0.15">
      <c r="A457" t="s">
        <v>36</v>
      </c>
      <c r="B457" t="s">
        <v>1024</v>
      </c>
      <c r="C457" t="s">
        <v>1025</v>
      </c>
      <c r="D457" s="22">
        <v>1.8842000000000002E-4</v>
      </c>
      <c r="E457" s="22" t="str">
        <f>IFERROR(_xlfn.LET(_xlpm.m,MATCH($B457,Feed!$A:$A,0),_xlpm.p,INDEX(Feed!$B:$B,_xlpm.m),_xlpm.c,INDEX(Feed!$G:$G,_xlpm.m),IF(AND(_xlpm.p&gt;0,_xlpm.c&gt;0),_xlpm.p/_xlpm.c-1,"")),"")</f>
        <v/>
      </c>
      <c r="F457" s="23">
        <f>IF(ISNUMBER(E457),D457*E457,0)</f>
        <v>0</v>
      </c>
      <c r="G457" s="22">
        <f>IF(ISNUMBER(E457),D457,0)</f>
        <v>0</v>
      </c>
      <c r="H457" t="s">
        <v>40</v>
      </c>
      <c r="I457" s="21">
        <v>46288</v>
      </c>
    </row>
    <row r="458" spans="1:9" x14ac:dyDescent="0.15">
      <c r="A458" t="s">
        <v>36</v>
      </c>
      <c r="B458" t="s">
        <v>1032</v>
      </c>
      <c r="C458" t="s">
        <v>1033</v>
      </c>
      <c r="D458" s="22">
        <v>1.8592999999999998E-4</v>
      </c>
      <c r="E458" s="22">
        <f>IFERROR(_xlfn.LET(_xlpm.m,MATCH($B458,Feed!$A:$A,0),_xlpm.p,INDEX(Feed!$B:$B,_xlpm.m),_xlpm.c,INDEX(Feed!$G:$G,_xlpm.m),IF(AND(_xlpm.p&gt;0,_xlpm.c&gt;0),_xlpm.p/_xlpm.c-1,"")),"")</f>
        <v>8.0032833983172402E-3</v>
      </c>
      <c r="F458" s="23">
        <f>IF(ISNUMBER(E458),D458*E458,0)</f>
        <v>1.4880504822491242E-6</v>
      </c>
      <c r="G458" s="22">
        <f>IF(ISNUMBER(E458),D458,0)</f>
        <v>1.8592999999999998E-4</v>
      </c>
      <c r="H458" t="s">
        <v>40</v>
      </c>
      <c r="I458" s="21">
        <v>46288</v>
      </c>
    </row>
    <row r="459" spans="1:9" x14ac:dyDescent="0.15">
      <c r="A459" t="s">
        <v>36</v>
      </c>
      <c r="B459" t="s">
        <v>1040</v>
      </c>
      <c r="C459" t="s">
        <v>1041</v>
      </c>
      <c r="D459" s="22">
        <v>1.8412999999999999E-4</v>
      </c>
      <c r="E459" s="22">
        <f>IFERROR(_xlfn.LET(_xlpm.m,MATCH($B459,Feed!$A:$A,0),_xlpm.p,INDEX(Feed!$B:$B,_xlpm.m),_xlpm.c,INDEX(Feed!$G:$G,_xlpm.m),IF(AND(_xlpm.p&gt;0,_xlpm.c&gt;0),_xlpm.p/_xlpm.c-1,"")),"")</f>
        <v>3.8596491228070073E-2</v>
      </c>
      <c r="F459" s="23">
        <f>IF(ISNUMBER(E459),D459*E459,0)</f>
        <v>7.1067719298245421E-6</v>
      </c>
      <c r="G459" s="22">
        <f>IF(ISNUMBER(E459),D459,0)</f>
        <v>1.8412999999999999E-4</v>
      </c>
      <c r="H459" t="s">
        <v>40</v>
      </c>
      <c r="I459" s="21">
        <v>46288</v>
      </c>
    </row>
    <row r="460" spans="1:9" x14ac:dyDescent="0.15">
      <c r="A460" t="s">
        <v>36</v>
      </c>
      <c r="B460" t="s">
        <v>1030</v>
      </c>
      <c r="C460" t="s">
        <v>1031</v>
      </c>
      <c r="D460" s="22">
        <v>1.8321E-4</v>
      </c>
      <c r="E460" s="22">
        <f>IFERROR(_xlfn.LET(_xlpm.m,MATCH($B460,Feed!$A:$A,0),_xlpm.p,INDEX(Feed!$B:$B,_xlpm.m),_xlpm.c,INDEX(Feed!$G:$G,_xlpm.m),IF(AND(_xlpm.p&gt;0,_xlpm.c&gt;0),_xlpm.p/_xlpm.c-1,"")),"")</f>
        <v>-7.5368276807125101E-3</v>
      </c>
      <c r="F460" s="23">
        <f>IF(ISNUMBER(E460),D460*E460,0)</f>
        <v>-1.3808221993833391E-6</v>
      </c>
      <c r="G460" s="22">
        <f>IF(ISNUMBER(E460),D460,0)</f>
        <v>1.8321E-4</v>
      </c>
      <c r="H460" t="s">
        <v>40</v>
      </c>
      <c r="I460" s="21">
        <v>46288</v>
      </c>
    </row>
    <row r="461" spans="1:9" x14ac:dyDescent="0.15">
      <c r="A461" t="s">
        <v>36</v>
      </c>
      <c r="B461" t="s">
        <v>1036</v>
      </c>
      <c r="C461" t="s">
        <v>1037</v>
      </c>
      <c r="D461" s="22">
        <v>1.8162999999999998E-4</v>
      </c>
      <c r="E461" s="22">
        <f>IFERROR(_xlfn.LET(_xlpm.m,MATCH($B461,Feed!$A:$A,0),_xlpm.p,INDEX(Feed!$B:$B,_xlpm.m),_xlpm.c,INDEX(Feed!$G:$G,_xlpm.m),IF(AND(_xlpm.p&gt;0,_xlpm.c&gt;0),_xlpm.p/_xlpm.c-1,"")),"")</f>
        <v>2.4674434544207369E-3</v>
      </c>
      <c r="F461" s="23">
        <f>IF(ISNUMBER(E461),D461*E461,0)</f>
        <v>4.4816175462643838E-7</v>
      </c>
      <c r="G461" s="22">
        <f>IF(ISNUMBER(E461),D461,0)</f>
        <v>1.8162999999999998E-4</v>
      </c>
      <c r="H461" t="s">
        <v>40</v>
      </c>
      <c r="I461" s="21">
        <v>46288</v>
      </c>
    </row>
    <row r="462" spans="1:9" x14ac:dyDescent="0.15">
      <c r="A462" t="s">
        <v>36</v>
      </c>
      <c r="B462" t="s">
        <v>1034</v>
      </c>
      <c r="C462" t="s">
        <v>1035</v>
      </c>
      <c r="D462" s="22">
        <v>1.8018E-4</v>
      </c>
      <c r="E462" s="22">
        <f>IFERROR(_xlfn.LET(_xlpm.m,MATCH($B462,Feed!$A:$A,0),_xlpm.p,INDEX(Feed!$B:$B,_xlpm.m),_xlpm.c,INDEX(Feed!$G:$G,_xlpm.m),IF(AND(_xlpm.p&gt;0,_xlpm.c&gt;0),_xlpm.p/_xlpm.c-1,"")),"")</f>
        <v>-4.531430775163936E-3</v>
      </c>
      <c r="F462" s="23">
        <f>IF(ISNUMBER(E462),D462*E462,0)</f>
        <v>-8.1647319706903796E-7</v>
      </c>
      <c r="G462" s="22">
        <f>IF(ISNUMBER(E462),D462,0)</f>
        <v>1.8018E-4</v>
      </c>
      <c r="H462" t="s">
        <v>40</v>
      </c>
      <c r="I462" s="21">
        <v>46288</v>
      </c>
    </row>
    <row r="463" spans="1:9" x14ac:dyDescent="0.15">
      <c r="A463" t="s">
        <v>36</v>
      </c>
      <c r="B463" t="s">
        <v>1046</v>
      </c>
      <c r="C463" t="s">
        <v>1047</v>
      </c>
      <c r="D463" s="22">
        <v>1.7628000000000001E-4</v>
      </c>
      <c r="E463" s="22">
        <f>IFERROR(_xlfn.LET(_xlpm.m,MATCH($B463,Feed!$A:$A,0),_xlpm.p,INDEX(Feed!$B:$B,_xlpm.m),_xlpm.c,INDEX(Feed!$G:$G,_xlpm.m),IF(AND(_xlpm.p&gt;0,_xlpm.c&gt;0),_xlpm.p/_xlpm.c-1,"")),"")</f>
        <v>3.4657461793279998E-2</v>
      </c>
      <c r="F463" s="23">
        <f>IF(ISNUMBER(E463),D463*E463,0)</f>
        <v>6.1094173649193986E-6</v>
      </c>
      <c r="G463" s="22">
        <f>IF(ISNUMBER(E463),D463,0)</f>
        <v>1.7628000000000001E-4</v>
      </c>
      <c r="H463" t="s">
        <v>40</v>
      </c>
      <c r="I463" s="21">
        <v>46288</v>
      </c>
    </row>
    <row r="464" spans="1:9" x14ac:dyDescent="0.15">
      <c r="A464" t="s">
        <v>36</v>
      </c>
      <c r="B464" t="s">
        <v>1038</v>
      </c>
      <c r="C464" t="s">
        <v>1039</v>
      </c>
      <c r="D464" s="22">
        <v>1.7605999999999999E-4</v>
      </c>
      <c r="E464" s="22">
        <f>IFERROR(_xlfn.LET(_xlpm.m,MATCH($B464,Feed!$A:$A,0),_xlpm.p,INDEX(Feed!$B:$B,_xlpm.m),_xlpm.c,INDEX(Feed!$G:$G,_xlpm.m),IF(AND(_xlpm.p&gt;0,_xlpm.c&gt;0),_xlpm.p/_xlpm.c-1,"")),"")</f>
        <v>-1.1000343760742548E-2</v>
      </c>
      <c r="F464" s="23">
        <f>IF(ISNUMBER(E464),D464*E464,0)</f>
        <v>-1.9367205225163328E-6</v>
      </c>
      <c r="G464" s="22">
        <f>IF(ISNUMBER(E464),D464,0)</f>
        <v>1.7605999999999999E-4</v>
      </c>
      <c r="H464" t="s">
        <v>40</v>
      </c>
      <c r="I464" s="21">
        <v>46288</v>
      </c>
    </row>
    <row r="465" spans="1:9" x14ac:dyDescent="0.15">
      <c r="A465" t="s">
        <v>36</v>
      </c>
      <c r="B465" t="s">
        <v>1048</v>
      </c>
      <c r="C465" t="s">
        <v>1049</v>
      </c>
      <c r="D465" s="22">
        <v>1.7048000000000001E-4</v>
      </c>
      <c r="E465" s="22">
        <f>IFERROR(_xlfn.LET(_xlpm.m,MATCH($B465,Feed!$A:$A,0),_xlpm.p,INDEX(Feed!$B:$B,_xlpm.m),_xlpm.c,INDEX(Feed!$G:$G,_xlpm.m),IF(AND(_xlpm.p&gt;0,_xlpm.c&gt;0),_xlpm.p/_xlpm.c-1,"")),"")</f>
        <v>2.487218460688112E-3</v>
      </c>
      <c r="F465" s="23">
        <f>IF(ISNUMBER(E465),D465*E465,0)</f>
        <v>4.2402100317810937E-7</v>
      </c>
      <c r="G465" s="22">
        <f>IF(ISNUMBER(E465),D465,0)</f>
        <v>1.7048000000000001E-4</v>
      </c>
      <c r="H465" t="s">
        <v>40</v>
      </c>
      <c r="I465" s="21">
        <v>46288</v>
      </c>
    </row>
    <row r="466" spans="1:9" x14ac:dyDescent="0.15">
      <c r="A466" t="s">
        <v>36</v>
      </c>
      <c r="B466" t="s">
        <v>1044</v>
      </c>
      <c r="C466" t="s">
        <v>1045</v>
      </c>
      <c r="D466" s="22">
        <v>1.6929E-4</v>
      </c>
      <c r="E466" s="22" t="str">
        <f>IFERROR(_xlfn.LET(_xlpm.m,MATCH($B466,Feed!$A:$A,0),_xlpm.p,INDEX(Feed!$B:$B,_xlpm.m),_xlpm.c,INDEX(Feed!$G:$G,_xlpm.m),IF(AND(_xlpm.p&gt;0,_xlpm.c&gt;0),_xlpm.p/_xlpm.c-1,"")),"")</f>
        <v/>
      </c>
      <c r="F466" s="23">
        <f>IF(ISNUMBER(E466),D466*E466,0)</f>
        <v>0</v>
      </c>
      <c r="G466" s="22">
        <f>IF(ISNUMBER(E466),D466,0)</f>
        <v>0</v>
      </c>
      <c r="H466" t="s">
        <v>40</v>
      </c>
      <c r="I466" s="21">
        <v>46288</v>
      </c>
    </row>
    <row r="467" spans="1:9" x14ac:dyDescent="0.15">
      <c r="A467" t="s">
        <v>36</v>
      </c>
      <c r="B467" t="s">
        <v>1050</v>
      </c>
      <c r="C467" t="s">
        <v>1051</v>
      </c>
      <c r="D467" s="22">
        <v>1.6731999999999999E-4</v>
      </c>
      <c r="E467" s="22">
        <f>IFERROR(_xlfn.LET(_xlpm.m,MATCH($B467,Feed!$A:$A,0),_xlpm.p,INDEX(Feed!$B:$B,_xlpm.m),_xlpm.c,INDEX(Feed!$G:$G,_xlpm.m),IF(AND(_xlpm.p&gt;0,_xlpm.c&gt;0),_xlpm.p/_xlpm.c-1,"")),"")</f>
        <v>-2.0606572968402403E-3</v>
      </c>
      <c r="F467" s="23">
        <f>IF(ISNUMBER(E467),D467*E467,0)</f>
        <v>-3.4478917890730902E-7</v>
      </c>
      <c r="G467" s="22">
        <f>IF(ISNUMBER(E467),D467,0)</f>
        <v>1.6731999999999999E-4</v>
      </c>
      <c r="H467" t="s">
        <v>40</v>
      </c>
      <c r="I467" s="21">
        <v>46288</v>
      </c>
    </row>
    <row r="468" spans="1:9" x14ac:dyDescent="0.15">
      <c r="A468" t="s">
        <v>36</v>
      </c>
      <c r="B468" t="s">
        <v>1042</v>
      </c>
      <c r="C468" t="s">
        <v>1043</v>
      </c>
      <c r="D468" s="22">
        <v>1.6681999999999998E-4</v>
      </c>
      <c r="E468" s="22">
        <f>IFERROR(_xlfn.LET(_xlpm.m,MATCH($B468,Feed!$A:$A,0),_xlpm.p,INDEX(Feed!$B:$B,_xlpm.m),_xlpm.c,INDEX(Feed!$G:$G,_xlpm.m),IF(AND(_xlpm.p&gt;0,_xlpm.c&gt;0),_xlpm.p/_xlpm.c-1,"")),"")</f>
        <v>-2.4929085751690949E-2</v>
      </c>
      <c r="F468" s="23">
        <f>IF(ISNUMBER(E468),D468*E468,0)</f>
        <v>-4.1586700850970838E-6</v>
      </c>
      <c r="G468" s="22">
        <f>IF(ISNUMBER(E468),D468,0)</f>
        <v>1.6681999999999998E-4</v>
      </c>
      <c r="H468" t="s">
        <v>40</v>
      </c>
      <c r="I468" s="21">
        <v>46288</v>
      </c>
    </row>
    <row r="469" spans="1:9" x14ac:dyDescent="0.15">
      <c r="A469" t="s">
        <v>36</v>
      </c>
      <c r="B469" t="s">
        <v>1064</v>
      </c>
      <c r="C469" t="s">
        <v>1065</v>
      </c>
      <c r="D469" s="22">
        <v>1.6275999999999999E-4</v>
      </c>
      <c r="E469" s="22">
        <f>IFERROR(_xlfn.LET(_xlpm.m,MATCH($B469,Feed!$A:$A,0),_xlpm.p,INDEX(Feed!$B:$B,_xlpm.m),_xlpm.c,INDEX(Feed!$G:$G,_xlpm.m),IF(AND(_xlpm.p&gt;0,_xlpm.c&gt;0),_xlpm.p/_xlpm.c-1,"")),"")</f>
        <v>5.7821741790740289E-2</v>
      </c>
      <c r="F469" s="23">
        <f>IF(ISNUMBER(E469),D469*E469,0)</f>
        <v>9.4110666938608885E-6</v>
      </c>
      <c r="G469" s="22">
        <f>IF(ISNUMBER(E469),D469,0)</f>
        <v>1.6275999999999999E-4</v>
      </c>
      <c r="H469" t="s">
        <v>40</v>
      </c>
      <c r="I469" s="21">
        <v>46288</v>
      </c>
    </row>
    <row r="470" spans="1:9" x14ac:dyDescent="0.15">
      <c r="A470" t="s">
        <v>36</v>
      </c>
      <c r="B470" t="s">
        <v>1056</v>
      </c>
      <c r="C470" t="s">
        <v>1057</v>
      </c>
      <c r="D470" s="22">
        <v>1.6163000000000001E-4</v>
      </c>
      <c r="E470" s="22">
        <f>IFERROR(_xlfn.LET(_xlpm.m,MATCH($B470,Feed!$A:$A,0),_xlpm.p,INDEX(Feed!$B:$B,_xlpm.m),_xlpm.c,INDEX(Feed!$G:$G,_xlpm.m),IF(AND(_xlpm.p&gt;0,_xlpm.c&gt;0),_xlpm.p/_xlpm.c-1,"")),"")</f>
        <v>0</v>
      </c>
      <c r="F470" s="23">
        <f>IF(ISNUMBER(E470),D470*E470,0)</f>
        <v>0</v>
      </c>
      <c r="G470" s="22">
        <f>IF(ISNUMBER(E470),D470,0)</f>
        <v>1.6163000000000001E-4</v>
      </c>
      <c r="H470" t="s">
        <v>40</v>
      </c>
      <c r="I470" s="21">
        <v>46288</v>
      </c>
    </row>
    <row r="471" spans="1:9" x14ac:dyDescent="0.15">
      <c r="A471" t="s">
        <v>36</v>
      </c>
      <c r="B471" t="s">
        <v>1062</v>
      </c>
      <c r="C471" t="s">
        <v>1063</v>
      </c>
      <c r="D471" s="22">
        <v>1.6053999999999998E-4</v>
      </c>
      <c r="E471" s="22">
        <f>IFERROR(_xlfn.LET(_xlpm.m,MATCH($B471,Feed!$A:$A,0),_xlpm.p,INDEX(Feed!$B:$B,_xlpm.m),_xlpm.c,INDEX(Feed!$G:$G,_xlpm.m),IF(AND(_xlpm.p&gt;0,_xlpm.c&gt;0),_xlpm.p/_xlpm.c-1,"")),"")</f>
        <v>1.7850312380466526E-2</v>
      </c>
      <c r="F471" s="23">
        <f>IF(ISNUMBER(E471),D471*E471,0)</f>
        <v>2.8656891495600957E-6</v>
      </c>
      <c r="G471" s="22">
        <f>IF(ISNUMBER(E471),D471,0)</f>
        <v>1.6053999999999998E-4</v>
      </c>
      <c r="H471" t="s">
        <v>40</v>
      </c>
      <c r="I471" s="21">
        <v>46288</v>
      </c>
    </row>
    <row r="472" spans="1:9" x14ac:dyDescent="0.15">
      <c r="A472" t="s">
        <v>36</v>
      </c>
      <c r="B472" t="s">
        <v>1054</v>
      </c>
      <c r="C472" t="s">
        <v>1055</v>
      </c>
      <c r="D472" s="22">
        <v>1.5990000000000001E-4</v>
      </c>
      <c r="E472" s="22">
        <f>IFERROR(_xlfn.LET(_xlpm.m,MATCH($B472,Feed!$A:$A,0),_xlpm.p,INDEX(Feed!$B:$B,_xlpm.m),_xlpm.c,INDEX(Feed!$G:$G,_xlpm.m),IF(AND(_xlpm.p&gt;0,_xlpm.c&gt;0),_xlpm.p/_xlpm.c-1,"")),"")</f>
        <v>-1.7797179314976486E-2</v>
      </c>
      <c r="F472" s="23">
        <f>IF(ISNUMBER(E472),D472*E472,0)</f>
        <v>-2.8457689724647403E-6</v>
      </c>
      <c r="G472" s="22">
        <f>IF(ISNUMBER(E472),D472,0)</f>
        <v>1.5990000000000001E-4</v>
      </c>
      <c r="H472" t="s">
        <v>40</v>
      </c>
      <c r="I472" s="21">
        <v>46288</v>
      </c>
    </row>
    <row r="473" spans="1:9" x14ac:dyDescent="0.15">
      <c r="A473" t="s">
        <v>36</v>
      </c>
      <c r="B473" t="s">
        <v>1058</v>
      </c>
      <c r="C473" t="s">
        <v>1059</v>
      </c>
      <c r="D473" s="22">
        <v>1.5924E-4</v>
      </c>
      <c r="E473" s="22">
        <f>IFERROR(_xlfn.LET(_xlpm.m,MATCH($B473,Feed!$A:$A,0),_xlpm.p,INDEX(Feed!$B:$B,_xlpm.m),_xlpm.c,INDEX(Feed!$G:$G,_xlpm.m),IF(AND(_xlpm.p&gt;0,_xlpm.c&gt;0),_xlpm.p/_xlpm.c-1,"")),"")</f>
        <v>-6.9999267023382883E-3</v>
      </c>
      <c r="F473" s="23">
        <f>IF(ISNUMBER(E473),D473*E473,0)</f>
        <v>-1.1146683280803491E-6</v>
      </c>
      <c r="G473" s="22">
        <f>IF(ISNUMBER(E473),D473,0)</f>
        <v>1.5924E-4</v>
      </c>
      <c r="H473" t="s">
        <v>40</v>
      </c>
      <c r="I473" s="21">
        <v>46288</v>
      </c>
    </row>
    <row r="474" spans="1:9" x14ac:dyDescent="0.15">
      <c r="A474" t="s">
        <v>36</v>
      </c>
      <c r="B474" t="s">
        <v>1068</v>
      </c>
      <c r="C474" t="s">
        <v>1069</v>
      </c>
      <c r="D474" s="22">
        <v>1.5877999999999999E-4</v>
      </c>
      <c r="E474" s="22">
        <f>IFERROR(_xlfn.LET(_xlpm.m,MATCH($B474,Feed!$A:$A,0),_xlpm.p,INDEX(Feed!$B:$B,_xlpm.m),_xlpm.c,INDEX(Feed!$G:$G,_xlpm.m),IF(AND(_xlpm.p&gt;0,_xlpm.c&gt;0),_xlpm.p/_xlpm.c-1,"")),"")</f>
        <v>4.8736462093863064E-2</v>
      </c>
      <c r="F474" s="23">
        <f>IF(ISNUMBER(E474),D474*E474,0)</f>
        <v>7.7383754512635775E-6</v>
      </c>
      <c r="G474" s="22">
        <f>IF(ISNUMBER(E474),D474,0)</f>
        <v>1.5877999999999999E-4</v>
      </c>
      <c r="H474" t="s">
        <v>40</v>
      </c>
      <c r="I474" s="21">
        <v>46288</v>
      </c>
    </row>
    <row r="475" spans="1:9" x14ac:dyDescent="0.15">
      <c r="A475" t="s">
        <v>36</v>
      </c>
      <c r="B475" t="s">
        <v>1052</v>
      </c>
      <c r="C475" t="s">
        <v>1053</v>
      </c>
      <c r="D475" s="22">
        <v>1.5873000000000002E-4</v>
      </c>
      <c r="E475" s="22">
        <f>IFERROR(_xlfn.LET(_xlpm.m,MATCH($B475,Feed!$A:$A,0),_xlpm.p,INDEX(Feed!$B:$B,_xlpm.m),_xlpm.c,INDEX(Feed!$G:$G,_xlpm.m),IF(AND(_xlpm.p&gt;0,_xlpm.c&gt;0),_xlpm.p/_xlpm.c-1,"")),"")</f>
        <v>-3.7132709073296688E-2</v>
      </c>
      <c r="F475" s="23">
        <f>IF(ISNUMBER(E475),D475*E475,0)</f>
        <v>-5.8940749112043842E-6</v>
      </c>
      <c r="G475" s="22">
        <f>IF(ISNUMBER(E475),D475,0)</f>
        <v>1.5873000000000002E-4</v>
      </c>
      <c r="H475" t="s">
        <v>40</v>
      </c>
      <c r="I475" s="21">
        <v>46288</v>
      </c>
    </row>
    <row r="476" spans="1:9" x14ac:dyDescent="0.15">
      <c r="A476" t="s">
        <v>36</v>
      </c>
      <c r="B476" t="s">
        <v>1060</v>
      </c>
      <c r="C476" t="s">
        <v>1061</v>
      </c>
      <c r="D476" s="22">
        <v>1.5838000000000001E-4</v>
      </c>
      <c r="E476" s="22">
        <f>IFERROR(_xlfn.LET(_xlpm.m,MATCH($B476,Feed!$A:$A,0),_xlpm.p,INDEX(Feed!$B:$B,_xlpm.m),_xlpm.c,INDEX(Feed!$G:$G,_xlpm.m),IF(AND(_xlpm.p&gt;0,_xlpm.c&gt;0),_xlpm.p/_xlpm.c-1,"")),"")</f>
        <v>-6.7430883344565817E-4</v>
      </c>
      <c r="F476" s="23">
        <f>IF(ISNUMBER(E476),D476*E476,0)</f>
        <v>-1.0679703304112334E-7</v>
      </c>
      <c r="G476" s="22">
        <f>IF(ISNUMBER(E476),D476,0)</f>
        <v>1.5838000000000001E-4</v>
      </c>
      <c r="H476" t="s">
        <v>40</v>
      </c>
      <c r="I476" s="21">
        <v>46288</v>
      </c>
    </row>
    <row r="477" spans="1:9" x14ac:dyDescent="0.15">
      <c r="A477" t="s">
        <v>36</v>
      </c>
      <c r="B477" t="s">
        <v>1072</v>
      </c>
      <c r="C477" t="s">
        <v>1073</v>
      </c>
      <c r="D477" s="22">
        <v>1.5343999999999999E-4</v>
      </c>
      <c r="E477" s="22">
        <f>IFERROR(_xlfn.LET(_xlpm.m,MATCH($B477,Feed!$A:$A,0),_xlpm.p,INDEX(Feed!$B:$B,_xlpm.m),_xlpm.c,INDEX(Feed!$G:$G,_xlpm.m),IF(AND(_xlpm.p&gt;0,_xlpm.c&gt;0),_xlpm.p/_xlpm.c-1,"")),"")</f>
        <v>1.8046541079626444E-2</v>
      </c>
      <c r="F477" s="23">
        <f>IF(ISNUMBER(E477),D477*E477,0)</f>
        <v>2.7690612632578814E-6</v>
      </c>
      <c r="G477" s="22">
        <f>IF(ISNUMBER(E477),D477,0)</f>
        <v>1.5343999999999999E-4</v>
      </c>
      <c r="H477" t="s">
        <v>40</v>
      </c>
      <c r="I477" s="21">
        <v>46288</v>
      </c>
    </row>
    <row r="478" spans="1:9" x14ac:dyDescent="0.15">
      <c r="A478" t="s">
        <v>36</v>
      </c>
      <c r="B478" t="s">
        <v>1066</v>
      </c>
      <c r="C478" t="s">
        <v>1067</v>
      </c>
      <c r="D478" s="22">
        <v>1.5181999999999999E-4</v>
      </c>
      <c r="E478" s="22">
        <f>IFERROR(_xlfn.LET(_xlpm.m,MATCH($B478,Feed!$A:$A,0),_xlpm.p,INDEX(Feed!$B:$B,_xlpm.m),_xlpm.c,INDEX(Feed!$G:$G,_xlpm.m),IF(AND(_xlpm.p&gt;0,_xlpm.c&gt;0),_xlpm.p/_xlpm.c-1,"")),"")</f>
        <v>-7.0035017508752739E-3</v>
      </c>
      <c r="F478" s="23">
        <f>IF(ISNUMBER(E478),D478*E478,0)</f>
        <v>-1.063271635817884E-6</v>
      </c>
      <c r="G478" s="22">
        <f>IF(ISNUMBER(E478),D478,0)</f>
        <v>1.5181999999999999E-4</v>
      </c>
      <c r="H478" t="s">
        <v>40</v>
      </c>
      <c r="I478" s="21">
        <v>46288</v>
      </c>
    </row>
    <row r="479" spans="1:9" x14ac:dyDescent="0.15">
      <c r="A479" t="s">
        <v>36</v>
      </c>
      <c r="B479" t="s">
        <v>1080</v>
      </c>
      <c r="C479" t="s">
        <v>1081</v>
      </c>
      <c r="D479" s="22">
        <v>1.5129E-4</v>
      </c>
      <c r="E479" s="22">
        <f>IFERROR(_xlfn.LET(_xlpm.m,MATCH($B479,Feed!$A:$A,0),_xlpm.p,INDEX(Feed!$B:$B,_xlpm.m),_xlpm.c,INDEX(Feed!$G:$G,_xlpm.m),IF(AND(_xlpm.p&gt;0,_xlpm.c&gt;0),_xlpm.p/_xlpm.c-1,"")),"")</f>
        <v>3.8479777792832293E-2</v>
      </c>
      <c r="F479" s="23">
        <f>IF(ISNUMBER(E479),D479*E479,0)</f>
        <v>5.8216055822775977E-6</v>
      </c>
      <c r="G479" s="22">
        <f>IF(ISNUMBER(E479),D479,0)</f>
        <v>1.5129E-4</v>
      </c>
      <c r="H479" t="s">
        <v>40</v>
      </c>
      <c r="I479" s="21">
        <v>46288</v>
      </c>
    </row>
    <row r="480" spans="1:9" x14ac:dyDescent="0.15">
      <c r="A480" t="s">
        <v>36</v>
      </c>
      <c r="B480" t="s">
        <v>1074</v>
      </c>
      <c r="C480" t="s">
        <v>1075</v>
      </c>
      <c r="D480" s="22">
        <v>1.5106000000000001E-4</v>
      </c>
      <c r="E480" s="22" t="str">
        <f>IFERROR(_xlfn.LET(_xlpm.m,MATCH($B480,Feed!$A:$A,0),_xlpm.p,INDEX(Feed!$B:$B,_xlpm.m),_xlpm.c,INDEX(Feed!$G:$G,_xlpm.m),IF(AND(_xlpm.p&gt;0,_xlpm.c&gt;0),_xlpm.p/_xlpm.c-1,"")),"")</f>
        <v/>
      </c>
      <c r="F480" s="23">
        <f>IF(ISNUMBER(E480),D480*E480,0)</f>
        <v>0</v>
      </c>
      <c r="G480" s="22">
        <f>IF(ISNUMBER(E480),D480,0)</f>
        <v>0</v>
      </c>
      <c r="H480" t="s">
        <v>40</v>
      </c>
      <c r="I480" s="21">
        <v>46288</v>
      </c>
    </row>
    <row r="481" spans="1:9" x14ac:dyDescent="0.15">
      <c r="A481" t="s">
        <v>36</v>
      </c>
      <c r="B481" t="s">
        <v>1076</v>
      </c>
      <c r="C481" t="s">
        <v>1077</v>
      </c>
      <c r="D481" s="22">
        <v>1.4958000000000001E-4</v>
      </c>
      <c r="E481" s="22">
        <f>IFERROR(_xlfn.LET(_xlpm.m,MATCH($B481,Feed!$A:$A,0),_xlpm.p,INDEX(Feed!$B:$B,_xlpm.m),_xlpm.c,INDEX(Feed!$G:$G,_xlpm.m),IF(AND(_xlpm.p&gt;0,_xlpm.c&gt;0),_xlpm.p/_xlpm.c-1,"")),"")</f>
        <v>1.9168684422921078E-3</v>
      </c>
      <c r="F481" s="23">
        <f>IF(ISNUMBER(E481),D481*E481,0)</f>
        <v>2.867251815980535E-7</v>
      </c>
      <c r="G481" s="22">
        <f>IF(ISNUMBER(E481),D481,0)</f>
        <v>1.4958000000000001E-4</v>
      </c>
      <c r="H481" t="s">
        <v>40</v>
      </c>
      <c r="I481" s="21">
        <v>46288</v>
      </c>
    </row>
    <row r="482" spans="1:9" x14ac:dyDescent="0.15">
      <c r="A482" t="s">
        <v>36</v>
      </c>
      <c r="B482" t="s">
        <v>1070</v>
      </c>
      <c r="C482" t="s">
        <v>1071</v>
      </c>
      <c r="D482" s="22">
        <v>1.4697000000000001E-4</v>
      </c>
      <c r="E482" s="22">
        <f>IFERROR(_xlfn.LET(_xlpm.m,MATCH($B482,Feed!$A:$A,0),_xlpm.p,INDEX(Feed!$B:$B,_xlpm.m),_xlpm.c,INDEX(Feed!$G:$G,_xlpm.m),IF(AND(_xlpm.p&gt;0,_xlpm.c&gt;0),_xlpm.p/_xlpm.c-1,"")),"")</f>
        <v>-2.6107176831201673E-2</v>
      </c>
      <c r="F482" s="23">
        <f>IF(ISNUMBER(E482),D482*E482,0)</f>
        <v>-3.8369717788817102E-6</v>
      </c>
      <c r="G482" s="22">
        <f>IF(ISNUMBER(E482),D482,0)</f>
        <v>1.4697000000000001E-4</v>
      </c>
      <c r="H482" t="s">
        <v>40</v>
      </c>
      <c r="I482" s="21">
        <v>46288</v>
      </c>
    </row>
    <row r="483" spans="1:9" x14ac:dyDescent="0.15">
      <c r="A483" t="s">
        <v>36</v>
      </c>
      <c r="B483" t="s">
        <v>1082</v>
      </c>
      <c r="C483" t="s">
        <v>1083</v>
      </c>
      <c r="D483" s="22">
        <v>1.4687000000000001E-4</v>
      </c>
      <c r="E483" s="22">
        <f>IFERROR(_xlfn.LET(_xlpm.m,MATCH($B483,Feed!$A:$A,0),_xlpm.p,INDEX(Feed!$B:$B,_xlpm.m),_xlpm.c,INDEX(Feed!$G:$G,_xlpm.m),IF(AND(_xlpm.p&gt;0,_xlpm.c&gt;0),_xlpm.p/_xlpm.c-1,"")),"")</f>
        <v>9.8912304554725772E-3</v>
      </c>
      <c r="F483" s="23">
        <f>IF(ISNUMBER(E483),D483*E483,0)</f>
        <v>1.4527250169952576E-6</v>
      </c>
      <c r="G483" s="22">
        <f>IF(ISNUMBER(E483),D483,0)</f>
        <v>1.4687000000000001E-4</v>
      </c>
      <c r="H483" t="s">
        <v>40</v>
      </c>
      <c r="I483" s="21">
        <v>46288</v>
      </c>
    </row>
    <row r="484" spans="1:9" x14ac:dyDescent="0.15">
      <c r="A484" t="s">
        <v>36</v>
      </c>
      <c r="B484" t="s">
        <v>1078</v>
      </c>
      <c r="C484" t="s">
        <v>1079</v>
      </c>
      <c r="D484" s="22">
        <v>1.4467000000000001E-4</v>
      </c>
      <c r="E484" s="22" t="str">
        <f>IFERROR(_xlfn.LET(_xlpm.m,MATCH($B484,Feed!$A:$A,0),_xlpm.p,INDEX(Feed!$B:$B,_xlpm.m),_xlpm.c,INDEX(Feed!$G:$G,_xlpm.m),IF(AND(_xlpm.p&gt;0,_xlpm.c&gt;0),_xlpm.p/_xlpm.c-1,"")),"")</f>
        <v/>
      </c>
      <c r="F484" s="23">
        <f>IF(ISNUMBER(E484),D484*E484,0)</f>
        <v>0</v>
      </c>
      <c r="G484" s="22">
        <f>IF(ISNUMBER(E484),D484,0)</f>
        <v>0</v>
      </c>
      <c r="H484" t="s">
        <v>40</v>
      </c>
      <c r="I484" s="21">
        <v>46288</v>
      </c>
    </row>
    <row r="485" spans="1:9" x14ac:dyDescent="0.15">
      <c r="A485" t="s">
        <v>36</v>
      </c>
      <c r="B485" t="s">
        <v>1086</v>
      </c>
      <c r="C485" t="s">
        <v>1087</v>
      </c>
      <c r="D485" s="22">
        <v>1.4467000000000001E-4</v>
      </c>
      <c r="E485" s="22">
        <f>IFERROR(_xlfn.LET(_xlpm.m,MATCH($B485,Feed!$A:$A,0),_xlpm.p,INDEX(Feed!$B:$B,_xlpm.m),_xlpm.c,INDEX(Feed!$G:$G,_xlpm.m),IF(AND(_xlpm.p&gt;0,_xlpm.c&gt;0),_xlpm.p/_xlpm.c-1,"")),"")</f>
        <v>1.3259327782916941E-2</v>
      </c>
      <c r="F485" s="23">
        <f>IF(ISNUMBER(E485),D485*E485,0)</f>
        <v>1.9182269503545941E-6</v>
      </c>
      <c r="G485" s="22">
        <f>IF(ISNUMBER(E485),D485,0)</f>
        <v>1.4467000000000001E-4</v>
      </c>
      <c r="H485" t="s">
        <v>40</v>
      </c>
      <c r="I485" s="21">
        <v>46288</v>
      </c>
    </row>
    <row r="486" spans="1:9" x14ac:dyDescent="0.15">
      <c r="A486" t="s">
        <v>36</v>
      </c>
      <c r="B486" t="s">
        <v>1084</v>
      </c>
      <c r="C486" t="s">
        <v>1085</v>
      </c>
      <c r="D486" s="22">
        <v>1.4395E-4</v>
      </c>
      <c r="E486" s="22">
        <f>IFERROR(_xlfn.LET(_xlpm.m,MATCH($B486,Feed!$A:$A,0),_xlpm.p,INDEX(Feed!$B:$B,_xlpm.m),_xlpm.c,INDEX(Feed!$G:$G,_xlpm.m),IF(AND(_xlpm.p&gt;0,_xlpm.c&gt;0),_xlpm.p/_xlpm.c-1,"")),"")</f>
        <v>3.6352620418056425E-3</v>
      </c>
      <c r="F486" s="23">
        <f>IF(ISNUMBER(E486),D486*E486,0)</f>
        <v>5.2329597091792222E-7</v>
      </c>
      <c r="G486" s="22">
        <f>IF(ISNUMBER(E486),D486,0)</f>
        <v>1.4395E-4</v>
      </c>
      <c r="H486" t="s">
        <v>40</v>
      </c>
      <c r="I486" s="21">
        <v>46288</v>
      </c>
    </row>
    <row r="487" spans="1:9" x14ac:dyDescent="0.15">
      <c r="A487" t="s">
        <v>36</v>
      </c>
      <c r="B487" t="s">
        <v>1088</v>
      </c>
      <c r="C487" t="s">
        <v>1089</v>
      </c>
      <c r="D487" s="22">
        <v>1.4159E-4</v>
      </c>
      <c r="E487" s="22">
        <f>IFERROR(_xlfn.LET(_xlpm.m,MATCH($B487,Feed!$A:$A,0),_xlpm.p,INDEX(Feed!$B:$B,_xlpm.m),_xlpm.c,INDEX(Feed!$G:$G,_xlpm.m),IF(AND(_xlpm.p&gt;0,_xlpm.c&gt;0),_xlpm.p/_xlpm.c-1,"")),"")</f>
        <v>2.0188116540490908E-2</v>
      </c>
      <c r="F487" s="23">
        <f>IF(ISNUMBER(E487),D487*E487,0)</f>
        <v>2.8584354209681076E-6</v>
      </c>
      <c r="G487" s="22">
        <f>IF(ISNUMBER(E487),D487,0)</f>
        <v>1.4159E-4</v>
      </c>
      <c r="H487" t="s">
        <v>40</v>
      </c>
      <c r="I487" s="21">
        <v>46288</v>
      </c>
    </row>
    <row r="488" spans="1:9" x14ac:dyDescent="0.15">
      <c r="A488" t="s">
        <v>36</v>
      </c>
      <c r="B488" t="s">
        <v>1090</v>
      </c>
      <c r="C488" t="s">
        <v>1091</v>
      </c>
      <c r="D488" s="22">
        <v>1.3850000000000001E-4</v>
      </c>
      <c r="E488" s="22" t="str">
        <f>IFERROR(_xlfn.LET(_xlpm.m,MATCH($B488,Feed!$A:$A,0),_xlpm.p,INDEX(Feed!$B:$B,_xlpm.m),_xlpm.c,INDEX(Feed!$G:$G,_xlpm.m),IF(AND(_xlpm.p&gt;0,_xlpm.c&gt;0),_xlpm.p/_xlpm.c-1,"")),"")</f>
        <v/>
      </c>
      <c r="F488" s="23">
        <f>IF(ISNUMBER(E488),D488*E488,0)</f>
        <v>0</v>
      </c>
      <c r="G488" s="22">
        <f>IF(ISNUMBER(E488),D488,0)</f>
        <v>0</v>
      </c>
      <c r="H488" t="s">
        <v>40</v>
      </c>
      <c r="I488" s="21">
        <v>46288</v>
      </c>
    </row>
    <row r="489" spans="1:9" x14ac:dyDescent="0.15">
      <c r="A489" t="s">
        <v>36</v>
      </c>
      <c r="B489" t="s">
        <v>1092</v>
      </c>
      <c r="C489" t="s">
        <v>1093</v>
      </c>
      <c r="D489" s="22">
        <v>1.3435000000000001E-4</v>
      </c>
      <c r="E489" s="22" t="str">
        <f>IFERROR(_xlfn.LET(_xlpm.m,MATCH($B489,Feed!$A:$A,0),_xlpm.p,INDEX(Feed!$B:$B,_xlpm.m),_xlpm.c,INDEX(Feed!$G:$G,_xlpm.m),IF(AND(_xlpm.p&gt;0,_xlpm.c&gt;0),_xlpm.p/_xlpm.c-1,"")),"")</f>
        <v/>
      </c>
      <c r="F489" s="23">
        <f>IF(ISNUMBER(E489),D489*E489,0)</f>
        <v>0</v>
      </c>
      <c r="G489" s="22">
        <f>IF(ISNUMBER(E489),D489,0)</f>
        <v>0</v>
      </c>
      <c r="H489" t="s">
        <v>40</v>
      </c>
      <c r="I489" s="21">
        <v>46288</v>
      </c>
    </row>
    <row r="490" spans="1:9" x14ac:dyDescent="0.15">
      <c r="A490" t="s">
        <v>36</v>
      </c>
      <c r="B490" t="s">
        <v>1094</v>
      </c>
      <c r="C490" t="s">
        <v>1095</v>
      </c>
      <c r="D490" s="22">
        <v>1.3056999999999999E-4</v>
      </c>
      <c r="E490" s="22">
        <f>IFERROR(_xlfn.LET(_xlpm.m,MATCH($B490,Feed!$A:$A,0),_xlpm.p,INDEX(Feed!$B:$B,_xlpm.m),_xlpm.c,INDEX(Feed!$G:$G,_xlpm.m),IF(AND(_xlpm.p&gt;0,_xlpm.c&gt;0),_xlpm.p/_xlpm.c-1,"")),"")</f>
        <v>-4.0573437922640787E-3</v>
      </c>
      <c r="F490" s="23">
        <f>IF(ISNUMBER(E490),D490*E490,0)</f>
        <v>-5.2976737895592076E-7</v>
      </c>
      <c r="G490" s="22">
        <f>IF(ISNUMBER(E490),D490,0)</f>
        <v>1.3056999999999999E-4</v>
      </c>
      <c r="H490" t="s">
        <v>40</v>
      </c>
      <c r="I490" s="21">
        <v>46288</v>
      </c>
    </row>
    <row r="491" spans="1:9" x14ac:dyDescent="0.15">
      <c r="A491" t="s">
        <v>36</v>
      </c>
      <c r="B491" t="s">
        <v>1098</v>
      </c>
      <c r="C491" t="s">
        <v>1099</v>
      </c>
      <c r="D491" s="22">
        <v>1.2682000000000001E-4</v>
      </c>
      <c r="E491" s="22">
        <f>IFERROR(_xlfn.LET(_xlpm.m,MATCH($B491,Feed!$A:$A,0),_xlpm.p,INDEX(Feed!$B:$B,_xlpm.m),_xlpm.c,INDEX(Feed!$G:$G,_xlpm.m),IF(AND(_xlpm.p&gt;0,_xlpm.c&gt;0),_xlpm.p/_xlpm.c-1,"")),"")</f>
        <v>2.6173708920187888E-2</v>
      </c>
      <c r="F491" s="23">
        <f>IF(ISNUMBER(E491),D491*E491,0)</f>
        <v>3.3193497652582283E-6</v>
      </c>
      <c r="G491" s="22">
        <f>IF(ISNUMBER(E491),D491,0)</f>
        <v>1.2682000000000001E-4</v>
      </c>
      <c r="H491" t="s">
        <v>40</v>
      </c>
      <c r="I491" s="21">
        <v>46288</v>
      </c>
    </row>
    <row r="492" spans="1:9" x14ac:dyDescent="0.15">
      <c r="A492" t="s">
        <v>36</v>
      </c>
      <c r="B492" t="s">
        <v>1096</v>
      </c>
      <c r="C492" t="s">
        <v>1097</v>
      </c>
      <c r="D492" s="22">
        <v>1.261E-4</v>
      </c>
      <c r="E492" s="22">
        <f>IFERROR(_xlfn.LET(_xlpm.m,MATCH($B492,Feed!$A:$A,0),_xlpm.p,INDEX(Feed!$B:$B,_xlpm.m),_xlpm.c,INDEX(Feed!$G:$G,_xlpm.m),IF(AND(_xlpm.p&gt;0,_xlpm.c&gt;0),_xlpm.p/_xlpm.c-1,"")),"")</f>
        <v>1.0318949343339767E-2</v>
      </c>
      <c r="F492" s="23">
        <f>IF(ISNUMBER(E492),D492*E492,0)</f>
        <v>1.3012195121951447E-6</v>
      </c>
      <c r="G492" s="22">
        <f>IF(ISNUMBER(E492),D492,0)</f>
        <v>1.261E-4</v>
      </c>
      <c r="H492" t="s">
        <v>40</v>
      </c>
      <c r="I492" s="21">
        <v>46288</v>
      </c>
    </row>
    <row r="493" spans="1:9" x14ac:dyDescent="0.15">
      <c r="A493" t="s">
        <v>36</v>
      </c>
      <c r="B493" t="s">
        <v>1100</v>
      </c>
      <c r="C493" t="s">
        <v>1101</v>
      </c>
      <c r="D493" s="22">
        <v>1.1865000000000001E-4</v>
      </c>
      <c r="E493" s="22">
        <f>IFERROR(_xlfn.LET(_xlpm.m,MATCH($B493,Feed!$A:$A,0),_xlpm.p,INDEX(Feed!$B:$B,_xlpm.m),_xlpm.c,INDEX(Feed!$G:$G,_xlpm.m),IF(AND(_xlpm.p&gt;0,_xlpm.c&gt;0),_xlpm.p/_xlpm.c-1,"")),"")</f>
        <v>1.0212418300653558E-2</v>
      </c>
      <c r="F493" s="23">
        <f>IF(ISNUMBER(E493),D493*E493,0)</f>
        <v>1.2117034313725448E-6</v>
      </c>
      <c r="G493" s="22">
        <f>IF(ISNUMBER(E493),D493,0)</f>
        <v>1.1865000000000001E-4</v>
      </c>
      <c r="H493" t="s">
        <v>40</v>
      </c>
      <c r="I493" s="21">
        <v>46288</v>
      </c>
    </row>
    <row r="494" spans="1:9" x14ac:dyDescent="0.15">
      <c r="A494" t="s">
        <v>36</v>
      </c>
      <c r="B494" t="s">
        <v>1102</v>
      </c>
      <c r="C494" t="s">
        <v>1103</v>
      </c>
      <c r="D494" s="22">
        <v>1.1509E-4</v>
      </c>
      <c r="E494" s="22">
        <f>IFERROR(_xlfn.LET(_xlpm.m,MATCH($B494,Feed!$A:$A,0),_xlpm.p,INDEX(Feed!$B:$B,_xlpm.m),_xlpm.c,INDEX(Feed!$G:$G,_xlpm.m),IF(AND(_xlpm.p&gt;0,_xlpm.c&gt;0),_xlpm.p/_xlpm.c-1,"")),"")</f>
        <v>-7.2739868375476524E-3</v>
      </c>
      <c r="F494" s="23">
        <f>IF(ISNUMBER(E494),D494*E494,0)</f>
        <v>-8.3716314513335934E-7</v>
      </c>
      <c r="G494" s="22">
        <f>IF(ISNUMBER(E494),D494,0)</f>
        <v>1.1509E-4</v>
      </c>
      <c r="H494" t="s">
        <v>40</v>
      </c>
      <c r="I494" s="21">
        <v>46288</v>
      </c>
    </row>
    <row r="495" spans="1:9" x14ac:dyDescent="0.15">
      <c r="A495" t="s">
        <v>36</v>
      </c>
      <c r="B495" t="s">
        <v>1104</v>
      </c>
      <c r="C495" t="s">
        <v>1105</v>
      </c>
      <c r="D495" s="22">
        <v>1.0238000000000001E-4</v>
      </c>
      <c r="E495" s="22">
        <f>IFERROR(_xlfn.LET(_xlpm.m,MATCH($B495,Feed!$A:$A,0),_xlpm.p,INDEX(Feed!$B:$B,_xlpm.m),_xlpm.c,INDEX(Feed!$G:$G,_xlpm.m),IF(AND(_xlpm.p&gt;0,_xlpm.c&gt;0),_xlpm.p/_xlpm.c-1,"")),"")</f>
        <v>3.1473155249933882E-2</v>
      </c>
      <c r="F495" s="23">
        <f>IF(ISNUMBER(E495),D495*E495,0)</f>
        <v>3.2222216344882308E-6</v>
      </c>
      <c r="G495" s="22">
        <f>IF(ISNUMBER(E495),D495,0)</f>
        <v>1.0238000000000001E-4</v>
      </c>
      <c r="H495" t="s">
        <v>40</v>
      </c>
      <c r="I495" s="21">
        <v>46288</v>
      </c>
    </row>
    <row r="496" spans="1:9" x14ac:dyDescent="0.15">
      <c r="A496" t="s">
        <v>36</v>
      </c>
      <c r="B496" t="s">
        <v>1106</v>
      </c>
      <c r="C496" t="s">
        <v>1107</v>
      </c>
      <c r="D496" s="22">
        <v>9.8510000000000004E-5</v>
      </c>
      <c r="E496" s="22">
        <f>IFERROR(_xlfn.LET(_xlpm.m,MATCH($B496,Feed!$A:$A,0),_xlpm.p,INDEX(Feed!$B:$B,_xlpm.m),_xlpm.c,INDEX(Feed!$G:$G,_xlpm.m),IF(AND(_xlpm.p&gt;0,_xlpm.c&gt;0),_xlpm.p/_xlpm.c-1,"")),"")</f>
        <v>8.4985835694051381E-3</v>
      </c>
      <c r="F496" s="23">
        <f>IF(ISNUMBER(E496),D496*E496,0)</f>
        <v>8.3719546742210021E-7</v>
      </c>
      <c r="G496" s="22">
        <f>IF(ISNUMBER(E496),D496,0)</f>
        <v>9.8510000000000004E-5</v>
      </c>
      <c r="H496" t="s">
        <v>40</v>
      </c>
      <c r="I496" s="21">
        <v>46288</v>
      </c>
    </row>
    <row r="497" spans="1:9" x14ac:dyDescent="0.15">
      <c r="A497" t="s">
        <v>36</v>
      </c>
      <c r="B497" t="s">
        <v>1108</v>
      </c>
      <c r="C497" t="s">
        <v>1109</v>
      </c>
      <c r="D497" s="22">
        <v>9.7529999999999996E-5</v>
      </c>
      <c r="E497" s="22">
        <f>IFERROR(_xlfn.LET(_xlpm.m,MATCH($B497,Feed!$A:$A,0),_xlpm.p,INDEX(Feed!$B:$B,_xlpm.m),_xlpm.c,INDEX(Feed!$G:$G,_xlpm.m),IF(AND(_xlpm.p&gt;0,_xlpm.c&gt;0),_xlpm.p/_xlpm.c-1,"")),"")</f>
        <v>2.1246707638279183E-2</v>
      </c>
      <c r="F497" s="23">
        <f>IF(ISNUMBER(E497),D497*E497,0)</f>
        <v>2.0721913959613685E-6</v>
      </c>
      <c r="G497" s="22">
        <f>IF(ISNUMBER(E497),D497,0)</f>
        <v>9.7529999999999996E-5</v>
      </c>
      <c r="H497" t="s">
        <v>40</v>
      </c>
      <c r="I497" s="21">
        <v>46288</v>
      </c>
    </row>
    <row r="498" spans="1:9" x14ac:dyDescent="0.15">
      <c r="A498" t="s">
        <v>36</v>
      </c>
      <c r="B498" t="s">
        <v>1110</v>
      </c>
      <c r="C498" t="s">
        <v>1111</v>
      </c>
      <c r="D498" s="22">
        <v>9.2879999999999992E-5</v>
      </c>
      <c r="E498" s="22">
        <f>IFERROR(_xlfn.LET(_xlpm.m,MATCH($B498,Feed!$A:$A,0),_xlpm.p,INDEX(Feed!$B:$B,_xlpm.m),_xlpm.c,INDEX(Feed!$G:$G,_xlpm.m),IF(AND(_xlpm.p&gt;0,_xlpm.c&gt;0),_xlpm.p/_xlpm.c-1,"")),"")</f>
        <v>-7.6144892853269308E-4</v>
      </c>
      <c r="F498" s="23">
        <f>IF(ISNUMBER(E498),D498*E498,0)</f>
        <v>-7.0723376482116521E-8</v>
      </c>
      <c r="G498" s="22">
        <f>IF(ISNUMBER(E498),D498,0)</f>
        <v>9.2879999999999992E-5</v>
      </c>
      <c r="H498" t="s">
        <v>40</v>
      </c>
      <c r="I498" s="21">
        <v>46288</v>
      </c>
    </row>
    <row r="499" spans="1:9" x14ac:dyDescent="0.15">
      <c r="A499" t="s">
        <v>36</v>
      </c>
      <c r="B499" t="s">
        <v>1114</v>
      </c>
      <c r="C499" t="s">
        <v>1115</v>
      </c>
      <c r="D499" s="22">
        <v>8.9170000000000002E-5</v>
      </c>
      <c r="E499" s="22">
        <f>IFERROR(_xlfn.LET(_xlpm.m,MATCH($B499,Feed!$A:$A,0),_xlpm.p,INDEX(Feed!$B:$B,_xlpm.m),_xlpm.c,INDEX(Feed!$G:$G,_xlpm.m),IF(AND(_xlpm.p&gt;0,_xlpm.c&gt;0),_xlpm.p/_xlpm.c-1,"")),"")</f>
        <v>-1.9535661995398468E-2</v>
      </c>
      <c r="F499" s="23">
        <f>IF(ISNUMBER(E499),D499*E499,0)</f>
        <v>-1.7419949801296814E-6</v>
      </c>
      <c r="G499" s="22">
        <f>IF(ISNUMBER(E499),D499,0)</f>
        <v>8.9170000000000002E-5</v>
      </c>
      <c r="H499" t="s">
        <v>40</v>
      </c>
      <c r="I499" s="21">
        <v>46288</v>
      </c>
    </row>
    <row r="500" spans="1:9" x14ac:dyDescent="0.15">
      <c r="A500" t="s">
        <v>36</v>
      </c>
      <c r="B500" t="s">
        <v>1112</v>
      </c>
      <c r="C500" t="s">
        <v>1113</v>
      </c>
      <c r="D500" s="22">
        <v>8.886E-5</v>
      </c>
      <c r="E500" s="22">
        <f>IFERROR(_xlfn.LET(_xlpm.m,MATCH($B500,Feed!$A:$A,0),_xlpm.p,INDEX(Feed!$B:$B,_xlpm.m),_xlpm.c,INDEX(Feed!$G:$G,_xlpm.m),IF(AND(_xlpm.p&gt;0,_xlpm.c&gt;0),_xlpm.p/_xlpm.c-1,"")),"")</f>
        <v>-2.400384061449834E-2</v>
      </c>
      <c r="F500" s="23">
        <f>IF(ISNUMBER(E500),D500*E500,0)</f>
        <v>-2.1329812770043223E-6</v>
      </c>
      <c r="G500" s="22">
        <f>IF(ISNUMBER(E500),D500,0)</f>
        <v>8.886E-5</v>
      </c>
      <c r="H500" t="s">
        <v>40</v>
      </c>
      <c r="I500" s="21">
        <v>46288</v>
      </c>
    </row>
    <row r="501" spans="1:9" x14ac:dyDescent="0.15">
      <c r="A501" t="s">
        <v>36</v>
      </c>
      <c r="B501" t="s">
        <v>1116</v>
      </c>
      <c r="C501" t="s">
        <v>1117</v>
      </c>
      <c r="D501" s="22">
        <v>8.8140000000000007E-5</v>
      </c>
      <c r="E501" s="22" t="str">
        <f>IFERROR(_xlfn.LET(_xlpm.m,MATCH($B501,Feed!$A:$A,0),_xlpm.p,INDEX(Feed!$B:$B,_xlpm.m),_xlpm.c,INDEX(Feed!$G:$G,_xlpm.m),IF(AND(_xlpm.p&gt;0,_xlpm.c&gt;0),_xlpm.p/_xlpm.c-1,"")),"")</f>
        <v/>
      </c>
      <c r="F501" s="23">
        <f>IF(ISNUMBER(E501),D501*E501,0)</f>
        <v>0</v>
      </c>
      <c r="G501" s="22">
        <f>IF(ISNUMBER(E501),D501,0)</f>
        <v>0</v>
      </c>
      <c r="H501" t="s">
        <v>40</v>
      </c>
      <c r="I501" s="21">
        <v>46288</v>
      </c>
    </row>
    <row r="502" spans="1:9" x14ac:dyDescent="0.15">
      <c r="A502" t="s">
        <v>36</v>
      </c>
      <c r="B502" t="s">
        <v>1118</v>
      </c>
      <c r="C502" t="s">
        <v>1119</v>
      </c>
      <c r="D502" s="22">
        <v>8.2369999999999999E-5</v>
      </c>
      <c r="E502" s="22" t="str">
        <f>IFERROR(_xlfn.LET(_xlpm.m,MATCH($B502,Feed!$A:$A,0),_xlpm.p,INDEX(Feed!$B:$B,_xlpm.m),_xlpm.c,INDEX(Feed!$G:$G,_xlpm.m),IF(AND(_xlpm.p&gt;0,_xlpm.c&gt;0),_xlpm.p/_xlpm.c-1,"")),"")</f>
        <v/>
      </c>
      <c r="F502" s="23">
        <f>IF(ISNUMBER(E502),D502*E502,0)</f>
        <v>0</v>
      </c>
      <c r="G502" s="22">
        <f>IF(ISNUMBER(E502),D502,0)</f>
        <v>0</v>
      </c>
      <c r="H502" t="s">
        <v>40</v>
      </c>
      <c r="I502" s="21">
        <v>46288</v>
      </c>
    </row>
    <row r="503" spans="1:9" x14ac:dyDescent="0.15">
      <c r="A503" t="s">
        <v>36</v>
      </c>
      <c r="B503" t="s">
        <v>1120</v>
      </c>
      <c r="C503" t="s">
        <v>1121</v>
      </c>
      <c r="D503" s="22">
        <v>7.0300000000000001E-5</v>
      </c>
      <c r="E503" s="22">
        <f>IFERROR(_xlfn.LET(_xlpm.m,MATCH($B503,Feed!$A:$A,0),_xlpm.p,INDEX(Feed!$B:$B,_xlpm.m),_xlpm.c,INDEX(Feed!$G:$G,_xlpm.m),IF(AND(_xlpm.p&gt;0,_xlpm.c&gt;0),_xlpm.p/_xlpm.c-1,"")),"")</f>
        <v>1.5678791107101686E-2</v>
      </c>
      <c r="F503" s="23">
        <f>IF(ISNUMBER(E503),D503*E503,0)</f>
        <v>1.1022190148292486E-6</v>
      </c>
      <c r="G503" s="22">
        <f>IF(ISNUMBER(E503),D503,0)</f>
        <v>7.0300000000000001E-5</v>
      </c>
      <c r="H503" t="s">
        <v>40</v>
      </c>
      <c r="I503" s="21">
        <v>46288</v>
      </c>
    </row>
    <row r="504" spans="1:9" x14ac:dyDescent="0.15">
      <c r="A504" t="s">
        <v>36</v>
      </c>
      <c r="B504" t="s">
        <v>1122</v>
      </c>
      <c r="C504" t="s">
        <v>1123</v>
      </c>
      <c r="D504" s="22">
        <v>5.9170000000000004E-5</v>
      </c>
      <c r="E504" s="22">
        <f>IFERROR(_xlfn.LET(_xlpm.m,MATCH($B504,Feed!$A:$A,0),_xlpm.p,INDEX(Feed!$B:$B,_xlpm.m),_xlpm.c,INDEX(Feed!$G:$G,_xlpm.m),IF(AND(_xlpm.p&gt;0,_xlpm.c&gt;0),_xlpm.p/_xlpm.c-1,"")),"")</f>
        <v>-9.1799265605874147E-3</v>
      </c>
      <c r="F504" s="23">
        <f>IF(ISNUMBER(E504),D504*E504,0)</f>
        <v>-5.4317625458995738E-7</v>
      </c>
      <c r="G504" s="22">
        <f>IF(ISNUMBER(E504),D504,0)</f>
        <v>5.9170000000000004E-5</v>
      </c>
      <c r="H504" t="s">
        <v>40</v>
      </c>
      <c r="I504" s="21">
        <v>46288</v>
      </c>
    </row>
    <row r="505" spans="1:9" x14ac:dyDescent="0.15">
      <c r="A505" t="s">
        <v>42</v>
      </c>
      <c r="B505" t="s">
        <v>119</v>
      </c>
      <c r="C505" t="s">
        <v>1124</v>
      </c>
      <c r="D505" s="22">
        <v>8.2771940000000002E-2</v>
      </c>
      <c r="E505" s="22">
        <f>IFERROR(_xlfn.LET(_xlpm.m,MATCH($B505,Feed!$A:$A,0),_xlpm.p,INDEX(Feed!$B:$B,_xlpm.m),_xlpm.c,INDEX(Feed!$G:$G,_xlpm.m),IF(AND(_xlpm.p&gt;0,_xlpm.c&gt;0),_xlpm.p/_xlpm.c-1,"")),"")</f>
        <v>2.7525981913888442E-2</v>
      </c>
      <c r="F505" s="23">
        <f>IF(ISNUMBER(E505),D505*E505,0)</f>
        <v>2.2783789234174594E-3</v>
      </c>
      <c r="G505" s="22">
        <f>IF(ISNUMBER(E505),D505,0)</f>
        <v>8.2771940000000002E-2</v>
      </c>
      <c r="H505" t="s">
        <v>44</v>
      </c>
      <c r="I505" s="21">
        <v>46288</v>
      </c>
    </row>
    <row r="506" spans="1:9" x14ac:dyDescent="0.15">
      <c r="A506" t="s">
        <v>42</v>
      </c>
      <c r="B506" t="s">
        <v>57</v>
      </c>
      <c r="C506" t="s">
        <v>1125</v>
      </c>
      <c r="D506" s="22">
        <v>7.4323479999999997E-2</v>
      </c>
      <c r="E506" s="22" t="str">
        <f>IFERROR(_xlfn.LET(_xlpm.m,MATCH($B506,Feed!$A:$A,0),_xlpm.p,INDEX(Feed!$B:$B,_xlpm.m),_xlpm.c,INDEX(Feed!$G:$G,_xlpm.m),IF(AND(_xlpm.p&gt;0,_xlpm.c&gt;0),_xlpm.p/_xlpm.c-1,"")),"")</f>
        <v/>
      </c>
      <c r="F506" s="23">
        <f>IF(ISNUMBER(E506),D506*E506,0)</f>
        <v>0</v>
      </c>
      <c r="G506" s="22">
        <f>IF(ISNUMBER(E506),D506,0)</f>
        <v>0</v>
      </c>
      <c r="H506" t="s">
        <v>44</v>
      </c>
      <c r="I506" s="21">
        <v>46288</v>
      </c>
    </row>
    <row r="507" spans="1:9" x14ac:dyDescent="0.15">
      <c r="A507" t="s">
        <v>42</v>
      </c>
      <c r="B507" t="s">
        <v>122</v>
      </c>
      <c r="C507" t="s">
        <v>1126</v>
      </c>
      <c r="D507" s="22">
        <v>5.5429969999999995E-2</v>
      </c>
      <c r="E507" s="22">
        <f>IFERROR(_xlfn.LET(_xlpm.m,MATCH($B507,Feed!$A:$A,0),_xlpm.p,INDEX(Feed!$B:$B,_xlpm.m),_xlpm.c,INDEX(Feed!$G:$G,_xlpm.m),IF(AND(_xlpm.p&gt;0,_xlpm.c&gt;0),_xlpm.p/_xlpm.c-1,"")),"")</f>
        <v>-7.5307509818385299E-3</v>
      </c>
      <c r="F507" s="23">
        <f>IF(ISNUMBER(E507),D507*E507,0)</f>
        <v>-4.1742930100078021E-4</v>
      </c>
      <c r="G507" s="22">
        <f>IF(ISNUMBER(E507),D507,0)</f>
        <v>5.5429969999999995E-2</v>
      </c>
      <c r="H507" t="s">
        <v>44</v>
      </c>
      <c r="I507" s="21">
        <v>46288</v>
      </c>
    </row>
    <row r="508" spans="1:9" x14ac:dyDescent="0.15">
      <c r="A508" t="s">
        <v>42</v>
      </c>
      <c r="B508" t="s">
        <v>134</v>
      </c>
      <c r="C508" t="s">
        <v>1127</v>
      </c>
      <c r="D508" s="22">
        <v>5.1229899999999995E-2</v>
      </c>
      <c r="E508" s="22">
        <f>IFERROR(_xlfn.LET(_xlpm.m,MATCH($B508,Feed!$A:$A,0),_xlpm.p,INDEX(Feed!$B:$B,_xlpm.m),_xlpm.c,INDEX(Feed!$G:$G,_xlpm.m),IF(AND(_xlpm.p&gt;0,_xlpm.c&gt;0),_xlpm.p/_xlpm.c-1,"")),"")</f>
        <v>7.7761370348493841E-2</v>
      </c>
      <c r="F508" s="23">
        <f>IF(ISNUMBER(E508),D508*E508,0)</f>
        <v>3.983707226816304E-3</v>
      </c>
      <c r="G508" s="22">
        <f>IF(ISNUMBER(E508),D508,0)</f>
        <v>5.1229899999999995E-2</v>
      </c>
      <c r="H508" t="s">
        <v>44</v>
      </c>
      <c r="I508" s="21">
        <v>46288</v>
      </c>
    </row>
    <row r="509" spans="1:9" x14ac:dyDescent="0.15">
      <c r="A509" t="s">
        <v>42</v>
      </c>
      <c r="B509" t="s">
        <v>144</v>
      </c>
      <c r="C509" t="s">
        <v>1129</v>
      </c>
      <c r="D509" s="22">
        <v>4.2138130000000003E-2</v>
      </c>
      <c r="E509" s="22">
        <f>IFERROR(_xlfn.LET(_xlpm.m,MATCH($B509,Feed!$A:$A,0),_xlpm.p,INDEX(Feed!$B:$B,_xlpm.m),_xlpm.c,INDEX(Feed!$G:$G,_xlpm.m),IF(AND(_xlpm.p&gt;0,_xlpm.c&gt;0),_xlpm.p/_xlpm.c-1,"")),"")</f>
        <v>0.11258976099460538</v>
      </c>
      <c r="F509" s="23">
        <f>IF(ISNUMBER(E509),D509*E509,0)</f>
        <v>4.7443219854596107E-3</v>
      </c>
      <c r="G509" s="22">
        <f>IF(ISNUMBER(E509),D509,0)</f>
        <v>4.2138130000000003E-2</v>
      </c>
      <c r="H509" t="s">
        <v>44</v>
      </c>
      <c r="I509" s="21">
        <v>46288</v>
      </c>
    </row>
    <row r="510" spans="1:9" x14ac:dyDescent="0.15">
      <c r="A510" t="s">
        <v>42</v>
      </c>
      <c r="B510" t="s">
        <v>124</v>
      </c>
      <c r="C510" t="s">
        <v>1128</v>
      </c>
      <c r="D510" s="22">
        <v>4.1225519999999995E-2</v>
      </c>
      <c r="E510" s="22">
        <f>IFERROR(_xlfn.LET(_xlpm.m,MATCH($B510,Feed!$A:$A,0),_xlpm.p,INDEX(Feed!$B:$B,_xlpm.m),_xlpm.c,INDEX(Feed!$G:$G,_xlpm.m),IF(AND(_xlpm.p&gt;0,_xlpm.c&gt;0),_xlpm.p/_xlpm.c-1,"")),"")</f>
        <v>5.1239604272594885E-3</v>
      </c>
      <c r="F510" s="23">
        <f>IF(ISNUMBER(E510),D510*E510,0)</f>
        <v>2.1123793307319455E-4</v>
      </c>
      <c r="G510" s="22">
        <f>IF(ISNUMBER(E510),D510,0)</f>
        <v>4.1225519999999995E-2</v>
      </c>
      <c r="H510" t="s">
        <v>44</v>
      </c>
      <c r="I510" s="21">
        <v>46288</v>
      </c>
    </row>
    <row r="511" spans="1:9" x14ac:dyDescent="0.15">
      <c r="A511" t="s">
        <v>42</v>
      </c>
      <c r="B511" t="s">
        <v>132</v>
      </c>
      <c r="C511" t="s">
        <v>1131</v>
      </c>
      <c r="D511" s="22">
        <v>3.2855189999999999E-2</v>
      </c>
      <c r="E511" s="22">
        <f>IFERROR(_xlfn.LET(_xlpm.m,MATCH($B511,Feed!$A:$A,0),_xlpm.p,INDEX(Feed!$B:$B,_xlpm.m),_xlpm.c,INDEX(Feed!$G:$G,_xlpm.m),IF(AND(_xlpm.p&gt;0,_xlpm.c&gt;0),_xlpm.p/_xlpm.c-1,"")),"")</f>
        <v>0.10754857379082261</v>
      </c>
      <c r="F511" s="23">
        <f>IF(ISNUMBER(E511),D511*E511,0)</f>
        <v>3.5335288261264973E-3</v>
      </c>
      <c r="G511" s="22">
        <f>IF(ISNUMBER(E511),D511,0)</f>
        <v>3.2855189999999999E-2</v>
      </c>
      <c r="H511" t="s">
        <v>44</v>
      </c>
      <c r="I511" s="21">
        <v>46288</v>
      </c>
    </row>
    <row r="512" spans="1:9" x14ac:dyDescent="0.15">
      <c r="A512" t="s">
        <v>42</v>
      </c>
      <c r="B512" t="s">
        <v>126</v>
      </c>
      <c r="C512" t="s">
        <v>1130</v>
      </c>
      <c r="D512" s="22">
        <v>3.0887440000000002E-2</v>
      </c>
      <c r="E512" s="22">
        <f>IFERROR(_xlfn.LET(_xlpm.m,MATCH($B512,Feed!$A:$A,0),_xlpm.p,INDEX(Feed!$B:$B,_xlpm.m),_xlpm.c,INDEX(Feed!$G:$G,_xlpm.m),IF(AND(_xlpm.p&gt;0,_xlpm.c&gt;0),_xlpm.p/_xlpm.c-1,"")),"")</f>
        <v>5.1496252217198002E-3</v>
      </c>
      <c r="F512" s="23">
        <f>IF(ISNUMBER(E512),D512*E512,0)</f>
        <v>1.5905874005835702E-4</v>
      </c>
      <c r="G512" s="22">
        <f>IF(ISNUMBER(E512),D512,0)</f>
        <v>3.0887440000000002E-2</v>
      </c>
      <c r="H512" t="s">
        <v>44</v>
      </c>
      <c r="I512" s="21">
        <v>46288</v>
      </c>
    </row>
    <row r="513" spans="1:9" x14ac:dyDescent="0.15">
      <c r="A513" t="s">
        <v>42</v>
      </c>
      <c r="B513" t="s">
        <v>136</v>
      </c>
      <c r="C513" t="s">
        <v>1133</v>
      </c>
      <c r="D513" s="22">
        <v>2.9836070000000003E-2</v>
      </c>
      <c r="E513" s="22" t="str">
        <f>IFERROR(_xlfn.LET(_xlpm.m,MATCH($B513,Feed!$A:$A,0),_xlpm.p,INDEX(Feed!$B:$B,_xlpm.m),_xlpm.c,INDEX(Feed!$G:$G,_xlpm.m),IF(AND(_xlpm.p&gt;0,_xlpm.c&gt;0),_xlpm.p/_xlpm.c-1,"")),"")</f>
        <v/>
      </c>
      <c r="F513" s="23">
        <f>IF(ISNUMBER(E513),D513*E513,0)</f>
        <v>0</v>
      </c>
      <c r="G513" s="22">
        <f>IF(ISNUMBER(E513),D513,0)</f>
        <v>0</v>
      </c>
      <c r="H513" t="s">
        <v>44</v>
      </c>
      <c r="I513" s="21">
        <v>46288</v>
      </c>
    </row>
    <row r="514" spans="1:9" x14ac:dyDescent="0.15">
      <c r="A514" t="s">
        <v>42</v>
      </c>
      <c r="B514" t="s">
        <v>130</v>
      </c>
      <c r="C514" t="s">
        <v>1132</v>
      </c>
      <c r="D514" s="22">
        <v>2.878184E-2</v>
      </c>
      <c r="E514" s="22">
        <f>IFERROR(_xlfn.LET(_xlpm.m,MATCH($B514,Feed!$A:$A,0),_xlpm.p,INDEX(Feed!$B:$B,_xlpm.m),_xlpm.c,INDEX(Feed!$G:$G,_xlpm.m),IF(AND(_xlpm.p&gt;0,_xlpm.c&gt;0),_xlpm.p/_xlpm.c-1,"")),"")</f>
        <v>9.2622165442350912E-3</v>
      </c>
      <c r="F514" s="23">
        <f>IF(ISNUMBER(E514),D514*E514,0)</f>
        <v>2.6658363462152729E-4</v>
      </c>
      <c r="G514" s="22">
        <f>IF(ISNUMBER(E514),D514,0)</f>
        <v>2.878184E-2</v>
      </c>
      <c r="H514" t="s">
        <v>44</v>
      </c>
      <c r="I514" s="21">
        <v>46288</v>
      </c>
    </row>
    <row r="515" spans="1:9" x14ac:dyDescent="0.15">
      <c r="A515" t="s">
        <v>42</v>
      </c>
      <c r="B515" t="s">
        <v>1144</v>
      </c>
      <c r="C515" t="s">
        <v>1145</v>
      </c>
      <c r="D515" s="22">
        <v>2.7465959999999998E-2</v>
      </c>
      <c r="E515" s="22">
        <f>IFERROR(_xlfn.LET(_xlpm.m,MATCH($B515,Feed!$A:$A,0),_xlpm.p,INDEX(Feed!$B:$B,_xlpm.m),_xlpm.c,INDEX(Feed!$G:$G,_xlpm.m),IF(AND(_xlpm.p&gt;0,_xlpm.c&gt;0),_xlpm.p/_xlpm.c-1,"")),"")</f>
        <v>1.1857769628708104E-2</v>
      </c>
      <c r="F515" s="23">
        <f>IF(ISNUMBER(E515),D515*E515,0)</f>
        <v>3.2568502631131162E-4</v>
      </c>
      <c r="G515" s="22">
        <f>IF(ISNUMBER(E515),D515,0)</f>
        <v>2.7465959999999998E-2</v>
      </c>
      <c r="H515" t="s">
        <v>44</v>
      </c>
      <c r="I515" s="21">
        <v>46288</v>
      </c>
    </row>
    <row r="516" spans="1:9" x14ac:dyDescent="0.15">
      <c r="A516" t="s">
        <v>42</v>
      </c>
      <c r="B516" t="s">
        <v>152</v>
      </c>
      <c r="C516" t="s">
        <v>1135</v>
      </c>
      <c r="D516" s="22">
        <v>2.6932029999999999E-2</v>
      </c>
      <c r="E516" s="22">
        <f>IFERROR(_xlfn.LET(_xlpm.m,MATCH($B516,Feed!$A:$A,0),_xlpm.p,INDEX(Feed!$B:$B,_xlpm.m),_xlpm.c,INDEX(Feed!$G:$G,_xlpm.m),IF(AND(_xlpm.p&gt;0,_xlpm.c&gt;0),_xlpm.p/_xlpm.c-1,"")),"")</f>
        <v>1.5766135654458946E-2</v>
      </c>
      <c r="F516" s="23">
        <f>IF(ISNUMBER(E516),D516*E516,0)</f>
        <v>4.2461403842995797E-4</v>
      </c>
      <c r="G516" s="22">
        <f>IF(ISNUMBER(E516),D516,0)</f>
        <v>2.6932029999999999E-2</v>
      </c>
      <c r="H516" t="s">
        <v>44</v>
      </c>
      <c r="I516" s="21">
        <v>46288</v>
      </c>
    </row>
    <row r="517" spans="1:9" x14ac:dyDescent="0.15">
      <c r="A517" t="s">
        <v>42</v>
      </c>
      <c r="B517" t="s">
        <v>128</v>
      </c>
      <c r="C517" t="s">
        <v>1134</v>
      </c>
      <c r="D517" s="22">
        <v>2.6043159999999999E-2</v>
      </c>
      <c r="E517" s="22">
        <f>IFERROR(_xlfn.LET(_xlpm.m,MATCH($B517,Feed!$A:$A,0),_xlpm.p,INDEX(Feed!$B:$B,_xlpm.m),_xlpm.c,INDEX(Feed!$G:$G,_xlpm.m),IF(AND(_xlpm.p&gt;0,_xlpm.c&gt;0),_xlpm.p/_xlpm.c-1,"")),"")</f>
        <v>2.0170327207530425E-2</v>
      </c>
      <c r="F517" s="23">
        <f>IF(ISNUMBER(E517),D517*E517,0)</f>
        <v>5.2529905871806807E-4</v>
      </c>
      <c r="G517" s="22">
        <f>IF(ISNUMBER(E517),D517,0)</f>
        <v>2.6043159999999999E-2</v>
      </c>
      <c r="H517" t="s">
        <v>44</v>
      </c>
      <c r="I517" s="21">
        <v>46288</v>
      </c>
    </row>
    <row r="518" spans="1:9" x14ac:dyDescent="0.15">
      <c r="A518" t="s">
        <v>42</v>
      </c>
      <c r="B518" t="s">
        <v>154</v>
      </c>
      <c r="C518" t="s">
        <v>1136</v>
      </c>
      <c r="D518" s="22">
        <v>2.2161469999999999E-2</v>
      </c>
      <c r="E518" s="22" t="str">
        <f>IFERROR(_xlfn.LET(_xlpm.m,MATCH($B518,Feed!$A:$A,0),_xlpm.p,INDEX(Feed!$B:$B,_xlpm.m),_xlpm.c,INDEX(Feed!$G:$G,_xlpm.m),IF(AND(_xlpm.p&gt;0,_xlpm.c&gt;0),_xlpm.p/_xlpm.c-1,"")),"")</f>
        <v/>
      </c>
      <c r="F518" s="23">
        <f>IF(ISNUMBER(E518),D518*E518,0)</f>
        <v>0</v>
      </c>
      <c r="G518" s="22">
        <f>IF(ISNUMBER(E518),D518,0)</f>
        <v>0</v>
      </c>
      <c r="H518" t="s">
        <v>44</v>
      </c>
      <c r="I518" s="21">
        <v>46288</v>
      </c>
    </row>
    <row r="519" spans="1:9" x14ac:dyDescent="0.15">
      <c r="A519" t="s">
        <v>42</v>
      </c>
      <c r="B519" t="s">
        <v>164</v>
      </c>
      <c r="C519" t="s">
        <v>1138</v>
      </c>
      <c r="D519" s="22">
        <v>1.7612260000000001E-2</v>
      </c>
      <c r="E519" s="22" t="str">
        <f>IFERROR(_xlfn.LET(_xlpm.m,MATCH($B519,Feed!$A:$A,0),_xlpm.p,INDEX(Feed!$B:$B,_xlpm.m),_xlpm.c,INDEX(Feed!$G:$G,_xlpm.m),IF(AND(_xlpm.p&gt;0,_xlpm.c&gt;0),_xlpm.p/_xlpm.c-1,"")),"")</f>
        <v/>
      </c>
      <c r="F519" s="23">
        <f>IF(ISNUMBER(E519),D519*E519,0)</f>
        <v>0</v>
      </c>
      <c r="G519" s="22">
        <f>IF(ISNUMBER(E519),D519,0)</f>
        <v>0</v>
      </c>
      <c r="H519" t="s">
        <v>44</v>
      </c>
      <c r="I519" s="21">
        <v>46288</v>
      </c>
    </row>
    <row r="520" spans="1:9" x14ac:dyDescent="0.15">
      <c r="A520" t="s">
        <v>42</v>
      </c>
      <c r="B520" t="s">
        <v>160</v>
      </c>
      <c r="C520" t="s">
        <v>1137</v>
      </c>
      <c r="D520" s="22">
        <v>1.7360560000000001E-2</v>
      </c>
      <c r="E520" s="22">
        <f>IFERROR(_xlfn.LET(_xlpm.m,MATCH($B520,Feed!$A:$A,0),_xlpm.p,INDEX(Feed!$B:$B,_xlpm.m),_xlpm.c,INDEX(Feed!$G:$G,_xlpm.m),IF(AND(_xlpm.p&gt;0,_xlpm.c&gt;0),_xlpm.p/_xlpm.c-1,"")),"")</f>
        <v>-2.9312391562414497E-2</v>
      </c>
      <c r="F520" s="23">
        <f>IF(ISNUMBER(E520),D520*E520,0)</f>
        <v>-5.0887953246279061E-4</v>
      </c>
      <c r="G520" s="22">
        <f>IF(ISNUMBER(E520),D520,0)</f>
        <v>1.7360560000000001E-2</v>
      </c>
      <c r="H520" t="s">
        <v>44</v>
      </c>
      <c r="I520" s="21">
        <v>46288</v>
      </c>
    </row>
    <row r="521" spans="1:9" x14ac:dyDescent="0.15">
      <c r="A521" t="s">
        <v>42</v>
      </c>
      <c r="B521" t="s">
        <v>166</v>
      </c>
      <c r="C521" t="s">
        <v>1139</v>
      </c>
      <c r="D521" s="22">
        <v>1.6505760000000001E-2</v>
      </c>
      <c r="E521" s="22">
        <f>IFERROR(_xlfn.LET(_xlpm.m,MATCH($B521,Feed!$A:$A,0),_xlpm.p,INDEX(Feed!$B:$B,_xlpm.m),_xlpm.c,INDEX(Feed!$G:$G,_xlpm.m),IF(AND(_xlpm.p&gt;0,_xlpm.c&gt;0),_xlpm.p/_xlpm.c-1,"")),"")</f>
        <v>4.5794194189723303E-3</v>
      </c>
      <c r="F521" s="23">
        <f>IF(ISNUMBER(E521),D521*E521,0)</f>
        <v>7.5586797868896742E-5</v>
      </c>
      <c r="G521" s="22">
        <f>IF(ISNUMBER(E521),D521,0)</f>
        <v>1.6505760000000001E-2</v>
      </c>
      <c r="H521" t="s">
        <v>44</v>
      </c>
      <c r="I521" s="21">
        <v>46288</v>
      </c>
    </row>
    <row r="522" spans="1:9" x14ac:dyDescent="0.15">
      <c r="A522" t="s">
        <v>42</v>
      </c>
      <c r="B522" t="s">
        <v>174</v>
      </c>
      <c r="C522" t="s">
        <v>1140</v>
      </c>
      <c r="D522" s="22">
        <v>1.6101910000000001E-2</v>
      </c>
      <c r="E522" s="22">
        <f>IFERROR(_xlfn.LET(_xlpm.m,MATCH($B522,Feed!$A:$A,0),_xlpm.p,INDEX(Feed!$B:$B,_xlpm.m),_xlpm.c,INDEX(Feed!$G:$G,_xlpm.m),IF(AND(_xlpm.p&gt;0,_xlpm.c&gt;0),_xlpm.p/_xlpm.c-1,"")),"")</f>
        <v>7.6602686473916215E-2</v>
      </c>
      <c r="F522" s="23">
        <f>IF(ISNUMBER(E522),D522*E522,0)</f>
        <v>1.2334495633612164E-3</v>
      </c>
      <c r="G522" s="22">
        <f>IF(ISNUMBER(E522),D522,0)</f>
        <v>1.6101910000000001E-2</v>
      </c>
      <c r="H522" t="s">
        <v>44</v>
      </c>
      <c r="I522" s="21">
        <v>46288</v>
      </c>
    </row>
    <row r="523" spans="1:9" x14ac:dyDescent="0.15">
      <c r="A523" t="s">
        <v>42</v>
      </c>
      <c r="B523" t="s">
        <v>176</v>
      </c>
      <c r="C523" t="s">
        <v>1141</v>
      </c>
      <c r="D523" s="22">
        <v>1.5515650000000001E-2</v>
      </c>
      <c r="E523" s="22">
        <f>IFERROR(_xlfn.LET(_xlpm.m,MATCH($B523,Feed!$A:$A,0),_xlpm.p,INDEX(Feed!$B:$B,_xlpm.m),_xlpm.c,INDEX(Feed!$G:$G,_xlpm.m),IF(AND(_xlpm.p&gt;0,_xlpm.c&gt;0),_xlpm.p/_xlpm.c-1,"")),"")</f>
        <v>6.2734777425377253E-2</v>
      </c>
      <c r="F523" s="23">
        <f>IF(ISNUMBER(E523),D523*E523,0)</f>
        <v>9.7337084936005461E-4</v>
      </c>
      <c r="G523" s="22">
        <f>IF(ISNUMBER(E523),D523,0)</f>
        <v>1.5515650000000001E-2</v>
      </c>
      <c r="H523" t="s">
        <v>44</v>
      </c>
      <c r="I523" s="21">
        <v>46288</v>
      </c>
    </row>
    <row r="524" spans="1:9" x14ac:dyDescent="0.15">
      <c r="A524" t="s">
        <v>42</v>
      </c>
      <c r="B524" t="s">
        <v>190</v>
      </c>
      <c r="C524" t="s">
        <v>1143</v>
      </c>
      <c r="D524" s="22">
        <v>1.263268E-2</v>
      </c>
      <c r="E524" s="22">
        <f>IFERROR(_xlfn.LET(_xlpm.m,MATCH($B524,Feed!$A:$A,0),_xlpm.p,INDEX(Feed!$B:$B,_xlpm.m),_xlpm.c,INDEX(Feed!$G:$G,_xlpm.m),IF(AND(_xlpm.p&gt;0,_xlpm.c&gt;0),_xlpm.p/_xlpm.c-1,"")),"")</f>
        <v>3.0584740634798324E-2</v>
      </c>
      <c r="F524" s="23">
        <f>IF(ISNUMBER(E524),D524*E524,0)</f>
        <v>3.863672413224041E-4</v>
      </c>
      <c r="G524" s="22">
        <f>IF(ISNUMBER(E524),D524,0)</f>
        <v>1.263268E-2</v>
      </c>
      <c r="H524" t="s">
        <v>44</v>
      </c>
      <c r="I524" s="21">
        <v>46288</v>
      </c>
    </row>
    <row r="525" spans="1:9" x14ac:dyDescent="0.15">
      <c r="A525" t="s">
        <v>42</v>
      </c>
      <c r="B525" t="s">
        <v>188</v>
      </c>
      <c r="C525" t="s">
        <v>1142</v>
      </c>
      <c r="D525" s="22">
        <v>1.243385E-2</v>
      </c>
      <c r="E525" s="22">
        <f>IFERROR(_xlfn.LET(_xlpm.m,MATCH($B525,Feed!$A:$A,0),_xlpm.p,INDEX(Feed!$B:$B,_xlpm.m),_xlpm.c,INDEX(Feed!$G:$G,_xlpm.m),IF(AND(_xlpm.p&gt;0,_xlpm.c&gt;0),_xlpm.p/_xlpm.c-1,"")),"")</f>
        <v>4.7360356595624875E-3</v>
      </c>
      <c r="F525" s="23">
        <f>IF(ISNUMBER(E525),D525*E525,0)</f>
        <v>5.8887156985651035E-5</v>
      </c>
      <c r="G525" s="22">
        <f>IF(ISNUMBER(E525),D525,0)</f>
        <v>1.243385E-2</v>
      </c>
      <c r="H525" t="s">
        <v>44</v>
      </c>
      <c r="I525" s="21">
        <v>46288</v>
      </c>
    </row>
    <row r="526" spans="1:9" x14ac:dyDescent="0.15">
      <c r="A526" t="s">
        <v>42</v>
      </c>
      <c r="B526" t="s">
        <v>196</v>
      </c>
      <c r="C526" t="s">
        <v>1146</v>
      </c>
      <c r="D526" s="22">
        <v>1.1433549999999999E-2</v>
      </c>
      <c r="E526" s="22">
        <f>IFERROR(_xlfn.LET(_xlpm.m,MATCH($B526,Feed!$A:$A,0),_xlpm.p,INDEX(Feed!$B:$B,_xlpm.m),_xlpm.c,INDEX(Feed!$G:$G,_xlpm.m),IF(AND(_xlpm.p&gt;0,_xlpm.c&gt;0),_xlpm.p/_xlpm.c-1,"")),"")</f>
        <v>4.985712850621149E-2</v>
      </c>
      <c r="F526" s="23">
        <f>IF(ISNUMBER(E526),D526*E526,0)</f>
        <v>5.700439716321943E-4</v>
      </c>
      <c r="G526" s="22">
        <f>IF(ISNUMBER(E526),D526,0)</f>
        <v>1.1433549999999999E-2</v>
      </c>
      <c r="H526" t="s">
        <v>44</v>
      </c>
      <c r="I526" s="21">
        <v>46288</v>
      </c>
    </row>
    <row r="527" spans="1:9" x14ac:dyDescent="0.15">
      <c r="A527" t="s">
        <v>42</v>
      </c>
      <c r="B527" t="s">
        <v>208</v>
      </c>
      <c r="C527" t="s">
        <v>1148</v>
      </c>
      <c r="D527" s="22">
        <v>1.0595479999999999E-2</v>
      </c>
      <c r="E527" s="22">
        <f>IFERROR(_xlfn.LET(_xlpm.m,MATCH($B527,Feed!$A:$A,0),_xlpm.p,INDEX(Feed!$B:$B,_xlpm.m),_xlpm.c,INDEX(Feed!$G:$G,_xlpm.m),IF(AND(_xlpm.p&gt;0,_xlpm.c&gt;0),_xlpm.p/_xlpm.c-1,"")),"")</f>
        <v>5.1030927835051587E-2</v>
      </c>
      <c r="F527" s="23">
        <f>IF(ISNUMBER(E527),D527*E527,0)</f>
        <v>5.4069717525773229E-4</v>
      </c>
      <c r="G527" s="22">
        <f>IF(ISNUMBER(E527),D527,0)</f>
        <v>1.0595479999999999E-2</v>
      </c>
      <c r="H527" t="s">
        <v>44</v>
      </c>
      <c r="I527" s="21">
        <v>46288</v>
      </c>
    </row>
    <row r="528" spans="1:9" x14ac:dyDescent="0.15">
      <c r="A528" t="s">
        <v>42</v>
      </c>
      <c r="B528" t="s">
        <v>206</v>
      </c>
      <c r="C528" t="s">
        <v>1147</v>
      </c>
      <c r="D528" s="22">
        <v>1.0256970000000001E-2</v>
      </c>
      <c r="E528" s="22" t="str">
        <f>IFERROR(_xlfn.LET(_xlpm.m,MATCH($B528,Feed!$A:$A,0),_xlpm.p,INDEX(Feed!$B:$B,_xlpm.m),_xlpm.c,INDEX(Feed!$G:$G,_xlpm.m),IF(AND(_xlpm.p&gt;0,_xlpm.c&gt;0),_xlpm.p/_xlpm.c-1,"")),"")</f>
        <v/>
      </c>
      <c r="F528" s="23">
        <f>IF(ISNUMBER(E528),D528*E528,0)</f>
        <v>0</v>
      </c>
      <c r="G528" s="22">
        <f>IF(ISNUMBER(E528),D528,0)</f>
        <v>0</v>
      </c>
      <c r="H528" t="s">
        <v>44</v>
      </c>
      <c r="I528" s="21">
        <v>46288</v>
      </c>
    </row>
    <row r="529" spans="1:9" x14ac:dyDescent="0.15">
      <c r="A529" t="s">
        <v>42</v>
      </c>
      <c r="B529" t="s">
        <v>214</v>
      </c>
      <c r="C529" t="s">
        <v>1149</v>
      </c>
      <c r="D529" s="22">
        <v>1.0181830000000001E-2</v>
      </c>
      <c r="E529" s="22">
        <f>IFERROR(_xlfn.LET(_xlpm.m,MATCH($B529,Feed!$A:$A,0),_xlpm.p,INDEX(Feed!$B:$B,_xlpm.m),_xlpm.c,INDEX(Feed!$G:$G,_xlpm.m),IF(AND(_xlpm.p&gt;0,_xlpm.c&gt;0),_xlpm.p/_xlpm.c-1,"")),"")</f>
        <v>6.3167410588168771E-2</v>
      </c>
      <c r="F529" s="23">
        <f>IF(ISNUMBER(E529),D529*E529,0)</f>
        <v>6.4315983614893451E-4</v>
      </c>
      <c r="G529" s="22">
        <f>IF(ISNUMBER(E529),D529,0)</f>
        <v>1.0181830000000001E-2</v>
      </c>
      <c r="H529" t="s">
        <v>44</v>
      </c>
      <c r="I529" s="21">
        <v>46288</v>
      </c>
    </row>
    <row r="530" spans="1:9" x14ac:dyDescent="0.15">
      <c r="A530" t="s">
        <v>42</v>
      </c>
      <c r="B530" t="s">
        <v>220</v>
      </c>
      <c r="C530" t="s">
        <v>1150</v>
      </c>
      <c r="D530" s="22">
        <v>9.5203400000000004E-3</v>
      </c>
      <c r="E530" s="22">
        <f>IFERROR(_xlfn.LET(_xlpm.m,MATCH($B530,Feed!$A:$A,0),_xlpm.p,INDEX(Feed!$B:$B,_xlpm.m),_xlpm.c,INDEX(Feed!$G:$G,_xlpm.m),IF(AND(_xlpm.p&gt;0,_xlpm.c&gt;0),_xlpm.p/_xlpm.c-1,"")),"")</f>
        <v>7.2056908904810646E-2</v>
      </c>
      <c r="F530" s="23">
        <f>IF(ISNUMBER(E530),D530*E530,0)</f>
        <v>6.86006272122825E-4</v>
      </c>
      <c r="G530" s="22">
        <f>IF(ISNUMBER(E530),D530,0)</f>
        <v>9.5203400000000004E-3</v>
      </c>
      <c r="H530" t="s">
        <v>44</v>
      </c>
      <c r="I530" s="21">
        <v>46288</v>
      </c>
    </row>
    <row r="531" spans="1:9" x14ac:dyDescent="0.15">
      <c r="A531" t="s">
        <v>42</v>
      </c>
      <c r="B531" t="s">
        <v>226</v>
      </c>
      <c r="C531" t="s">
        <v>1152</v>
      </c>
      <c r="D531" s="22">
        <v>9.1779100000000009E-3</v>
      </c>
      <c r="E531" s="22">
        <f>IFERROR(_xlfn.LET(_xlpm.m,MATCH($B531,Feed!$A:$A,0),_xlpm.p,INDEX(Feed!$B:$B,_xlpm.m),_xlpm.c,INDEX(Feed!$G:$G,_xlpm.m),IF(AND(_xlpm.p&gt;0,_xlpm.c&gt;0),_xlpm.p/_xlpm.c-1,"")),"")</f>
        <v>6.3762478931673972E-2</v>
      </c>
      <c r="F531" s="23">
        <f>IF(ISNUMBER(E531),D531*E531,0)</f>
        <v>5.8520629301179994E-4</v>
      </c>
      <c r="G531" s="22">
        <f>IF(ISNUMBER(E531),D531,0)</f>
        <v>9.1779100000000009E-3</v>
      </c>
      <c r="H531" t="s">
        <v>44</v>
      </c>
      <c r="I531" s="21">
        <v>46288</v>
      </c>
    </row>
    <row r="532" spans="1:9" x14ac:dyDescent="0.15">
      <c r="A532" t="s">
        <v>42</v>
      </c>
      <c r="B532" t="s">
        <v>222</v>
      </c>
      <c r="C532" t="s">
        <v>1151</v>
      </c>
      <c r="D532" s="22">
        <v>8.8686200000000007E-3</v>
      </c>
      <c r="E532" s="22">
        <f>IFERROR(_xlfn.LET(_xlpm.m,MATCH($B532,Feed!$A:$A,0),_xlpm.p,INDEX(Feed!$B:$B,_xlpm.m),_xlpm.c,INDEX(Feed!$G:$G,_xlpm.m),IF(AND(_xlpm.p&gt;0,_xlpm.c&gt;0),_xlpm.p/_xlpm.c-1,"")),"")</f>
        <v>9.7958297132929584E-3</v>
      </c>
      <c r="F532" s="23">
        <f>IF(ISNUMBER(E532),D532*E532,0)</f>
        <v>8.6875491311904203E-5</v>
      </c>
      <c r="G532" s="22">
        <f>IF(ISNUMBER(E532),D532,0)</f>
        <v>8.8686200000000007E-3</v>
      </c>
      <c r="H532" t="s">
        <v>44</v>
      </c>
      <c r="I532" s="21">
        <v>46288</v>
      </c>
    </row>
    <row r="533" spans="1:9" x14ac:dyDescent="0.15">
      <c r="A533" t="s">
        <v>42</v>
      </c>
      <c r="B533" t="s">
        <v>236</v>
      </c>
      <c r="C533" t="s">
        <v>1154</v>
      </c>
      <c r="D533" s="22">
        <v>8.6586400000000004E-3</v>
      </c>
      <c r="E533" s="22" t="str">
        <f>IFERROR(_xlfn.LET(_xlpm.m,MATCH($B533,Feed!$A:$A,0),_xlpm.p,INDEX(Feed!$B:$B,_xlpm.m),_xlpm.c,INDEX(Feed!$G:$G,_xlpm.m),IF(AND(_xlpm.p&gt;0,_xlpm.c&gt;0),_xlpm.p/_xlpm.c-1,"")),"")</f>
        <v/>
      </c>
      <c r="F533" s="23">
        <f>IF(ISNUMBER(E533),D533*E533,0)</f>
        <v>0</v>
      </c>
      <c r="G533" s="22">
        <f>IF(ISNUMBER(E533),D533,0)</f>
        <v>0</v>
      </c>
      <c r="H533" t="s">
        <v>44</v>
      </c>
      <c r="I533" s="21">
        <v>46288</v>
      </c>
    </row>
    <row r="534" spans="1:9" x14ac:dyDescent="0.15">
      <c r="A534" t="s">
        <v>42</v>
      </c>
      <c r="B534" t="s">
        <v>232</v>
      </c>
      <c r="C534" t="s">
        <v>1153</v>
      </c>
      <c r="D534" s="22">
        <v>8.6270300000000008E-3</v>
      </c>
      <c r="E534" s="22">
        <f>IFERROR(_xlfn.LET(_xlpm.m,MATCH($B534,Feed!$A:$A,0),_xlpm.p,INDEX(Feed!$B:$B,_xlpm.m),_xlpm.c,INDEX(Feed!$G:$G,_xlpm.m),IF(AND(_xlpm.p&gt;0,_xlpm.c&gt;0),_xlpm.p/_xlpm.c-1,"")),"")</f>
        <v>4.6533496708745181E-2</v>
      </c>
      <c r="F534" s="23">
        <f>IF(ISNUMBER(E534),D534*E534,0)</f>
        <v>4.0144587211124596E-4</v>
      </c>
      <c r="G534" s="22">
        <f>IF(ISNUMBER(E534),D534,0)</f>
        <v>8.6270300000000008E-3</v>
      </c>
      <c r="H534" t="s">
        <v>44</v>
      </c>
      <c r="I534" s="21">
        <v>46288</v>
      </c>
    </row>
    <row r="535" spans="1:9" x14ac:dyDescent="0.15">
      <c r="A535" t="s">
        <v>42</v>
      </c>
      <c r="B535" t="s">
        <v>238</v>
      </c>
      <c r="C535" t="s">
        <v>1155</v>
      </c>
      <c r="D535" s="22">
        <v>7.8770000000000003E-3</v>
      </c>
      <c r="E535" s="22">
        <f>IFERROR(_xlfn.LET(_xlpm.m,MATCH($B535,Feed!$A:$A,0),_xlpm.p,INDEX(Feed!$B:$B,_xlpm.m),_xlpm.c,INDEX(Feed!$G:$G,_xlpm.m),IF(AND(_xlpm.p&gt;0,_xlpm.c&gt;0),_xlpm.p/_xlpm.c-1,"")),"")</f>
        <v>1.705416028245943E-2</v>
      </c>
      <c r="F535" s="23">
        <f>IF(ISNUMBER(E535),D535*E535,0)</f>
        <v>1.3433562054493292E-4</v>
      </c>
      <c r="G535" s="22">
        <f>IF(ISNUMBER(E535),D535,0)</f>
        <v>7.8770000000000003E-3</v>
      </c>
      <c r="H535" t="s">
        <v>44</v>
      </c>
      <c r="I535" s="21">
        <v>46288</v>
      </c>
    </row>
    <row r="536" spans="1:9" x14ac:dyDescent="0.15">
      <c r="A536" t="s">
        <v>42</v>
      </c>
      <c r="B536" t="s">
        <v>240</v>
      </c>
      <c r="C536" t="s">
        <v>1156</v>
      </c>
      <c r="D536" s="22">
        <v>7.8276800000000001E-3</v>
      </c>
      <c r="E536" s="22">
        <f>IFERROR(_xlfn.LET(_xlpm.m,MATCH($B536,Feed!$A:$A,0),_xlpm.p,INDEX(Feed!$B:$B,_xlpm.m),_xlpm.c,INDEX(Feed!$G:$G,_xlpm.m),IF(AND(_xlpm.p&gt;0,_xlpm.c&gt;0),_xlpm.p/_xlpm.c-1,"")),"")</f>
        <v>3.8991802406046938E-2</v>
      </c>
      <c r="F536" s="23">
        <f>IF(ISNUMBER(E536),D536*E536,0)</f>
        <v>3.0521535185776548E-4</v>
      </c>
      <c r="G536" s="22">
        <f>IF(ISNUMBER(E536),D536,0)</f>
        <v>7.8276800000000001E-3</v>
      </c>
      <c r="H536" t="s">
        <v>44</v>
      </c>
      <c r="I536" s="21">
        <v>46288</v>
      </c>
    </row>
    <row r="537" spans="1:9" x14ac:dyDescent="0.15">
      <c r="A537" t="s">
        <v>42</v>
      </c>
      <c r="B537" t="s">
        <v>246</v>
      </c>
      <c r="C537" t="s">
        <v>1158</v>
      </c>
      <c r="D537" s="22">
        <v>7.4961000000000003E-3</v>
      </c>
      <c r="E537" s="22">
        <f>IFERROR(_xlfn.LET(_xlpm.m,MATCH($B537,Feed!$A:$A,0),_xlpm.p,INDEX(Feed!$B:$B,_xlpm.m),_xlpm.c,INDEX(Feed!$G:$G,_xlpm.m),IF(AND(_xlpm.p&gt;0,_xlpm.c&gt;0),_xlpm.p/_xlpm.c-1,"")),"")</f>
        <v>1.1098265895953752E-2</v>
      </c>
      <c r="F537" s="23">
        <f>IF(ISNUMBER(E537),D537*E537,0)</f>
        <v>8.3193710982658924E-5</v>
      </c>
      <c r="G537" s="22">
        <f>IF(ISNUMBER(E537),D537,0)</f>
        <v>7.4961000000000003E-3</v>
      </c>
      <c r="H537" t="s">
        <v>44</v>
      </c>
      <c r="I537" s="21">
        <v>46288</v>
      </c>
    </row>
    <row r="538" spans="1:9" x14ac:dyDescent="0.15">
      <c r="A538" t="s">
        <v>42</v>
      </c>
      <c r="B538" t="s">
        <v>1159</v>
      </c>
      <c r="C538" t="s">
        <v>1160</v>
      </c>
      <c r="D538" s="22">
        <v>7.38881E-3</v>
      </c>
      <c r="E538" s="22">
        <f>IFERROR(_xlfn.LET(_xlpm.m,MATCH($B538,Feed!$A:$A,0),_xlpm.p,INDEX(Feed!$B:$B,_xlpm.m),_xlpm.c,INDEX(Feed!$G:$G,_xlpm.m),IF(AND(_xlpm.p&gt;0,_xlpm.c&gt;0),_xlpm.p/_xlpm.c-1,"")),"")</f>
        <v>0.1493385214007783</v>
      </c>
      <c r="F538" s="23">
        <f>IF(ISNUMBER(E538),D538*E538,0)</f>
        <v>1.1034339603112847E-3</v>
      </c>
      <c r="G538" s="22">
        <f>IF(ISNUMBER(E538),D538,0)</f>
        <v>7.38881E-3</v>
      </c>
      <c r="H538" t="s">
        <v>44</v>
      </c>
      <c r="I538" s="21">
        <v>46288</v>
      </c>
    </row>
    <row r="539" spans="1:9" x14ac:dyDescent="0.15">
      <c r="A539" t="s">
        <v>42</v>
      </c>
      <c r="B539" t="s">
        <v>396</v>
      </c>
      <c r="C539" t="s">
        <v>1157</v>
      </c>
      <c r="D539" s="22">
        <v>7.2091500000000001E-3</v>
      </c>
      <c r="E539" s="22" t="str">
        <f>IFERROR(_xlfn.LET(_xlpm.m,MATCH($B539,Feed!$A:$A,0),_xlpm.p,INDEX(Feed!$B:$B,_xlpm.m),_xlpm.c,INDEX(Feed!$G:$G,_xlpm.m),IF(AND(_xlpm.p&gt;0,_xlpm.c&gt;0),_xlpm.p/_xlpm.c-1,"")),"")</f>
        <v/>
      </c>
      <c r="F539" s="23">
        <f>IF(ISNUMBER(E539),D539*E539,0)</f>
        <v>0</v>
      </c>
      <c r="G539" s="22">
        <f>IF(ISNUMBER(E539),D539,0)</f>
        <v>0</v>
      </c>
      <c r="H539" t="s">
        <v>44</v>
      </c>
      <c r="I539" s="21">
        <v>46288</v>
      </c>
    </row>
    <row r="540" spans="1:9" x14ac:dyDescent="0.15">
      <c r="A540" t="s">
        <v>42</v>
      </c>
      <c r="B540" t="s">
        <v>268</v>
      </c>
      <c r="C540" t="s">
        <v>1163</v>
      </c>
      <c r="D540" s="22">
        <v>6.93168E-3</v>
      </c>
      <c r="E540" s="22" t="str">
        <f>IFERROR(_xlfn.LET(_xlpm.m,MATCH($B540,Feed!$A:$A,0),_xlpm.p,INDEX(Feed!$B:$B,_xlpm.m),_xlpm.c,INDEX(Feed!$G:$G,_xlpm.m),IF(AND(_xlpm.p&gt;0,_xlpm.c&gt;0),_xlpm.p/_xlpm.c-1,"")),"")</f>
        <v/>
      </c>
      <c r="F540" s="23">
        <f>IF(ISNUMBER(E540),D540*E540,0)</f>
        <v>0</v>
      </c>
      <c r="G540" s="22">
        <f>IF(ISNUMBER(E540),D540,0)</f>
        <v>0</v>
      </c>
      <c r="H540" t="s">
        <v>44</v>
      </c>
      <c r="I540" s="21">
        <v>46288</v>
      </c>
    </row>
    <row r="541" spans="1:9" x14ac:dyDescent="0.15">
      <c r="A541" t="s">
        <v>42</v>
      </c>
      <c r="B541" t="s">
        <v>1161</v>
      </c>
      <c r="C541" t="s">
        <v>1162</v>
      </c>
      <c r="D541" s="22">
        <v>6.8001599999999995E-3</v>
      </c>
      <c r="E541" s="22">
        <f>IFERROR(_xlfn.LET(_xlpm.m,MATCH($B541,Feed!$A:$A,0),_xlpm.p,INDEX(Feed!$B:$B,_xlpm.m),_xlpm.c,INDEX(Feed!$G:$G,_xlpm.m),IF(AND(_xlpm.p&gt;0,_xlpm.c&gt;0),_xlpm.p/_xlpm.c-1,"")),"")</f>
        <v>4.0466212676794067E-2</v>
      </c>
      <c r="F541" s="23">
        <f>IF(ISNUMBER(E541),D541*E541,0)</f>
        <v>2.751767207962279E-4</v>
      </c>
      <c r="G541" s="22">
        <f>IF(ISNUMBER(E541),D541,0)</f>
        <v>6.8001599999999995E-3</v>
      </c>
      <c r="H541" t="s">
        <v>44</v>
      </c>
      <c r="I541" s="21">
        <v>46288</v>
      </c>
    </row>
    <row r="542" spans="1:9" x14ac:dyDescent="0.15">
      <c r="A542" t="s">
        <v>42</v>
      </c>
      <c r="B542" t="s">
        <v>1168</v>
      </c>
      <c r="C542" t="s">
        <v>1169</v>
      </c>
      <c r="D542" s="22">
        <v>6.0132600000000003E-3</v>
      </c>
      <c r="E542" s="22">
        <f>IFERROR(_xlfn.LET(_xlpm.m,MATCH($B542,Feed!$A:$A,0),_xlpm.p,INDEX(Feed!$B:$B,_xlpm.m),_xlpm.c,INDEX(Feed!$G:$G,_xlpm.m),IF(AND(_xlpm.p&gt;0,_xlpm.c&gt;0),_xlpm.p/_xlpm.c-1,"")),"")</f>
        <v>0.21076884002757512</v>
      </c>
      <c r="F542" s="23">
        <f>IF(ISNUMBER(E542),D542*E542,0)</f>
        <v>1.2674078349842164E-3</v>
      </c>
      <c r="G542" s="22">
        <f>IF(ISNUMBER(E542),D542,0)</f>
        <v>6.0132600000000003E-3</v>
      </c>
      <c r="H542" t="s">
        <v>44</v>
      </c>
      <c r="I542" s="21">
        <v>46288</v>
      </c>
    </row>
    <row r="543" spans="1:9" x14ac:dyDescent="0.15">
      <c r="A543" t="s">
        <v>42</v>
      </c>
      <c r="B543" t="s">
        <v>284</v>
      </c>
      <c r="C543" t="s">
        <v>1164</v>
      </c>
      <c r="D543" s="22">
        <v>5.8781900000000002E-3</v>
      </c>
      <c r="E543" s="22">
        <f>IFERROR(_xlfn.LET(_xlpm.m,MATCH($B543,Feed!$A:$A,0),_xlpm.p,INDEX(Feed!$B:$B,_xlpm.m),_xlpm.c,INDEX(Feed!$G:$G,_xlpm.m),IF(AND(_xlpm.p&gt;0,_xlpm.c&gt;0),_xlpm.p/_xlpm.c-1,"")),"")</f>
        <v>2.2271375181145636E-2</v>
      </c>
      <c r="F543" s="23">
        <f>IF(ISNUMBER(E543),D543*E543,0)</f>
        <v>1.3091537487605848E-4</v>
      </c>
      <c r="G543" s="22">
        <f>IF(ISNUMBER(E543),D543,0)</f>
        <v>5.8781900000000002E-3</v>
      </c>
      <c r="H543" t="s">
        <v>44</v>
      </c>
      <c r="I543" s="21">
        <v>46288</v>
      </c>
    </row>
    <row r="544" spans="1:9" x14ac:dyDescent="0.15">
      <c r="A544" t="s">
        <v>42</v>
      </c>
      <c r="B544" t="s">
        <v>292</v>
      </c>
      <c r="C544" t="s">
        <v>1166</v>
      </c>
      <c r="D544" s="22">
        <v>5.4015100000000009E-3</v>
      </c>
      <c r="E544" s="22" t="str">
        <f>IFERROR(_xlfn.LET(_xlpm.m,MATCH($B544,Feed!$A:$A,0),_xlpm.p,INDEX(Feed!$B:$B,_xlpm.m),_xlpm.c,INDEX(Feed!$G:$G,_xlpm.m),IF(AND(_xlpm.p&gt;0,_xlpm.c&gt;0),_xlpm.p/_xlpm.c-1,"")),"")</f>
        <v/>
      </c>
      <c r="F544" s="23">
        <f>IF(ISNUMBER(E544),D544*E544,0)</f>
        <v>0</v>
      </c>
      <c r="G544" s="22">
        <f>IF(ISNUMBER(E544),D544,0)</f>
        <v>0</v>
      </c>
      <c r="H544" t="s">
        <v>44</v>
      </c>
      <c r="I544" s="21">
        <v>46288</v>
      </c>
    </row>
    <row r="545" spans="1:9" x14ac:dyDescent="0.15">
      <c r="A545" t="s">
        <v>42</v>
      </c>
      <c r="B545" t="s">
        <v>332</v>
      </c>
      <c r="C545" t="s">
        <v>1167</v>
      </c>
      <c r="D545" s="22">
        <v>5.2908900000000003E-3</v>
      </c>
      <c r="E545" s="22">
        <f>IFERROR(_xlfn.LET(_xlpm.m,MATCH($B545,Feed!$A:$A,0),_xlpm.p,INDEX(Feed!$B:$B,_xlpm.m),_xlpm.c,INDEX(Feed!$G:$G,_xlpm.m),IF(AND(_xlpm.p&gt;0,_xlpm.c&gt;0),_xlpm.p/_xlpm.c-1,"")),"")</f>
        <v>3.1559114460668836E-2</v>
      </c>
      <c r="F545" s="23">
        <f>IF(ISNUMBER(E545),D545*E545,0)</f>
        <v>1.6697580310880814E-4</v>
      </c>
      <c r="G545" s="22">
        <f>IF(ISNUMBER(E545),D545,0)</f>
        <v>5.2908900000000003E-3</v>
      </c>
      <c r="H545" t="s">
        <v>44</v>
      </c>
      <c r="I545" s="21">
        <v>46288</v>
      </c>
    </row>
    <row r="546" spans="1:9" x14ac:dyDescent="0.15">
      <c r="A546" t="s">
        <v>42</v>
      </c>
      <c r="B546" t="s">
        <v>296</v>
      </c>
      <c r="C546" t="s">
        <v>1165</v>
      </c>
      <c r="D546" s="22">
        <v>5.1199899999999996E-3</v>
      </c>
      <c r="E546" s="22">
        <f>IFERROR(_xlfn.LET(_xlpm.m,MATCH($B546,Feed!$A:$A,0),_xlpm.p,INDEX(Feed!$B:$B,_xlpm.m),_xlpm.c,INDEX(Feed!$G:$G,_xlpm.m),IF(AND(_xlpm.p&gt;0,_xlpm.c&gt;0),_xlpm.p/_xlpm.c-1,"")),"")</f>
        <v>-2.1917808219178103E-2</v>
      </c>
      <c r="F546" s="23">
        <f>IF(ISNUMBER(E546),D546*E546,0)</f>
        <v>-1.1221895890410968E-4</v>
      </c>
      <c r="G546" s="22">
        <f>IF(ISNUMBER(E546),D546,0)</f>
        <v>5.1199899999999996E-3</v>
      </c>
      <c r="H546" t="s">
        <v>44</v>
      </c>
      <c r="I546" s="21">
        <v>46288</v>
      </c>
    </row>
    <row r="547" spans="1:9" x14ac:dyDescent="0.15">
      <c r="A547" t="s">
        <v>42</v>
      </c>
      <c r="B547" t="s">
        <v>322</v>
      </c>
      <c r="C547" t="s">
        <v>1170</v>
      </c>
      <c r="D547" s="22">
        <v>4.48679E-3</v>
      </c>
      <c r="E547" s="22">
        <f>IFERROR(_xlfn.LET(_xlpm.m,MATCH($B547,Feed!$A:$A,0),_xlpm.p,INDEX(Feed!$B:$B,_xlpm.m),_xlpm.c,INDEX(Feed!$G:$G,_xlpm.m),IF(AND(_xlpm.p&gt;0,_xlpm.c&gt;0),_xlpm.p/_xlpm.c-1,"")),"")</f>
        <v>-6.8871960763852158E-3</v>
      </c>
      <c r="F547" s="23">
        <f>IF(ISNUMBER(E547),D547*E547,0)</f>
        <v>-3.0901402483564422E-5</v>
      </c>
      <c r="G547" s="22">
        <f>IF(ISNUMBER(E547),D547,0)</f>
        <v>4.48679E-3</v>
      </c>
      <c r="H547" t="s">
        <v>44</v>
      </c>
      <c r="I547" s="21">
        <v>46288</v>
      </c>
    </row>
    <row r="548" spans="1:9" x14ac:dyDescent="0.15">
      <c r="A548" t="s">
        <v>42</v>
      </c>
      <c r="B548" t="s">
        <v>330</v>
      </c>
      <c r="C548" t="s">
        <v>1171</v>
      </c>
      <c r="D548" s="22">
        <v>4.4616600000000001E-3</v>
      </c>
      <c r="E548" s="22">
        <f>IFERROR(_xlfn.LET(_xlpm.m,MATCH($B548,Feed!$A:$A,0),_xlpm.p,INDEX(Feed!$B:$B,_xlpm.m),_xlpm.c,INDEX(Feed!$G:$G,_xlpm.m),IF(AND(_xlpm.p&gt;0,_xlpm.c&gt;0),_xlpm.p/_xlpm.c-1,"")),"")</f>
        <v>-5.8255290907751611E-3</v>
      </c>
      <c r="F548" s="23">
        <f>IF(ISNUMBER(E548),D548*E548,0)</f>
        <v>-2.5991530123147907E-5</v>
      </c>
      <c r="G548" s="22">
        <f>IF(ISNUMBER(E548),D548,0)</f>
        <v>4.4616600000000001E-3</v>
      </c>
      <c r="H548" t="s">
        <v>44</v>
      </c>
      <c r="I548" s="21">
        <v>46288</v>
      </c>
    </row>
    <row r="549" spans="1:9" x14ac:dyDescent="0.15">
      <c r="A549" t="s">
        <v>42</v>
      </c>
      <c r="B549" t="s">
        <v>388</v>
      </c>
      <c r="C549" t="s">
        <v>1173</v>
      </c>
      <c r="D549" s="22">
        <v>4.1414299999999998E-3</v>
      </c>
      <c r="E549" s="22">
        <f>IFERROR(_xlfn.LET(_xlpm.m,MATCH($B549,Feed!$A:$A,0),_xlpm.p,INDEX(Feed!$B:$B,_xlpm.m),_xlpm.c,INDEX(Feed!$G:$G,_xlpm.m),IF(AND(_xlpm.p&gt;0,_xlpm.c&gt;0),_xlpm.p/_xlpm.c-1,"")),"")</f>
        <v>6.588262026877878E-2</v>
      </c>
      <c r="F549" s="23">
        <f>IF(ISNUMBER(E549),D549*E549,0)</f>
        <v>2.7284826005972849E-4</v>
      </c>
      <c r="G549" s="22">
        <f>IF(ISNUMBER(E549),D549,0)</f>
        <v>4.1414299999999998E-3</v>
      </c>
      <c r="H549" t="s">
        <v>44</v>
      </c>
      <c r="I549" s="21">
        <v>46288</v>
      </c>
    </row>
    <row r="550" spans="1:9" x14ac:dyDescent="0.15">
      <c r="A550" t="s">
        <v>42</v>
      </c>
      <c r="B550" t="s">
        <v>344</v>
      </c>
      <c r="C550" t="s">
        <v>1172</v>
      </c>
      <c r="D550" s="22">
        <v>3.9190000000000006E-3</v>
      </c>
      <c r="E550" s="22">
        <f>IFERROR(_xlfn.LET(_xlpm.m,MATCH($B550,Feed!$A:$A,0),_xlpm.p,INDEX(Feed!$B:$B,_xlpm.m),_xlpm.c,INDEX(Feed!$G:$G,_xlpm.m),IF(AND(_xlpm.p&gt;0,_xlpm.c&gt;0),_xlpm.p/_xlpm.c-1,"")),"")</f>
        <v>-4.2142053671862412E-2</v>
      </c>
      <c r="F550" s="23">
        <f>IF(ISNUMBER(E550),D550*E550,0)</f>
        <v>-1.6515470834002881E-4</v>
      </c>
      <c r="G550" s="22">
        <f>IF(ISNUMBER(E550),D550,0)</f>
        <v>3.9190000000000006E-3</v>
      </c>
      <c r="H550" t="s">
        <v>44</v>
      </c>
      <c r="I550" s="21">
        <v>46288</v>
      </c>
    </row>
    <row r="551" spans="1:9" x14ac:dyDescent="0.15">
      <c r="A551" t="s">
        <v>42</v>
      </c>
      <c r="B551" t="s">
        <v>382</v>
      </c>
      <c r="C551" t="s">
        <v>1174</v>
      </c>
      <c r="D551" s="22">
        <v>3.8627800000000001E-3</v>
      </c>
      <c r="E551" s="22">
        <f>IFERROR(_xlfn.LET(_xlpm.m,MATCH($B551,Feed!$A:$A,0),_xlpm.p,INDEX(Feed!$B:$B,_xlpm.m),_xlpm.c,INDEX(Feed!$G:$G,_xlpm.m),IF(AND(_xlpm.p&gt;0,_xlpm.c&gt;0),_xlpm.p/_xlpm.c-1,"")),"")</f>
        <v>3.435279337285535E-2</v>
      </c>
      <c r="F551" s="23">
        <f>IF(ISNUMBER(E551),D551*E551,0)</f>
        <v>1.3269728318479818E-4</v>
      </c>
      <c r="G551" s="22">
        <f>IF(ISNUMBER(E551),D551,0)</f>
        <v>3.8627800000000001E-3</v>
      </c>
      <c r="H551" t="s">
        <v>44</v>
      </c>
      <c r="I551" s="21">
        <v>46288</v>
      </c>
    </row>
    <row r="552" spans="1:9" x14ac:dyDescent="0.15">
      <c r="A552" t="s">
        <v>42</v>
      </c>
      <c r="B552" t="s">
        <v>1175</v>
      </c>
      <c r="C552" t="s">
        <v>1176</v>
      </c>
      <c r="D552" s="22">
        <v>3.8320400000000001E-3</v>
      </c>
      <c r="E552" s="22">
        <f>IFERROR(_xlfn.LET(_xlpm.m,MATCH($B552,Feed!$A:$A,0),_xlpm.p,INDEX(Feed!$B:$B,_xlpm.m),_xlpm.c,INDEX(Feed!$G:$G,_xlpm.m),IF(AND(_xlpm.p&gt;0,_xlpm.c&gt;0),_xlpm.p/_xlpm.c-1,"")),"")</f>
        <v>2.1925824806001915E-2</v>
      </c>
      <c r="F552" s="23">
        <f>IF(ISNUMBER(E552),D552*E552,0)</f>
        <v>8.4020637689591573E-5</v>
      </c>
      <c r="G552" s="22">
        <f>IF(ISNUMBER(E552),D552,0)</f>
        <v>3.8320400000000001E-3</v>
      </c>
      <c r="H552" t="s">
        <v>44</v>
      </c>
      <c r="I552" s="21">
        <v>46288</v>
      </c>
    </row>
    <row r="553" spans="1:9" x14ac:dyDescent="0.15">
      <c r="A553" t="s">
        <v>42</v>
      </c>
      <c r="B553" t="s">
        <v>436</v>
      </c>
      <c r="C553" t="s">
        <v>1177</v>
      </c>
      <c r="D553" s="22">
        <v>3.7641599999999999E-3</v>
      </c>
      <c r="E553" s="22">
        <f>IFERROR(_xlfn.LET(_xlpm.m,MATCH($B553,Feed!$A:$A,0),_xlpm.p,INDEX(Feed!$B:$B,_xlpm.m),_xlpm.c,INDEX(Feed!$G:$G,_xlpm.m),IF(AND(_xlpm.p&gt;0,_xlpm.c&gt;0),_xlpm.p/_xlpm.c-1,"")),"")</f>
        <v>2.7971202643691573E-2</v>
      </c>
      <c r="F553" s="23">
        <f>IF(ISNUMBER(E553),D553*E553,0)</f>
        <v>1.0528808214327807E-4</v>
      </c>
      <c r="G553" s="22">
        <f>IF(ISNUMBER(E553),D553,0)</f>
        <v>3.7641599999999999E-3</v>
      </c>
      <c r="H553" t="s">
        <v>44</v>
      </c>
      <c r="I553" s="21">
        <v>46288</v>
      </c>
    </row>
    <row r="554" spans="1:9" x14ac:dyDescent="0.15">
      <c r="A554" t="s">
        <v>42</v>
      </c>
      <c r="B554" t="s">
        <v>476</v>
      </c>
      <c r="C554" t="s">
        <v>1179</v>
      </c>
      <c r="D554" s="22">
        <v>3.58333E-3</v>
      </c>
      <c r="E554" s="22">
        <f>IFERROR(_xlfn.LET(_xlpm.m,MATCH($B554,Feed!$A:$A,0),_xlpm.p,INDEX(Feed!$B:$B,_xlpm.m),_xlpm.c,INDEX(Feed!$G:$G,_xlpm.m),IF(AND(_xlpm.p&gt;0,_xlpm.c&gt;0),_xlpm.p/_xlpm.c-1,"")),"")</f>
        <v>-9.8411988369492276E-3</v>
      </c>
      <c r="F554" s="23">
        <f>IF(ISNUMBER(E554),D554*E554,0)</f>
        <v>-3.5264263028405276E-5</v>
      </c>
      <c r="G554" s="22">
        <f>IF(ISNUMBER(E554),D554,0)</f>
        <v>3.58333E-3</v>
      </c>
      <c r="H554" t="s">
        <v>44</v>
      </c>
      <c r="I554" s="21">
        <v>46288</v>
      </c>
    </row>
    <row r="555" spans="1:9" x14ac:dyDescent="0.15">
      <c r="A555" t="s">
        <v>42</v>
      </c>
      <c r="B555" t="s">
        <v>376</v>
      </c>
      <c r="C555" t="s">
        <v>1178</v>
      </c>
      <c r="D555" s="22">
        <v>3.5714900000000001E-3</v>
      </c>
      <c r="E555" s="22">
        <f>IFERROR(_xlfn.LET(_xlpm.m,MATCH($B555,Feed!$A:$A,0),_xlpm.p,INDEX(Feed!$B:$B,_xlpm.m),_xlpm.c,INDEX(Feed!$G:$G,_xlpm.m),IF(AND(_xlpm.p&gt;0,_xlpm.c&gt;0),_xlpm.p/_xlpm.c-1,"")),"")</f>
        <v>-1.0828025477707004E-2</v>
      </c>
      <c r="F555" s="23">
        <f>IF(ISNUMBER(E555),D555*E555,0)</f>
        <v>-3.8672184713375792E-5</v>
      </c>
      <c r="G555" s="22">
        <f>IF(ISNUMBER(E555),D555,0)</f>
        <v>3.5714900000000001E-3</v>
      </c>
      <c r="H555" t="s">
        <v>44</v>
      </c>
      <c r="I555" s="21">
        <v>46288</v>
      </c>
    </row>
    <row r="556" spans="1:9" x14ac:dyDescent="0.15">
      <c r="A556" t="s">
        <v>42</v>
      </c>
      <c r="B556" t="s">
        <v>392</v>
      </c>
      <c r="C556" t="s">
        <v>1190</v>
      </c>
      <c r="D556" s="22">
        <v>3.5102299999999996E-3</v>
      </c>
      <c r="E556" s="22">
        <f>IFERROR(_xlfn.LET(_xlpm.m,MATCH($B556,Feed!$A:$A,0),_xlpm.p,INDEX(Feed!$B:$B,_xlpm.m),_xlpm.c,INDEX(Feed!$G:$G,_xlpm.m),IF(AND(_xlpm.p&gt;0,_xlpm.c&gt;0),_xlpm.p/_xlpm.c-1,"")),"")</f>
        <v>1.5855453266159003E-2</v>
      </c>
      <c r="F556" s="23">
        <f>IF(ISNUMBER(E556),D556*E556,0)</f>
        <v>5.5656287718469313E-5</v>
      </c>
      <c r="G556" s="22">
        <f>IF(ISNUMBER(E556),D556,0)</f>
        <v>3.5102299999999996E-3</v>
      </c>
      <c r="H556" t="s">
        <v>44</v>
      </c>
      <c r="I556" s="21">
        <v>46288</v>
      </c>
    </row>
    <row r="557" spans="1:9" x14ac:dyDescent="0.15">
      <c r="A557" t="s">
        <v>42</v>
      </c>
      <c r="B557" t="s">
        <v>408</v>
      </c>
      <c r="C557" t="s">
        <v>1186</v>
      </c>
      <c r="D557" s="22">
        <v>3.4524600000000001E-3</v>
      </c>
      <c r="E557" s="22">
        <f>IFERROR(_xlfn.LET(_xlpm.m,MATCH($B557,Feed!$A:$A,0),_xlpm.p,INDEX(Feed!$B:$B,_xlpm.m),_xlpm.c,INDEX(Feed!$G:$G,_xlpm.m),IF(AND(_xlpm.p&gt;0,_xlpm.c&gt;0),_xlpm.p/_xlpm.c-1,"")),"")</f>
        <v>7.0873100035348191E-2</v>
      </c>
      <c r="F557" s="23">
        <f>IF(ISNUMBER(E557),D557*E557,0)</f>
        <v>2.4468654294803824E-4</v>
      </c>
      <c r="G557" s="22">
        <f>IF(ISNUMBER(E557),D557,0)</f>
        <v>3.4524600000000001E-3</v>
      </c>
      <c r="H557" t="s">
        <v>44</v>
      </c>
      <c r="I557" s="21">
        <v>46288</v>
      </c>
    </row>
    <row r="558" spans="1:9" x14ac:dyDescent="0.15">
      <c r="A558" t="s">
        <v>42</v>
      </c>
      <c r="B558" t="s">
        <v>412</v>
      </c>
      <c r="C558" t="s">
        <v>1187</v>
      </c>
      <c r="D558" s="22">
        <v>3.4297100000000003E-3</v>
      </c>
      <c r="E558" s="22">
        <f>IFERROR(_xlfn.LET(_xlpm.m,MATCH($B558,Feed!$A:$A,0),_xlpm.p,INDEX(Feed!$B:$B,_xlpm.m),_xlpm.c,INDEX(Feed!$G:$G,_xlpm.m),IF(AND(_xlpm.p&gt;0,_xlpm.c&gt;0),_xlpm.p/_xlpm.c-1,"")),"")</f>
        <v>7.4939109255393266E-2</v>
      </c>
      <c r="F558" s="23">
        <f>IF(ISNUMBER(E558),D558*E558,0)</f>
        <v>2.5701941240431484E-4</v>
      </c>
      <c r="G558" s="22">
        <f>IF(ISNUMBER(E558),D558,0)</f>
        <v>3.4297100000000003E-3</v>
      </c>
      <c r="H558" t="s">
        <v>44</v>
      </c>
      <c r="I558" s="21">
        <v>46288</v>
      </c>
    </row>
    <row r="559" spans="1:9" x14ac:dyDescent="0.15">
      <c r="A559" t="s">
        <v>42</v>
      </c>
      <c r="B559" t="s">
        <v>414</v>
      </c>
      <c r="C559" t="s">
        <v>1182</v>
      </c>
      <c r="D559" s="22">
        <v>3.36447E-3</v>
      </c>
      <c r="E559" s="22">
        <f>IFERROR(_xlfn.LET(_xlpm.m,MATCH($B559,Feed!$A:$A,0),_xlpm.p,INDEX(Feed!$B:$B,_xlpm.m),_xlpm.c,INDEX(Feed!$G:$G,_xlpm.m),IF(AND(_xlpm.p&gt;0,_xlpm.c&gt;0),_xlpm.p/_xlpm.c-1,"")),"")</f>
        <v>2.4272153914760786E-2</v>
      </c>
      <c r="F559" s="23">
        <f>IF(ISNUMBER(E559),D559*E559,0)</f>
        <v>8.1662933681595219E-5</v>
      </c>
      <c r="G559" s="22">
        <f>IF(ISNUMBER(E559),D559,0)</f>
        <v>3.36447E-3</v>
      </c>
      <c r="H559" t="s">
        <v>44</v>
      </c>
      <c r="I559" s="21">
        <v>46288</v>
      </c>
    </row>
    <row r="560" spans="1:9" x14ac:dyDescent="0.15">
      <c r="A560" t="s">
        <v>42</v>
      </c>
      <c r="B560" t="s">
        <v>390</v>
      </c>
      <c r="C560" t="s">
        <v>1180</v>
      </c>
      <c r="D560" s="22">
        <v>3.3092100000000004E-3</v>
      </c>
      <c r="E560" s="22">
        <f>IFERROR(_xlfn.LET(_xlpm.m,MATCH($B560,Feed!$A:$A,0),_xlpm.p,INDEX(Feed!$B:$B,_xlpm.m),_xlpm.c,INDEX(Feed!$G:$G,_xlpm.m),IF(AND(_xlpm.p&gt;0,_xlpm.c&gt;0),_xlpm.p/_xlpm.c-1,"")),"")</f>
        <v>-3.6610706157854889E-2</v>
      </c>
      <c r="F560" s="23">
        <f>IF(ISNUMBER(E560),D560*E560,0)</f>
        <v>-1.2115251492463499E-4</v>
      </c>
      <c r="G560" s="22">
        <f>IF(ISNUMBER(E560),D560,0)</f>
        <v>3.3092100000000004E-3</v>
      </c>
      <c r="H560" t="s">
        <v>44</v>
      </c>
      <c r="I560" s="21">
        <v>46288</v>
      </c>
    </row>
    <row r="561" spans="1:9" x14ac:dyDescent="0.15">
      <c r="A561" t="s">
        <v>42</v>
      </c>
      <c r="B561" t="s">
        <v>462</v>
      </c>
      <c r="C561" t="s">
        <v>1184</v>
      </c>
      <c r="D561" s="22">
        <v>3.29204E-3</v>
      </c>
      <c r="E561" s="22">
        <f>IFERROR(_xlfn.LET(_xlpm.m,MATCH($B561,Feed!$A:$A,0),_xlpm.p,INDEX(Feed!$B:$B,_xlpm.m),_xlpm.c,INDEX(Feed!$G:$G,_xlpm.m),IF(AND(_xlpm.p&gt;0,_xlpm.c&gt;0),_xlpm.p/_xlpm.c-1,"")),"")</f>
        <v>5.8692572353775674E-3</v>
      </c>
      <c r="F561" s="23">
        <f>IF(ISNUMBER(E561),D561*E561,0)</f>
        <v>1.9321829589152368E-5</v>
      </c>
      <c r="G561" s="22">
        <f>IF(ISNUMBER(E561),D561,0)</f>
        <v>3.29204E-3</v>
      </c>
      <c r="H561" t="s">
        <v>44</v>
      </c>
      <c r="I561" s="21">
        <v>46288</v>
      </c>
    </row>
    <row r="562" spans="1:9" x14ac:dyDescent="0.15">
      <c r="A562" t="s">
        <v>42</v>
      </c>
      <c r="B562" t="s">
        <v>398</v>
      </c>
      <c r="C562" t="s">
        <v>1181</v>
      </c>
      <c r="D562" s="22">
        <v>3.2835500000000001E-3</v>
      </c>
      <c r="E562" s="22">
        <f>IFERROR(_xlfn.LET(_xlpm.m,MATCH($B562,Feed!$A:$A,0),_xlpm.p,INDEX(Feed!$B:$B,_xlpm.m),_xlpm.c,INDEX(Feed!$G:$G,_xlpm.m),IF(AND(_xlpm.p&gt;0,_xlpm.c&gt;0),_xlpm.p/_xlpm.c-1,"")),"")</f>
        <v>-1.2752858399296407E-2</v>
      </c>
      <c r="F562" s="23">
        <f>IF(ISNUMBER(E562),D562*E562,0)</f>
        <v>-4.1874648197009718E-5</v>
      </c>
      <c r="G562" s="22">
        <f>IF(ISNUMBER(E562),D562,0)</f>
        <v>3.2835500000000001E-3</v>
      </c>
      <c r="H562" t="s">
        <v>44</v>
      </c>
      <c r="I562" s="21">
        <v>46288</v>
      </c>
    </row>
    <row r="563" spans="1:9" x14ac:dyDescent="0.15">
      <c r="A563" t="s">
        <v>42</v>
      </c>
      <c r="B563" t="s">
        <v>432</v>
      </c>
      <c r="C563" t="s">
        <v>1183</v>
      </c>
      <c r="D563" s="22">
        <v>3.2538099999999998E-3</v>
      </c>
      <c r="E563" s="22">
        <f>IFERROR(_xlfn.LET(_xlpm.m,MATCH($B563,Feed!$A:$A,0),_xlpm.p,INDEX(Feed!$B:$B,_xlpm.m),_xlpm.c,INDEX(Feed!$G:$G,_xlpm.m),IF(AND(_xlpm.p&gt;0,_xlpm.c&gt;0),_xlpm.p/_xlpm.c-1,"")),"")</f>
        <v>-1.503057945475228E-3</v>
      </c>
      <c r="F563" s="23">
        <f>IF(ISNUMBER(E563),D563*E563,0)</f>
        <v>-4.8906649735667509E-6</v>
      </c>
      <c r="G563" s="22">
        <f>IF(ISNUMBER(E563),D563,0)</f>
        <v>3.2538099999999998E-3</v>
      </c>
      <c r="H563" t="s">
        <v>44</v>
      </c>
      <c r="I563" s="21">
        <v>46288</v>
      </c>
    </row>
    <row r="564" spans="1:9" x14ac:dyDescent="0.15">
      <c r="A564" t="s">
        <v>42</v>
      </c>
      <c r="B564" t="s">
        <v>424</v>
      </c>
      <c r="C564" t="s">
        <v>1188</v>
      </c>
      <c r="D564" s="22">
        <v>3.2453399999999998E-3</v>
      </c>
      <c r="E564" s="22">
        <f>IFERROR(_xlfn.LET(_xlpm.m,MATCH($B564,Feed!$A:$A,0),_xlpm.p,INDEX(Feed!$B:$B,_xlpm.m),_xlpm.c,INDEX(Feed!$G:$G,_xlpm.m),IF(AND(_xlpm.p&gt;0,_xlpm.c&gt;0),_xlpm.p/_xlpm.c-1,"")),"")</f>
        <v>6.3043873548588092E-2</v>
      </c>
      <c r="F564" s="23">
        <f>IF(ISNUMBER(E564),D564*E564,0)</f>
        <v>2.0459880458217487E-4</v>
      </c>
      <c r="G564" s="22">
        <f>IF(ISNUMBER(E564),D564,0)</f>
        <v>3.2453399999999998E-3</v>
      </c>
      <c r="H564" t="s">
        <v>44</v>
      </c>
      <c r="I564" s="21">
        <v>46288</v>
      </c>
    </row>
    <row r="565" spans="1:9" x14ac:dyDescent="0.15">
      <c r="A565" t="s">
        <v>42</v>
      </c>
      <c r="B565" t="s">
        <v>410</v>
      </c>
      <c r="C565" t="s">
        <v>1185</v>
      </c>
      <c r="D565" s="22">
        <v>3.2259599999999999E-3</v>
      </c>
      <c r="E565" s="22">
        <f>IFERROR(_xlfn.LET(_xlpm.m,MATCH($B565,Feed!$A:$A,0),_xlpm.p,INDEX(Feed!$B:$B,_xlpm.m),_xlpm.c,INDEX(Feed!$G:$G,_xlpm.m),IF(AND(_xlpm.p&gt;0,_xlpm.c&gt;0),_xlpm.p/_xlpm.c-1,"")),"")</f>
        <v>3.7797863599013937E-3</v>
      </c>
      <c r="F565" s="23">
        <f>IF(ISNUMBER(E565),D565*E565,0)</f>
        <v>1.2193439605587499E-5</v>
      </c>
      <c r="G565" s="22">
        <f>IF(ISNUMBER(E565),D565,0)</f>
        <v>3.2259599999999999E-3</v>
      </c>
      <c r="H565" t="s">
        <v>44</v>
      </c>
      <c r="I565" s="21">
        <v>46288</v>
      </c>
    </row>
    <row r="566" spans="1:9" x14ac:dyDescent="0.15">
      <c r="A566" t="s">
        <v>42</v>
      </c>
      <c r="B566" t="s">
        <v>448</v>
      </c>
      <c r="C566" t="s">
        <v>1192</v>
      </c>
      <c r="D566" s="22">
        <v>3.2031199999999998E-3</v>
      </c>
      <c r="E566" s="22" t="str">
        <f>IFERROR(_xlfn.LET(_xlpm.m,MATCH($B566,Feed!$A:$A,0),_xlpm.p,INDEX(Feed!$B:$B,_xlpm.m),_xlpm.c,INDEX(Feed!$G:$G,_xlpm.m),IF(AND(_xlpm.p&gt;0,_xlpm.c&gt;0),_xlpm.p/_xlpm.c-1,"")),"")</f>
        <v/>
      </c>
      <c r="F566" s="23">
        <f>IF(ISNUMBER(E566),D566*E566,0)</f>
        <v>0</v>
      </c>
      <c r="G566" s="22">
        <f>IF(ISNUMBER(E566),D566,0)</f>
        <v>0</v>
      </c>
      <c r="H566" t="s">
        <v>44</v>
      </c>
      <c r="I566" s="21">
        <v>46288</v>
      </c>
    </row>
    <row r="567" spans="1:9" x14ac:dyDescent="0.15">
      <c r="A567" t="s">
        <v>42</v>
      </c>
      <c r="B567" t="s">
        <v>434</v>
      </c>
      <c r="C567" t="s">
        <v>1189</v>
      </c>
      <c r="D567" s="22">
        <v>3.0924800000000003E-3</v>
      </c>
      <c r="E567" s="22">
        <f>IFERROR(_xlfn.LET(_xlpm.m,MATCH($B567,Feed!$A:$A,0),_xlpm.p,INDEX(Feed!$B:$B,_xlpm.m),_xlpm.c,INDEX(Feed!$G:$G,_xlpm.m),IF(AND(_xlpm.p&gt;0,_xlpm.c&gt;0),_xlpm.p/_xlpm.c-1,"")),"")</f>
        <v>2.6035920744891916E-2</v>
      </c>
      <c r="F567" s="23">
        <f>IF(ISNUMBER(E567),D567*E567,0)</f>
        <v>8.0515564185163361E-5</v>
      </c>
      <c r="G567" s="22">
        <f>IF(ISNUMBER(E567),D567,0)</f>
        <v>3.0924800000000003E-3</v>
      </c>
      <c r="H567" t="s">
        <v>44</v>
      </c>
      <c r="I567" s="21">
        <v>46288</v>
      </c>
    </row>
    <row r="568" spans="1:9" x14ac:dyDescent="0.15">
      <c r="A568" t="s">
        <v>42</v>
      </c>
      <c r="B568" t="s">
        <v>458</v>
      </c>
      <c r="C568" t="s">
        <v>1191</v>
      </c>
      <c r="D568" s="22">
        <v>2.8728999999999998E-3</v>
      </c>
      <c r="E568" s="22">
        <f>IFERROR(_xlfn.LET(_xlpm.m,MATCH($B568,Feed!$A:$A,0),_xlpm.p,INDEX(Feed!$B:$B,_xlpm.m),_xlpm.c,INDEX(Feed!$G:$G,_xlpm.m),IF(AND(_xlpm.p&gt;0,_xlpm.c&gt;0),_xlpm.p/_xlpm.c-1,"")),"")</f>
        <v>1.3103529689528992E-2</v>
      </c>
      <c r="F568" s="23">
        <f>IF(ISNUMBER(E568),D568*E568,0)</f>
        <v>3.764513044504784E-5</v>
      </c>
      <c r="G568" s="22">
        <f>IF(ISNUMBER(E568),D568,0)</f>
        <v>2.8728999999999998E-3</v>
      </c>
      <c r="H568" t="s">
        <v>44</v>
      </c>
      <c r="I568" s="21">
        <v>46288</v>
      </c>
    </row>
    <row r="569" spans="1:9" x14ac:dyDescent="0.15">
      <c r="A569" t="s">
        <v>42</v>
      </c>
      <c r="B569" t="s">
        <v>454</v>
      </c>
      <c r="C569" t="s">
        <v>1193</v>
      </c>
      <c r="D569" s="22">
        <v>2.8091399999999999E-3</v>
      </c>
      <c r="E569" s="22">
        <f>IFERROR(_xlfn.LET(_xlpm.m,MATCH($B569,Feed!$A:$A,0),_xlpm.p,INDEX(Feed!$B:$B,_xlpm.m),_xlpm.c,INDEX(Feed!$G:$G,_xlpm.m),IF(AND(_xlpm.p&gt;0,_xlpm.c&gt;0),_xlpm.p/_xlpm.c-1,"")),"")</f>
        <v>-2.653110335699671E-2</v>
      </c>
      <c r="F569" s="23">
        <f>IF(ISNUMBER(E569),D569*E569,0)</f>
        <v>-7.4529583684273743E-5</v>
      </c>
      <c r="G569" s="22">
        <f>IF(ISNUMBER(E569),D569,0)</f>
        <v>2.8091399999999999E-3</v>
      </c>
      <c r="H569" t="s">
        <v>44</v>
      </c>
      <c r="I569" s="21">
        <v>46288</v>
      </c>
    </row>
    <row r="570" spans="1:9" x14ac:dyDescent="0.15">
      <c r="A570" t="s">
        <v>42</v>
      </c>
      <c r="B570" t="s">
        <v>502</v>
      </c>
      <c r="C570" t="s">
        <v>1197</v>
      </c>
      <c r="D570" s="22">
        <v>2.8077499999999999E-3</v>
      </c>
      <c r="E570" s="22">
        <f>IFERROR(_xlfn.LET(_xlpm.m,MATCH($B570,Feed!$A:$A,0),_xlpm.p,INDEX(Feed!$B:$B,_xlpm.m),_xlpm.c,INDEX(Feed!$G:$G,_xlpm.m),IF(AND(_xlpm.p&gt;0,_xlpm.c&gt;0),_xlpm.p/_xlpm.c-1,"")),"")</f>
        <v>0.1348250944325835</v>
      </c>
      <c r="F570" s="23">
        <f>IF(ISNUMBER(E570),D570*E570,0)</f>
        <v>3.7855515889308633E-4</v>
      </c>
      <c r="G570" s="22">
        <f>IF(ISNUMBER(E570),D570,0)</f>
        <v>2.8077499999999999E-3</v>
      </c>
      <c r="H570" t="s">
        <v>44</v>
      </c>
      <c r="I570" s="21">
        <v>46288</v>
      </c>
    </row>
    <row r="571" spans="1:9" x14ac:dyDescent="0.15">
      <c r="A571" t="s">
        <v>42</v>
      </c>
      <c r="B571" t="s">
        <v>470</v>
      </c>
      <c r="C571" t="s">
        <v>1194</v>
      </c>
      <c r="D571" s="22">
        <v>2.7784900000000002E-3</v>
      </c>
      <c r="E571" s="22">
        <f>IFERROR(_xlfn.LET(_xlpm.m,MATCH($B571,Feed!$A:$A,0),_xlpm.p,INDEX(Feed!$B:$B,_xlpm.m),_xlpm.c,INDEX(Feed!$G:$G,_xlpm.m),IF(AND(_xlpm.p&gt;0,_xlpm.c&gt;0),_xlpm.p/_xlpm.c-1,"")),"")</f>
        <v>2.6106751913203441E-2</v>
      </c>
      <c r="F571" s="23">
        <f>IF(ISNUMBER(E571),D571*E571,0)</f>
        <v>7.2537349123316628E-5</v>
      </c>
      <c r="G571" s="22">
        <f>IF(ISNUMBER(E571),D571,0)</f>
        <v>2.7784900000000002E-3</v>
      </c>
      <c r="H571" t="s">
        <v>44</v>
      </c>
      <c r="I571" s="21">
        <v>46288</v>
      </c>
    </row>
    <row r="572" spans="1:9" x14ac:dyDescent="0.15">
      <c r="A572" t="s">
        <v>42</v>
      </c>
      <c r="B572" t="s">
        <v>472</v>
      </c>
      <c r="C572" t="s">
        <v>1195</v>
      </c>
      <c r="D572" s="22">
        <v>2.7094300000000001E-3</v>
      </c>
      <c r="E572" s="22">
        <f>IFERROR(_xlfn.LET(_xlpm.m,MATCH($B572,Feed!$A:$A,0),_xlpm.p,INDEX(Feed!$B:$B,_xlpm.m),_xlpm.c,INDEX(Feed!$G:$G,_xlpm.m),IF(AND(_xlpm.p&gt;0,_xlpm.c&gt;0),_xlpm.p/_xlpm.c-1,"")),"")</f>
        <v>2.2499999999998632E-3</v>
      </c>
      <c r="F572" s="23">
        <f>IF(ISNUMBER(E572),D572*E572,0)</f>
        <v>6.0962174999996296E-6</v>
      </c>
      <c r="G572" s="22">
        <f>IF(ISNUMBER(E572),D572,0)</f>
        <v>2.7094300000000001E-3</v>
      </c>
      <c r="H572" t="s">
        <v>44</v>
      </c>
      <c r="I572" s="21">
        <v>46288</v>
      </c>
    </row>
    <row r="573" spans="1:9" x14ac:dyDescent="0.15">
      <c r="A573" t="s">
        <v>42</v>
      </c>
      <c r="B573" t="s">
        <v>1205</v>
      </c>
      <c r="C573" t="s">
        <v>1206</v>
      </c>
      <c r="D573" s="22">
        <v>2.6093699999999997E-3</v>
      </c>
      <c r="E573" s="22">
        <f>IFERROR(_xlfn.LET(_xlpm.m,MATCH($B573,Feed!$A:$A,0),_xlpm.p,INDEX(Feed!$B:$B,_xlpm.m),_xlpm.c,INDEX(Feed!$G:$G,_xlpm.m),IF(AND(_xlpm.p&gt;0,_xlpm.c&gt;0),_xlpm.p/_xlpm.c-1,"")),"")</f>
        <v>0.19175597691673518</v>
      </c>
      <c r="F573" s="23">
        <f>IF(ISNUMBER(E573),D573*E573,0)</f>
        <v>5.0036229348722125E-4</v>
      </c>
      <c r="G573" s="22">
        <f>IF(ISNUMBER(E573),D573,0)</f>
        <v>2.6093699999999997E-3</v>
      </c>
      <c r="H573" t="s">
        <v>44</v>
      </c>
      <c r="I573" s="21">
        <v>46288</v>
      </c>
    </row>
    <row r="574" spans="1:9" x14ac:dyDescent="0.15">
      <c r="A574" t="s">
        <v>42</v>
      </c>
      <c r="B574" t="s">
        <v>516</v>
      </c>
      <c r="C574" t="s">
        <v>1198</v>
      </c>
      <c r="D574" s="22">
        <v>2.5803100000000002E-3</v>
      </c>
      <c r="E574" s="22">
        <f>IFERROR(_xlfn.LET(_xlpm.m,MATCH($B574,Feed!$A:$A,0),_xlpm.p,INDEX(Feed!$B:$B,_xlpm.m),_xlpm.c,INDEX(Feed!$G:$G,_xlpm.m),IF(AND(_xlpm.p&gt;0,_xlpm.c&gt;0),_xlpm.p/_xlpm.c-1,"")),"")</f>
        <v>7.3276442242980577E-2</v>
      </c>
      <c r="F574" s="23">
        <f>IF(ISNUMBER(E574),D574*E574,0)</f>
        <v>1.8907593668398523E-4</v>
      </c>
      <c r="G574" s="22">
        <f>IF(ISNUMBER(E574),D574,0)</f>
        <v>2.5803100000000002E-3</v>
      </c>
      <c r="H574" t="s">
        <v>44</v>
      </c>
      <c r="I574" s="21">
        <v>46288</v>
      </c>
    </row>
    <row r="575" spans="1:9" x14ac:dyDescent="0.15">
      <c r="A575" t="s">
        <v>42</v>
      </c>
      <c r="B575" t="s">
        <v>1208</v>
      </c>
      <c r="C575" t="s">
        <v>1209</v>
      </c>
      <c r="D575" s="22">
        <v>2.5246400000000003E-3</v>
      </c>
      <c r="E575" s="22">
        <f>IFERROR(_xlfn.LET(_xlpm.m,MATCH($B575,Feed!$A:$A,0),_xlpm.p,INDEX(Feed!$B:$B,_xlpm.m),_xlpm.c,INDEX(Feed!$G:$G,_xlpm.m),IF(AND(_xlpm.p&gt;0,_xlpm.c&gt;0),_xlpm.p/_xlpm.c-1,"")),"")</f>
        <v>8.4171647609147637E-2</v>
      </c>
      <c r="F575" s="23">
        <f>IF(ISNUMBER(E575),D575*E575,0)</f>
        <v>2.1250310841995851E-4</v>
      </c>
      <c r="G575" s="22">
        <f>IF(ISNUMBER(E575),D575,0)</f>
        <v>2.5246400000000003E-3</v>
      </c>
      <c r="H575" t="s">
        <v>44</v>
      </c>
      <c r="I575" s="21">
        <v>46288</v>
      </c>
    </row>
    <row r="576" spans="1:9" x14ac:dyDescent="0.15">
      <c r="A576" t="s">
        <v>42</v>
      </c>
      <c r="B576" t="s">
        <v>520</v>
      </c>
      <c r="C576" t="s">
        <v>1199</v>
      </c>
      <c r="D576" s="22">
        <v>2.4900600000000001E-3</v>
      </c>
      <c r="E576" s="22">
        <f>IFERROR(_xlfn.LET(_xlpm.m,MATCH($B576,Feed!$A:$A,0),_xlpm.p,INDEX(Feed!$B:$B,_xlpm.m),_xlpm.c,INDEX(Feed!$G:$G,_xlpm.m),IF(AND(_xlpm.p&gt;0,_xlpm.c&gt;0),_xlpm.p/_xlpm.c-1,"")),"")</f>
        <v>4.0396508618798954E-2</v>
      </c>
      <c r="F576" s="23">
        <f>IF(ISNUMBER(E576),D576*E576,0)</f>
        <v>1.0058973025132653E-4</v>
      </c>
      <c r="G576" s="22">
        <f>IF(ISNUMBER(E576),D576,0)</f>
        <v>2.4900600000000001E-3</v>
      </c>
      <c r="H576" t="s">
        <v>44</v>
      </c>
      <c r="I576" s="21">
        <v>46288</v>
      </c>
    </row>
    <row r="577" spans="1:9" x14ac:dyDescent="0.15">
      <c r="A577" t="s">
        <v>42</v>
      </c>
      <c r="B577" t="s">
        <v>498</v>
      </c>
      <c r="C577" t="s">
        <v>1196</v>
      </c>
      <c r="D577" s="22">
        <v>2.4809800000000003E-3</v>
      </c>
      <c r="E577" s="22">
        <f>IFERROR(_xlfn.LET(_xlpm.m,MATCH($B577,Feed!$A:$A,0),_xlpm.p,INDEX(Feed!$B:$B,_xlpm.m),_xlpm.c,INDEX(Feed!$G:$G,_xlpm.m),IF(AND(_xlpm.p&gt;0,_xlpm.c&gt;0),_xlpm.p/_xlpm.c-1,"")),"")</f>
        <v>-1.8611063243150094E-2</v>
      </c>
      <c r="F577" s="23">
        <f>IF(ISNUMBER(E577),D577*E577,0)</f>
        <v>-4.6173675684990523E-5</v>
      </c>
      <c r="G577" s="22">
        <f>IF(ISNUMBER(E577),D577,0)</f>
        <v>2.4809800000000003E-3</v>
      </c>
      <c r="H577" t="s">
        <v>44</v>
      </c>
      <c r="I577" s="21">
        <v>46288</v>
      </c>
    </row>
    <row r="578" spans="1:9" x14ac:dyDescent="0.15">
      <c r="A578" t="s">
        <v>42</v>
      </c>
      <c r="B578" t="s">
        <v>530</v>
      </c>
      <c r="C578" t="s">
        <v>1201</v>
      </c>
      <c r="D578" s="22">
        <v>2.3781599999999998E-3</v>
      </c>
      <c r="E578" s="22">
        <f>IFERROR(_xlfn.LET(_xlpm.m,MATCH($B578,Feed!$A:$A,0),_xlpm.p,INDEX(Feed!$B:$B,_xlpm.m),_xlpm.c,INDEX(Feed!$G:$G,_xlpm.m),IF(AND(_xlpm.p&gt;0,_xlpm.c&gt;0),_xlpm.p/_xlpm.c-1,"")),"")</f>
        <v>8.7737196490511593E-3</v>
      </c>
      <c r="F578" s="23">
        <f>IF(ISNUMBER(E578),D578*E578,0)</f>
        <v>2.0865309120587503E-5</v>
      </c>
      <c r="G578" s="22">
        <f>IF(ISNUMBER(E578),D578,0)</f>
        <v>2.3781599999999998E-3</v>
      </c>
      <c r="H578" t="s">
        <v>44</v>
      </c>
      <c r="I578" s="21">
        <v>46288</v>
      </c>
    </row>
    <row r="579" spans="1:9" x14ac:dyDescent="0.15">
      <c r="A579" t="s">
        <v>42</v>
      </c>
      <c r="B579" t="s">
        <v>528</v>
      </c>
      <c r="C579" t="s">
        <v>1200</v>
      </c>
      <c r="D579" s="22">
        <v>2.3522399999999998E-3</v>
      </c>
      <c r="E579" s="22">
        <f>IFERROR(_xlfn.LET(_xlpm.m,MATCH($B579,Feed!$A:$A,0),_xlpm.p,INDEX(Feed!$B:$B,_xlpm.m),_xlpm.c,INDEX(Feed!$G:$G,_xlpm.m),IF(AND(_xlpm.p&gt;0,_xlpm.c&gt;0),_xlpm.p/_xlpm.c-1,"")),"")</f>
        <v>1.7467248908298316E-4</v>
      </c>
      <c r="F579" s="23">
        <f>IF(ISNUMBER(E579),D579*E579,0)</f>
        <v>4.1087161572055627E-7</v>
      </c>
      <c r="G579" s="22">
        <f>IF(ISNUMBER(E579),D579,0)</f>
        <v>2.3522399999999998E-3</v>
      </c>
      <c r="H579" t="s">
        <v>44</v>
      </c>
      <c r="I579" s="21">
        <v>46288</v>
      </c>
    </row>
    <row r="580" spans="1:9" x14ac:dyDescent="0.15">
      <c r="A580" t="s">
        <v>42</v>
      </c>
      <c r="B580" t="s">
        <v>1210</v>
      </c>
      <c r="C580" t="s">
        <v>1211</v>
      </c>
      <c r="D580" s="22">
        <v>2.32943E-3</v>
      </c>
      <c r="E580" s="22">
        <f>IFERROR(_xlfn.LET(_xlpm.m,MATCH($B580,Feed!$A:$A,0),_xlpm.p,INDEX(Feed!$B:$B,_xlpm.m),_xlpm.c,INDEX(Feed!$G:$G,_xlpm.m),IF(AND(_xlpm.p&gt;0,_xlpm.c&gt;0),_xlpm.p/_xlpm.c-1,"")),"")</f>
        <v>5.4190301512033523E-2</v>
      </c>
      <c r="F580" s="23">
        <f>IF(ISNUMBER(E580),D580*E580,0)</f>
        <v>1.2623251405117624E-4</v>
      </c>
      <c r="G580" s="22">
        <f>IF(ISNUMBER(E580),D580,0)</f>
        <v>2.32943E-3</v>
      </c>
      <c r="H580" t="s">
        <v>44</v>
      </c>
      <c r="I580" s="21">
        <v>46288</v>
      </c>
    </row>
    <row r="581" spans="1:9" x14ac:dyDescent="0.15">
      <c r="A581" t="s">
        <v>42</v>
      </c>
      <c r="B581" t="s">
        <v>1203</v>
      </c>
      <c r="C581" t="s">
        <v>1204</v>
      </c>
      <c r="D581" s="22">
        <v>2.2208900000000001E-3</v>
      </c>
      <c r="E581" s="22">
        <f>IFERROR(_xlfn.LET(_xlpm.m,MATCH($B581,Feed!$A:$A,0),_xlpm.p,INDEX(Feed!$B:$B,_xlpm.m),_xlpm.c,INDEX(Feed!$G:$G,_xlpm.m),IF(AND(_xlpm.p&gt;0,_xlpm.c&gt;0),_xlpm.p/_xlpm.c-1,"")),"")</f>
        <v>1.8377693282636054E-2</v>
      </c>
      <c r="F581" s="23">
        <f>IF(ISNUMBER(E581),D581*E581,0)</f>
        <v>4.081483523447359E-5</v>
      </c>
      <c r="G581" s="22">
        <f>IF(ISNUMBER(E581),D581,0)</f>
        <v>2.2208900000000001E-3</v>
      </c>
      <c r="H581" t="s">
        <v>44</v>
      </c>
      <c r="I581" s="21">
        <v>46288</v>
      </c>
    </row>
    <row r="582" spans="1:9" x14ac:dyDescent="0.15">
      <c r="A582" t="s">
        <v>42</v>
      </c>
      <c r="B582" t="s">
        <v>550</v>
      </c>
      <c r="C582" t="s">
        <v>1207</v>
      </c>
      <c r="D582" s="22">
        <v>2.19374E-3</v>
      </c>
      <c r="E582" s="22">
        <f>IFERROR(_xlfn.LET(_xlpm.m,MATCH($B582,Feed!$A:$A,0),_xlpm.p,INDEX(Feed!$B:$B,_xlpm.m),_xlpm.c,INDEX(Feed!$G:$G,_xlpm.m),IF(AND(_xlpm.p&gt;0,_xlpm.c&gt;0),_xlpm.p/_xlpm.c-1,"")),"")</f>
        <v>2.2738386308068348E-2</v>
      </c>
      <c r="F582" s="23">
        <f>IF(ISNUMBER(E582),D582*E582,0)</f>
        <v>4.988210757946186E-5</v>
      </c>
      <c r="G582" s="22">
        <f>IF(ISNUMBER(E582),D582,0)</f>
        <v>2.19374E-3</v>
      </c>
      <c r="H582" t="s">
        <v>44</v>
      </c>
      <c r="I582" s="21">
        <v>46288</v>
      </c>
    </row>
    <row r="583" spans="1:9" x14ac:dyDescent="0.15">
      <c r="A583" t="s">
        <v>42</v>
      </c>
      <c r="B583" t="s">
        <v>650</v>
      </c>
      <c r="C583" t="s">
        <v>1202</v>
      </c>
      <c r="D583" s="22">
        <v>2.1379699999999999E-3</v>
      </c>
      <c r="E583" s="22">
        <f>IFERROR(_xlfn.LET(_xlpm.m,MATCH($B583,Feed!$A:$A,0),_xlpm.p,INDEX(Feed!$B:$B,_xlpm.m),_xlpm.c,INDEX(Feed!$G:$G,_xlpm.m),IF(AND(_xlpm.p&gt;0,_xlpm.c&gt;0),_xlpm.p/_xlpm.c-1,"")),"")</f>
        <v>-4.1159962581852172E-2</v>
      </c>
      <c r="F583" s="23">
        <f>IF(ISNUMBER(E583),D583*E583,0)</f>
        <v>-8.7998765201122484E-5</v>
      </c>
      <c r="G583" s="22">
        <f>IF(ISNUMBER(E583),D583,0)</f>
        <v>2.1379699999999999E-3</v>
      </c>
      <c r="H583" t="s">
        <v>44</v>
      </c>
      <c r="I583" s="21">
        <v>46288</v>
      </c>
    </row>
    <row r="584" spans="1:9" x14ac:dyDescent="0.15">
      <c r="A584" t="s">
        <v>42</v>
      </c>
      <c r="B584" t="s">
        <v>588</v>
      </c>
      <c r="C584" t="s">
        <v>1213</v>
      </c>
      <c r="D584" s="22">
        <v>1.89887E-3</v>
      </c>
      <c r="E584" s="22">
        <f>IFERROR(_xlfn.LET(_xlpm.m,MATCH($B584,Feed!$A:$A,0),_xlpm.p,INDEX(Feed!$B:$B,_xlpm.m),_xlpm.c,INDEX(Feed!$G:$G,_xlpm.m),IF(AND(_xlpm.p&gt;0,_xlpm.c&gt;0),_xlpm.p/_xlpm.c-1,"")),"")</f>
        <v>1.2306983175847108E-2</v>
      </c>
      <c r="F584" s="23">
        <f>IF(ISNUMBER(E584),D584*E584,0)</f>
        <v>2.3369361143120799E-5</v>
      </c>
      <c r="G584" s="22">
        <f>IF(ISNUMBER(E584),D584,0)</f>
        <v>1.89887E-3</v>
      </c>
      <c r="H584" t="s">
        <v>44</v>
      </c>
      <c r="I584" s="21">
        <v>46288</v>
      </c>
    </row>
    <row r="585" spans="1:9" x14ac:dyDescent="0.15">
      <c r="A585" t="s">
        <v>42</v>
      </c>
      <c r="B585" t="s">
        <v>592</v>
      </c>
      <c r="C585" t="s">
        <v>1214</v>
      </c>
      <c r="D585" s="22">
        <v>1.8778099999999999E-3</v>
      </c>
      <c r="E585" s="22" t="str">
        <f>IFERROR(_xlfn.LET(_xlpm.m,MATCH($B585,Feed!$A:$A,0),_xlpm.p,INDEX(Feed!$B:$B,_xlpm.m),_xlpm.c,INDEX(Feed!$G:$G,_xlpm.m),IF(AND(_xlpm.p&gt;0,_xlpm.c&gt;0),_xlpm.p/_xlpm.c-1,"")),"")</f>
        <v/>
      </c>
      <c r="F585" s="23">
        <f>IF(ISNUMBER(E585),D585*E585,0)</f>
        <v>0</v>
      </c>
      <c r="G585" s="22">
        <f>IF(ISNUMBER(E585),D585,0)</f>
        <v>0</v>
      </c>
      <c r="H585" t="s">
        <v>44</v>
      </c>
      <c r="I585" s="21">
        <v>46288</v>
      </c>
    </row>
    <row r="586" spans="1:9" x14ac:dyDescent="0.15">
      <c r="A586" t="s">
        <v>42</v>
      </c>
      <c r="B586" t="s">
        <v>596</v>
      </c>
      <c r="C586" t="s">
        <v>1212</v>
      </c>
      <c r="D586" s="22">
        <v>1.8770200000000001E-3</v>
      </c>
      <c r="E586" s="22" t="str">
        <f>IFERROR(_xlfn.LET(_xlpm.m,MATCH($B586,Feed!$A:$A,0),_xlpm.p,INDEX(Feed!$B:$B,_xlpm.m),_xlpm.c,INDEX(Feed!$G:$G,_xlpm.m),IF(AND(_xlpm.p&gt;0,_xlpm.c&gt;0),_xlpm.p/_xlpm.c-1,"")),"")</f>
        <v/>
      </c>
      <c r="F586" s="23">
        <f>IF(ISNUMBER(E586),D586*E586,0)</f>
        <v>0</v>
      </c>
      <c r="G586" s="22">
        <f>IF(ISNUMBER(E586),D586,0)</f>
        <v>0</v>
      </c>
      <c r="H586" t="s">
        <v>44</v>
      </c>
      <c r="I586" s="21">
        <v>46288</v>
      </c>
    </row>
    <row r="587" spans="1:9" x14ac:dyDescent="0.15">
      <c r="A587" t="s">
        <v>42</v>
      </c>
      <c r="B587" t="s">
        <v>1215</v>
      </c>
      <c r="C587" t="s">
        <v>1216</v>
      </c>
      <c r="D587" s="22">
        <v>1.8412799999999998E-3</v>
      </c>
      <c r="E587" s="22">
        <f>IFERROR(_xlfn.LET(_xlpm.m,MATCH($B587,Feed!$A:$A,0),_xlpm.p,INDEX(Feed!$B:$B,_xlpm.m),_xlpm.c,INDEX(Feed!$G:$G,_xlpm.m),IF(AND(_xlpm.p&gt;0,_xlpm.c&gt;0),_xlpm.p/_xlpm.c-1,"")),"")</f>
        <v>2.5458554675754197E-2</v>
      </c>
      <c r="F587" s="23">
        <f>IF(ISNUMBER(E587),D587*E587,0)</f>
        <v>4.687632755337268E-5</v>
      </c>
      <c r="G587" s="22">
        <f>IF(ISNUMBER(E587),D587,0)</f>
        <v>1.8412799999999998E-3</v>
      </c>
      <c r="H587" t="s">
        <v>44</v>
      </c>
      <c r="I587" s="21">
        <v>46288</v>
      </c>
    </row>
    <row r="588" spans="1:9" x14ac:dyDescent="0.15">
      <c r="A588" t="s">
        <v>42</v>
      </c>
      <c r="B588" t="s">
        <v>610</v>
      </c>
      <c r="C588" t="s">
        <v>1217</v>
      </c>
      <c r="D588" s="22">
        <v>1.78499E-3</v>
      </c>
      <c r="E588" s="22">
        <f>IFERROR(_xlfn.LET(_xlpm.m,MATCH($B588,Feed!$A:$A,0),_xlpm.p,INDEX(Feed!$B:$B,_xlpm.m),_xlpm.c,INDEX(Feed!$G:$G,_xlpm.m),IF(AND(_xlpm.p&gt;0,_xlpm.c&gt;0),_xlpm.p/_xlpm.c-1,"")),"")</f>
        <v>-6.4178749702876736E-3</v>
      </c>
      <c r="F588" s="23">
        <f>IF(ISNUMBER(E588),D588*E588,0)</f>
        <v>-1.1455842643213794E-5</v>
      </c>
      <c r="G588" s="22">
        <f>IF(ISNUMBER(E588),D588,0)</f>
        <v>1.78499E-3</v>
      </c>
      <c r="H588" t="s">
        <v>44</v>
      </c>
      <c r="I588" s="21">
        <v>46288</v>
      </c>
    </row>
    <row r="589" spans="1:9" x14ac:dyDescent="0.15">
      <c r="A589" t="s">
        <v>42</v>
      </c>
      <c r="B589" t="s">
        <v>1227</v>
      </c>
      <c r="C589" t="s">
        <v>1228</v>
      </c>
      <c r="D589" s="22">
        <v>1.7820500000000001E-3</v>
      </c>
      <c r="E589" s="22">
        <f>IFERROR(_xlfn.LET(_xlpm.m,MATCH($B589,Feed!$A:$A,0),_xlpm.p,INDEX(Feed!$B:$B,_xlpm.m),_xlpm.c,INDEX(Feed!$G:$G,_xlpm.m),IF(AND(_xlpm.p&gt;0,_xlpm.c&gt;0),_xlpm.p/_xlpm.c-1,"")),"")</f>
        <v>0.11358215889732071</v>
      </c>
      <c r="F589" s="23">
        <f>IF(ISNUMBER(E589),D589*E589,0)</f>
        <v>2.0240908626297037E-4</v>
      </c>
      <c r="G589" s="22">
        <f>IF(ISNUMBER(E589),D589,0)</f>
        <v>1.7820500000000001E-3</v>
      </c>
      <c r="H589" t="s">
        <v>44</v>
      </c>
      <c r="I589" s="21">
        <v>46288</v>
      </c>
    </row>
    <row r="590" spans="1:9" x14ac:dyDescent="0.15">
      <c r="A590" t="s">
        <v>42</v>
      </c>
      <c r="B590" t="s">
        <v>620</v>
      </c>
      <c r="C590" t="s">
        <v>1218</v>
      </c>
      <c r="D590" s="22">
        <v>1.7738799999999998E-3</v>
      </c>
      <c r="E590" s="22">
        <f>IFERROR(_xlfn.LET(_xlpm.m,MATCH($B590,Feed!$A:$A,0),_xlpm.p,INDEX(Feed!$B:$B,_xlpm.m),_xlpm.c,INDEX(Feed!$G:$G,_xlpm.m),IF(AND(_xlpm.p&gt;0,_xlpm.c&gt;0),_xlpm.p/_xlpm.c-1,"")),"")</f>
        <v>1.7764857881136908E-2</v>
      </c>
      <c r="F590" s="23">
        <f>IF(ISNUMBER(E590),D590*E590,0)</f>
        <v>3.1512726098191134E-5</v>
      </c>
      <c r="G590" s="22">
        <f>IF(ISNUMBER(E590),D590,0)</f>
        <v>1.7738799999999998E-3</v>
      </c>
      <c r="H590" t="s">
        <v>44</v>
      </c>
      <c r="I590" s="21">
        <v>46288</v>
      </c>
    </row>
    <row r="591" spans="1:9" x14ac:dyDescent="0.15">
      <c r="A591" t="s">
        <v>42</v>
      </c>
      <c r="B591" t="s">
        <v>644</v>
      </c>
      <c r="C591" t="s">
        <v>1221</v>
      </c>
      <c r="D591" s="22">
        <v>1.70319E-3</v>
      </c>
      <c r="E591" s="22">
        <f>IFERROR(_xlfn.LET(_xlpm.m,MATCH($B591,Feed!$A:$A,0),_xlpm.p,INDEX(Feed!$B:$B,_xlpm.m),_xlpm.c,INDEX(Feed!$G:$G,_xlpm.m),IF(AND(_xlpm.p&gt;0,_xlpm.c&gt;0),_xlpm.p/_xlpm.c-1,"")),"")</f>
        <v>3.4802784222737859E-2</v>
      </c>
      <c r="F591" s="23">
        <f>IF(ISNUMBER(E591),D591*E591,0)</f>
        <v>5.9275754060324894E-5</v>
      </c>
      <c r="G591" s="22">
        <f>IF(ISNUMBER(E591),D591,0)</f>
        <v>1.70319E-3</v>
      </c>
      <c r="H591" t="s">
        <v>44</v>
      </c>
      <c r="I591" s="21">
        <v>46288</v>
      </c>
    </row>
    <row r="592" spans="1:9" x14ac:dyDescent="0.15">
      <c r="A592" t="s">
        <v>42</v>
      </c>
      <c r="B592" t="s">
        <v>638</v>
      </c>
      <c r="C592" t="s">
        <v>1220</v>
      </c>
      <c r="D592" s="22">
        <v>1.69962E-3</v>
      </c>
      <c r="E592" s="22">
        <f>IFERROR(_xlfn.LET(_xlpm.m,MATCH($B592,Feed!$A:$A,0),_xlpm.p,INDEX(Feed!$B:$B,_xlpm.m),_xlpm.c,INDEX(Feed!$G:$G,_xlpm.m),IF(AND(_xlpm.p&gt;0,_xlpm.c&gt;0),_xlpm.p/_xlpm.c-1,"")),"")</f>
        <v>1.9251441415029769E-2</v>
      </c>
      <c r="F592" s="23">
        <f>IF(ISNUMBER(E592),D592*E592,0)</f>
        <v>3.2720134857812897E-5</v>
      </c>
      <c r="G592" s="22">
        <f>IF(ISNUMBER(E592),D592,0)</f>
        <v>1.69962E-3</v>
      </c>
      <c r="H592" t="s">
        <v>44</v>
      </c>
      <c r="I592" s="21">
        <v>46288</v>
      </c>
    </row>
    <row r="593" spans="1:9" x14ac:dyDescent="0.15">
      <c r="A593" t="s">
        <v>42</v>
      </c>
      <c r="B593" t="s">
        <v>1222</v>
      </c>
      <c r="C593" t="s">
        <v>1223</v>
      </c>
      <c r="D593" s="22">
        <v>1.6991800000000002E-3</v>
      </c>
      <c r="E593" s="22">
        <f>IFERROR(_xlfn.LET(_xlpm.m,MATCH($B593,Feed!$A:$A,0),_xlpm.p,INDEX(Feed!$B:$B,_xlpm.m),_xlpm.c,INDEX(Feed!$G:$G,_xlpm.m),IF(AND(_xlpm.p&gt;0,_xlpm.c&gt;0),_xlpm.p/_xlpm.c-1,"")),"")</f>
        <v>2.1802325581395499E-2</v>
      </c>
      <c r="F593" s="23">
        <f>IF(ISNUMBER(E593),D593*E593,0)</f>
        <v>3.7046075581395611E-5</v>
      </c>
      <c r="G593" s="22">
        <f>IF(ISNUMBER(E593),D593,0)</f>
        <v>1.6991800000000002E-3</v>
      </c>
      <c r="H593" t="s">
        <v>44</v>
      </c>
      <c r="I593" s="21">
        <v>46288</v>
      </c>
    </row>
    <row r="594" spans="1:9" x14ac:dyDescent="0.15">
      <c r="A594" t="s">
        <v>42</v>
      </c>
      <c r="B594" t="s">
        <v>664</v>
      </c>
      <c r="C594" t="s">
        <v>1219</v>
      </c>
      <c r="D594" s="22">
        <v>1.6852200000000001E-3</v>
      </c>
      <c r="E594" s="22">
        <f>IFERROR(_xlfn.LET(_xlpm.m,MATCH($B594,Feed!$A:$A,0),_xlpm.p,INDEX(Feed!$B:$B,_xlpm.m),_xlpm.c,INDEX(Feed!$G:$G,_xlpm.m),IF(AND(_xlpm.p&gt;0,_xlpm.c&gt;0),_xlpm.p/_xlpm.c-1,"")),"")</f>
        <v>-1.3862579645255724E-2</v>
      </c>
      <c r="F594" s="23">
        <f>IF(ISNUMBER(E594),D594*E594,0)</f>
        <v>-2.3361496469777851E-5</v>
      </c>
      <c r="G594" s="22">
        <f>IF(ISNUMBER(E594),D594,0)</f>
        <v>1.6852200000000001E-3</v>
      </c>
      <c r="H594" t="s">
        <v>44</v>
      </c>
      <c r="I594" s="21">
        <v>46288</v>
      </c>
    </row>
    <row r="595" spans="1:9" x14ac:dyDescent="0.15">
      <c r="A595" t="s">
        <v>42</v>
      </c>
      <c r="B595" t="s">
        <v>1229</v>
      </c>
      <c r="C595" t="s">
        <v>1230</v>
      </c>
      <c r="D595" s="22">
        <v>1.6469700000000002E-3</v>
      </c>
      <c r="E595" s="22">
        <f>IFERROR(_xlfn.LET(_xlpm.m,MATCH($B595,Feed!$A:$A,0),_xlpm.p,INDEX(Feed!$B:$B,_xlpm.m),_xlpm.c,INDEX(Feed!$G:$G,_xlpm.m),IF(AND(_xlpm.p&gt;0,_xlpm.c&gt;0),_xlpm.p/_xlpm.c-1,"")),"")</f>
        <v>6.5634218289085666E-2</v>
      </c>
      <c r="F595" s="23">
        <f>IF(ISNUMBER(E595),D595*E595,0)</f>
        <v>1.0809758849557544E-4</v>
      </c>
      <c r="G595" s="22">
        <f>IF(ISNUMBER(E595),D595,0)</f>
        <v>1.6469700000000002E-3</v>
      </c>
      <c r="H595" t="s">
        <v>44</v>
      </c>
      <c r="I595" s="21">
        <v>46288</v>
      </c>
    </row>
    <row r="596" spans="1:9" x14ac:dyDescent="0.15">
      <c r="A596" t="s">
        <v>42</v>
      </c>
      <c r="B596" t="s">
        <v>672</v>
      </c>
      <c r="C596" t="s">
        <v>1225</v>
      </c>
      <c r="D596" s="22">
        <v>1.58982E-3</v>
      </c>
      <c r="E596" s="22" t="str">
        <f>IFERROR(_xlfn.LET(_xlpm.m,MATCH($B596,Feed!$A:$A,0),_xlpm.p,INDEX(Feed!$B:$B,_xlpm.m),_xlpm.c,INDEX(Feed!$G:$G,_xlpm.m),IF(AND(_xlpm.p&gt;0,_xlpm.c&gt;0),_xlpm.p/_xlpm.c-1,"")),"")</f>
        <v/>
      </c>
      <c r="F596" s="23">
        <f>IF(ISNUMBER(E596),D596*E596,0)</f>
        <v>0</v>
      </c>
      <c r="G596" s="22">
        <f>IF(ISNUMBER(E596),D596,0)</f>
        <v>0</v>
      </c>
      <c r="H596" t="s">
        <v>44</v>
      </c>
      <c r="I596" s="21">
        <v>46288</v>
      </c>
    </row>
    <row r="597" spans="1:9" x14ac:dyDescent="0.15">
      <c r="A597" t="s">
        <v>42</v>
      </c>
      <c r="B597" t="s">
        <v>668</v>
      </c>
      <c r="C597" t="s">
        <v>1231</v>
      </c>
      <c r="D597" s="22">
        <v>1.54363E-3</v>
      </c>
      <c r="E597" s="22">
        <f>IFERROR(_xlfn.LET(_xlpm.m,MATCH($B597,Feed!$A:$A,0),_xlpm.p,INDEX(Feed!$B:$B,_xlpm.m),_xlpm.c,INDEX(Feed!$G:$G,_xlpm.m),IF(AND(_xlpm.p&gt;0,_xlpm.c&gt;0),_xlpm.p/_xlpm.c-1,"")),"")</f>
        <v>2.5795068786850228E-2</v>
      </c>
      <c r="F597" s="23">
        <f>IF(ISNUMBER(E597),D597*E597,0)</f>
        <v>3.9818042031445616E-5</v>
      </c>
      <c r="G597" s="22">
        <f>IF(ISNUMBER(E597),D597,0)</f>
        <v>1.54363E-3</v>
      </c>
      <c r="H597" t="s">
        <v>44</v>
      </c>
      <c r="I597" s="21">
        <v>46288</v>
      </c>
    </row>
    <row r="598" spans="1:9" x14ac:dyDescent="0.15">
      <c r="A598" t="s">
        <v>42</v>
      </c>
      <c r="B598" t="s">
        <v>656</v>
      </c>
      <c r="C598" t="s">
        <v>1224</v>
      </c>
      <c r="D598" s="22">
        <v>1.5262300000000002E-3</v>
      </c>
      <c r="E598" s="22" t="str">
        <f>IFERROR(_xlfn.LET(_xlpm.m,MATCH($B598,Feed!$A:$A,0),_xlpm.p,INDEX(Feed!$B:$B,_xlpm.m),_xlpm.c,INDEX(Feed!$G:$G,_xlpm.m),IF(AND(_xlpm.p&gt;0,_xlpm.c&gt;0),_xlpm.p/_xlpm.c-1,"")),"")</f>
        <v/>
      </c>
      <c r="F598" s="23">
        <f>IF(ISNUMBER(E598),D598*E598,0)</f>
        <v>0</v>
      </c>
      <c r="G598" s="22">
        <f>IF(ISNUMBER(E598),D598,0)</f>
        <v>0</v>
      </c>
      <c r="H598" t="s">
        <v>44</v>
      </c>
      <c r="I598" s="21">
        <v>46288</v>
      </c>
    </row>
    <row r="599" spans="1:9" x14ac:dyDescent="0.15">
      <c r="A599" t="s">
        <v>42</v>
      </c>
      <c r="B599" t="s">
        <v>706</v>
      </c>
      <c r="C599" t="s">
        <v>1232</v>
      </c>
      <c r="D599" s="22">
        <v>1.5209800000000001E-3</v>
      </c>
      <c r="E599" s="22">
        <f>IFERROR(_xlfn.LET(_xlpm.m,MATCH($B599,Feed!$A:$A,0),_xlpm.p,INDEX(Feed!$B:$B,_xlpm.m),_xlpm.c,INDEX(Feed!$G:$G,_xlpm.m),IF(AND(_xlpm.p&gt;0,_xlpm.c&gt;0),_xlpm.p/_xlpm.c-1,"")),"")</f>
        <v>2.5260115606936528E-2</v>
      </c>
      <c r="F599" s="23">
        <f>IF(ISNUMBER(E599),D599*E599,0)</f>
        <v>3.8420130635838323E-5</v>
      </c>
      <c r="G599" s="22">
        <f>IF(ISNUMBER(E599),D599,0)</f>
        <v>1.5209800000000001E-3</v>
      </c>
      <c r="H599" t="s">
        <v>44</v>
      </c>
      <c r="I599" s="21">
        <v>46288</v>
      </c>
    </row>
    <row r="600" spans="1:9" x14ac:dyDescent="0.15">
      <c r="A600" t="s">
        <v>42</v>
      </c>
      <c r="B600" t="s">
        <v>1233</v>
      </c>
      <c r="C600" t="s">
        <v>1234</v>
      </c>
      <c r="D600" s="22">
        <v>1.49114E-3</v>
      </c>
      <c r="E600" s="22" t="str">
        <f>IFERROR(_xlfn.LET(_xlpm.m,MATCH($B600,Feed!$A:$A,0),_xlpm.p,INDEX(Feed!$B:$B,_xlpm.m),_xlpm.c,INDEX(Feed!$G:$G,_xlpm.m),IF(AND(_xlpm.p&gt;0,_xlpm.c&gt;0),_xlpm.p/_xlpm.c-1,"")),"")</f>
        <v/>
      </c>
      <c r="F600" s="23">
        <f>IF(ISNUMBER(E600),D600*E600,0)</f>
        <v>0</v>
      </c>
      <c r="G600" s="22">
        <f>IF(ISNUMBER(E600),D600,0)</f>
        <v>0</v>
      </c>
      <c r="H600" t="s">
        <v>44</v>
      </c>
      <c r="I600" s="21">
        <v>46288</v>
      </c>
    </row>
    <row r="601" spans="1:9" x14ac:dyDescent="0.15">
      <c r="A601" t="s">
        <v>42</v>
      </c>
      <c r="B601" t="s">
        <v>666</v>
      </c>
      <c r="C601" t="s">
        <v>1226</v>
      </c>
      <c r="D601" s="22">
        <v>1.48868E-3</v>
      </c>
      <c r="E601" s="22">
        <f>IFERROR(_xlfn.LET(_xlpm.m,MATCH($B601,Feed!$A:$A,0),_xlpm.p,INDEX(Feed!$B:$B,_xlpm.m),_xlpm.c,INDEX(Feed!$G:$G,_xlpm.m),IF(AND(_xlpm.p&gt;0,_xlpm.c&gt;0),_xlpm.p/_xlpm.c-1,"")),"")</f>
        <v>-2.38504051081182E-2</v>
      </c>
      <c r="F601" s="23">
        <f>IF(ISNUMBER(E601),D601*E601,0)</f>
        <v>-3.5505621076353405E-5</v>
      </c>
      <c r="G601" s="22">
        <f>IF(ISNUMBER(E601),D601,0)</f>
        <v>1.48868E-3</v>
      </c>
      <c r="H601" t="s">
        <v>44</v>
      </c>
      <c r="I601" s="21">
        <v>46288</v>
      </c>
    </row>
    <row r="602" spans="1:9" x14ac:dyDescent="0.15">
      <c r="A602" t="s">
        <v>42</v>
      </c>
      <c r="B602" t="s">
        <v>692</v>
      </c>
      <c r="C602" t="s">
        <v>1235</v>
      </c>
      <c r="D602" s="22">
        <v>1.3976500000000001E-3</v>
      </c>
      <c r="E602" s="22">
        <f>IFERROR(_xlfn.LET(_xlpm.m,MATCH($B602,Feed!$A:$A,0),_xlpm.p,INDEX(Feed!$B:$B,_xlpm.m),_xlpm.c,INDEX(Feed!$G:$G,_xlpm.m),IF(AND(_xlpm.p&gt;0,_xlpm.c&gt;0),_xlpm.p/_xlpm.c-1,"")),"")</f>
        <v>2.014549524342657E-3</v>
      </c>
      <c r="F602" s="23">
        <f>IF(ISNUMBER(E602),D602*E602,0)</f>
        <v>2.8156351426975147E-6</v>
      </c>
      <c r="G602" s="22">
        <f>IF(ISNUMBER(E602),D602,0)</f>
        <v>1.3976500000000001E-3</v>
      </c>
      <c r="H602" t="s">
        <v>44</v>
      </c>
      <c r="I602" s="21">
        <v>46288</v>
      </c>
    </row>
    <row r="603" spans="1:9" x14ac:dyDescent="0.15">
      <c r="A603" t="s">
        <v>42</v>
      </c>
      <c r="B603" t="s">
        <v>1236</v>
      </c>
      <c r="C603" t="s">
        <v>1237</v>
      </c>
      <c r="D603" s="22">
        <v>1.3930100000000001E-3</v>
      </c>
      <c r="E603" s="22">
        <f>IFERROR(_xlfn.LET(_xlpm.m,MATCH($B603,Feed!$A:$A,0),_xlpm.p,INDEX(Feed!$B:$B,_xlpm.m),_xlpm.c,INDEX(Feed!$G:$G,_xlpm.m),IF(AND(_xlpm.p&gt;0,_xlpm.c&gt;0),_xlpm.p/_xlpm.c-1,"")),"")</f>
        <v>5.0467523793621627E-2</v>
      </c>
      <c r="F603" s="23">
        <f>IF(ISNUMBER(E603),D603*E603,0)</f>
        <v>7.0301765319752873E-5</v>
      </c>
      <c r="G603" s="22">
        <f>IF(ISNUMBER(E603),D603,0)</f>
        <v>1.3930100000000001E-3</v>
      </c>
      <c r="H603" t="s">
        <v>44</v>
      </c>
      <c r="I603" s="21">
        <v>46288</v>
      </c>
    </row>
    <row r="604" spans="1:9" x14ac:dyDescent="0.15">
      <c r="A604" t="s">
        <v>42</v>
      </c>
      <c r="B604" t="s">
        <v>734</v>
      </c>
      <c r="C604" t="s">
        <v>1238</v>
      </c>
      <c r="D604" s="22">
        <v>1.2382999999999999E-3</v>
      </c>
      <c r="E604" s="22">
        <f>IFERROR(_xlfn.LET(_xlpm.m,MATCH($B604,Feed!$A:$A,0),_xlpm.p,INDEX(Feed!$B:$B,_xlpm.m),_xlpm.c,INDEX(Feed!$G:$G,_xlpm.m),IF(AND(_xlpm.p&gt;0,_xlpm.c&gt;0),_xlpm.p/_xlpm.c-1,"")),"")</f>
        <v>3.2278184936847198E-2</v>
      </c>
      <c r="F604" s="23">
        <f>IF(ISNUMBER(E604),D604*E604,0)</f>
        <v>3.997007640729788E-5</v>
      </c>
      <c r="G604" s="22">
        <f>IF(ISNUMBER(E604),D604,0)</f>
        <v>1.2382999999999999E-3</v>
      </c>
      <c r="H604" t="s">
        <v>44</v>
      </c>
      <c r="I604" s="21">
        <v>46288</v>
      </c>
    </row>
    <row r="605" spans="1:9" x14ac:dyDescent="0.15">
      <c r="A605" t="s">
        <v>42</v>
      </c>
      <c r="B605" t="s">
        <v>810</v>
      </c>
      <c r="C605" t="s">
        <v>1239</v>
      </c>
      <c r="D605" s="22">
        <v>1.1028399999999999E-3</v>
      </c>
      <c r="E605" s="22">
        <f>IFERROR(_xlfn.LET(_xlpm.m,MATCH($B605,Feed!$A:$A,0),_xlpm.p,INDEX(Feed!$B:$B,_xlpm.m),_xlpm.c,INDEX(Feed!$G:$G,_xlpm.m),IF(AND(_xlpm.p&gt;0,_xlpm.c&gt;0),_xlpm.p/_xlpm.c-1,"")),"")</f>
        <v>-1.6564207650273222E-2</v>
      </c>
      <c r="F605" s="23">
        <f>IF(ISNUMBER(E605),D605*E605,0)</f>
        <v>-1.826767076502732E-5</v>
      </c>
      <c r="G605" s="22">
        <f>IF(ISNUMBER(E605),D605,0)</f>
        <v>1.1028399999999999E-3</v>
      </c>
      <c r="H605" t="s">
        <v>44</v>
      </c>
      <c r="I605" s="21">
        <v>46288</v>
      </c>
    </row>
    <row r="606" spans="1:9" x14ac:dyDescent="0.15">
      <c r="A606" t="s">
        <v>45</v>
      </c>
      <c r="B606" t="s">
        <v>119</v>
      </c>
      <c r="C606" t="s">
        <v>120</v>
      </c>
      <c r="D606" s="22">
        <v>0.15457152000000002</v>
      </c>
      <c r="E606" s="22">
        <f>IFERROR(_xlfn.LET(_xlpm.m,MATCH($B606,Feed!$A:$A,0),_xlpm.p,INDEX(Feed!$B:$B,_xlpm.m),_xlpm.c,INDEX(Feed!$G:$G,_xlpm.m),IF(AND(_xlpm.p&gt;0,_xlpm.c&gt;0),_xlpm.p/_xlpm.c-1,"")),"")</f>
        <v>2.7525981913888442E-2</v>
      </c>
      <c r="F606" s="23">
        <f>IF(ISNUMBER(E606),D606*E606,0)</f>
        <v>4.254732863922246E-3</v>
      </c>
      <c r="G606" s="22">
        <f>IF(ISNUMBER(E606),D606,0)</f>
        <v>0.15457152000000002</v>
      </c>
      <c r="H606" t="s">
        <v>40</v>
      </c>
      <c r="I606" s="21">
        <v>46288</v>
      </c>
    </row>
    <row r="607" spans="1:9" x14ac:dyDescent="0.15">
      <c r="A607" t="s">
        <v>45</v>
      </c>
      <c r="B607" t="s">
        <v>57</v>
      </c>
      <c r="C607" t="s">
        <v>121</v>
      </c>
      <c r="D607" s="22">
        <v>0.13837713000000001</v>
      </c>
      <c r="E607" s="22" t="str">
        <f>IFERROR(_xlfn.LET(_xlpm.m,MATCH($B607,Feed!$A:$A,0),_xlpm.p,INDEX(Feed!$B:$B,_xlpm.m),_xlpm.c,INDEX(Feed!$G:$G,_xlpm.m),IF(AND(_xlpm.p&gt;0,_xlpm.c&gt;0),_xlpm.p/_xlpm.c-1,"")),"")</f>
        <v/>
      </c>
      <c r="F607" s="23">
        <f>IF(ISNUMBER(E607),D607*E607,0)</f>
        <v>0</v>
      </c>
      <c r="G607" s="22">
        <f>IF(ISNUMBER(E607),D607,0)</f>
        <v>0</v>
      </c>
      <c r="H607" t="s">
        <v>40</v>
      </c>
      <c r="I607" s="21">
        <v>46288</v>
      </c>
    </row>
    <row r="608" spans="1:9" x14ac:dyDescent="0.15">
      <c r="A608" t="s">
        <v>45</v>
      </c>
      <c r="B608" t="s">
        <v>122</v>
      </c>
      <c r="C608" t="s">
        <v>123</v>
      </c>
      <c r="D608" s="22">
        <v>0.10320077</v>
      </c>
      <c r="E608" s="22">
        <f>IFERROR(_xlfn.LET(_xlpm.m,MATCH($B608,Feed!$A:$A,0),_xlpm.p,INDEX(Feed!$B:$B,_xlpm.m),_xlpm.c,INDEX(Feed!$G:$G,_xlpm.m),IF(AND(_xlpm.p&gt;0,_xlpm.c&gt;0),_xlpm.p/_xlpm.c-1,"")),"")</f>
        <v>-7.5307509818385299E-3</v>
      </c>
      <c r="F608" s="23">
        <f>IF(ISNUMBER(E608),D608*E608,0)</f>
        <v>-7.7717930000399226E-4</v>
      </c>
      <c r="G608" s="22">
        <f>IF(ISNUMBER(E608),D608,0)</f>
        <v>0.10320077</v>
      </c>
      <c r="H608" t="s">
        <v>40</v>
      </c>
      <c r="I608" s="21">
        <v>46288</v>
      </c>
    </row>
    <row r="609" spans="1:9" x14ac:dyDescent="0.15">
      <c r="A609" t="s">
        <v>45</v>
      </c>
      <c r="B609" t="s">
        <v>144</v>
      </c>
      <c r="C609" t="s">
        <v>145</v>
      </c>
      <c r="D609" s="22">
        <v>5.1443709999999997E-2</v>
      </c>
      <c r="E609" s="22">
        <f>IFERROR(_xlfn.LET(_xlpm.m,MATCH($B609,Feed!$A:$A,0),_xlpm.p,INDEX(Feed!$B:$B,_xlpm.m),_xlpm.c,INDEX(Feed!$G:$G,_xlpm.m),IF(AND(_xlpm.p&gt;0,_xlpm.c&gt;0),_xlpm.p/_xlpm.c-1,"")),"")</f>
        <v>0.11258976099460538</v>
      </c>
      <c r="F609" s="23">
        <f>IF(ISNUMBER(E609),D609*E609,0)</f>
        <v>5.7920350135757907E-3</v>
      </c>
      <c r="G609" s="22">
        <f>IF(ISNUMBER(E609),D609,0)</f>
        <v>5.1443709999999997E-2</v>
      </c>
      <c r="H609" t="s">
        <v>40</v>
      </c>
      <c r="I609" s="21">
        <v>46288</v>
      </c>
    </row>
    <row r="610" spans="1:9" x14ac:dyDescent="0.15">
      <c r="A610" t="s">
        <v>45</v>
      </c>
      <c r="B610" t="s">
        <v>128</v>
      </c>
      <c r="C610" t="s">
        <v>129</v>
      </c>
      <c r="D610" s="22">
        <v>4.8401230000000003E-2</v>
      </c>
      <c r="E610" s="22">
        <f>IFERROR(_xlfn.LET(_xlpm.m,MATCH($B610,Feed!$A:$A,0),_xlpm.p,INDEX(Feed!$B:$B,_xlpm.m),_xlpm.c,INDEX(Feed!$G:$G,_xlpm.m),IF(AND(_xlpm.p&gt;0,_xlpm.c&gt;0),_xlpm.p/_xlpm.c-1,"")),"")</f>
        <v>2.0170327207530425E-2</v>
      </c>
      <c r="F610" s="23">
        <f>IF(ISNUMBER(E610),D610*E610,0)</f>
        <v>9.7626864634693786E-4</v>
      </c>
      <c r="G610" s="22">
        <f>IF(ISNUMBER(E610),D610,0)</f>
        <v>4.8401230000000003E-2</v>
      </c>
      <c r="H610" t="s">
        <v>40</v>
      </c>
      <c r="I610" s="21">
        <v>46288</v>
      </c>
    </row>
    <row r="611" spans="1:9" x14ac:dyDescent="0.15">
      <c r="A611" t="s">
        <v>45</v>
      </c>
      <c r="B611" t="s">
        <v>134</v>
      </c>
      <c r="C611" t="s">
        <v>135</v>
      </c>
      <c r="D611" s="22">
        <v>4.5835939999999999E-2</v>
      </c>
      <c r="E611" s="22">
        <f>IFERROR(_xlfn.LET(_xlpm.m,MATCH($B611,Feed!$A:$A,0),_xlpm.p,INDEX(Feed!$B:$B,_xlpm.m),_xlpm.c,INDEX(Feed!$G:$G,_xlpm.m),IF(AND(_xlpm.p&gt;0,_xlpm.c&gt;0),_xlpm.p/_xlpm.c-1,"")),"")</f>
        <v>7.7761370348493841E-2</v>
      </c>
      <c r="F611" s="23">
        <f>IF(ISNUMBER(E611),D611*E611,0)</f>
        <v>3.5642655056113428E-3</v>
      </c>
      <c r="G611" s="22">
        <f>IF(ISNUMBER(E611),D611,0)</f>
        <v>4.5835939999999999E-2</v>
      </c>
      <c r="H611" t="s">
        <v>40</v>
      </c>
      <c r="I611" s="21">
        <v>46288</v>
      </c>
    </row>
    <row r="612" spans="1:9" x14ac:dyDescent="0.15">
      <c r="A612" t="s">
        <v>45</v>
      </c>
      <c r="B612" t="s">
        <v>152</v>
      </c>
      <c r="C612" t="s">
        <v>153</v>
      </c>
      <c r="D612" s="22">
        <v>3.477703E-2</v>
      </c>
      <c r="E612" s="22">
        <f>IFERROR(_xlfn.LET(_xlpm.m,MATCH($B612,Feed!$A:$A,0),_xlpm.p,INDEX(Feed!$B:$B,_xlpm.m),_xlpm.c,INDEX(Feed!$G:$G,_xlpm.m),IF(AND(_xlpm.p&gt;0,_xlpm.c&gt;0),_xlpm.p/_xlpm.c-1,"")),"")</f>
        <v>1.5766135654458946E-2</v>
      </c>
      <c r="F612" s="23">
        <f>IF(ISNUMBER(E612),D612*E612,0)</f>
        <v>5.4829937263918842E-4</v>
      </c>
      <c r="G612" s="22">
        <f>IF(ISNUMBER(E612),D612,0)</f>
        <v>3.477703E-2</v>
      </c>
      <c r="H612" t="s">
        <v>40</v>
      </c>
      <c r="I612" s="21">
        <v>46288</v>
      </c>
    </row>
    <row r="613" spans="1:9" x14ac:dyDescent="0.15">
      <c r="A613" t="s">
        <v>45</v>
      </c>
      <c r="B613" t="s">
        <v>164</v>
      </c>
      <c r="C613" t="s">
        <v>165</v>
      </c>
      <c r="D613" s="22">
        <v>2.404974E-2</v>
      </c>
      <c r="E613" s="22" t="str">
        <f>IFERROR(_xlfn.LET(_xlpm.m,MATCH($B613,Feed!$A:$A,0),_xlpm.p,INDEX(Feed!$B:$B,_xlpm.m),_xlpm.c,INDEX(Feed!$G:$G,_xlpm.m),IF(AND(_xlpm.p&gt;0,_xlpm.c&gt;0),_xlpm.p/_xlpm.c-1,"")),"")</f>
        <v/>
      </c>
      <c r="F613" s="23">
        <f>IF(ISNUMBER(E613),D613*E613,0)</f>
        <v>0</v>
      </c>
      <c r="G613" s="22">
        <f>IF(ISNUMBER(E613),D613,0)</f>
        <v>0</v>
      </c>
      <c r="H613" t="s">
        <v>40</v>
      </c>
      <c r="I613" s="21">
        <v>46288</v>
      </c>
    </row>
    <row r="614" spans="1:9" x14ac:dyDescent="0.15">
      <c r="A614" t="s">
        <v>45</v>
      </c>
      <c r="B614" t="s">
        <v>160</v>
      </c>
      <c r="C614" t="s">
        <v>161</v>
      </c>
      <c r="D614" s="22">
        <v>2.3705919999999998E-2</v>
      </c>
      <c r="E614" s="22">
        <f>IFERROR(_xlfn.LET(_xlpm.m,MATCH($B614,Feed!$A:$A,0),_xlpm.p,INDEX(Feed!$B:$B,_xlpm.m),_xlpm.c,INDEX(Feed!$G:$G,_xlpm.m),IF(AND(_xlpm.p&gt;0,_xlpm.c&gt;0),_xlpm.p/_xlpm.c-1,"")),"")</f>
        <v>-2.9312391562414497E-2</v>
      </c>
      <c r="F614" s="23">
        <f>IF(ISNUMBER(E614),D614*E614,0)</f>
        <v>-6.9487720938727303E-4</v>
      </c>
      <c r="G614" s="22">
        <f>IF(ISNUMBER(E614),D614,0)</f>
        <v>2.3705919999999998E-2</v>
      </c>
      <c r="H614" t="s">
        <v>40</v>
      </c>
      <c r="I614" s="21">
        <v>46288</v>
      </c>
    </row>
    <row r="615" spans="1:9" x14ac:dyDescent="0.15">
      <c r="A615" t="s">
        <v>45</v>
      </c>
      <c r="B615" t="s">
        <v>174</v>
      </c>
      <c r="C615" t="s">
        <v>175</v>
      </c>
      <c r="D615" s="22">
        <v>2.1963900000000001E-2</v>
      </c>
      <c r="E615" s="22">
        <f>IFERROR(_xlfn.LET(_xlpm.m,MATCH($B615,Feed!$A:$A,0),_xlpm.p,INDEX(Feed!$B:$B,_xlpm.m),_xlpm.c,INDEX(Feed!$G:$G,_xlpm.m),IF(AND(_xlpm.p&gt;0,_xlpm.c&gt;0),_xlpm.p/_xlpm.c-1,"")),"")</f>
        <v>7.6602686473916215E-2</v>
      </c>
      <c r="F615" s="23">
        <f>IF(ISNUMBER(E615),D615*E615,0)</f>
        <v>1.6824937454444485E-3</v>
      </c>
      <c r="G615" s="22">
        <f>IF(ISNUMBER(E615),D615,0)</f>
        <v>2.1963900000000001E-2</v>
      </c>
      <c r="H615" t="s">
        <v>40</v>
      </c>
      <c r="I615" s="21">
        <v>46288</v>
      </c>
    </row>
    <row r="616" spans="1:9" x14ac:dyDescent="0.15">
      <c r="A616" t="s">
        <v>45</v>
      </c>
      <c r="B616" t="s">
        <v>176</v>
      </c>
      <c r="C616" t="s">
        <v>177</v>
      </c>
      <c r="D616" s="22">
        <v>2.1196419999999997E-2</v>
      </c>
      <c r="E616" s="22">
        <f>IFERROR(_xlfn.LET(_xlpm.m,MATCH($B616,Feed!$A:$A,0),_xlpm.p,INDEX(Feed!$B:$B,_xlpm.m),_xlpm.c,INDEX(Feed!$G:$G,_xlpm.m),IF(AND(_xlpm.p&gt;0,_xlpm.c&gt;0),_xlpm.p/_xlpm.c-1,"")),"")</f>
        <v>6.2734777425377253E-2</v>
      </c>
      <c r="F616" s="23">
        <f>IF(ISNUMBER(E616),D616*E616,0)</f>
        <v>1.3297526909148147E-3</v>
      </c>
      <c r="G616" s="22">
        <f>IF(ISNUMBER(E616),D616,0)</f>
        <v>2.1196419999999997E-2</v>
      </c>
      <c r="H616" t="s">
        <v>40</v>
      </c>
      <c r="I616" s="21">
        <v>46288</v>
      </c>
    </row>
    <row r="617" spans="1:9" x14ac:dyDescent="0.15">
      <c r="A617" t="s">
        <v>45</v>
      </c>
      <c r="B617" t="s">
        <v>190</v>
      </c>
      <c r="C617" t="s">
        <v>191</v>
      </c>
      <c r="D617" s="22">
        <v>1.7250049999999999E-2</v>
      </c>
      <c r="E617" s="22">
        <f>IFERROR(_xlfn.LET(_xlpm.m,MATCH($B617,Feed!$A:$A,0),_xlpm.p,INDEX(Feed!$B:$B,_xlpm.m),_xlpm.c,INDEX(Feed!$G:$G,_xlpm.m),IF(AND(_xlpm.p&gt;0,_xlpm.c&gt;0),_xlpm.p/_xlpm.c-1,"")),"")</f>
        <v>3.0584740634798324E-2</v>
      </c>
      <c r="F617" s="23">
        <f>IF(ISNUMBER(E617),D617*E617,0)</f>
        <v>5.2758830518730279E-4</v>
      </c>
      <c r="G617" s="22">
        <f>IF(ISNUMBER(E617),D617,0)</f>
        <v>1.7250049999999999E-2</v>
      </c>
      <c r="H617" t="s">
        <v>40</v>
      </c>
      <c r="I617" s="21">
        <v>46288</v>
      </c>
    </row>
    <row r="618" spans="1:9" x14ac:dyDescent="0.15">
      <c r="A618" t="s">
        <v>45</v>
      </c>
      <c r="B618" t="s">
        <v>196</v>
      </c>
      <c r="C618" t="s">
        <v>197</v>
      </c>
      <c r="D618" s="22">
        <v>1.556806E-2</v>
      </c>
      <c r="E618" s="22">
        <f>IFERROR(_xlfn.LET(_xlpm.m,MATCH($B618,Feed!$A:$A,0),_xlpm.p,INDEX(Feed!$B:$B,_xlpm.m),_xlpm.c,INDEX(Feed!$G:$G,_xlpm.m),IF(AND(_xlpm.p&gt;0,_xlpm.c&gt;0),_xlpm.p/_xlpm.c-1,"")),"")</f>
        <v>4.985712850621149E-2</v>
      </c>
      <c r="F618" s="23">
        <f>IF(ISNUMBER(E618),D618*E618,0)</f>
        <v>7.7617876801241081E-4</v>
      </c>
      <c r="G618" s="22">
        <f>IF(ISNUMBER(E618),D618,0)</f>
        <v>1.556806E-2</v>
      </c>
      <c r="H618" t="s">
        <v>40</v>
      </c>
      <c r="I618" s="21">
        <v>46288</v>
      </c>
    </row>
    <row r="619" spans="1:9" x14ac:dyDescent="0.15">
      <c r="A619" t="s">
        <v>45</v>
      </c>
      <c r="B619" t="s">
        <v>202</v>
      </c>
      <c r="C619" t="s">
        <v>203</v>
      </c>
      <c r="D619" s="22">
        <v>1.457073E-2</v>
      </c>
      <c r="E619" s="22">
        <f>IFERROR(_xlfn.LET(_xlpm.m,MATCH($B619,Feed!$A:$A,0),_xlpm.p,INDEX(Feed!$B:$B,_xlpm.m),_xlpm.c,INDEX(Feed!$G:$G,_xlpm.m),IF(AND(_xlpm.p&gt;0,_xlpm.c&gt;0),_xlpm.p/_xlpm.c-1,"")),"")</f>
        <v>1.0577874127769116E-2</v>
      </c>
      <c r="F619" s="23">
        <f>IF(ISNUMBER(E619),D619*E619,0)</f>
        <v>1.5412734788970931E-4</v>
      </c>
      <c r="G619" s="22">
        <f>IF(ISNUMBER(E619),D619,0)</f>
        <v>1.457073E-2</v>
      </c>
      <c r="H619" t="s">
        <v>40</v>
      </c>
      <c r="I619" s="21">
        <v>46288</v>
      </c>
    </row>
    <row r="620" spans="1:9" x14ac:dyDescent="0.15">
      <c r="A620" t="s">
        <v>45</v>
      </c>
      <c r="B620" t="s">
        <v>208</v>
      </c>
      <c r="C620" t="s">
        <v>209</v>
      </c>
      <c r="D620" s="22">
        <v>1.4388860000000002E-2</v>
      </c>
      <c r="E620" s="22">
        <f>IFERROR(_xlfn.LET(_xlpm.m,MATCH($B620,Feed!$A:$A,0),_xlpm.p,INDEX(Feed!$B:$B,_xlpm.m),_xlpm.c,INDEX(Feed!$G:$G,_xlpm.m),IF(AND(_xlpm.p&gt;0,_xlpm.c&gt;0),_xlpm.p/_xlpm.c-1,"")),"")</f>
        <v>5.1030927835051587E-2</v>
      </c>
      <c r="F620" s="23">
        <f>IF(ISNUMBER(E620),D620*E620,0)</f>
        <v>7.3427687628866041E-4</v>
      </c>
      <c r="G620" s="22">
        <f>IF(ISNUMBER(E620),D620,0)</f>
        <v>1.4388860000000002E-2</v>
      </c>
      <c r="H620" t="s">
        <v>40</v>
      </c>
      <c r="I620" s="21">
        <v>46288</v>
      </c>
    </row>
    <row r="621" spans="1:9" x14ac:dyDescent="0.15">
      <c r="A621" t="s">
        <v>45</v>
      </c>
      <c r="B621" t="s">
        <v>206</v>
      </c>
      <c r="C621" t="s">
        <v>207</v>
      </c>
      <c r="D621" s="22">
        <v>1.4005989999999999E-2</v>
      </c>
      <c r="E621" s="22" t="str">
        <f>IFERROR(_xlfn.LET(_xlpm.m,MATCH($B621,Feed!$A:$A,0),_xlpm.p,INDEX(Feed!$B:$B,_xlpm.m),_xlpm.c,INDEX(Feed!$G:$G,_xlpm.m),IF(AND(_xlpm.p&gt;0,_xlpm.c&gt;0),_xlpm.p/_xlpm.c-1,"")),"")</f>
        <v/>
      </c>
      <c r="F621" s="23">
        <f>IF(ISNUMBER(E621),D621*E621,0)</f>
        <v>0</v>
      </c>
      <c r="G621" s="22">
        <f>IF(ISNUMBER(E621),D621,0)</f>
        <v>0</v>
      </c>
      <c r="H621" t="s">
        <v>40</v>
      </c>
      <c r="I621" s="21">
        <v>46288</v>
      </c>
    </row>
    <row r="622" spans="1:9" x14ac:dyDescent="0.15">
      <c r="A622" t="s">
        <v>45</v>
      </c>
      <c r="B622" t="s">
        <v>214</v>
      </c>
      <c r="C622" t="s">
        <v>215</v>
      </c>
      <c r="D622" s="22">
        <v>1.390336E-2</v>
      </c>
      <c r="E622" s="22">
        <f>IFERROR(_xlfn.LET(_xlpm.m,MATCH($B622,Feed!$A:$A,0),_xlpm.p,INDEX(Feed!$B:$B,_xlpm.m),_xlpm.c,INDEX(Feed!$G:$G,_xlpm.m),IF(AND(_xlpm.p&gt;0,_xlpm.c&gt;0),_xlpm.p/_xlpm.c-1,"")),"")</f>
        <v>6.3167410588168771E-2</v>
      </c>
      <c r="F622" s="23">
        <f>IF(ISNUMBER(E622),D622*E622,0)</f>
        <v>8.7823924967512222E-4</v>
      </c>
      <c r="G622" s="22">
        <f>IF(ISNUMBER(E622),D622,0)</f>
        <v>1.390336E-2</v>
      </c>
      <c r="H622" t="s">
        <v>40</v>
      </c>
      <c r="I622" s="21">
        <v>46288</v>
      </c>
    </row>
    <row r="623" spans="1:9" x14ac:dyDescent="0.15">
      <c r="A623" t="s">
        <v>45</v>
      </c>
      <c r="B623" t="s">
        <v>220</v>
      </c>
      <c r="C623" t="s">
        <v>221</v>
      </c>
      <c r="D623" s="22">
        <v>1.2983340000000001E-2</v>
      </c>
      <c r="E623" s="22">
        <f>IFERROR(_xlfn.LET(_xlpm.m,MATCH($B623,Feed!$A:$A,0),_xlpm.p,INDEX(Feed!$B:$B,_xlpm.m),_xlpm.c,INDEX(Feed!$G:$G,_xlpm.m),IF(AND(_xlpm.p&gt;0,_xlpm.c&gt;0),_xlpm.p/_xlpm.c-1,"")),"")</f>
        <v>7.2056908904810646E-2</v>
      </c>
      <c r="F623" s="23">
        <f>IF(ISNUMBER(E623),D623*E623,0)</f>
        <v>9.3553934766018438E-4</v>
      </c>
      <c r="G623" s="22">
        <f>IF(ISNUMBER(E623),D623,0)</f>
        <v>1.2983340000000001E-2</v>
      </c>
      <c r="H623" t="s">
        <v>40</v>
      </c>
      <c r="I623" s="21">
        <v>46288</v>
      </c>
    </row>
    <row r="624" spans="1:9" x14ac:dyDescent="0.15">
      <c r="A624" t="s">
        <v>45</v>
      </c>
      <c r="B624" t="s">
        <v>218</v>
      </c>
      <c r="C624" t="s">
        <v>219</v>
      </c>
      <c r="D624" s="22">
        <v>1.2318000000000001E-2</v>
      </c>
      <c r="E624" s="22">
        <f>IFERROR(_xlfn.LET(_xlpm.m,MATCH($B624,Feed!$A:$A,0),_xlpm.p,INDEX(Feed!$B:$B,_xlpm.m),_xlpm.c,INDEX(Feed!$G:$G,_xlpm.m),IF(AND(_xlpm.p&gt;0,_xlpm.c&gt;0),_xlpm.p/_xlpm.c-1,"")),"")</f>
        <v>7.9721193639730181E-3</v>
      </c>
      <c r="F624" s="23">
        <f>IF(ISNUMBER(E624),D624*E624,0)</f>
        <v>9.820056632541964E-5</v>
      </c>
      <c r="G624" s="22">
        <f>IF(ISNUMBER(E624),D624,0)</f>
        <v>1.2318000000000001E-2</v>
      </c>
      <c r="H624" t="s">
        <v>40</v>
      </c>
      <c r="I624" s="21">
        <v>46288</v>
      </c>
    </row>
    <row r="625" spans="1:9" x14ac:dyDescent="0.15">
      <c r="A625" t="s">
        <v>45</v>
      </c>
      <c r="B625" t="s">
        <v>224</v>
      </c>
      <c r="C625" t="s">
        <v>225</v>
      </c>
      <c r="D625" s="22">
        <v>1.2137450000000001E-2</v>
      </c>
      <c r="E625" s="22">
        <f>IFERROR(_xlfn.LET(_xlpm.m,MATCH($B625,Feed!$A:$A,0),_xlpm.p,INDEX(Feed!$B:$B,_xlpm.m),_xlpm.c,INDEX(Feed!$G:$G,_xlpm.m),IF(AND(_xlpm.p&gt;0,_xlpm.c&gt;0),_xlpm.p/_xlpm.c-1,"")),"")</f>
        <v>2.5473694769045707E-2</v>
      </c>
      <c r="F625" s="23">
        <f>IF(ISNUMBER(E625),D625*E625,0)</f>
        <v>3.0918569657455386E-4</v>
      </c>
      <c r="G625" s="22">
        <f>IF(ISNUMBER(E625),D625,0)</f>
        <v>1.2137450000000001E-2</v>
      </c>
      <c r="H625" t="s">
        <v>40</v>
      </c>
      <c r="I625" s="21">
        <v>46288</v>
      </c>
    </row>
    <row r="626" spans="1:9" x14ac:dyDescent="0.15">
      <c r="A626" t="s">
        <v>45</v>
      </c>
      <c r="B626" t="s">
        <v>236</v>
      </c>
      <c r="C626" t="s">
        <v>237</v>
      </c>
      <c r="D626" s="22">
        <v>1.1966030000000001E-2</v>
      </c>
      <c r="E626" s="22" t="str">
        <f>IFERROR(_xlfn.LET(_xlpm.m,MATCH($B626,Feed!$A:$A,0),_xlpm.p,INDEX(Feed!$B:$B,_xlpm.m),_xlpm.c,INDEX(Feed!$G:$G,_xlpm.m),IF(AND(_xlpm.p&gt;0,_xlpm.c&gt;0),_xlpm.p/_xlpm.c-1,"")),"")</f>
        <v/>
      </c>
      <c r="F626" s="23">
        <f>IF(ISNUMBER(E626),D626*E626,0)</f>
        <v>0</v>
      </c>
      <c r="G626" s="22">
        <f>IF(ISNUMBER(E626),D626,0)</f>
        <v>0</v>
      </c>
      <c r="H626" t="s">
        <v>40</v>
      </c>
      <c r="I626" s="21">
        <v>46288</v>
      </c>
    </row>
    <row r="627" spans="1:9" x14ac:dyDescent="0.15">
      <c r="A627" t="s">
        <v>45</v>
      </c>
      <c r="B627" t="s">
        <v>232</v>
      </c>
      <c r="C627" t="s">
        <v>233</v>
      </c>
      <c r="D627" s="22">
        <v>1.1780409999999998E-2</v>
      </c>
      <c r="E627" s="22">
        <f>IFERROR(_xlfn.LET(_xlpm.m,MATCH($B627,Feed!$A:$A,0),_xlpm.p,INDEX(Feed!$B:$B,_xlpm.m),_xlpm.c,INDEX(Feed!$G:$G,_xlpm.m),IF(AND(_xlpm.p&gt;0,_xlpm.c&gt;0),_xlpm.p/_xlpm.c-1,"")),"")</f>
        <v>4.6533496708745181E-2</v>
      </c>
      <c r="F627" s="23">
        <f>IF(ISNUMBER(E627),D627*E627,0)</f>
        <v>5.4818366996266872E-4</v>
      </c>
      <c r="G627" s="22">
        <f>IF(ISNUMBER(E627),D627,0)</f>
        <v>1.1780409999999998E-2</v>
      </c>
      <c r="H627" t="s">
        <v>40</v>
      </c>
      <c r="I627" s="21">
        <v>46288</v>
      </c>
    </row>
    <row r="628" spans="1:9" x14ac:dyDescent="0.15">
      <c r="A628" t="s">
        <v>45</v>
      </c>
      <c r="B628" t="s">
        <v>234</v>
      </c>
      <c r="C628" t="s">
        <v>235</v>
      </c>
      <c r="D628" s="22">
        <v>1.1543190000000002E-2</v>
      </c>
      <c r="E628" s="22">
        <f>IFERROR(_xlfn.LET(_xlpm.m,MATCH($B628,Feed!$A:$A,0),_xlpm.p,INDEX(Feed!$B:$B,_xlpm.m),_xlpm.c,INDEX(Feed!$G:$G,_xlpm.m),IF(AND(_xlpm.p&gt;0,_xlpm.c&gt;0),_xlpm.p/_xlpm.c-1,"")),"")</f>
        <v>6.821405544809811E-2</v>
      </c>
      <c r="F628" s="23">
        <f>IF(ISNUMBER(E628),D628*E628,0)</f>
        <v>7.8740780270793176E-4</v>
      </c>
      <c r="G628" s="22">
        <f>IF(ISNUMBER(E628),D628,0)</f>
        <v>1.1543190000000002E-2</v>
      </c>
      <c r="H628" t="s">
        <v>40</v>
      </c>
      <c r="I628" s="21">
        <v>46288</v>
      </c>
    </row>
    <row r="629" spans="1:9" x14ac:dyDescent="0.15">
      <c r="A629" t="s">
        <v>45</v>
      </c>
      <c r="B629" t="s">
        <v>230</v>
      </c>
      <c r="C629" t="s">
        <v>231</v>
      </c>
      <c r="D629" s="22">
        <v>1.0795790000000001E-2</v>
      </c>
      <c r="E629" s="22">
        <f>IFERROR(_xlfn.LET(_xlpm.m,MATCH($B629,Feed!$A:$A,0),_xlpm.p,INDEX(Feed!$B:$B,_xlpm.m),_xlpm.c,INDEX(Feed!$G:$G,_xlpm.m),IF(AND(_xlpm.p&gt;0,_xlpm.c&gt;0),_xlpm.p/_xlpm.c-1,"")),"")</f>
        <v>-2.0679219905850643E-2</v>
      </c>
      <c r="F629" s="23">
        <f>IF(ISNUMBER(E629),D629*E629,0)</f>
        <v>-2.2324851546738335E-4</v>
      </c>
      <c r="G629" s="22">
        <f>IF(ISNUMBER(E629),D629,0)</f>
        <v>1.0795790000000001E-2</v>
      </c>
      <c r="H629" t="s">
        <v>40</v>
      </c>
      <c r="I629" s="21">
        <v>46288</v>
      </c>
    </row>
    <row r="630" spans="1:9" x14ac:dyDescent="0.15">
      <c r="A630" t="s">
        <v>45</v>
      </c>
      <c r="B630" t="s">
        <v>240</v>
      </c>
      <c r="C630" t="s">
        <v>241</v>
      </c>
      <c r="D630" s="22">
        <v>1.074436E-2</v>
      </c>
      <c r="E630" s="22">
        <f>IFERROR(_xlfn.LET(_xlpm.m,MATCH($B630,Feed!$A:$A,0),_xlpm.p,INDEX(Feed!$B:$B,_xlpm.m),_xlpm.c,INDEX(Feed!$G:$G,_xlpm.m),IF(AND(_xlpm.p&gt;0,_xlpm.c&gt;0),_xlpm.p/_xlpm.c-1,"")),"")</f>
        <v>3.8991802406046938E-2</v>
      </c>
      <c r="F630" s="23">
        <f>IF(ISNUMBER(E630),D630*E630,0)</f>
        <v>4.1894196209943445E-4</v>
      </c>
      <c r="G630" s="22">
        <f>IF(ISNUMBER(E630),D630,0)</f>
        <v>1.074436E-2</v>
      </c>
      <c r="H630" t="s">
        <v>40</v>
      </c>
      <c r="I630" s="21">
        <v>46288</v>
      </c>
    </row>
    <row r="631" spans="1:9" x14ac:dyDescent="0.15">
      <c r="A631" t="s">
        <v>45</v>
      </c>
      <c r="B631" t="s">
        <v>268</v>
      </c>
      <c r="C631" t="s">
        <v>269</v>
      </c>
      <c r="D631" s="22">
        <v>9.4652899999999995E-3</v>
      </c>
      <c r="E631" s="22" t="str">
        <f>IFERROR(_xlfn.LET(_xlpm.m,MATCH($B631,Feed!$A:$A,0),_xlpm.p,INDEX(Feed!$B:$B,_xlpm.m),_xlpm.c,INDEX(Feed!$G:$G,_xlpm.m),IF(AND(_xlpm.p&gt;0,_xlpm.c&gt;0),_xlpm.p/_xlpm.c-1,"")),"")</f>
        <v/>
      </c>
      <c r="F631" s="23">
        <f>IF(ISNUMBER(E631),D631*E631,0)</f>
        <v>0</v>
      </c>
      <c r="G631" s="22">
        <f>IF(ISNUMBER(E631),D631,0)</f>
        <v>0</v>
      </c>
      <c r="H631" t="s">
        <v>40</v>
      </c>
      <c r="I631" s="21">
        <v>46288</v>
      </c>
    </row>
    <row r="632" spans="1:9" x14ac:dyDescent="0.15">
      <c r="A632" t="s">
        <v>45</v>
      </c>
      <c r="B632" t="s">
        <v>252</v>
      </c>
      <c r="C632" t="s">
        <v>253</v>
      </c>
      <c r="D632" s="22">
        <v>9.3764299999999998E-3</v>
      </c>
      <c r="E632" s="22">
        <f>IFERROR(_xlfn.LET(_xlpm.m,MATCH($B632,Feed!$A:$A,0),_xlpm.p,INDEX(Feed!$B:$B,_xlpm.m),_xlpm.c,INDEX(Feed!$G:$G,_xlpm.m),IF(AND(_xlpm.p&gt;0,_xlpm.c&gt;0),_xlpm.p/_xlpm.c-1,"")),"")</f>
        <v>-4.4880151570457549E-2</v>
      </c>
      <c r="F632" s="23">
        <f>IF(ISNUMBER(E632),D632*E632,0)</f>
        <v>-4.2081559958978527E-4</v>
      </c>
      <c r="G632" s="22">
        <f>IF(ISNUMBER(E632),D632,0)</f>
        <v>9.3764299999999998E-3</v>
      </c>
      <c r="H632" t="s">
        <v>40</v>
      </c>
      <c r="I632" s="21">
        <v>46288</v>
      </c>
    </row>
    <row r="633" spans="1:9" x14ac:dyDescent="0.15">
      <c r="A633" t="s">
        <v>45</v>
      </c>
      <c r="B633" t="s">
        <v>282</v>
      </c>
      <c r="C633" t="s">
        <v>283</v>
      </c>
      <c r="D633" s="22">
        <v>8.0035899999999997E-3</v>
      </c>
      <c r="E633" s="22">
        <f>IFERROR(_xlfn.LET(_xlpm.m,MATCH($B633,Feed!$A:$A,0),_xlpm.p,INDEX(Feed!$B:$B,_xlpm.m),_xlpm.c,INDEX(Feed!$G:$G,_xlpm.m),IF(AND(_xlpm.p&gt;0,_xlpm.c&gt;0),_xlpm.p/_xlpm.c-1,"")),"")</f>
        <v>1.0482025540710094E-2</v>
      </c>
      <c r="F633" s="23">
        <f>IF(ISNUMBER(E633),D633*E633,0)</f>
        <v>8.38938347973719E-5</v>
      </c>
      <c r="G633" s="22">
        <f>IF(ISNUMBER(E633),D633,0)</f>
        <v>8.0035899999999997E-3</v>
      </c>
      <c r="H633" t="s">
        <v>40</v>
      </c>
      <c r="I633" s="21">
        <v>46288</v>
      </c>
    </row>
    <row r="634" spans="1:9" x14ac:dyDescent="0.15">
      <c r="A634" t="s">
        <v>45</v>
      </c>
      <c r="B634" t="s">
        <v>312</v>
      </c>
      <c r="C634" t="s">
        <v>313</v>
      </c>
      <c r="D634" s="22">
        <v>7.1509299999999998E-3</v>
      </c>
      <c r="E634" s="22">
        <f>IFERROR(_xlfn.LET(_xlpm.m,MATCH($B634,Feed!$A:$A,0),_xlpm.p,INDEX(Feed!$B:$B,_xlpm.m),_xlpm.c,INDEX(Feed!$G:$G,_xlpm.m),IF(AND(_xlpm.p&gt;0,_xlpm.c&gt;0),_xlpm.p/_xlpm.c-1,"")),"")</f>
        <v>6.3744754546060101E-2</v>
      </c>
      <c r="F634" s="23">
        <f>IF(ISNUMBER(E634),D634*E634,0)</f>
        <v>4.5583427762605752E-4</v>
      </c>
      <c r="G634" s="22">
        <f>IF(ISNUMBER(E634),D634,0)</f>
        <v>7.1509299999999998E-3</v>
      </c>
      <c r="H634" t="s">
        <v>40</v>
      </c>
      <c r="I634" s="21">
        <v>46288</v>
      </c>
    </row>
    <row r="635" spans="1:9" x14ac:dyDescent="0.15">
      <c r="A635" t="s">
        <v>45</v>
      </c>
      <c r="B635" t="s">
        <v>320</v>
      </c>
      <c r="C635" t="s">
        <v>321</v>
      </c>
      <c r="D635" s="22">
        <v>6.35288E-3</v>
      </c>
      <c r="E635" s="22">
        <f>IFERROR(_xlfn.LET(_xlpm.m,MATCH($B635,Feed!$A:$A,0),_xlpm.p,INDEX(Feed!$B:$B,_xlpm.m),_xlpm.c,INDEX(Feed!$G:$G,_xlpm.m),IF(AND(_xlpm.p&gt;0,_xlpm.c&gt;0),_xlpm.p/_xlpm.c-1,"")),"")</f>
        <v>4.7437806828838358E-3</v>
      </c>
      <c r="F635" s="23">
        <f>IF(ISNUMBER(E635),D635*E635,0)</f>
        <v>3.0136669424679061E-5</v>
      </c>
      <c r="G635" s="22">
        <f>IF(ISNUMBER(E635),D635,0)</f>
        <v>6.35288E-3</v>
      </c>
      <c r="H635" t="s">
        <v>40</v>
      </c>
      <c r="I635" s="21">
        <v>46288</v>
      </c>
    </row>
    <row r="636" spans="1:9" x14ac:dyDescent="0.15">
      <c r="A636" t="s">
        <v>45</v>
      </c>
      <c r="B636" t="s">
        <v>332</v>
      </c>
      <c r="C636" t="s">
        <v>333</v>
      </c>
      <c r="D636" s="22">
        <v>6.06881E-3</v>
      </c>
      <c r="E636" s="22">
        <f>IFERROR(_xlfn.LET(_xlpm.m,MATCH($B636,Feed!$A:$A,0),_xlpm.p,INDEX(Feed!$B:$B,_xlpm.m),_xlpm.c,INDEX(Feed!$G:$G,_xlpm.m),IF(AND(_xlpm.p&gt;0,_xlpm.c&gt;0),_xlpm.p/_xlpm.c-1,"")),"")</f>
        <v>3.1559114460668836E-2</v>
      </c>
      <c r="F636" s="23">
        <f>IF(ISNUMBER(E636),D636*E636,0)</f>
        <v>1.9152626943005164E-4</v>
      </c>
      <c r="G636" s="22">
        <f>IF(ISNUMBER(E636),D636,0)</f>
        <v>6.06881E-3</v>
      </c>
      <c r="H636" t="s">
        <v>40</v>
      </c>
      <c r="I636" s="21">
        <v>46288</v>
      </c>
    </row>
    <row r="637" spans="1:9" x14ac:dyDescent="0.15">
      <c r="A637" t="s">
        <v>45</v>
      </c>
      <c r="B637" t="s">
        <v>344</v>
      </c>
      <c r="C637" t="s">
        <v>345</v>
      </c>
      <c r="D637" s="22">
        <v>5.3514700000000005E-3</v>
      </c>
      <c r="E637" s="22">
        <f>IFERROR(_xlfn.LET(_xlpm.m,MATCH($B637,Feed!$A:$A,0),_xlpm.p,INDEX(Feed!$B:$B,_xlpm.m),_xlpm.c,INDEX(Feed!$G:$G,_xlpm.m),IF(AND(_xlpm.p&gt;0,_xlpm.c&gt;0),_xlpm.p/_xlpm.c-1,"")),"")</f>
        <v>-4.2142053671862412E-2</v>
      </c>
      <c r="F637" s="23">
        <f>IF(ISNUMBER(E637),D637*E637,0)</f>
        <v>-2.2552193596336157E-4</v>
      </c>
      <c r="G637" s="22">
        <f>IF(ISNUMBER(E637),D637,0)</f>
        <v>5.3514700000000005E-3</v>
      </c>
      <c r="H637" t="s">
        <v>40</v>
      </c>
      <c r="I637" s="21">
        <v>46288</v>
      </c>
    </row>
    <row r="638" spans="1:9" x14ac:dyDescent="0.15">
      <c r="A638" t="s">
        <v>45</v>
      </c>
      <c r="B638" t="s">
        <v>392</v>
      </c>
      <c r="C638" t="s">
        <v>393</v>
      </c>
      <c r="D638" s="22">
        <v>4.7344099999999997E-3</v>
      </c>
      <c r="E638" s="22">
        <f>IFERROR(_xlfn.LET(_xlpm.m,MATCH($B638,Feed!$A:$A,0),_xlpm.p,INDEX(Feed!$B:$B,_xlpm.m),_xlpm.c,INDEX(Feed!$G:$G,_xlpm.m),IF(AND(_xlpm.p&gt;0,_xlpm.c&gt;0),_xlpm.p/_xlpm.c-1,"")),"")</f>
        <v>1.5855453266159003E-2</v>
      </c>
      <c r="F638" s="23">
        <f>IF(ISNUMBER(E638),D638*E638,0)</f>
        <v>7.5066216497835842E-5</v>
      </c>
      <c r="G638" s="22">
        <f>IF(ISNUMBER(E638),D638,0)</f>
        <v>4.7344099999999997E-3</v>
      </c>
      <c r="H638" t="s">
        <v>40</v>
      </c>
      <c r="I638" s="21">
        <v>46288</v>
      </c>
    </row>
    <row r="639" spans="1:9" x14ac:dyDescent="0.15">
      <c r="A639" t="s">
        <v>45</v>
      </c>
      <c r="B639" t="s">
        <v>408</v>
      </c>
      <c r="C639" t="s">
        <v>409</v>
      </c>
      <c r="D639" s="22">
        <v>4.7143800000000007E-3</v>
      </c>
      <c r="E639" s="22">
        <f>IFERROR(_xlfn.LET(_xlpm.m,MATCH($B639,Feed!$A:$A,0),_xlpm.p,INDEX(Feed!$B:$B,_xlpm.m),_xlpm.c,INDEX(Feed!$G:$G,_xlpm.m),IF(AND(_xlpm.p&gt;0,_xlpm.c&gt;0),_xlpm.p/_xlpm.c-1,"")),"")</f>
        <v>7.0873100035348191E-2</v>
      </c>
      <c r="F639" s="23">
        <f>IF(ISNUMBER(E639),D639*E639,0)</f>
        <v>3.3412272534464487E-4</v>
      </c>
      <c r="G639" s="22">
        <f>IF(ISNUMBER(E639),D639,0)</f>
        <v>4.7143800000000007E-3</v>
      </c>
      <c r="H639" t="s">
        <v>40</v>
      </c>
      <c r="I639" s="21">
        <v>46288</v>
      </c>
    </row>
    <row r="640" spans="1:9" x14ac:dyDescent="0.15">
      <c r="A640" t="s">
        <v>45</v>
      </c>
      <c r="B640" t="s">
        <v>412</v>
      </c>
      <c r="C640" t="s">
        <v>413</v>
      </c>
      <c r="D640" s="22">
        <v>4.6833399999999994E-3</v>
      </c>
      <c r="E640" s="22">
        <f>IFERROR(_xlfn.LET(_xlpm.m,MATCH($B640,Feed!$A:$A,0),_xlpm.p,INDEX(Feed!$B:$B,_xlpm.m),_xlpm.c,INDEX(Feed!$G:$G,_xlpm.m),IF(AND(_xlpm.p&gt;0,_xlpm.c&gt;0),_xlpm.p/_xlpm.c-1,"")),"")</f>
        <v>7.4939109255393266E-2</v>
      </c>
      <c r="F640" s="23">
        <f>IF(ISNUMBER(E640),D640*E640,0)</f>
        <v>3.5096532794015345E-4</v>
      </c>
      <c r="G640" s="22">
        <f>IF(ISNUMBER(E640),D640,0)</f>
        <v>4.6833399999999994E-3</v>
      </c>
      <c r="H640" t="s">
        <v>40</v>
      </c>
      <c r="I640" s="21">
        <v>46288</v>
      </c>
    </row>
    <row r="641" spans="1:9" x14ac:dyDescent="0.15">
      <c r="A641" t="s">
        <v>45</v>
      </c>
      <c r="B641" t="s">
        <v>400</v>
      </c>
      <c r="C641" t="s">
        <v>401</v>
      </c>
      <c r="D641" s="22">
        <v>4.5666500000000002E-3</v>
      </c>
      <c r="E641" s="22">
        <f>IFERROR(_xlfn.LET(_xlpm.m,MATCH($B641,Feed!$A:$A,0),_xlpm.p,INDEX(Feed!$B:$B,_xlpm.m),_xlpm.c,INDEX(Feed!$G:$G,_xlpm.m),IF(AND(_xlpm.p&gt;0,_xlpm.c&gt;0),_xlpm.p/_xlpm.c-1,"")),"")</f>
        <v>6.5832784726782556E-4</v>
      </c>
      <c r="F641" s="23">
        <f>IF(ISNUMBER(E641),D641*E641,0)</f>
        <v>3.0063528637256158E-6</v>
      </c>
      <c r="G641" s="22">
        <f>IF(ISNUMBER(E641),D641,0)</f>
        <v>4.5666500000000002E-3</v>
      </c>
      <c r="H641" t="s">
        <v>40</v>
      </c>
      <c r="I641" s="21">
        <v>46288</v>
      </c>
    </row>
    <row r="642" spans="1:9" x14ac:dyDescent="0.15">
      <c r="A642" t="s">
        <v>45</v>
      </c>
      <c r="B642" t="s">
        <v>390</v>
      </c>
      <c r="C642" t="s">
        <v>391</v>
      </c>
      <c r="D642" s="22">
        <v>4.5187999999999999E-3</v>
      </c>
      <c r="E642" s="22">
        <f>IFERROR(_xlfn.LET(_xlpm.m,MATCH($B642,Feed!$A:$A,0),_xlpm.p,INDEX(Feed!$B:$B,_xlpm.m),_xlpm.c,INDEX(Feed!$G:$G,_xlpm.m),IF(AND(_xlpm.p&gt;0,_xlpm.c&gt;0),_xlpm.p/_xlpm.c-1,"")),"")</f>
        <v>-3.6610706157854889E-2</v>
      </c>
      <c r="F642" s="23">
        <f>IF(ISNUMBER(E642),D642*E642,0)</f>
        <v>-1.6543645898611467E-4</v>
      </c>
      <c r="G642" s="22">
        <f>IF(ISNUMBER(E642),D642,0)</f>
        <v>4.5187999999999999E-3</v>
      </c>
      <c r="H642" t="s">
        <v>40</v>
      </c>
      <c r="I642" s="21">
        <v>46288</v>
      </c>
    </row>
    <row r="643" spans="1:9" x14ac:dyDescent="0.15">
      <c r="A643" t="s">
        <v>45</v>
      </c>
      <c r="B643" t="s">
        <v>424</v>
      </c>
      <c r="C643" t="s">
        <v>425</v>
      </c>
      <c r="D643" s="22">
        <v>4.4279100000000002E-3</v>
      </c>
      <c r="E643" s="22">
        <f>IFERROR(_xlfn.LET(_xlpm.m,MATCH($B643,Feed!$A:$A,0),_xlpm.p,INDEX(Feed!$B:$B,_xlpm.m),_xlpm.c,INDEX(Feed!$G:$G,_xlpm.m),IF(AND(_xlpm.p&gt;0,_xlpm.c&gt;0),_xlpm.p/_xlpm.c-1,"")),"")</f>
        <v>6.3043873548588092E-2</v>
      </c>
      <c r="F643" s="23">
        <f>IF(ISNUMBER(E643),D643*E643,0)</f>
        <v>2.7915259812452871E-4</v>
      </c>
      <c r="G643" s="22">
        <f>IF(ISNUMBER(E643),D643,0)</f>
        <v>4.4279100000000002E-3</v>
      </c>
      <c r="H643" t="s">
        <v>40</v>
      </c>
      <c r="I643" s="21">
        <v>46288</v>
      </c>
    </row>
    <row r="644" spans="1:9" x14ac:dyDescent="0.15">
      <c r="A644" t="s">
        <v>45</v>
      </c>
      <c r="B644" t="s">
        <v>416</v>
      </c>
      <c r="C644" t="s">
        <v>417</v>
      </c>
      <c r="D644" s="22">
        <v>4.2709000000000002E-3</v>
      </c>
      <c r="E644" s="22">
        <f>IFERROR(_xlfn.LET(_xlpm.m,MATCH($B644,Feed!$A:$A,0),_xlpm.p,INDEX(Feed!$B:$B,_xlpm.m),_xlpm.c,INDEX(Feed!$G:$G,_xlpm.m),IF(AND(_xlpm.p&gt;0,_xlpm.c&gt;0),_xlpm.p/_xlpm.c-1,"")),"")</f>
        <v>-4.295026925676515E-3</v>
      </c>
      <c r="F644" s="23">
        <f>IF(ISNUMBER(E644),D644*E644,0)</f>
        <v>-1.8343630496871828E-5</v>
      </c>
      <c r="G644" s="22">
        <f>IF(ISNUMBER(E644),D644,0)</f>
        <v>4.2709000000000002E-3</v>
      </c>
      <c r="H644" t="s">
        <v>40</v>
      </c>
      <c r="I644" s="21">
        <v>46288</v>
      </c>
    </row>
    <row r="645" spans="1:9" x14ac:dyDescent="0.15">
      <c r="A645" t="s">
        <v>45</v>
      </c>
      <c r="B645" t="s">
        <v>502</v>
      </c>
      <c r="C645" t="s">
        <v>503</v>
      </c>
      <c r="D645" s="22">
        <v>3.8336799999999999E-3</v>
      </c>
      <c r="E645" s="22">
        <f>IFERROR(_xlfn.LET(_xlpm.m,MATCH($B645,Feed!$A:$A,0),_xlpm.p,INDEX(Feed!$B:$B,_xlpm.m),_xlpm.c,INDEX(Feed!$G:$G,_xlpm.m),IF(AND(_xlpm.p&gt;0,_xlpm.c&gt;0),_xlpm.p/_xlpm.c-1,"")),"")</f>
        <v>0.1348250944325835</v>
      </c>
      <c r="F645" s="23">
        <f>IF(ISNUMBER(E645),D645*E645,0)</f>
        <v>5.1687626802430673E-4</v>
      </c>
      <c r="G645" s="22">
        <f>IF(ISNUMBER(E645),D645,0)</f>
        <v>3.8336799999999999E-3</v>
      </c>
      <c r="H645" t="s">
        <v>40</v>
      </c>
      <c r="I645" s="21">
        <v>46288</v>
      </c>
    </row>
    <row r="646" spans="1:9" x14ac:dyDescent="0.15">
      <c r="A646" t="s">
        <v>45</v>
      </c>
      <c r="B646" t="s">
        <v>516</v>
      </c>
      <c r="C646" t="s">
        <v>517</v>
      </c>
      <c r="D646" s="22">
        <v>3.5221699999999998E-3</v>
      </c>
      <c r="E646" s="22">
        <f>IFERROR(_xlfn.LET(_xlpm.m,MATCH($B646,Feed!$A:$A,0),_xlpm.p,INDEX(Feed!$B:$B,_xlpm.m),_xlpm.c,INDEX(Feed!$G:$G,_xlpm.m),IF(AND(_xlpm.p&gt;0,_xlpm.c&gt;0),_xlpm.p/_xlpm.c-1,"")),"")</f>
        <v>7.3276442242980577E-2</v>
      </c>
      <c r="F646" s="23">
        <f>IF(ISNUMBER(E646),D646*E646,0)</f>
        <v>2.5809208657495887E-4</v>
      </c>
      <c r="G646" s="22">
        <f>IF(ISNUMBER(E646),D646,0)</f>
        <v>3.5221699999999998E-3</v>
      </c>
      <c r="H646" t="s">
        <v>40</v>
      </c>
      <c r="I646" s="21">
        <v>46288</v>
      </c>
    </row>
    <row r="647" spans="1:9" x14ac:dyDescent="0.15">
      <c r="A647" t="s">
        <v>45</v>
      </c>
      <c r="B647" t="s">
        <v>508</v>
      </c>
      <c r="C647" t="s">
        <v>509</v>
      </c>
      <c r="D647" s="22">
        <v>3.4923900000000002E-3</v>
      </c>
      <c r="E647" s="22">
        <f>IFERROR(_xlfn.LET(_xlpm.m,MATCH($B647,Feed!$A:$A,0),_xlpm.p,INDEX(Feed!$B:$B,_xlpm.m),_xlpm.c,INDEX(Feed!$G:$G,_xlpm.m),IF(AND(_xlpm.p&gt;0,_xlpm.c&gt;0),_xlpm.p/_xlpm.c-1,"")),"")</f>
        <v>3.2031934573069965E-2</v>
      </c>
      <c r="F647" s="23">
        <f>IF(ISNUMBER(E647),D647*E647,0)</f>
        <v>1.1186800798364382E-4</v>
      </c>
      <c r="G647" s="22">
        <f>IF(ISNUMBER(E647),D647,0)</f>
        <v>3.4923900000000002E-3</v>
      </c>
      <c r="H647" t="s">
        <v>40</v>
      </c>
      <c r="I647" s="21">
        <v>46288</v>
      </c>
    </row>
    <row r="648" spans="1:9" x14ac:dyDescent="0.15">
      <c r="A648" t="s">
        <v>45</v>
      </c>
      <c r="B648" t="s">
        <v>494</v>
      </c>
      <c r="C648" t="s">
        <v>495</v>
      </c>
      <c r="D648" s="22">
        <v>3.4347499999999999E-3</v>
      </c>
      <c r="E648" s="22">
        <f>IFERROR(_xlfn.LET(_xlpm.m,MATCH($B648,Feed!$A:$A,0),_xlpm.p,INDEX(Feed!$B:$B,_xlpm.m),_xlpm.c,INDEX(Feed!$G:$G,_xlpm.m),IF(AND(_xlpm.p&gt;0,_xlpm.c&gt;0),_xlpm.p/_xlpm.c-1,"")),"")</f>
        <v>-2.58901562893874E-2</v>
      </c>
      <c r="F648" s="23">
        <f>IF(ISNUMBER(E648),D648*E648,0)</f>
        <v>-8.892621431497337E-5</v>
      </c>
      <c r="G648" s="22">
        <f>IF(ISNUMBER(E648),D648,0)</f>
        <v>3.4347499999999999E-3</v>
      </c>
      <c r="H648" t="s">
        <v>40</v>
      </c>
      <c r="I648" s="21">
        <v>46288</v>
      </c>
    </row>
    <row r="649" spans="1:9" x14ac:dyDescent="0.15">
      <c r="A649" t="s">
        <v>45</v>
      </c>
      <c r="B649" t="s">
        <v>520</v>
      </c>
      <c r="C649" t="s">
        <v>521</v>
      </c>
      <c r="D649" s="22">
        <v>3.3850299999999998E-3</v>
      </c>
      <c r="E649" s="22">
        <f>IFERROR(_xlfn.LET(_xlpm.m,MATCH($B649,Feed!$A:$A,0),_xlpm.p,INDEX(Feed!$B:$B,_xlpm.m),_xlpm.c,INDEX(Feed!$G:$G,_xlpm.m),IF(AND(_xlpm.p&gt;0,_xlpm.c&gt;0),_xlpm.p/_xlpm.c-1,"")),"")</f>
        <v>4.0396508618798954E-2</v>
      </c>
      <c r="F649" s="23">
        <f>IF(ISNUMBER(E649),D649*E649,0)</f>
        <v>1.3674339356989303E-4</v>
      </c>
      <c r="G649" s="22">
        <f>IF(ISNUMBER(E649),D649,0)</f>
        <v>3.3850299999999998E-3</v>
      </c>
      <c r="H649" t="s">
        <v>40</v>
      </c>
      <c r="I649" s="21">
        <v>46288</v>
      </c>
    </row>
    <row r="650" spans="1:9" x14ac:dyDescent="0.15">
      <c r="A650" t="s">
        <v>45</v>
      </c>
      <c r="B650" t="s">
        <v>522</v>
      </c>
      <c r="C650" t="s">
        <v>523</v>
      </c>
      <c r="D650" s="22">
        <v>3.3539500000000001E-3</v>
      </c>
      <c r="E650" s="22">
        <f>IFERROR(_xlfn.LET(_xlpm.m,MATCH($B650,Feed!$A:$A,0),_xlpm.p,INDEX(Feed!$B:$B,_xlpm.m),_xlpm.c,INDEX(Feed!$G:$G,_xlpm.m),IF(AND(_xlpm.p&gt;0,_xlpm.c&gt;0),_xlpm.p/_xlpm.c-1,"")),"")</f>
        <v>3.6776119402984975E-2</v>
      </c>
      <c r="F650" s="23">
        <f>IF(ISNUMBER(E650),D650*E650,0)</f>
        <v>1.2334526567164147E-4</v>
      </c>
      <c r="G650" s="22">
        <f>IF(ISNUMBER(E650),D650,0)</f>
        <v>3.3539500000000001E-3</v>
      </c>
      <c r="H650" t="s">
        <v>40</v>
      </c>
      <c r="I650" s="21">
        <v>46288</v>
      </c>
    </row>
    <row r="651" spans="1:9" x14ac:dyDescent="0.15">
      <c r="A651" t="s">
        <v>45</v>
      </c>
      <c r="B651" t="s">
        <v>564</v>
      </c>
      <c r="C651" t="s">
        <v>565</v>
      </c>
      <c r="D651" s="22">
        <v>2.94802E-3</v>
      </c>
      <c r="E651" s="22">
        <f>IFERROR(_xlfn.LET(_xlpm.m,MATCH($B651,Feed!$A:$A,0),_xlpm.p,INDEX(Feed!$B:$B,_xlpm.m),_xlpm.c,INDEX(Feed!$G:$G,_xlpm.m),IF(AND(_xlpm.p&gt;0,_xlpm.c&gt;0),_xlpm.p/_xlpm.c-1,"")),"")</f>
        <v>5.6651376146789056E-2</v>
      </c>
      <c r="F651" s="23">
        <f>IF(ISNUMBER(E651),D651*E651,0)</f>
        <v>1.6700938990825708E-4</v>
      </c>
      <c r="G651" s="22">
        <f>IF(ISNUMBER(E651),D651,0)</f>
        <v>2.94802E-3</v>
      </c>
      <c r="H651" t="s">
        <v>40</v>
      </c>
      <c r="I651" s="21">
        <v>46288</v>
      </c>
    </row>
    <row r="652" spans="1:9" x14ac:dyDescent="0.15">
      <c r="A652" t="s">
        <v>45</v>
      </c>
      <c r="B652" t="s">
        <v>588</v>
      </c>
      <c r="C652" t="s">
        <v>589</v>
      </c>
      <c r="D652" s="22">
        <v>2.6184200000000002E-3</v>
      </c>
      <c r="E652" s="22">
        <f>IFERROR(_xlfn.LET(_xlpm.m,MATCH($B652,Feed!$A:$A,0),_xlpm.p,INDEX(Feed!$B:$B,_xlpm.m),_xlpm.c,INDEX(Feed!$G:$G,_xlpm.m),IF(AND(_xlpm.p&gt;0,_xlpm.c&gt;0),_xlpm.p/_xlpm.c-1,"")),"")</f>
        <v>1.2306983175847108E-2</v>
      </c>
      <c r="F652" s="23">
        <f>IF(ISNUMBER(E652),D652*E652,0)</f>
        <v>3.2224850887301585E-5</v>
      </c>
      <c r="G652" s="22">
        <f>IF(ISNUMBER(E652),D652,0)</f>
        <v>2.6184200000000002E-3</v>
      </c>
      <c r="H652" t="s">
        <v>40</v>
      </c>
      <c r="I652" s="21">
        <v>46288</v>
      </c>
    </row>
    <row r="653" spans="1:9" x14ac:dyDescent="0.15">
      <c r="A653" t="s">
        <v>45</v>
      </c>
      <c r="B653" t="s">
        <v>642</v>
      </c>
      <c r="C653" t="s">
        <v>643</v>
      </c>
      <c r="D653" s="22">
        <v>2.3890299999999999E-3</v>
      </c>
      <c r="E653" s="22">
        <f>IFERROR(_xlfn.LET(_xlpm.m,MATCH($B653,Feed!$A:$A,0),_xlpm.p,INDEX(Feed!$B:$B,_xlpm.m),_xlpm.c,INDEX(Feed!$G:$G,_xlpm.m),IF(AND(_xlpm.p&gt;0,_xlpm.c&gt;0),_xlpm.p/_xlpm.c-1,"")),"")</f>
        <v>5.4741498479402795E-2</v>
      </c>
      <c r="F653" s="23">
        <f>IF(ISNUMBER(E653),D653*E653,0)</f>
        <v>1.3077908211224764E-4</v>
      </c>
      <c r="G653" s="22">
        <f>IF(ISNUMBER(E653),D653,0)</f>
        <v>2.3890299999999999E-3</v>
      </c>
      <c r="H653" t="s">
        <v>40</v>
      </c>
      <c r="I653" s="21">
        <v>46288</v>
      </c>
    </row>
    <row r="654" spans="1:9" x14ac:dyDescent="0.15">
      <c r="A654" t="s">
        <v>45</v>
      </c>
      <c r="B654" t="s">
        <v>644</v>
      </c>
      <c r="C654" t="s">
        <v>645</v>
      </c>
      <c r="D654" s="22">
        <v>2.3264000000000002E-3</v>
      </c>
      <c r="E654" s="22">
        <f>IFERROR(_xlfn.LET(_xlpm.m,MATCH($B654,Feed!$A:$A,0),_xlpm.p,INDEX(Feed!$B:$B,_xlpm.m),_xlpm.c,INDEX(Feed!$G:$G,_xlpm.m),IF(AND(_xlpm.p&gt;0,_xlpm.c&gt;0),_xlpm.p/_xlpm.c-1,"")),"")</f>
        <v>3.4802784222737859E-2</v>
      </c>
      <c r="F654" s="23">
        <f>IF(ISNUMBER(E654),D654*E654,0)</f>
        <v>8.0965197215777368E-5</v>
      </c>
      <c r="G654" s="22">
        <f>IF(ISNUMBER(E654),D654,0)</f>
        <v>2.3264000000000002E-3</v>
      </c>
      <c r="H654" t="s">
        <v>40</v>
      </c>
      <c r="I654" s="21">
        <v>46288</v>
      </c>
    </row>
    <row r="655" spans="1:9" x14ac:dyDescent="0.15">
      <c r="A655" t="s">
        <v>45</v>
      </c>
      <c r="B655" t="s">
        <v>658</v>
      </c>
      <c r="C655" t="s">
        <v>659</v>
      </c>
      <c r="D655" s="22">
        <v>2.13912E-3</v>
      </c>
      <c r="E655" s="22">
        <f>IFERROR(_xlfn.LET(_xlpm.m,MATCH($B655,Feed!$A:$A,0),_xlpm.p,INDEX(Feed!$B:$B,_xlpm.m),_xlpm.c,INDEX(Feed!$G:$G,_xlpm.m),IF(AND(_xlpm.p&gt;0,_xlpm.c&gt;0),_xlpm.p/_xlpm.c-1,"")),"")</f>
        <v>-2.4672632590120869E-2</v>
      </c>
      <c r="F655" s="23">
        <f>IF(ISNUMBER(E655),D655*E655,0)</f>
        <v>-5.2777721826179354E-5</v>
      </c>
      <c r="G655" s="22">
        <f>IF(ISNUMBER(E655),D655,0)</f>
        <v>2.13912E-3</v>
      </c>
      <c r="H655" t="s">
        <v>40</v>
      </c>
      <c r="I655" s="21">
        <v>46288</v>
      </c>
    </row>
    <row r="656" spans="1:9" x14ac:dyDescent="0.15">
      <c r="A656" t="s">
        <v>45</v>
      </c>
      <c r="B656" t="s">
        <v>656</v>
      </c>
      <c r="C656" t="s">
        <v>657</v>
      </c>
      <c r="D656" s="22">
        <v>2.1379699999999999E-3</v>
      </c>
      <c r="E656" s="22" t="str">
        <f>IFERROR(_xlfn.LET(_xlpm.m,MATCH($B656,Feed!$A:$A,0),_xlpm.p,INDEX(Feed!$B:$B,_xlpm.m),_xlpm.c,INDEX(Feed!$G:$G,_xlpm.m),IF(AND(_xlpm.p&gt;0,_xlpm.c&gt;0),_xlpm.p/_xlpm.c-1,"")),"")</f>
        <v/>
      </c>
      <c r="F656" s="23">
        <f>IF(ISNUMBER(E656),D656*E656,0)</f>
        <v>0</v>
      </c>
      <c r="G656" s="22">
        <f>IF(ISNUMBER(E656),D656,0)</f>
        <v>0</v>
      </c>
      <c r="H656" t="s">
        <v>40</v>
      </c>
      <c r="I656" s="21">
        <v>46288</v>
      </c>
    </row>
    <row r="657" spans="1:9" x14ac:dyDescent="0.15">
      <c r="A657" t="s">
        <v>45</v>
      </c>
      <c r="B657" t="s">
        <v>682</v>
      </c>
      <c r="C657" t="s">
        <v>683</v>
      </c>
      <c r="D657" s="22">
        <v>2.0828299999999999E-3</v>
      </c>
      <c r="E657" s="22">
        <f>IFERROR(_xlfn.LET(_xlpm.m,MATCH($B657,Feed!$A:$A,0),_xlpm.p,INDEX(Feed!$B:$B,_xlpm.m),_xlpm.c,INDEX(Feed!$G:$G,_xlpm.m),IF(AND(_xlpm.p&gt;0,_xlpm.c&gt;0),_xlpm.p/_xlpm.c-1,"")),"")</f>
        <v>5.6270405223737274E-2</v>
      </c>
      <c r="F657" s="23">
        <f>IF(ISNUMBER(E657),D657*E657,0)</f>
        <v>1.172016881121567E-4</v>
      </c>
      <c r="G657" s="22">
        <f>IF(ISNUMBER(E657),D657,0)</f>
        <v>2.0828299999999999E-3</v>
      </c>
      <c r="H657" t="s">
        <v>40</v>
      </c>
      <c r="I657" s="21">
        <v>46288</v>
      </c>
    </row>
    <row r="658" spans="1:9" x14ac:dyDescent="0.15">
      <c r="A658" t="s">
        <v>45</v>
      </c>
      <c r="B658" t="s">
        <v>666</v>
      </c>
      <c r="C658" t="s">
        <v>667</v>
      </c>
      <c r="D658" s="22">
        <v>2.0334099999999998E-3</v>
      </c>
      <c r="E658" s="22">
        <f>IFERROR(_xlfn.LET(_xlpm.m,MATCH($B658,Feed!$A:$A,0),_xlpm.p,INDEX(Feed!$B:$B,_xlpm.m),_xlpm.c,INDEX(Feed!$G:$G,_xlpm.m),IF(AND(_xlpm.p&gt;0,_xlpm.c&gt;0),_xlpm.p/_xlpm.c-1,"")),"")</f>
        <v>-2.38504051081182E-2</v>
      </c>
      <c r="F658" s="23">
        <f>IF(ISNUMBER(E658),D658*E658,0)</f>
        <v>-4.8497652250898623E-5</v>
      </c>
      <c r="G658" s="22">
        <f>IF(ISNUMBER(E658),D658,0)</f>
        <v>2.0334099999999998E-3</v>
      </c>
      <c r="H658" t="s">
        <v>40</v>
      </c>
      <c r="I658" s="21">
        <v>46288</v>
      </c>
    </row>
    <row r="659" spans="1:9" x14ac:dyDescent="0.15">
      <c r="A659" t="s">
        <v>45</v>
      </c>
      <c r="B659" t="s">
        <v>720</v>
      </c>
      <c r="C659" t="s">
        <v>721</v>
      </c>
      <c r="D659" s="22">
        <v>1.82945E-3</v>
      </c>
      <c r="E659" s="22">
        <f>IFERROR(_xlfn.LET(_xlpm.m,MATCH($B659,Feed!$A:$A,0),_xlpm.p,INDEX(Feed!$B:$B,_xlpm.m),_xlpm.c,INDEX(Feed!$G:$G,_xlpm.m),IF(AND(_xlpm.p&gt;0,_xlpm.c&gt;0),_xlpm.p/_xlpm.c-1,"")),"")</f>
        <v>3.1411690089127919E-2</v>
      </c>
      <c r="F659" s="23">
        <f>IF(ISNUMBER(E659),D659*E659,0)</f>
        <v>5.7466116433555073E-5</v>
      </c>
      <c r="G659" s="22">
        <f>IF(ISNUMBER(E659),D659,0)</f>
        <v>1.82945E-3</v>
      </c>
      <c r="H659" t="s">
        <v>40</v>
      </c>
      <c r="I659" s="21">
        <v>46288</v>
      </c>
    </row>
    <row r="660" spans="1:9" x14ac:dyDescent="0.15">
      <c r="A660" t="s">
        <v>45</v>
      </c>
      <c r="B660" t="s">
        <v>718</v>
      </c>
      <c r="C660" t="s">
        <v>719</v>
      </c>
      <c r="D660" s="22">
        <v>1.6557099999999999E-3</v>
      </c>
      <c r="E660" s="22">
        <f>IFERROR(_xlfn.LET(_xlpm.m,MATCH($B660,Feed!$A:$A,0),_xlpm.p,INDEX(Feed!$B:$B,_xlpm.m),_xlpm.c,INDEX(Feed!$G:$G,_xlpm.m),IF(AND(_xlpm.p&gt;0,_xlpm.c&gt;0),_xlpm.p/_xlpm.c-1,"")),"")</f>
        <v>-6.8604651162790686E-2</v>
      </c>
      <c r="F660" s="23">
        <f>IF(ISNUMBER(E660),D660*E660,0)</f>
        <v>-1.1358940697674416E-4</v>
      </c>
      <c r="G660" s="22">
        <f>IF(ISNUMBER(E660),D660,0)</f>
        <v>1.6557099999999999E-3</v>
      </c>
      <c r="H660" t="s">
        <v>40</v>
      </c>
      <c r="I660" s="21">
        <v>46288</v>
      </c>
    </row>
    <row r="661" spans="1:9" x14ac:dyDescent="0.15">
      <c r="A661" t="s">
        <v>45</v>
      </c>
      <c r="B661" t="s">
        <v>760</v>
      </c>
      <c r="C661" t="s">
        <v>761</v>
      </c>
      <c r="D661" s="22">
        <v>1.61908E-3</v>
      </c>
      <c r="E661" s="22">
        <f>IFERROR(_xlfn.LET(_xlpm.m,MATCH($B661,Feed!$A:$A,0),_xlpm.p,INDEX(Feed!$B:$B,_xlpm.m),_xlpm.c,INDEX(Feed!$G:$G,_xlpm.m),IF(AND(_xlpm.p&gt;0,_xlpm.c&gt;0),_xlpm.p/_xlpm.c-1,"")),"")</f>
        <v>5.030008573878253E-2</v>
      </c>
      <c r="F661" s="23">
        <f>IF(ISNUMBER(E661),D661*E661,0)</f>
        <v>8.143986281794802E-5</v>
      </c>
      <c r="G661" s="22">
        <f>IF(ISNUMBER(E661),D661,0)</f>
        <v>1.61908E-3</v>
      </c>
      <c r="H661" t="s">
        <v>40</v>
      </c>
      <c r="I661" s="21">
        <v>46288</v>
      </c>
    </row>
    <row r="662" spans="1:9" x14ac:dyDescent="0.15">
      <c r="A662" t="s">
        <v>45</v>
      </c>
      <c r="B662" t="s">
        <v>752</v>
      </c>
      <c r="C662" t="s">
        <v>753</v>
      </c>
      <c r="D662" s="22">
        <v>1.60508E-3</v>
      </c>
      <c r="E662" s="22">
        <f>IFERROR(_xlfn.LET(_xlpm.m,MATCH($B662,Feed!$A:$A,0),_xlpm.p,INDEX(Feed!$B:$B,_xlpm.m),_xlpm.c,INDEX(Feed!$G:$G,_xlpm.m),IF(AND(_xlpm.p&gt;0,_xlpm.c&gt;0),_xlpm.p/_xlpm.c-1,"")),"")</f>
        <v>1.5377986941967903E-2</v>
      </c>
      <c r="F662" s="23">
        <f>IF(ISNUMBER(E662),D662*E662,0)</f>
        <v>2.4682899280813842E-5</v>
      </c>
      <c r="G662" s="22">
        <f>IF(ISNUMBER(E662),D662,0)</f>
        <v>1.60508E-3</v>
      </c>
      <c r="H662" t="s">
        <v>40</v>
      </c>
      <c r="I662" s="21">
        <v>46288</v>
      </c>
    </row>
    <row r="663" spans="1:9" x14ac:dyDescent="0.15">
      <c r="A663" t="s">
        <v>45</v>
      </c>
      <c r="B663" t="s">
        <v>768</v>
      </c>
      <c r="C663" t="s">
        <v>769</v>
      </c>
      <c r="D663" s="22">
        <v>1.4935899999999999E-3</v>
      </c>
      <c r="E663" s="22">
        <f>IFERROR(_xlfn.LET(_xlpm.m,MATCH($B663,Feed!$A:$A,0),_xlpm.p,INDEX(Feed!$B:$B,_xlpm.m),_xlpm.c,INDEX(Feed!$G:$G,_xlpm.m),IF(AND(_xlpm.p&gt;0,_xlpm.c&gt;0),_xlpm.p/_xlpm.c-1,"")),"")</f>
        <v>-1.987639886420578E-2</v>
      </c>
      <c r="F663" s="23">
        <f>IF(ISNUMBER(E663),D663*E663,0)</f>
        <v>-2.968719057958911E-5</v>
      </c>
      <c r="G663" s="22">
        <f>IF(ISNUMBER(E663),D663,0)</f>
        <v>1.4935899999999999E-3</v>
      </c>
      <c r="H663" t="s">
        <v>40</v>
      </c>
      <c r="I663" s="21">
        <v>46288</v>
      </c>
    </row>
    <row r="664" spans="1:9" x14ac:dyDescent="0.15">
      <c r="A664" t="s">
        <v>45</v>
      </c>
      <c r="B664" t="s">
        <v>794</v>
      </c>
      <c r="C664" t="s">
        <v>795</v>
      </c>
      <c r="D664" s="22">
        <v>1.4760300000000001E-3</v>
      </c>
      <c r="E664" s="22" t="str">
        <f>IFERROR(_xlfn.LET(_xlpm.m,MATCH($B664,Feed!$A:$A,0),_xlpm.p,INDEX(Feed!$B:$B,_xlpm.m),_xlpm.c,INDEX(Feed!$G:$G,_xlpm.m),IF(AND(_xlpm.p&gt;0,_xlpm.c&gt;0),_xlpm.p/_xlpm.c-1,"")),"")</f>
        <v/>
      </c>
      <c r="F664" s="23">
        <f>IF(ISNUMBER(E664),D664*E664,0)</f>
        <v>0</v>
      </c>
      <c r="G664" s="22">
        <f>IF(ISNUMBER(E664),D664,0)</f>
        <v>0</v>
      </c>
      <c r="H664" t="s">
        <v>40</v>
      </c>
      <c r="I664" s="21">
        <v>46288</v>
      </c>
    </row>
    <row r="665" spans="1:9" x14ac:dyDescent="0.15">
      <c r="A665" t="s">
        <v>45</v>
      </c>
      <c r="B665" t="s">
        <v>812</v>
      </c>
      <c r="C665" t="s">
        <v>813</v>
      </c>
      <c r="D665" s="22">
        <v>1.4505399999999999E-3</v>
      </c>
      <c r="E665" s="22">
        <f>IFERROR(_xlfn.LET(_xlpm.m,MATCH($B665,Feed!$A:$A,0),_xlpm.p,INDEX(Feed!$B:$B,_xlpm.m),_xlpm.c,INDEX(Feed!$G:$G,_xlpm.m),IF(AND(_xlpm.p&gt;0,_xlpm.c&gt;0),_xlpm.p/_xlpm.c-1,"")),"")</f>
        <v>4.9302131796403081E-2</v>
      </c>
      <c r="F665" s="23">
        <f>IF(ISNUMBER(E665),D665*E665,0)</f>
        <v>7.1514714255954518E-5</v>
      </c>
      <c r="G665" s="22">
        <f>IF(ISNUMBER(E665),D665,0)</f>
        <v>1.4505399999999999E-3</v>
      </c>
      <c r="H665" t="s">
        <v>40</v>
      </c>
      <c r="I665" s="21">
        <v>46288</v>
      </c>
    </row>
    <row r="666" spans="1:9" x14ac:dyDescent="0.15">
      <c r="A666" t="s">
        <v>45</v>
      </c>
      <c r="B666" t="s">
        <v>808</v>
      </c>
      <c r="C666" t="s">
        <v>809</v>
      </c>
      <c r="D666" s="22">
        <v>1.37491E-3</v>
      </c>
      <c r="E666" s="22" t="str">
        <f>IFERROR(_xlfn.LET(_xlpm.m,MATCH($B666,Feed!$A:$A,0),_xlpm.p,INDEX(Feed!$B:$B,_xlpm.m),_xlpm.c,INDEX(Feed!$G:$G,_xlpm.m),IF(AND(_xlpm.p&gt;0,_xlpm.c&gt;0),_xlpm.p/_xlpm.c-1,"")),"")</f>
        <v/>
      </c>
      <c r="F666" s="23">
        <f>IF(ISNUMBER(E666),D666*E666,0)</f>
        <v>0</v>
      </c>
      <c r="G666" s="22">
        <f>IF(ISNUMBER(E666),D666,0)</f>
        <v>0</v>
      </c>
      <c r="H666" t="s">
        <v>40</v>
      </c>
      <c r="I666" s="21">
        <v>46288</v>
      </c>
    </row>
    <row r="667" spans="1:9" x14ac:dyDescent="0.15">
      <c r="A667" t="s">
        <v>45</v>
      </c>
      <c r="B667" t="s">
        <v>846</v>
      </c>
      <c r="C667" t="s">
        <v>847</v>
      </c>
      <c r="D667" s="22">
        <v>1.3209299999999999E-3</v>
      </c>
      <c r="E667" s="22">
        <f>IFERROR(_xlfn.LET(_xlpm.m,MATCH($B667,Feed!$A:$A,0),_xlpm.p,INDEX(Feed!$B:$B,_xlpm.m),_xlpm.c,INDEX(Feed!$G:$G,_xlpm.m),IF(AND(_xlpm.p&gt;0,_xlpm.c&gt;0),_xlpm.p/_xlpm.c-1,"")),"")</f>
        <v>5.8838577641340484E-2</v>
      </c>
      <c r="F667" s="23">
        <f>IF(ISNUMBER(E667),D667*E667,0)</f>
        <v>7.7721642363775883E-5</v>
      </c>
      <c r="G667" s="22">
        <f>IF(ISNUMBER(E667),D667,0)</f>
        <v>1.3209299999999999E-3</v>
      </c>
      <c r="H667" t="s">
        <v>40</v>
      </c>
      <c r="I667" s="21">
        <v>46288</v>
      </c>
    </row>
    <row r="668" spans="1:9" x14ac:dyDescent="0.15">
      <c r="A668" t="s">
        <v>45</v>
      </c>
      <c r="B668" t="s">
        <v>864</v>
      </c>
      <c r="C668" t="s">
        <v>865</v>
      </c>
      <c r="D668" s="22">
        <v>1.21929E-3</v>
      </c>
      <c r="E668" s="22">
        <f>IFERROR(_xlfn.LET(_xlpm.m,MATCH($B668,Feed!$A:$A,0),_xlpm.p,INDEX(Feed!$B:$B,_xlpm.m),_xlpm.c,INDEX(Feed!$G:$G,_xlpm.m),IF(AND(_xlpm.p&gt;0,_xlpm.c&gt;0),_xlpm.p/_xlpm.c-1,"")),"")</f>
        <v>2.6746785058175071E-2</v>
      </c>
      <c r="F668" s="23">
        <f>IF(ISNUMBER(E668),D668*E668,0)</f>
        <v>3.2612087553582283E-5</v>
      </c>
      <c r="G668" s="22">
        <f>IF(ISNUMBER(E668),D668,0)</f>
        <v>1.21929E-3</v>
      </c>
      <c r="H668" t="s">
        <v>40</v>
      </c>
      <c r="I668" s="21">
        <v>46288</v>
      </c>
    </row>
    <row r="669" spans="1:9" x14ac:dyDescent="0.15">
      <c r="A669" t="s">
        <v>45</v>
      </c>
      <c r="B669" t="s">
        <v>874</v>
      </c>
      <c r="C669" t="s">
        <v>875</v>
      </c>
      <c r="D669" s="22">
        <v>1.11607E-3</v>
      </c>
      <c r="E669" s="22">
        <f>IFERROR(_xlfn.LET(_xlpm.m,MATCH($B669,Feed!$A:$A,0),_xlpm.p,INDEX(Feed!$B:$B,_xlpm.m),_xlpm.c,INDEX(Feed!$G:$G,_xlpm.m),IF(AND(_xlpm.p&gt;0,_xlpm.c&gt;0),_xlpm.p/_xlpm.c-1,"")),"")</f>
        <v>-3.7065116670878528E-2</v>
      </c>
      <c r="F669" s="23">
        <f>IF(ISNUMBER(E669),D669*E669,0)</f>
        <v>-4.1367264762867398E-5</v>
      </c>
      <c r="G669" s="22">
        <f>IF(ISNUMBER(E669),D669,0)</f>
        <v>1.11607E-3</v>
      </c>
      <c r="H669" t="s">
        <v>40</v>
      </c>
      <c r="I669" s="21">
        <v>46288</v>
      </c>
    </row>
    <row r="670" spans="1:9" x14ac:dyDescent="0.15">
      <c r="A670" t="s">
        <v>45</v>
      </c>
      <c r="B670" t="s">
        <v>920</v>
      </c>
      <c r="C670" t="s">
        <v>921</v>
      </c>
      <c r="D670" s="22">
        <v>1.04152E-3</v>
      </c>
      <c r="E670" s="22">
        <f>IFERROR(_xlfn.LET(_xlpm.m,MATCH($B670,Feed!$A:$A,0),_xlpm.p,INDEX(Feed!$B:$B,_xlpm.m),_xlpm.c,INDEX(Feed!$G:$G,_xlpm.m),IF(AND(_xlpm.p&gt;0,_xlpm.c&gt;0),_xlpm.p/_xlpm.c-1,"")),"")</f>
        <v>6.9667372447237419E-3</v>
      </c>
      <c r="F670" s="23">
        <f>IF(ISNUMBER(E670),D670*E670,0)</f>
        <v>7.2559961751246712E-6</v>
      </c>
      <c r="G670" s="22">
        <f>IF(ISNUMBER(E670),D670,0)</f>
        <v>1.04152E-3</v>
      </c>
      <c r="H670" t="s">
        <v>40</v>
      </c>
      <c r="I670" s="21">
        <v>46288</v>
      </c>
    </row>
    <row r="671" spans="1:9" x14ac:dyDescent="0.15">
      <c r="A671" t="s">
        <v>45</v>
      </c>
      <c r="B671" t="s">
        <v>948</v>
      </c>
      <c r="C671" t="s">
        <v>949</v>
      </c>
      <c r="D671" s="22">
        <v>9.6677999999999998E-4</v>
      </c>
      <c r="E671" s="22" t="str">
        <f>IFERROR(_xlfn.LET(_xlpm.m,MATCH($B671,Feed!$A:$A,0),_xlpm.p,INDEX(Feed!$B:$B,_xlpm.m),_xlpm.c,INDEX(Feed!$G:$G,_xlpm.m),IF(AND(_xlpm.p&gt;0,_xlpm.c&gt;0),_xlpm.p/_xlpm.c-1,"")),"")</f>
        <v/>
      </c>
      <c r="F671" s="23">
        <f>IF(ISNUMBER(E671),D671*E671,0)</f>
        <v>0</v>
      </c>
      <c r="G671" s="22">
        <f>IF(ISNUMBER(E671),D671,0)</f>
        <v>0</v>
      </c>
      <c r="H671" t="s">
        <v>40</v>
      </c>
      <c r="I671" s="21">
        <v>46288</v>
      </c>
    </row>
    <row r="672" spans="1:9" x14ac:dyDescent="0.15">
      <c r="A672" t="s">
        <v>45</v>
      </c>
      <c r="B672" t="s">
        <v>968</v>
      </c>
      <c r="C672" t="s">
        <v>969</v>
      </c>
      <c r="D672" s="22">
        <v>9.6102999999999998E-4</v>
      </c>
      <c r="E672" s="22">
        <f>IFERROR(_xlfn.LET(_xlpm.m,MATCH($B672,Feed!$A:$A,0),_xlpm.p,INDEX(Feed!$B:$B,_xlpm.m),_xlpm.c,INDEX(Feed!$G:$G,_xlpm.m),IF(AND(_xlpm.p&gt;0,_xlpm.c&gt;0),_xlpm.p/_xlpm.c-1,"")),"")</f>
        <v>0.13222349789513976</v>
      </c>
      <c r="F672" s="23">
        <f>IF(ISNUMBER(E672),D672*E672,0)</f>
        <v>1.2707074818216617E-4</v>
      </c>
      <c r="G672" s="22">
        <f>IF(ISNUMBER(E672),D672,0)</f>
        <v>9.6102999999999998E-4</v>
      </c>
      <c r="H672" t="s">
        <v>40</v>
      </c>
      <c r="I672" s="21">
        <v>46288</v>
      </c>
    </row>
    <row r="673" spans="1:9" x14ac:dyDescent="0.15">
      <c r="A673" t="s">
        <v>45</v>
      </c>
      <c r="B673" t="s">
        <v>978</v>
      </c>
      <c r="C673" t="s">
        <v>979</v>
      </c>
      <c r="D673" s="22">
        <v>8.5837000000000001E-4</v>
      </c>
      <c r="E673" s="22" t="str">
        <f>IFERROR(_xlfn.LET(_xlpm.m,MATCH($B673,Feed!$A:$A,0),_xlpm.p,INDEX(Feed!$B:$B,_xlpm.m),_xlpm.c,INDEX(Feed!$G:$G,_xlpm.m),IF(AND(_xlpm.p&gt;0,_xlpm.c&gt;0),_xlpm.p/_xlpm.c-1,"")),"")</f>
        <v/>
      </c>
      <c r="F673" s="23">
        <f>IF(ISNUMBER(E673),D673*E673,0)</f>
        <v>0</v>
      </c>
      <c r="G673" s="22">
        <f>IF(ISNUMBER(E673),D673,0)</f>
        <v>0</v>
      </c>
      <c r="H673" t="s">
        <v>40</v>
      </c>
      <c r="I673" s="21">
        <v>46288</v>
      </c>
    </row>
    <row r="674" spans="1:9" x14ac:dyDescent="0.15">
      <c r="A674" t="s">
        <v>45</v>
      </c>
      <c r="B674" t="s">
        <v>962</v>
      </c>
      <c r="C674" t="s">
        <v>963</v>
      </c>
      <c r="D674" s="22">
        <v>8.3075E-4</v>
      </c>
      <c r="E674" s="22">
        <f>IFERROR(_xlfn.LET(_xlpm.m,MATCH($B674,Feed!$A:$A,0),_xlpm.p,INDEX(Feed!$B:$B,_xlpm.m),_xlpm.c,INDEX(Feed!$G:$G,_xlpm.m),IF(AND(_xlpm.p&gt;0,_xlpm.c&gt;0),_xlpm.p/_xlpm.c-1,"")),"")</f>
        <v>-5.9289900034470988E-2</v>
      </c>
      <c r="F674" s="23">
        <f>IF(ISNUMBER(E674),D674*E674,0)</f>
        <v>-4.9255084453636774E-5</v>
      </c>
      <c r="G674" s="22">
        <f>IF(ISNUMBER(E674),D674,0)</f>
        <v>8.3075E-4</v>
      </c>
      <c r="H674" t="s">
        <v>40</v>
      </c>
      <c r="I674" s="21">
        <v>46288</v>
      </c>
    </row>
    <row r="675" spans="1:9" x14ac:dyDescent="0.15">
      <c r="A675" t="s">
        <v>45</v>
      </c>
      <c r="B675" t="s">
        <v>998</v>
      </c>
      <c r="C675" t="s">
        <v>999</v>
      </c>
      <c r="D675" s="22">
        <v>7.8134999999999999E-4</v>
      </c>
      <c r="E675" s="22" t="str">
        <f>IFERROR(_xlfn.LET(_xlpm.m,MATCH($B675,Feed!$A:$A,0),_xlpm.p,INDEX(Feed!$B:$B,_xlpm.m),_xlpm.c,INDEX(Feed!$G:$G,_xlpm.m),IF(AND(_xlpm.p&gt;0,_xlpm.c&gt;0),_xlpm.p/_xlpm.c-1,"")),"")</f>
        <v/>
      </c>
      <c r="F675" s="23">
        <f>IF(ISNUMBER(E675),D675*E675,0)</f>
        <v>0</v>
      </c>
      <c r="G675" s="22">
        <f>IF(ISNUMBER(E675),D675,0)</f>
        <v>0</v>
      </c>
      <c r="H675" t="s">
        <v>40</v>
      </c>
      <c r="I675" s="21">
        <v>46288</v>
      </c>
    </row>
    <row r="676" spans="1:9" x14ac:dyDescent="0.15">
      <c r="A676" t="s">
        <v>45</v>
      </c>
      <c r="B676" t="s">
        <v>1004</v>
      </c>
      <c r="C676" t="s">
        <v>1005</v>
      </c>
      <c r="D676" s="22">
        <v>7.649200000000001E-4</v>
      </c>
      <c r="E676" s="22">
        <f>IFERROR(_xlfn.LET(_xlpm.m,MATCH($B676,Feed!$A:$A,0),_xlpm.p,INDEX(Feed!$B:$B,_xlpm.m),_xlpm.c,INDEX(Feed!$G:$G,_xlpm.m),IF(AND(_xlpm.p&gt;0,_xlpm.c&gt;0),_xlpm.p/_xlpm.c-1,"")),"")</f>
        <v>1.3519603424966053E-2</v>
      </c>
      <c r="F676" s="23">
        <f>IF(ISNUMBER(E676),D676*E676,0)</f>
        <v>1.0341415051825035E-5</v>
      </c>
      <c r="G676" s="22">
        <f>IF(ISNUMBER(E676),D676,0)</f>
        <v>7.649200000000001E-4</v>
      </c>
      <c r="H676" t="s">
        <v>40</v>
      </c>
      <c r="I676" s="21">
        <v>46288</v>
      </c>
    </row>
    <row r="677" spans="1:9" x14ac:dyDescent="0.15">
      <c r="A677" t="s">
        <v>45</v>
      </c>
      <c r="B677" t="s">
        <v>1024</v>
      </c>
      <c r="C677" t="s">
        <v>1025</v>
      </c>
      <c r="D677" s="22">
        <v>7.124700000000001E-4</v>
      </c>
      <c r="E677" s="22" t="str">
        <f>IFERROR(_xlfn.LET(_xlpm.m,MATCH($B677,Feed!$A:$A,0),_xlpm.p,INDEX(Feed!$B:$B,_xlpm.m),_xlpm.c,INDEX(Feed!$G:$G,_xlpm.m),IF(AND(_xlpm.p&gt;0,_xlpm.c&gt;0),_xlpm.p/_xlpm.c-1,"")),"")</f>
        <v/>
      </c>
      <c r="F677" s="23">
        <f>IF(ISNUMBER(E677),D677*E677,0)</f>
        <v>0</v>
      </c>
      <c r="G677" s="22">
        <f>IF(ISNUMBER(E677),D677,0)</f>
        <v>0</v>
      </c>
      <c r="H677" t="s">
        <v>40</v>
      </c>
      <c r="I677" s="21">
        <v>46288</v>
      </c>
    </row>
    <row r="678" spans="1:9" x14ac:dyDescent="0.15">
      <c r="A678" t="s">
        <v>45</v>
      </c>
      <c r="B678" t="s">
        <v>1032</v>
      </c>
      <c r="C678" t="s">
        <v>1033</v>
      </c>
      <c r="D678" s="22">
        <v>7.0303E-4</v>
      </c>
      <c r="E678" s="22">
        <f>IFERROR(_xlfn.LET(_xlpm.m,MATCH($B678,Feed!$A:$A,0),_xlpm.p,INDEX(Feed!$B:$B,_xlpm.m),_xlpm.c,INDEX(Feed!$G:$G,_xlpm.m),IF(AND(_xlpm.p&gt;0,_xlpm.c&gt;0),_xlpm.p/_xlpm.c-1,"")),"")</f>
        <v>8.0032833983172402E-3</v>
      </c>
      <c r="F678" s="23">
        <f>IF(ISNUMBER(E678),D678*E678,0)</f>
        <v>5.6265483275189694E-6</v>
      </c>
      <c r="G678" s="22">
        <f>IF(ISNUMBER(E678),D678,0)</f>
        <v>7.0303E-4</v>
      </c>
      <c r="H678" t="s">
        <v>40</v>
      </c>
      <c r="I678" s="21">
        <v>46288</v>
      </c>
    </row>
    <row r="679" spans="1:9" x14ac:dyDescent="0.15">
      <c r="A679" t="s">
        <v>45</v>
      </c>
      <c r="B679" t="s">
        <v>1042</v>
      </c>
      <c r="C679" t="s">
        <v>1043</v>
      </c>
      <c r="D679" s="22">
        <v>6.3787999999999996E-4</v>
      </c>
      <c r="E679" s="22">
        <f>IFERROR(_xlfn.LET(_xlpm.m,MATCH($B679,Feed!$A:$A,0),_xlpm.p,INDEX(Feed!$B:$B,_xlpm.m),_xlpm.c,INDEX(Feed!$G:$G,_xlpm.m),IF(AND(_xlpm.p&gt;0,_xlpm.c&gt;0),_xlpm.p/_xlpm.c-1,"")),"")</f>
        <v>-2.4929085751690949E-2</v>
      </c>
      <c r="F679" s="23">
        <f>IF(ISNUMBER(E679),D679*E679,0)</f>
        <v>-1.5901765219288622E-5</v>
      </c>
      <c r="G679" s="22">
        <f>IF(ISNUMBER(E679),D679,0)</f>
        <v>6.3787999999999996E-4</v>
      </c>
      <c r="H679" t="s">
        <v>40</v>
      </c>
      <c r="I679" s="21">
        <v>46288</v>
      </c>
    </row>
    <row r="680" spans="1:9" x14ac:dyDescent="0.15">
      <c r="A680" t="s">
        <v>47</v>
      </c>
      <c r="B680" t="s">
        <v>138</v>
      </c>
      <c r="C680" t="s">
        <v>139</v>
      </c>
      <c r="D680" s="22">
        <v>0.12133901</v>
      </c>
      <c r="E680" s="22">
        <f>IFERROR(_xlfn.LET(_xlpm.m,MATCH($B680,Feed!$A:$A,0),_xlpm.p,INDEX(Feed!$B:$B,_xlpm.m),_xlpm.c,INDEX(Feed!$G:$G,_xlpm.m),IF(AND(_xlpm.p&gt;0,_xlpm.c&gt;0),_xlpm.p/_xlpm.c-1,"")),"")</f>
        <v>-1.2162347725444778E-2</v>
      </c>
      <c r="F680" s="23">
        <f>IF(ISNUMBER(E680),D680*E680,0)</f>
        <v>-1.4757672322812212E-3</v>
      </c>
      <c r="G680" s="22">
        <f>IF(ISNUMBER(E680),D680,0)</f>
        <v>0.12133901</v>
      </c>
      <c r="H680" t="s">
        <v>40</v>
      </c>
      <c r="I680" s="21">
        <v>46288</v>
      </c>
    </row>
    <row r="681" spans="1:9" x14ac:dyDescent="0.15">
      <c r="A681" t="s">
        <v>47</v>
      </c>
      <c r="B681" t="s">
        <v>140</v>
      </c>
      <c r="C681" t="s">
        <v>141</v>
      </c>
      <c r="D681" s="22">
        <v>0.11694535</v>
      </c>
      <c r="E681" s="22">
        <f>IFERROR(_xlfn.LET(_xlpm.m,MATCH($B681,Feed!$A:$A,0),_xlpm.p,INDEX(Feed!$B:$B,_xlpm.m),_xlpm.c,INDEX(Feed!$G:$G,_xlpm.m),IF(AND(_xlpm.p&gt;0,_xlpm.c&gt;0),_xlpm.p/_xlpm.c-1,"")),"")</f>
        <v>-2.711127634626942E-2</v>
      </c>
      <c r="F681" s="23">
        <f>IF(ISNUMBER(E681),D681*E681,0)</f>
        <v>-3.1705377012611986E-3</v>
      </c>
      <c r="G681" s="22">
        <f>IF(ISNUMBER(E681),D681,0)</f>
        <v>0.11694535</v>
      </c>
      <c r="H681" t="s">
        <v>40</v>
      </c>
      <c r="I681" s="21">
        <v>46288</v>
      </c>
    </row>
    <row r="682" spans="1:9" x14ac:dyDescent="0.15">
      <c r="A682" t="s">
        <v>47</v>
      </c>
      <c r="B682" t="s">
        <v>150</v>
      </c>
      <c r="C682" t="s">
        <v>151</v>
      </c>
      <c r="D682" s="22">
        <v>7.9833340000000003E-2</v>
      </c>
      <c r="E682" s="22" t="str">
        <f>IFERROR(_xlfn.LET(_xlpm.m,MATCH($B682,Feed!$A:$A,0),_xlpm.p,INDEX(Feed!$B:$B,_xlpm.m),_xlpm.c,INDEX(Feed!$G:$G,_xlpm.m),IF(AND(_xlpm.p&gt;0,_xlpm.c&gt;0),_xlpm.p/_xlpm.c-1,"")),"")</f>
        <v/>
      </c>
      <c r="F682" s="23">
        <f>IF(ISNUMBER(E682),D682*E682,0)</f>
        <v>0</v>
      </c>
      <c r="G682" s="22">
        <f>IF(ISNUMBER(E682),D682,0)</f>
        <v>0</v>
      </c>
      <c r="H682" t="s">
        <v>40</v>
      </c>
      <c r="I682" s="21">
        <v>46288</v>
      </c>
    </row>
    <row r="683" spans="1:9" x14ac:dyDescent="0.15">
      <c r="A683" t="s">
        <v>47</v>
      </c>
      <c r="B683" t="s">
        <v>158</v>
      </c>
      <c r="C683" t="s">
        <v>159</v>
      </c>
      <c r="D683" s="22">
        <v>5.8163300000000001E-2</v>
      </c>
      <c r="E683" s="22">
        <f>IFERROR(_xlfn.LET(_xlpm.m,MATCH($B683,Feed!$A:$A,0),_xlpm.p,INDEX(Feed!$B:$B,_xlpm.m),_xlpm.c,INDEX(Feed!$G:$G,_xlpm.m),IF(AND(_xlpm.p&gt;0,_xlpm.c&gt;0),_xlpm.p/_xlpm.c-1,"")),"")</f>
        <v>-1.302101762083363E-2</v>
      </c>
      <c r="F683" s="23">
        <f>IF(ISNUMBER(E683),D683*E683,0)</f>
        <v>-7.5734535418583266E-4</v>
      </c>
      <c r="G683" s="22">
        <f>IF(ISNUMBER(E683),D683,0)</f>
        <v>5.8163300000000001E-2</v>
      </c>
      <c r="H683" t="s">
        <v>40</v>
      </c>
      <c r="I683" s="21">
        <v>46288</v>
      </c>
    </row>
    <row r="684" spans="1:9" x14ac:dyDescent="0.15">
      <c r="A684" t="s">
        <v>47</v>
      </c>
      <c r="B684" t="s">
        <v>168</v>
      </c>
      <c r="C684" t="s">
        <v>169</v>
      </c>
      <c r="D684" s="22">
        <v>4.7292680000000004E-2</v>
      </c>
      <c r="E684" s="22">
        <f>IFERROR(_xlfn.LET(_xlpm.m,MATCH($B684,Feed!$A:$A,0),_xlpm.p,INDEX(Feed!$B:$B,_xlpm.m),_xlpm.c,INDEX(Feed!$G:$G,_xlpm.m),IF(AND(_xlpm.p&gt;0,_xlpm.c&gt;0),_xlpm.p/_xlpm.c-1,"")),"")</f>
        <v>-2.6502684912523722E-2</v>
      </c>
      <c r="F684" s="23">
        <f>IF(ISNUMBER(E684),D684*E684,0)</f>
        <v>-1.2533829967088124E-3</v>
      </c>
      <c r="G684" s="22">
        <f>IF(ISNUMBER(E684),D684,0)</f>
        <v>4.7292680000000004E-2</v>
      </c>
      <c r="H684" t="s">
        <v>40</v>
      </c>
      <c r="I684" s="21">
        <v>46288</v>
      </c>
    </row>
    <row r="685" spans="1:9" x14ac:dyDescent="0.15">
      <c r="A685" t="s">
        <v>47</v>
      </c>
      <c r="B685" t="s">
        <v>194</v>
      </c>
      <c r="C685" t="s">
        <v>195</v>
      </c>
      <c r="D685" s="22">
        <v>3.5768109999999999E-2</v>
      </c>
      <c r="E685" s="22">
        <f>IFERROR(_xlfn.LET(_xlpm.m,MATCH($B685,Feed!$A:$A,0),_xlpm.p,INDEX(Feed!$B:$B,_xlpm.m),_xlpm.c,INDEX(Feed!$G:$G,_xlpm.m),IF(AND(_xlpm.p&gt;0,_xlpm.c&gt;0),_xlpm.p/_xlpm.c-1,"")),"")</f>
        <v>7.9511677282377846E-3</v>
      </c>
      <c r="F685" s="23">
        <f>IF(ISNUMBER(E685),D685*E685,0)</f>
        <v>2.8439824193205918E-4</v>
      </c>
      <c r="G685" s="22">
        <f>IF(ISNUMBER(E685),D685,0)</f>
        <v>3.5768109999999999E-2</v>
      </c>
      <c r="H685" t="s">
        <v>40</v>
      </c>
      <c r="I685" s="21">
        <v>46288</v>
      </c>
    </row>
    <row r="686" spans="1:9" x14ac:dyDescent="0.15">
      <c r="A686" t="s">
        <v>47</v>
      </c>
      <c r="B686" t="s">
        <v>200</v>
      </c>
      <c r="C686" t="s">
        <v>201</v>
      </c>
      <c r="D686" s="22">
        <v>3.2536349999999999E-2</v>
      </c>
      <c r="E686" s="22" t="str">
        <f>IFERROR(_xlfn.LET(_xlpm.m,MATCH($B686,Feed!$A:$A,0),_xlpm.p,INDEX(Feed!$B:$B,_xlpm.m),_xlpm.c,INDEX(Feed!$G:$G,_xlpm.m),IF(AND(_xlpm.p&gt;0,_xlpm.c&gt;0),_xlpm.p/_xlpm.c-1,"")),"")</f>
        <v/>
      </c>
      <c r="F686" s="23">
        <f>IF(ISNUMBER(E686),D686*E686,0)</f>
        <v>0</v>
      </c>
      <c r="G686" s="22">
        <f>IF(ISNUMBER(E686),D686,0)</f>
        <v>0</v>
      </c>
      <c r="H686" t="s">
        <v>40</v>
      </c>
      <c r="I686" s="21">
        <v>46288</v>
      </c>
    </row>
    <row r="687" spans="1:9" x14ac:dyDescent="0.15">
      <c r="A687" t="s">
        <v>47</v>
      </c>
      <c r="B687" t="s">
        <v>210</v>
      </c>
      <c r="C687" t="s">
        <v>211</v>
      </c>
      <c r="D687" s="22">
        <v>3.0919210000000003E-2</v>
      </c>
      <c r="E687" s="22">
        <f>IFERROR(_xlfn.LET(_xlpm.m,MATCH($B687,Feed!$A:$A,0),_xlpm.p,INDEX(Feed!$B:$B,_xlpm.m),_xlpm.c,INDEX(Feed!$G:$G,_xlpm.m),IF(AND(_xlpm.p&gt;0,_xlpm.c&gt;0),_xlpm.p/_xlpm.c-1,"")),"")</f>
        <v>-1.184717148780734E-2</v>
      </c>
      <c r="F687" s="23">
        <f>IF(ISNUMBER(E687),D687*E687,0)</f>
        <v>-3.6630518313752759E-4</v>
      </c>
      <c r="G687" s="22">
        <f>IF(ISNUMBER(E687),D687,0)</f>
        <v>3.0919210000000003E-2</v>
      </c>
      <c r="H687" t="s">
        <v>40</v>
      </c>
      <c r="I687" s="21">
        <v>46288</v>
      </c>
    </row>
    <row r="688" spans="1:9" x14ac:dyDescent="0.15">
      <c r="A688" t="s">
        <v>47</v>
      </c>
      <c r="B688" t="s">
        <v>216</v>
      </c>
      <c r="C688" t="s">
        <v>217</v>
      </c>
      <c r="D688" s="22">
        <v>2.8753690000000002E-2</v>
      </c>
      <c r="E688" s="22">
        <f>IFERROR(_xlfn.LET(_xlpm.m,MATCH($B688,Feed!$A:$A,0),_xlpm.p,INDEX(Feed!$B:$B,_xlpm.m),_xlpm.c,INDEX(Feed!$G:$G,_xlpm.m),IF(AND(_xlpm.p&gt;0,_xlpm.c&gt;0),_xlpm.p/_xlpm.c-1,"")),"")</f>
        <v>6.4407680048568228E-3</v>
      </c>
      <c r="F688" s="23">
        <f>IF(ISNUMBER(E688),D688*E688,0)</f>
        <v>1.8519584657357158E-4</v>
      </c>
      <c r="G688" s="22">
        <f>IF(ISNUMBER(E688),D688,0)</f>
        <v>2.8753690000000002E-2</v>
      </c>
      <c r="H688" t="s">
        <v>40</v>
      </c>
      <c r="I688" s="21">
        <v>46288</v>
      </c>
    </row>
    <row r="689" spans="1:9" x14ac:dyDescent="0.15">
      <c r="A689" t="s">
        <v>47</v>
      </c>
      <c r="B689" t="s">
        <v>256</v>
      </c>
      <c r="C689" t="s">
        <v>257</v>
      </c>
      <c r="D689" s="22">
        <v>2.110832E-2</v>
      </c>
      <c r="E689" s="22">
        <f>IFERROR(_xlfn.LET(_xlpm.m,MATCH($B689,Feed!$A:$A,0),_xlpm.p,INDEX(Feed!$B:$B,_xlpm.m),_xlpm.c,INDEX(Feed!$G:$G,_xlpm.m),IF(AND(_xlpm.p&gt;0,_xlpm.c&gt;0),_xlpm.p/_xlpm.c-1,"")),"")</f>
        <v>-4.2280285035629528E-2</v>
      </c>
      <c r="F689" s="23">
        <f>IF(ISNUMBER(E689),D689*E689,0)</f>
        <v>-8.9246578622327946E-4</v>
      </c>
      <c r="G689" s="22">
        <f>IF(ISNUMBER(E689),D689,0)</f>
        <v>2.110832E-2</v>
      </c>
      <c r="H689" t="s">
        <v>40</v>
      </c>
      <c r="I689" s="21">
        <v>46288</v>
      </c>
    </row>
    <row r="690" spans="1:9" x14ac:dyDescent="0.15">
      <c r="A690" t="s">
        <v>47</v>
      </c>
      <c r="B690" t="s">
        <v>266</v>
      </c>
      <c r="C690" t="s">
        <v>267</v>
      </c>
      <c r="D690" s="22">
        <v>2.0792370000000001E-2</v>
      </c>
      <c r="E690" s="22">
        <f>IFERROR(_xlfn.LET(_xlpm.m,MATCH($B690,Feed!$A:$A,0),_xlpm.p,INDEX(Feed!$B:$B,_xlpm.m),_xlpm.c,INDEX(Feed!$G:$G,_xlpm.m),IF(AND(_xlpm.p&gt;0,_xlpm.c&gt;0),_xlpm.p/_xlpm.c-1,"")),"")</f>
        <v>-1.9129541661317195E-2</v>
      </c>
      <c r="F690" s="23">
        <f>IF(ISNUMBER(E690),D690*E690,0)</f>
        <v>-3.9774850815252181E-4</v>
      </c>
      <c r="G690" s="22">
        <f>IF(ISNUMBER(E690),D690,0)</f>
        <v>2.0792370000000001E-2</v>
      </c>
      <c r="H690" t="s">
        <v>40</v>
      </c>
      <c r="I690" s="21">
        <v>46288</v>
      </c>
    </row>
    <row r="691" spans="1:9" x14ac:dyDescent="0.15">
      <c r="A691" t="s">
        <v>47</v>
      </c>
      <c r="B691" t="s">
        <v>276</v>
      </c>
      <c r="C691" t="s">
        <v>277</v>
      </c>
      <c r="D691" s="22">
        <v>1.9880789999999999E-2</v>
      </c>
      <c r="E691" s="22">
        <f>IFERROR(_xlfn.LET(_xlpm.m,MATCH($B691,Feed!$A:$A,0),_xlpm.p,INDEX(Feed!$B:$B,_xlpm.m),_xlpm.c,INDEX(Feed!$G:$G,_xlpm.m),IF(AND(_xlpm.p&gt;0,_xlpm.c&gt;0),_xlpm.p/_xlpm.c-1,"")),"")</f>
        <v>-2.91648750210316E-3</v>
      </c>
      <c r="F691" s="23">
        <f>IF(ISNUMBER(E691),D691*E691,0)</f>
        <v>-5.7982075566937481E-5</v>
      </c>
      <c r="G691" s="22">
        <f>IF(ISNUMBER(E691),D691,0)</f>
        <v>1.9880789999999999E-2</v>
      </c>
      <c r="H691" t="s">
        <v>40</v>
      </c>
      <c r="I691" s="21">
        <v>46288</v>
      </c>
    </row>
    <row r="692" spans="1:9" x14ac:dyDescent="0.15">
      <c r="A692" t="s">
        <v>47</v>
      </c>
      <c r="B692" t="s">
        <v>300</v>
      </c>
      <c r="C692" t="s">
        <v>301</v>
      </c>
      <c r="D692" s="22">
        <v>1.5921640000000001E-2</v>
      </c>
      <c r="E692" s="22">
        <f>IFERROR(_xlfn.LET(_xlpm.m,MATCH($B692,Feed!$A:$A,0),_xlpm.p,INDEX(Feed!$B:$B,_xlpm.m),_xlpm.c,INDEX(Feed!$G:$G,_xlpm.m),IF(AND(_xlpm.p&gt;0,_xlpm.c&gt;0),_xlpm.p/_xlpm.c-1,"")),"")</f>
        <v>-9.2871609939237931E-3</v>
      </c>
      <c r="F692" s="23">
        <f>IF(ISNUMBER(E692),D692*E692,0)</f>
        <v>-1.4786683396729683E-4</v>
      </c>
      <c r="G692" s="22">
        <f>IF(ISNUMBER(E692),D692,0)</f>
        <v>1.5921640000000001E-2</v>
      </c>
      <c r="H692" t="s">
        <v>40</v>
      </c>
      <c r="I692" s="21">
        <v>46288</v>
      </c>
    </row>
    <row r="693" spans="1:9" x14ac:dyDescent="0.15">
      <c r="A693" t="s">
        <v>47</v>
      </c>
      <c r="B693" t="s">
        <v>302</v>
      </c>
      <c r="C693" t="s">
        <v>303</v>
      </c>
      <c r="D693" s="22">
        <v>1.5724450000000001E-2</v>
      </c>
      <c r="E693" s="22">
        <f>IFERROR(_xlfn.LET(_xlpm.m,MATCH($B693,Feed!$A:$A,0),_xlpm.p,INDEX(Feed!$B:$B,_xlpm.m),_xlpm.c,INDEX(Feed!$G:$G,_xlpm.m),IF(AND(_xlpm.p&gt;0,_xlpm.c&gt;0),_xlpm.p/_xlpm.c-1,"")),"")</f>
        <v>-7.1054968913450978E-3</v>
      </c>
      <c r="F693" s="23">
        <f>IF(ISNUMBER(E693),D693*E693,0)</f>
        <v>-1.1173003059311143E-4</v>
      </c>
      <c r="G693" s="22">
        <f>IF(ISNUMBER(E693),D693,0)</f>
        <v>1.5724450000000001E-2</v>
      </c>
      <c r="H693" t="s">
        <v>40</v>
      </c>
      <c r="I693" s="21">
        <v>46288</v>
      </c>
    </row>
    <row r="694" spans="1:9" x14ac:dyDescent="0.15">
      <c r="A694" t="s">
        <v>47</v>
      </c>
      <c r="B694" t="s">
        <v>298</v>
      </c>
      <c r="C694" t="s">
        <v>299</v>
      </c>
      <c r="D694" s="22">
        <v>1.5567029999999999E-2</v>
      </c>
      <c r="E694" s="22">
        <f>IFERROR(_xlfn.LET(_xlpm.m,MATCH($B694,Feed!$A:$A,0),_xlpm.p,INDEX(Feed!$B:$B,_xlpm.m),_xlpm.c,INDEX(Feed!$G:$G,_xlpm.m),IF(AND(_xlpm.p&gt;0,_xlpm.c&gt;0),_xlpm.p/_xlpm.c-1,"")),"")</f>
        <v>-3.0635188308038241E-2</v>
      </c>
      <c r="F694" s="23">
        <f>IF(ISNUMBER(E694),D694*E694,0)</f>
        <v>-4.768988954468805E-4</v>
      </c>
      <c r="G694" s="22">
        <f>IF(ISNUMBER(E694),D694,0)</f>
        <v>1.5567029999999999E-2</v>
      </c>
      <c r="H694" t="s">
        <v>40</v>
      </c>
      <c r="I694" s="21">
        <v>46288</v>
      </c>
    </row>
    <row r="695" spans="1:9" x14ac:dyDescent="0.15">
      <c r="A695" t="s">
        <v>47</v>
      </c>
      <c r="B695" t="s">
        <v>304</v>
      </c>
      <c r="C695" t="s">
        <v>305</v>
      </c>
      <c r="D695" s="22">
        <v>1.525491E-2</v>
      </c>
      <c r="E695" s="22">
        <f>IFERROR(_xlfn.LET(_xlpm.m,MATCH($B695,Feed!$A:$A,0),_xlpm.p,INDEX(Feed!$B:$B,_xlpm.m),_xlpm.c,INDEX(Feed!$G:$G,_xlpm.m),IF(AND(_xlpm.p&gt;0,_xlpm.c&gt;0),_xlpm.p/_xlpm.c-1,"")),"")</f>
        <v>-7.7504109910755403E-3</v>
      </c>
      <c r="F695" s="23">
        <f>IF(ISNUMBER(E695),D695*E695,0)</f>
        <v>-1.1823182213186817E-4</v>
      </c>
      <c r="G695" s="22">
        <f>IF(ISNUMBER(E695),D695,0)</f>
        <v>1.525491E-2</v>
      </c>
      <c r="H695" t="s">
        <v>40</v>
      </c>
      <c r="I695" s="21">
        <v>46288</v>
      </c>
    </row>
    <row r="696" spans="1:9" x14ac:dyDescent="0.15">
      <c r="A696" t="s">
        <v>47</v>
      </c>
      <c r="B696" t="s">
        <v>334</v>
      </c>
      <c r="C696" t="s">
        <v>335</v>
      </c>
      <c r="D696" s="22">
        <v>1.318418E-2</v>
      </c>
      <c r="E696" s="22">
        <f>IFERROR(_xlfn.LET(_xlpm.m,MATCH($B696,Feed!$A:$A,0),_xlpm.p,INDEX(Feed!$B:$B,_xlpm.m),_xlpm.c,INDEX(Feed!$G:$G,_xlpm.m),IF(AND(_xlpm.p&gt;0,_xlpm.c&gt;0),_xlpm.p/_xlpm.c-1,"")),"")</f>
        <v>-2.3538591585928859E-2</v>
      </c>
      <c r="F696" s="23">
        <f>IF(ISNUMBER(E696),D696*E696,0)</f>
        <v>-3.1033702841537156E-4</v>
      </c>
      <c r="G696" s="22">
        <f>IF(ISNUMBER(E696),D696,0)</f>
        <v>1.318418E-2</v>
      </c>
      <c r="H696" t="s">
        <v>40</v>
      </c>
      <c r="I696" s="21">
        <v>46288</v>
      </c>
    </row>
    <row r="697" spans="1:9" x14ac:dyDescent="0.15">
      <c r="A697" t="s">
        <v>47</v>
      </c>
      <c r="B697" t="s">
        <v>354</v>
      </c>
      <c r="C697" t="s">
        <v>355</v>
      </c>
      <c r="D697" s="22">
        <v>1.271152E-2</v>
      </c>
      <c r="E697" s="22">
        <f>IFERROR(_xlfn.LET(_xlpm.m,MATCH($B697,Feed!$A:$A,0),_xlpm.p,INDEX(Feed!$B:$B,_xlpm.m),_xlpm.c,INDEX(Feed!$G:$G,_xlpm.m),IF(AND(_xlpm.p&gt;0,_xlpm.c&gt;0),_xlpm.p/_xlpm.c-1,"")),"")</f>
        <v>3.4217993657152501E-2</v>
      </c>
      <c r="F697" s="23">
        <f>IF(ISNUMBER(E697),D697*E697,0)</f>
        <v>4.3496271073276718E-4</v>
      </c>
      <c r="G697" s="22">
        <f>IF(ISNUMBER(E697),D697,0)</f>
        <v>1.271152E-2</v>
      </c>
      <c r="H697" t="s">
        <v>40</v>
      </c>
      <c r="I697" s="21">
        <v>46288</v>
      </c>
    </row>
    <row r="698" spans="1:9" x14ac:dyDescent="0.15">
      <c r="A698" t="s">
        <v>47</v>
      </c>
      <c r="B698" t="s">
        <v>342</v>
      </c>
      <c r="C698" t="s">
        <v>343</v>
      </c>
      <c r="D698" s="22">
        <v>1.243403E-2</v>
      </c>
      <c r="E698" s="22">
        <f>IFERROR(_xlfn.LET(_xlpm.m,MATCH($B698,Feed!$A:$A,0),_xlpm.p,INDEX(Feed!$B:$B,_xlpm.m),_xlpm.c,INDEX(Feed!$G:$G,_xlpm.m),IF(AND(_xlpm.p&gt;0,_xlpm.c&gt;0),_xlpm.p/_xlpm.c-1,"")),"")</f>
        <v>-3.1882902793377133E-2</v>
      </c>
      <c r="F698" s="23">
        <f>IF(ISNUMBER(E698),D698*E698,0)</f>
        <v>-3.9643296981993508E-4</v>
      </c>
      <c r="G698" s="22">
        <f>IF(ISNUMBER(E698),D698,0)</f>
        <v>1.243403E-2</v>
      </c>
      <c r="H698" t="s">
        <v>40</v>
      </c>
      <c r="I698" s="21">
        <v>46288</v>
      </c>
    </row>
    <row r="699" spans="1:9" x14ac:dyDescent="0.15">
      <c r="A699" t="s">
        <v>47</v>
      </c>
      <c r="B699" t="s">
        <v>358</v>
      </c>
      <c r="C699" t="s">
        <v>359</v>
      </c>
      <c r="D699" s="22">
        <v>1.2044870000000001E-2</v>
      </c>
      <c r="E699" s="22">
        <f>IFERROR(_xlfn.LET(_xlpm.m,MATCH($B699,Feed!$A:$A,0),_xlpm.p,INDEX(Feed!$B:$B,_xlpm.m),_xlpm.c,INDEX(Feed!$G:$G,_xlpm.m),IF(AND(_xlpm.p&gt;0,_xlpm.c&gt;0),_xlpm.p/_xlpm.c-1,"")),"")</f>
        <v>-7.2023047375159299E-3</v>
      </c>
      <c r="F699" s="23">
        <f>IF(ISNUMBER(E699),D699*E699,0)</f>
        <v>-8.6750824263763507E-5</v>
      </c>
      <c r="G699" s="22">
        <f>IF(ISNUMBER(E699),D699,0)</f>
        <v>1.2044870000000001E-2</v>
      </c>
      <c r="H699" t="s">
        <v>40</v>
      </c>
      <c r="I699" s="21">
        <v>46288</v>
      </c>
    </row>
    <row r="700" spans="1:9" x14ac:dyDescent="0.15">
      <c r="A700" t="s">
        <v>47</v>
      </c>
      <c r="B700" t="s">
        <v>360</v>
      </c>
      <c r="C700" t="s">
        <v>361</v>
      </c>
      <c r="D700" s="22">
        <v>1.1983529999999999E-2</v>
      </c>
      <c r="E700" s="22" t="str">
        <f>IFERROR(_xlfn.LET(_xlpm.m,MATCH($B700,Feed!$A:$A,0),_xlpm.p,INDEX(Feed!$B:$B,_xlpm.m),_xlpm.c,INDEX(Feed!$G:$G,_xlpm.m),IF(AND(_xlpm.p&gt;0,_xlpm.c&gt;0),_xlpm.p/_xlpm.c-1,"")),"")</f>
        <v/>
      </c>
      <c r="F700" s="23">
        <f>IF(ISNUMBER(E700),D700*E700,0)</f>
        <v>0</v>
      </c>
      <c r="G700" s="22">
        <f>IF(ISNUMBER(E700),D700,0)</f>
        <v>0</v>
      </c>
      <c r="H700" t="s">
        <v>40</v>
      </c>
      <c r="I700" s="21">
        <v>46288</v>
      </c>
    </row>
    <row r="701" spans="1:9" x14ac:dyDescent="0.15">
      <c r="A701" t="s">
        <v>47</v>
      </c>
      <c r="B701" t="s">
        <v>362</v>
      </c>
      <c r="C701" t="s">
        <v>363</v>
      </c>
      <c r="D701" s="22">
        <v>1.1768900000000001E-2</v>
      </c>
      <c r="E701" s="22" t="str">
        <f>IFERROR(_xlfn.LET(_xlpm.m,MATCH($B701,Feed!$A:$A,0),_xlpm.p,INDEX(Feed!$B:$B,_xlpm.m),_xlpm.c,INDEX(Feed!$G:$G,_xlpm.m),IF(AND(_xlpm.p&gt;0,_xlpm.c&gt;0),_xlpm.p/_xlpm.c-1,"")),"")</f>
        <v/>
      </c>
      <c r="F701" s="23">
        <f>IF(ISNUMBER(E701),D701*E701,0)</f>
        <v>0</v>
      </c>
      <c r="G701" s="22">
        <f>IF(ISNUMBER(E701),D701,0)</f>
        <v>0</v>
      </c>
      <c r="H701" t="s">
        <v>40</v>
      </c>
      <c r="I701" s="21">
        <v>46288</v>
      </c>
    </row>
    <row r="702" spans="1:9" x14ac:dyDescent="0.15">
      <c r="A702" t="s">
        <v>47</v>
      </c>
      <c r="B702" t="s">
        <v>374</v>
      </c>
      <c r="C702" t="s">
        <v>375</v>
      </c>
      <c r="D702" s="22">
        <v>1.1108750000000001E-2</v>
      </c>
      <c r="E702" s="22">
        <f>IFERROR(_xlfn.LET(_xlpm.m,MATCH($B702,Feed!$A:$A,0),_xlpm.p,INDEX(Feed!$B:$B,_xlpm.m),_xlpm.c,INDEX(Feed!$G:$G,_xlpm.m),IF(AND(_xlpm.p&gt;0,_xlpm.c&gt;0),_xlpm.p/_xlpm.c-1,"")),"")</f>
        <v>-1.6337557084968091E-2</v>
      </c>
      <c r="F702" s="23">
        <f>IF(ISNUMBER(E702),D702*E702,0)</f>
        <v>-1.8148983726763929E-4</v>
      </c>
      <c r="G702" s="22">
        <f>IF(ISNUMBER(E702),D702,0)</f>
        <v>1.1108750000000001E-2</v>
      </c>
      <c r="H702" t="s">
        <v>40</v>
      </c>
      <c r="I702" s="21">
        <v>46288</v>
      </c>
    </row>
    <row r="703" spans="1:9" x14ac:dyDescent="0.15">
      <c r="A703" t="s">
        <v>47</v>
      </c>
      <c r="B703" t="s">
        <v>384</v>
      </c>
      <c r="C703" t="s">
        <v>385</v>
      </c>
      <c r="D703" s="22">
        <v>1.049747E-2</v>
      </c>
      <c r="E703" s="22">
        <f>IFERROR(_xlfn.LET(_xlpm.m,MATCH($B703,Feed!$A:$A,0),_xlpm.p,INDEX(Feed!$B:$B,_xlpm.m),_xlpm.c,INDEX(Feed!$G:$G,_xlpm.m),IF(AND(_xlpm.p&gt;0,_xlpm.c&gt;0),_xlpm.p/_xlpm.c-1,"")),"")</f>
        <v>-2.8569796011656434E-2</v>
      </c>
      <c r="F703" s="23">
        <f>IF(ISNUMBER(E703),D703*E703,0)</f>
        <v>-2.9991057653848304E-4</v>
      </c>
      <c r="G703" s="22">
        <f>IF(ISNUMBER(E703),D703,0)</f>
        <v>1.049747E-2</v>
      </c>
      <c r="H703" t="s">
        <v>40</v>
      </c>
      <c r="I703" s="21">
        <v>46288</v>
      </c>
    </row>
    <row r="704" spans="1:9" x14ac:dyDescent="0.15">
      <c r="A704" t="s">
        <v>47</v>
      </c>
      <c r="B704" t="s">
        <v>406</v>
      </c>
      <c r="C704" t="s">
        <v>407</v>
      </c>
      <c r="D704" s="22">
        <v>9.7710499999999999E-3</v>
      </c>
      <c r="E704" s="22" t="str">
        <f>IFERROR(_xlfn.LET(_xlpm.m,MATCH($B704,Feed!$A:$A,0),_xlpm.p,INDEX(Feed!$B:$B,_xlpm.m),_xlpm.c,INDEX(Feed!$G:$G,_xlpm.m),IF(AND(_xlpm.p&gt;0,_xlpm.c&gt;0),_xlpm.p/_xlpm.c-1,"")),"")</f>
        <v/>
      </c>
      <c r="F704" s="23">
        <f>IF(ISNUMBER(E704),D704*E704,0)</f>
        <v>0</v>
      </c>
      <c r="G704" s="22">
        <f>IF(ISNUMBER(E704),D704,0)</f>
        <v>0</v>
      </c>
      <c r="H704" t="s">
        <v>40</v>
      </c>
      <c r="I704" s="21">
        <v>46288</v>
      </c>
    </row>
    <row r="705" spans="1:9" x14ac:dyDescent="0.15">
      <c r="A705" t="s">
        <v>47</v>
      </c>
      <c r="B705" t="s">
        <v>450</v>
      </c>
      <c r="C705" t="s">
        <v>451</v>
      </c>
      <c r="D705" s="22">
        <v>9.04428E-3</v>
      </c>
      <c r="E705" s="22">
        <f>IFERROR(_xlfn.LET(_xlpm.m,MATCH($B705,Feed!$A:$A,0),_xlpm.p,INDEX(Feed!$B:$B,_xlpm.m),_xlpm.c,INDEX(Feed!$G:$G,_xlpm.m),IF(AND(_xlpm.p&gt;0,_xlpm.c&gt;0),_xlpm.p/_xlpm.c-1,"")),"")</f>
        <v>1.408480761433184E-3</v>
      </c>
      <c r="F705" s="23">
        <f>IF(ISNUMBER(E705),D705*E705,0)</f>
        <v>1.2738694381014917E-5</v>
      </c>
      <c r="G705" s="22">
        <f>IF(ISNUMBER(E705),D705,0)</f>
        <v>9.04428E-3</v>
      </c>
      <c r="H705" t="s">
        <v>40</v>
      </c>
      <c r="I705" s="21">
        <v>46288</v>
      </c>
    </row>
    <row r="706" spans="1:9" x14ac:dyDescent="0.15">
      <c r="A706" t="s">
        <v>47</v>
      </c>
      <c r="B706" t="s">
        <v>460</v>
      </c>
      <c r="C706" t="s">
        <v>461</v>
      </c>
      <c r="D706" s="22">
        <v>8.8039599999999996E-3</v>
      </c>
      <c r="E706" s="22">
        <f>IFERROR(_xlfn.LET(_xlpm.m,MATCH($B706,Feed!$A:$A,0),_xlpm.p,INDEX(Feed!$B:$B,_xlpm.m),_xlpm.c,INDEX(Feed!$G:$G,_xlpm.m),IF(AND(_xlpm.p&gt;0,_xlpm.c&gt;0),_xlpm.p/_xlpm.c-1,"")),"")</f>
        <v>-3.7445602671795086E-3</v>
      </c>
      <c r="F706" s="23">
        <f>IF(ISNUMBER(E706),D706*E706,0)</f>
        <v>-3.2966958809837708E-5</v>
      </c>
      <c r="G706" s="22">
        <f>IF(ISNUMBER(E706),D706,0)</f>
        <v>8.8039599999999996E-3</v>
      </c>
      <c r="H706" t="s">
        <v>40</v>
      </c>
      <c r="I706" s="21">
        <v>46288</v>
      </c>
    </row>
    <row r="707" spans="1:9" x14ac:dyDescent="0.15">
      <c r="A707" t="s">
        <v>47</v>
      </c>
      <c r="B707" t="s">
        <v>490</v>
      </c>
      <c r="C707" t="s">
        <v>491</v>
      </c>
      <c r="D707" s="22">
        <v>7.8511399999999995E-3</v>
      </c>
      <c r="E707" s="22">
        <f>IFERROR(_xlfn.LET(_xlpm.m,MATCH($B707,Feed!$A:$A,0),_xlpm.p,INDEX(Feed!$B:$B,_xlpm.m),_xlpm.c,INDEX(Feed!$G:$G,_xlpm.m),IF(AND(_xlpm.p&gt;0,_xlpm.c&gt;0),_xlpm.p/_xlpm.c-1,"")),"")</f>
        <v>-3.2268975781355569E-2</v>
      </c>
      <c r="F707" s="23">
        <f>IF(ISNUMBER(E707),D707*E707,0)</f>
        <v>-2.5334824651603195E-4</v>
      </c>
      <c r="G707" s="22">
        <f>IF(ISNUMBER(E707),D707,0)</f>
        <v>7.8511399999999995E-3</v>
      </c>
      <c r="H707" t="s">
        <v>40</v>
      </c>
      <c r="I707" s="21">
        <v>46288</v>
      </c>
    </row>
    <row r="708" spans="1:9" x14ac:dyDescent="0.15">
      <c r="A708" t="s">
        <v>47</v>
      </c>
      <c r="B708" t="s">
        <v>496</v>
      </c>
      <c r="C708" t="s">
        <v>497</v>
      </c>
      <c r="D708" s="22">
        <v>7.64352E-3</v>
      </c>
      <c r="E708" s="22">
        <f>IFERROR(_xlfn.LET(_xlpm.m,MATCH($B708,Feed!$A:$A,0),_xlpm.p,INDEX(Feed!$B:$B,_xlpm.m),_xlpm.c,INDEX(Feed!$G:$G,_xlpm.m),IF(AND(_xlpm.p&gt;0,_xlpm.c&gt;0),_xlpm.p/_xlpm.c-1,"")),"")</f>
        <v>-3.7706697845331538E-2</v>
      </c>
      <c r="F708" s="23">
        <f>IF(ISNUMBER(E708),D708*E708,0)</f>
        <v>-2.882118991147485E-4</v>
      </c>
      <c r="G708" s="22">
        <f>IF(ISNUMBER(E708),D708,0)</f>
        <v>7.64352E-3</v>
      </c>
      <c r="H708" t="s">
        <v>40</v>
      </c>
      <c r="I708" s="21">
        <v>46288</v>
      </c>
    </row>
    <row r="709" spans="1:9" x14ac:dyDescent="0.15">
      <c r="A709" t="s">
        <v>47</v>
      </c>
      <c r="B709" t="s">
        <v>510</v>
      </c>
      <c r="C709" t="s">
        <v>511</v>
      </c>
      <c r="D709" s="22">
        <v>7.5988999999999996E-3</v>
      </c>
      <c r="E709" s="22">
        <f>IFERROR(_xlfn.LET(_xlpm.m,MATCH($B709,Feed!$A:$A,0),_xlpm.p,INDEX(Feed!$B:$B,_xlpm.m),_xlpm.c,INDEX(Feed!$G:$G,_xlpm.m),IF(AND(_xlpm.p&gt;0,_xlpm.c&gt;0),_xlpm.p/_xlpm.c-1,"")),"")</f>
        <v>-1.0090609555189478E-2</v>
      </c>
      <c r="F709" s="23">
        <f>IF(ISNUMBER(E709),D709*E709,0)</f>
        <v>-7.6677532948929317E-5</v>
      </c>
      <c r="G709" s="22">
        <f>IF(ISNUMBER(E709),D709,0)</f>
        <v>7.5988999999999996E-3</v>
      </c>
      <c r="H709" t="s">
        <v>40</v>
      </c>
      <c r="I709" s="21">
        <v>46288</v>
      </c>
    </row>
    <row r="710" spans="1:9" x14ac:dyDescent="0.15">
      <c r="A710" t="s">
        <v>47</v>
      </c>
      <c r="B710" t="s">
        <v>506</v>
      </c>
      <c r="C710" t="s">
        <v>507</v>
      </c>
      <c r="D710" s="22">
        <v>7.5901900000000001E-3</v>
      </c>
      <c r="E710" s="22">
        <f>IFERROR(_xlfn.LET(_xlpm.m,MATCH($B710,Feed!$A:$A,0),_xlpm.p,INDEX(Feed!$B:$B,_xlpm.m),_xlpm.c,INDEX(Feed!$G:$G,_xlpm.m),IF(AND(_xlpm.p&gt;0,_xlpm.c&gt;0),_xlpm.p/_xlpm.c-1,"")),"")</f>
        <v>-1.3978238424271261E-2</v>
      </c>
      <c r="F710" s="23">
        <f>IF(ISNUMBER(E710),D710*E710,0)</f>
        <v>-1.0609748550551948E-4</v>
      </c>
      <c r="G710" s="22">
        <f>IF(ISNUMBER(E710),D710,0)</f>
        <v>7.5901900000000001E-3</v>
      </c>
      <c r="H710" t="s">
        <v>40</v>
      </c>
      <c r="I710" s="21">
        <v>46288</v>
      </c>
    </row>
    <row r="711" spans="1:9" x14ac:dyDescent="0.15">
      <c r="A711" t="s">
        <v>47</v>
      </c>
      <c r="B711" t="s">
        <v>482</v>
      </c>
      <c r="C711" t="s">
        <v>483</v>
      </c>
      <c r="D711" s="22">
        <v>7.5095199999999996E-3</v>
      </c>
      <c r="E711" s="22">
        <f>IFERROR(_xlfn.LET(_xlpm.m,MATCH($B711,Feed!$A:$A,0),_xlpm.p,INDEX(Feed!$B:$B,_xlpm.m),_xlpm.c,INDEX(Feed!$G:$G,_xlpm.m),IF(AND(_xlpm.p&gt;0,_xlpm.c&gt;0),_xlpm.p/_xlpm.c-1,"")),"")</f>
        <v>-8.1375335227955037E-2</v>
      </c>
      <c r="F711" s="23">
        <f>IF(ISNUMBER(E711),D711*E711,0)</f>
        <v>-6.1108970740103292E-4</v>
      </c>
      <c r="G711" s="22">
        <f>IF(ISNUMBER(E711),D711,0)</f>
        <v>7.5095199999999996E-3</v>
      </c>
      <c r="H711" t="s">
        <v>40</v>
      </c>
      <c r="I711" s="21">
        <v>46288</v>
      </c>
    </row>
    <row r="712" spans="1:9" x14ac:dyDescent="0.15">
      <c r="A712" t="s">
        <v>47</v>
      </c>
      <c r="B712" t="s">
        <v>556</v>
      </c>
      <c r="C712" t="s">
        <v>557</v>
      </c>
      <c r="D712" s="22">
        <v>6.6252100000000003E-3</v>
      </c>
      <c r="E712" s="22">
        <f>IFERROR(_xlfn.LET(_xlpm.m,MATCH($B712,Feed!$A:$A,0),_xlpm.p,INDEX(Feed!$B:$B,_xlpm.m),_xlpm.c,INDEX(Feed!$G:$G,_xlpm.m),IF(AND(_xlpm.p&gt;0,_xlpm.c&gt;0),_xlpm.p/_xlpm.c-1,"")),"")</f>
        <v>-1.1541632316570571E-2</v>
      </c>
      <c r="F712" s="23">
        <f>IF(ISNUMBER(E712),D712*E712,0)</f>
        <v>-7.6465737840066518E-5</v>
      </c>
      <c r="G712" s="22">
        <f>IF(ISNUMBER(E712),D712,0)</f>
        <v>6.6252100000000003E-3</v>
      </c>
      <c r="H712" t="s">
        <v>40</v>
      </c>
      <c r="I712" s="21">
        <v>46288</v>
      </c>
    </row>
    <row r="713" spans="1:9" x14ac:dyDescent="0.15">
      <c r="A713" t="s">
        <v>47</v>
      </c>
      <c r="B713" t="s">
        <v>552</v>
      </c>
      <c r="C713" t="s">
        <v>553</v>
      </c>
      <c r="D713" s="22">
        <v>6.6160699999999991E-3</v>
      </c>
      <c r="E713" s="22">
        <f>IFERROR(_xlfn.LET(_xlpm.m,MATCH($B713,Feed!$A:$A,0),_xlpm.p,INDEX(Feed!$B:$B,_xlpm.m),_xlpm.c,INDEX(Feed!$G:$G,_xlpm.m),IF(AND(_xlpm.p&gt;0,_xlpm.c&gt;0),_xlpm.p/_xlpm.c-1,"")),"")</f>
        <v>-1.4871486289005476E-2</v>
      </c>
      <c r="F713" s="23">
        <f>IF(ISNUMBER(E713),D713*E713,0)</f>
        <v>-9.8390794292100447E-5</v>
      </c>
      <c r="G713" s="22">
        <f>IF(ISNUMBER(E713),D713,0)</f>
        <v>6.6160699999999991E-3</v>
      </c>
      <c r="H713" t="s">
        <v>40</v>
      </c>
      <c r="I713" s="21">
        <v>46288</v>
      </c>
    </row>
    <row r="714" spans="1:9" x14ac:dyDescent="0.15">
      <c r="A714" t="s">
        <v>47</v>
      </c>
      <c r="B714" t="s">
        <v>560</v>
      </c>
      <c r="C714" t="s">
        <v>561</v>
      </c>
      <c r="D714" s="22">
        <v>6.4059900000000003E-3</v>
      </c>
      <c r="E714" s="22">
        <f>IFERROR(_xlfn.LET(_xlpm.m,MATCH($B714,Feed!$A:$A,0),_xlpm.p,INDEX(Feed!$B:$B,_xlpm.m),_xlpm.c,INDEX(Feed!$G:$G,_xlpm.m),IF(AND(_xlpm.p&gt;0,_xlpm.c&gt;0),_xlpm.p/_xlpm.c-1,"")),"")</f>
        <v>-1.4327117624542085E-2</v>
      </c>
      <c r="F714" s="23">
        <f>IF(ISNUMBER(E714),D714*E714,0)</f>
        <v>-9.1779372231640358E-5</v>
      </c>
      <c r="G714" s="22">
        <f>IF(ISNUMBER(E714),D714,0)</f>
        <v>6.4059900000000003E-3</v>
      </c>
      <c r="H714" t="s">
        <v>40</v>
      </c>
      <c r="I714" s="21">
        <v>46288</v>
      </c>
    </row>
    <row r="715" spans="1:9" x14ac:dyDescent="0.15">
      <c r="A715" t="s">
        <v>47</v>
      </c>
      <c r="B715" t="s">
        <v>568</v>
      </c>
      <c r="C715" t="s">
        <v>569</v>
      </c>
      <c r="D715" s="22">
        <v>6.1914700000000001E-3</v>
      </c>
      <c r="E715" s="22">
        <f>IFERROR(_xlfn.LET(_xlpm.m,MATCH($B715,Feed!$A:$A,0),_xlpm.p,INDEX(Feed!$B:$B,_xlpm.m),_xlpm.c,INDEX(Feed!$G:$G,_xlpm.m),IF(AND(_xlpm.p&gt;0,_xlpm.c&gt;0),_xlpm.p/_xlpm.c-1,"")),"")</f>
        <v>-2.83500283500282E-3</v>
      </c>
      <c r="F715" s="23">
        <f>IF(ISNUMBER(E715),D715*E715,0)</f>
        <v>-1.7552835002834909E-5</v>
      </c>
      <c r="G715" s="22">
        <f>IF(ISNUMBER(E715),D715,0)</f>
        <v>6.1914700000000001E-3</v>
      </c>
      <c r="H715" t="s">
        <v>40</v>
      </c>
      <c r="I715" s="21">
        <v>46288</v>
      </c>
    </row>
    <row r="716" spans="1:9" x14ac:dyDescent="0.15">
      <c r="A716" t="s">
        <v>47</v>
      </c>
      <c r="B716" t="s">
        <v>570</v>
      </c>
      <c r="C716" t="s">
        <v>571</v>
      </c>
      <c r="D716" s="22">
        <v>5.85674E-3</v>
      </c>
      <c r="E716" s="22">
        <f>IFERROR(_xlfn.LET(_xlpm.m,MATCH($B716,Feed!$A:$A,0),_xlpm.p,INDEX(Feed!$B:$B,_xlpm.m),_xlpm.c,INDEX(Feed!$G:$G,_xlpm.m),IF(AND(_xlpm.p&gt;0,_xlpm.c&gt;0),_xlpm.p/_xlpm.c-1,"")),"")</f>
        <v>-5.4981353223228502E-2</v>
      </c>
      <c r="F716" s="23">
        <f>IF(ISNUMBER(E716),D716*E716,0)</f>
        <v>-3.220114906766113E-4</v>
      </c>
      <c r="G716" s="22">
        <f>IF(ISNUMBER(E716),D716,0)</f>
        <v>5.85674E-3</v>
      </c>
      <c r="H716" t="s">
        <v>40</v>
      </c>
      <c r="I716" s="21">
        <v>46288</v>
      </c>
    </row>
    <row r="717" spans="1:9" x14ac:dyDescent="0.15">
      <c r="A717" t="s">
        <v>47</v>
      </c>
      <c r="B717" t="s">
        <v>596</v>
      </c>
      <c r="C717" t="s">
        <v>597</v>
      </c>
      <c r="D717" s="22">
        <v>5.8546500000000003E-3</v>
      </c>
      <c r="E717" s="22" t="str">
        <f>IFERROR(_xlfn.LET(_xlpm.m,MATCH($B717,Feed!$A:$A,0),_xlpm.p,INDEX(Feed!$B:$B,_xlpm.m),_xlpm.c,INDEX(Feed!$G:$G,_xlpm.m),IF(AND(_xlpm.p&gt;0,_xlpm.c&gt;0),_xlpm.p/_xlpm.c-1,"")),"")</f>
        <v/>
      </c>
      <c r="F717" s="23">
        <f>IF(ISNUMBER(E717),D717*E717,0)</f>
        <v>0</v>
      </c>
      <c r="G717" s="22">
        <f>IF(ISNUMBER(E717),D717,0)</f>
        <v>0</v>
      </c>
      <c r="H717" t="s">
        <v>40</v>
      </c>
      <c r="I717" s="21">
        <v>46288</v>
      </c>
    </row>
    <row r="718" spans="1:9" x14ac:dyDescent="0.15">
      <c r="A718" t="s">
        <v>47</v>
      </c>
      <c r="B718" t="s">
        <v>612</v>
      </c>
      <c r="C718" t="s">
        <v>613</v>
      </c>
      <c r="D718" s="22">
        <v>5.7972599999999994E-3</v>
      </c>
      <c r="E718" s="22">
        <f>IFERROR(_xlfn.LET(_xlpm.m,MATCH($B718,Feed!$A:$A,0),_xlpm.p,INDEX(Feed!$B:$B,_xlpm.m),_xlpm.c,INDEX(Feed!$G:$G,_xlpm.m),IF(AND(_xlpm.p&gt;0,_xlpm.c&gt;0),_xlpm.p/_xlpm.c-1,"")),"")</f>
        <v>3.0218790218790259E-2</v>
      </c>
      <c r="F718" s="23">
        <f>IF(ISNUMBER(E718),D718*E718,0)</f>
        <v>1.7518618378378401E-4</v>
      </c>
      <c r="G718" s="22">
        <f>IF(ISNUMBER(E718),D718,0)</f>
        <v>5.7972599999999994E-3</v>
      </c>
      <c r="H718" t="s">
        <v>40</v>
      </c>
      <c r="I718" s="21">
        <v>46288</v>
      </c>
    </row>
    <row r="719" spans="1:9" x14ac:dyDescent="0.15">
      <c r="A719" t="s">
        <v>47</v>
      </c>
      <c r="B719" t="s">
        <v>630</v>
      </c>
      <c r="C719" t="s">
        <v>631</v>
      </c>
      <c r="D719" s="22">
        <v>5.4253700000000005E-3</v>
      </c>
      <c r="E719" s="22" t="str">
        <f>IFERROR(_xlfn.LET(_xlpm.m,MATCH($B719,Feed!$A:$A,0),_xlpm.p,INDEX(Feed!$B:$B,_xlpm.m),_xlpm.c,INDEX(Feed!$G:$G,_xlpm.m),IF(AND(_xlpm.p&gt;0,_xlpm.c&gt;0),_xlpm.p/_xlpm.c-1,"")),"")</f>
        <v/>
      </c>
      <c r="F719" s="23">
        <f>IF(ISNUMBER(E719),D719*E719,0)</f>
        <v>0</v>
      </c>
      <c r="G719" s="22">
        <f>IF(ISNUMBER(E719),D719,0)</f>
        <v>0</v>
      </c>
      <c r="H719" t="s">
        <v>40</v>
      </c>
      <c r="I719" s="21">
        <v>46288</v>
      </c>
    </row>
    <row r="720" spans="1:9" x14ac:dyDescent="0.15">
      <c r="A720" t="s">
        <v>47</v>
      </c>
      <c r="B720" t="s">
        <v>628</v>
      </c>
      <c r="C720" t="s">
        <v>629</v>
      </c>
      <c r="D720" s="22">
        <v>5.4002399999999997E-3</v>
      </c>
      <c r="E720" s="22">
        <f>IFERROR(_xlfn.LET(_xlpm.m,MATCH($B720,Feed!$A:$A,0),_xlpm.p,INDEX(Feed!$B:$B,_xlpm.m),_xlpm.c,INDEX(Feed!$G:$G,_xlpm.m),IF(AND(_xlpm.p&gt;0,_xlpm.c&gt;0),_xlpm.p/_xlpm.c-1,"")),"")</f>
        <v>4.917682274962587E-3</v>
      </c>
      <c r="F720" s="23">
        <f>IF(ISNUMBER(E720),D720*E720,0)</f>
        <v>2.6556664528543959E-5</v>
      </c>
      <c r="G720" s="22">
        <f>IF(ISNUMBER(E720),D720,0)</f>
        <v>5.4002399999999997E-3</v>
      </c>
      <c r="H720" t="s">
        <v>40</v>
      </c>
      <c r="I720" s="21">
        <v>46288</v>
      </c>
    </row>
    <row r="721" spans="1:9" x14ac:dyDescent="0.15">
      <c r="A721" t="s">
        <v>47</v>
      </c>
      <c r="B721" t="s">
        <v>634</v>
      </c>
      <c r="C721" t="s">
        <v>635</v>
      </c>
      <c r="D721" s="22">
        <v>5.3872099999999999E-3</v>
      </c>
      <c r="E721" s="22">
        <f>IFERROR(_xlfn.LET(_xlpm.m,MATCH($B721,Feed!$A:$A,0),_xlpm.p,INDEX(Feed!$B:$B,_xlpm.m),_xlpm.c,INDEX(Feed!$G:$G,_xlpm.m),IF(AND(_xlpm.p&gt;0,_xlpm.c&gt;0),_xlpm.p/_xlpm.c-1,"")),"")</f>
        <v>1.3121623111699066E-2</v>
      </c>
      <c r="F721" s="23">
        <f>IF(ISNUMBER(E721),D721*E721,0)</f>
        <v>7.0688939243576318E-5</v>
      </c>
      <c r="G721" s="22">
        <f>IF(ISNUMBER(E721),D721,0)</f>
        <v>5.3872099999999999E-3</v>
      </c>
      <c r="H721" t="s">
        <v>40</v>
      </c>
      <c r="I721" s="21">
        <v>46288</v>
      </c>
    </row>
    <row r="722" spans="1:9" x14ac:dyDescent="0.15">
      <c r="A722" t="s">
        <v>47</v>
      </c>
      <c r="B722" t="s">
        <v>636</v>
      </c>
      <c r="C722" t="s">
        <v>637</v>
      </c>
      <c r="D722" s="22">
        <v>5.2519699999999999E-3</v>
      </c>
      <c r="E722" s="22" t="str">
        <f>IFERROR(_xlfn.LET(_xlpm.m,MATCH($B722,Feed!$A:$A,0),_xlpm.p,INDEX(Feed!$B:$B,_xlpm.m),_xlpm.c,INDEX(Feed!$G:$G,_xlpm.m),IF(AND(_xlpm.p&gt;0,_xlpm.c&gt;0),_xlpm.p/_xlpm.c-1,"")),"")</f>
        <v/>
      </c>
      <c r="F722" s="23">
        <f>IF(ISNUMBER(E722),D722*E722,0)</f>
        <v>0</v>
      </c>
      <c r="G722" s="22">
        <f>IF(ISNUMBER(E722),D722,0)</f>
        <v>0</v>
      </c>
      <c r="H722" t="s">
        <v>40</v>
      </c>
      <c r="I722" s="21">
        <v>46288</v>
      </c>
    </row>
    <row r="723" spans="1:9" x14ac:dyDescent="0.15">
      <c r="A723" t="s">
        <v>47</v>
      </c>
      <c r="B723" t="s">
        <v>640</v>
      </c>
      <c r="C723" t="s">
        <v>641</v>
      </c>
      <c r="D723" s="22">
        <v>5.1639199999999998E-3</v>
      </c>
      <c r="E723" s="22">
        <f>IFERROR(_xlfn.LET(_xlpm.m,MATCH($B723,Feed!$A:$A,0),_xlpm.p,INDEX(Feed!$B:$B,_xlpm.m),_xlpm.c,INDEX(Feed!$G:$G,_xlpm.m),IF(AND(_xlpm.p&gt;0,_xlpm.c&gt;0),_xlpm.p/_xlpm.c-1,"")),"")</f>
        <v>-7.2168864289977597E-3</v>
      </c>
      <c r="F723" s="23">
        <f>IF(ISNUMBER(E723),D723*E723,0)</f>
        <v>-3.726742416843011E-5</v>
      </c>
      <c r="G723" s="22">
        <f>IF(ISNUMBER(E723),D723,0)</f>
        <v>5.1639199999999998E-3</v>
      </c>
      <c r="H723" t="s">
        <v>40</v>
      </c>
      <c r="I723" s="21">
        <v>46288</v>
      </c>
    </row>
    <row r="724" spans="1:9" x14ac:dyDescent="0.15">
      <c r="A724" t="s">
        <v>47</v>
      </c>
      <c r="B724" t="s">
        <v>648</v>
      </c>
      <c r="C724" t="s">
        <v>649</v>
      </c>
      <c r="D724" s="22">
        <v>5.0871800000000002E-3</v>
      </c>
      <c r="E724" s="22">
        <f>IFERROR(_xlfn.LET(_xlpm.m,MATCH($B724,Feed!$A:$A,0),_xlpm.p,INDEX(Feed!$B:$B,_xlpm.m),_xlpm.c,INDEX(Feed!$G:$G,_xlpm.m),IF(AND(_xlpm.p&gt;0,_xlpm.c&gt;0),_xlpm.p/_xlpm.c-1,"")),"")</f>
        <v>-1.9912385503781938E-3</v>
      </c>
      <c r="F724" s="23">
        <f>IF(ISNUMBER(E724),D724*E724,0)</f>
        <v>-1.012978892871294E-5</v>
      </c>
      <c r="G724" s="22">
        <f>IF(ISNUMBER(E724),D724,0)</f>
        <v>5.0871800000000002E-3</v>
      </c>
      <c r="H724" t="s">
        <v>40</v>
      </c>
      <c r="I724" s="21">
        <v>46288</v>
      </c>
    </row>
    <row r="725" spans="1:9" x14ac:dyDescent="0.15">
      <c r="A725" t="s">
        <v>47</v>
      </c>
      <c r="B725" t="s">
        <v>674</v>
      </c>
      <c r="C725" t="s">
        <v>675</v>
      </c>
      <c r="D725" s="22">
        <v>4.5122699999999996E-3</v>
      </c>
      <c r="E725" s="22">
        <f>IFERROR(_xlfn.LET(_xlpm.m,MATCH($B725,Feed!$A:$A,0),_xlpm.p,INDEX(Feed!$B:$B,_xlpm.m),_xlpm.c,INDEX(Feed!$G:$G,_xlpm.m),IF(AND(_xlpm.p&gt;0,_xlpm.c&gt;0),_xlpm.p/_xlpm.c-1,"")),"")</f>
        <v>-2.3959360072787872E-2</v>
      </c>
      <c r="F725" s="23">
        <f>IF(ISNUMBER(E725),D725*E725,0)</f>
        <v>-1.0811110167563853E-4</v>
      </c>
      <c r="G725" s="22">
        <f>IF(ISNUMBER(E725),D725,0)</f>
        <v>4.5122699999999996E-3</v>
      </c>
      <c r="H725" t="s">
        <v>40</v>
      </c>
      <c r="I725" s="21">
        <v>46288</v>
      </c>
    </row>
    <row r="726" spans="1:9" x14ac:dyDescent="0.15">
      <c r="A726" t="s">
        <v>47</v>
      </c>
      <c r="B726" t="s">
        <v>696</v>
      </c>
      <c r="C726" t="s">
        <v>697</v>
      </c>
      <c r="D726" s="22">
        <v>4.1755199999999994E-3</v>
      </c>
      <c r="E726" s="22">
        <f>IFERROR(_xlfn.LET(_xlpm.m,MATCH($B726,Feed!$A:$A,0),_xlpm.p,INDEX(Feed!$B:$B,_xlpm.m),_xlpm.c,INDEX(Feed!$G:$G,_xlpm.m),IF(AND(_xlpm.p&gt;0,_xlpm.c&gt;0),_xlpm.p/_xlpm.c-1,"")),"")</f>
        <v>-4.9953555578490239E-3</v>
      </c>
      <c r="F726" s="23">
        <f>IF(ISNUMBER(E726),D726*E726,0)</f>
        <v>-2.0858207038909751E-5</v>
      </c>
      <c r="G726" s="22">
        <f>IF(ISNUMBER(E726),D726,0)</f>
        <v>4.1755199999999994E-3</v>
      </c>
      <c r="H726" t="s">
        <v>40</v>
      </c>
      <c r="I726" s="21">
        <v>46288</v>
      </c>
    </row>
    <row r="727" spans="1:9" x14ac:dyDescent="0.15">
      <c r="A727" t="s">
        <v>47</v>
      </c>
      <c r="B727" t="s">
        <v>698</v>
      </c>
      <c r="C727" t="s">
        <v>699</v>
      </c>
      <c r="D727" s="22">
        <v>4.1753600000000004E-3</v>
      </c>
      <c r="E727" s="22">
        <f>IFERROR(_xlfn.LET(_xlpm.m,MATCH($B727,Feed!$A:$A,0),_xlpm.p,INDEX(Feed!$B:$B,_xlpm.m),_xlpm.c,INDEX(Feed!$G:$G,_xlpm.m),IF(AND(_xlpm.p&gt;0,_xlpm.c&gt;0),_xlpm.p/_xlpm.c-1,"")),"")</f>
        <v>-1.5597462107860505E-2</v>
      </c>
      <c r="F727" s="23">
        <f>IF(ISNUMBER(E727),D727*E727,0)</f>
        <v>-6.5125019386676439E-5</v>
      </c>
      <c r="G727" s="22">
        <f>IF(ISNUMBER(E727),D727,0)</f>
        <v>4.1753600000000004E-3</v>
      </c>
      <c r="H727" t="s">
        <v>40</v>
      </c>
      <c r="I727" s="21">
        <v>46288</v>
      </c>
    </row>
    <row r="728" spans="1:9" x14ac:dyDescent="0.15">
      <c r="A728" t="s">
        <v>47</v>
      </c>
      <c r="B728" t="s">
        <v>702</v>
      </c>
      <c r="C728" t="s">
        <v>703</v>
      </c>
      <c r="D728" s="22">
        <v>4.1053499999999998E-3</v>
      </c>
      <c r="E728" s="22">
        <f>IFERROR(_xlfn.LET(_xlpm.m,MATCH($B728,Feed!$A:$A,0),_xlpm.p,INDEX(Feed!$B:$B,_xlpm.m),_xlpm.c,INDEX(Feed!$G:$G,_xlpm.m),IF(AND(_xlpm.p&gt;0,_xlpm.c&gt;0),_xlpm.p/_xlpm.c-1,"")),"")</f>
        <v>-2.5240317049862182E-2</v>
      </c>
      <c r="F728" s="23">
        <f>IF(ISNUMBER(E728),D728*E728,0)</f>
        <v>-1.0362033560065171E-4</v>
      </c>
      <c r="G728" s="22">
        <f>IF(ISNUMBER(E728),D728,0)</f>
        <v>4.1053499999999998E-3</v>
      </c>
      <c r="H728" t="s">
        <v>40</v>
      </c>
      <c r="I728" s="21">
        <v>46288</v>
      </c>
    </row>
    <row r="729" spans="1:9" x14ac:dyDescent="0.15">
      <c r="A729" t="s">
        <v>47</v>
      </c>
      <c r="B729" t="s">
        <v>708</v>
      </c>
      <c r="C729" t="s">
        <v>709</v>
      </c>
      <c r="D729" s="22">
        <v>4.1018799999999996E-3</v>
      </c>
      <c r="E729" s="22">
        <f>IFERROR(_xlfn.LET(_xlpm.m,MATCH($B729,Feed!$A:$A,0),_xlpm.p,INDEX(Feed!$B:$B,_xlpm.m),_xlpm.c,INDEX(Feed!$G:$G,_xlpm.m),IF(AND(_xlpm.p&gt;0,_xlpm.c&gt;0),_xlpm.p/_xlpm.c-1,"")),"")</f>
        <v>-1.1964735516372893E-2</v>
      </c>
      <c r="F729" s="23">
        <f>IF(ISNUMBER(E729),D729*E729,0)</f>
        <v>-4.9077909319899636E-5</v>
      </c>
      <c r="G729" s="22">
        <f>IF(ISNUMBER(E729),D729,0)</f>
        <v>4.1018799999999996E-3</v>
      </c>
      <c r="H729" t="s">
        <v>40</v>
      </c>
      <c r="I729" s="21">
        <v>46288</v>
      </c>
    </row>
    <row r="730" spans="1:9" x14ac:dyDescent="0.15">
      <c r="A730" t="s">
        <v>47</v>
      </c>
      <c r="B730" t="s">
        <v>738</v>
      </c>
      <c r="C730" t="s">
        <v>739</v>
      </c>
      <c r="D730" s="22">
        <v>3.6263299999999997E-3</v>
      </c>
      <c r="E730" s="22" t="str">
        <f>IFERROR(_xlfn.LET(_xlpm.m,MATCH($B730,Feed!$A:$A,0),_xlpm.p,INDEX(Feed!$B:$B,_xlpm.m),_xlpm.c,INDEX(Feed!$G:$G,_xlpm.m),IF(AND(_xlpm.p&gt;0,_xlpm.c&gt;0),_xlpm.p/_xlpm.c-1,"")),"")</f>
        <v/>
      </c>
      <c r="F730" s="23">
        <f>IF(ISNUMBER(E730),D730*E730,0)</f>
        <v>0</v>
      </c>
      <c r="G730" s="22">
        <f>IF(ISNUMBER(E730),D730,0)</f>
        <v>0</v>
      </c>
      <c r="H730" t="s">
        <v>40</v>
      </c>
      <c r="I730" s="21">
        <v>46288</v>
      </c>
    </row>
    <row r="731" spans="1:9" x14ac:dyDescent="0.15">
      <c r="A731" t="s">
        <v>47</v>
      </c>
      <c r="B731" t="s">
        <v>756</v>
      </c>
      <c r="C731" t="s">
        <v>757</v>
      </c>
      <c r="D731" s="22">
        <v>3.6135299999999998E-3</v>
      </c>
      <c r="E731" s="22">
        <f>IFERROR(_xlfn.LET(_xlpm.m,MATCH($B731,Feed!$A:$A,0),_xlpm.p,INDEX(Feed!$B:$B,_xlpm.m),_xlpm.c,INDEX(Feed!$G:$G,_xlpm.m),IF(AND(_xlpm.p&gt;0,_xlpm.c&gt;0),_xlpm.p/_xlpm.c-1,"")),"")</f>
        <v>7.4313408723747365E-3</v>
      </c>
      <c r="F731" s="23">
        <f>IF(ISNUMBER(E731),D731*E731,0)</f>
        <v>2.6853373182552279E-5</v>
      </c>
      <c r="G731" s="22">
        <f>IF(ISNUMBER(E731),D731,0)</f>
        <v>3.6135299999999998E-3</v>
      </c>
      <c r="H731" t="s">
        <v>40</v>
      </c>
      <c r="I731" s="21">
        <v>46288</v>
      </c>
    </row>
    <row r="732" spans="1:9" x14ac:dyDescent="0.15">
      <c r="A732" t="s">
        <v>47</v>
      </c>
      <c r="B732" t="s">
        <v>740</v>
      </c>
      <c r="C732" t="s">
        <v>741</v>
      </c>
      <c r="D732" s="22">
        <v>3.6059600000000001E-3</v>
      </c>
      <c r="E732" s="22">
        <f>IFERROR(_xlfn.LET(_xlpm.m,MATCH($B732,Feed!$A:$A,0),_xlpm.p,INDEX(Feed!$B:$B,_xlpm.m),_xlpm.c,INDEX(Feed!$G:$G,_xlpm.m),IF(AND(_xlpm.p&gt;0,_xlpm.c&gt;0),_xlpm.p/_xlpm.c-1,"")),"")</f>
        <v>-2.2099245034083559E-2</v>
      </c>
      <c r="F732" s="23">
        <f>IF(ISNUMBER(E732),D732*E732,0)</f>
        <v>-7.9688993623103948E-5</v>
      </c>
      <c r="G732" s="22">
        <f>IF(ISNUMBER(E732),D732,0)</f>
        <v>3.6059600000000001E-3</v>
      </c>
      <c r="H732" t="s">
        <v>40</v>
      </c>
      <c r="I732" s="21">
        <v>46288</v>
      </c>
    </row>
    <row r="733" spans="1:9" x14ac:dyDescent="0.15">
      <c r="A733" t="s">
        <v>47</v>
      </c>
      <c r="B733" t="s">
        <v>742</v>
      </c>
      <c r="C733" t="s">
        <v>743</v>
      </c>
      <c r="D733" s="22">
        <v>3.5694999999999998E-3</v>
      </c>
      <c r="E733" s="22">
        <f>IFERROR(_xlfn.LET(_xlpm.m,MATCH($B733,Feed!$A:$A,0),_xlpm.p,INDEX(Feed!$B:$B,_xlpm.m),_xlpm.c,INDEX(Feed!$G:$G,_xlpm.m),IF(AND(_xlpm.p&gt;0,_xlpm.c&gt;0),_xlpm.p/_xlpm.c-1,"")),"")</f>
        <v>-3.511108420606579E-2</v>
      </c>
      <c r="F733" s="23">
        <f>IF(ISNUMBER(E733),D733*E733,0)</f>
        <v>-1.2532901507355184E-4</v>
      </c>
      <c r="G733" s="22">
        <f>IF(ISNUMBER(E733),D733,0)</f>
        <v>3.5694999999999998E-3</v>
      </c>
      <c r="H733" t="s">
        <v>40</v>
      </c>
      <c r="I733" s="21">
        <v>46288</v>
      </c>
    </row>
    <row r="734" spans="1:9" x14ac:dyDescent="0.15">
      <c r="A734" t="s">
        <v>47</v>
      </c>
      <c r="B734" t="s">
        <v>744</v>
      </c>
      <c r="C734" t="s">
        <v>745</v>
      </c>
      <c r="D734" s="22">
        <v>3.5688899999999999E-3</v>
      </c>
      <c r="E734" s="22">
        <f>IFERROR(_xlfn.LET(_xlpm.m,MATCH($B734,Feed!$A:$A,0),_xlpm.p,INDEX(Feed!$B:$B,_xlpm.m),_xlpm.c,INDEX(Feed!$G:$G,_xlpm.m),IF(AND(_xlpm.p&gt;0,_xlpm.c&gt;0),_xlpm.p/_xlpm.c-1,"")),"")</f>
        <v>-2.3120525059665997E-2</v>
      </c>
      <c r="F734" s="23">
        <f>IF(ISNUMBER(E734),D734*E734,0)</f>
        <v>-8.2514610680191382E-5</v>
      </c>
      <c r="G734" s="22">
        <f>IF(ISNUMBER(E734),D734,0)</f>
        <v>3.5688899999999999E-3</v>
      </c>
      <c r="H734" t="s">
        <v>40</v>
      </c>
      <c r="I734" s="21">
        <v>46288</v>
      </c>
    </row>
    <row r="735" spans="1:9" x14ac:dyDescent="0.15">
      <c r="A735" t="s">
        <v>47</v>
      </c>
      <c r="B735" t="s">
        <v>780</v>
      </c>
      <c r="C735" t="s">
        <v>781</v>
      </c>
      <c r="D735" s="22">
        <v>3.3389299999999999E-3</v>
      </c>
      <c r="E735" s="22">
        <f>IFERROR(_xlfn.LET(_xlpm.m,MATCH($B735,Feed!$A:$A,0),_xlpm.p,INDEX(Feed!$B:$B,_xlpm.m),_xlpm.c,INDEX(Feed!$G:$G,_xlpm.m),IF(AND(_xlpm.p&gt;0,_xlpm.c&gt;0),_xlpm.p/_xlpm.c-1,"")),"")</f>
        <v>-1.2092719227674964E-2</v>
      </c>
      <c r="F735" s="23">
        <f>IF(ISNUMBER(E735),D735*E735,0)</f>
        <v>-4.0376743010860765E-5</v>
      </c>
      <c r="G735" s="22">
        <f>IF(ISNUMBER(E735),D735,0)</f>
        <v>3.3389299999999999E-3</v>
      </c>
      <c r="H735" t="s">
        <v>40</v>
      </c>
      <c r="I735" s="21">
        <v>46288</v>
      </c>
    </row>
    <row r="736" spans="1:9" x14ac:dyDescent="0.15">
      <c r="A736" t="s">
        <v>47</v>
      </c>
      <c r="B736" t="s">
        <v>782</v>
      </c>
      <c r="C736" t="s">
        <v>783</v>
      </c>
      <c r="D736" s="22">
        <v>3.27357E-3</v>
      </c>
      <c r="E736" s="22">
        <f>IFERROR(_xlfn.LET(_xlpm.m,MATCH($B736,Feed!$A:$A,0),_xlpm.p,INDEX(Feed!$B:$B,_xlpm.m),_xlpm.c,INDEX(Feed!$G:$G,_xlpm.m),IF(AND(_xlpm.p&gt;0,_xlpm.c&gt;0),_xlpm.p/_xlpm.c-1,"")),"")</f>
        <v>-1.8757396449704089E-2</v>
      </c>
      <c r="F736" s="23">
        <f>IF(ISNUMBER(E736),D736*E736,0)</f>
        <v>-6.140365029585782E-5</v>
      </c>
      <c r="G736" s="22">
        <f>IF(ISNUMBER(E736),D736,0)</f>
        <v>3.27357E-3</v>
      </c>
      <c r="H736" t="s">
        <v>40</v>
      </c>
      <c r="I736" s="21">
        <v>46288</v>
      </c>
    </row>
    <row r="737" spans="1:9" x14ac:dyDescent="0.15">
      <c r="A737" t="s">
        <v>47</v>
      </c>
      <c r="B737" t="s">
        <v>790</v>
      </c>
      <c r="C737" t="s">
        <v>791</v>
      </c>
      <c r="D737" s="22">
        <v>3.1724000000000001E-3</v>
      </c>
      <c r="E737" s="22">
        <f>IFERROR(_xlfn.LET(_xlpm.m,MATCH($B737,Feed!$A:$A,0),_xlpm.p,INDEX(Feed!$B:$B,_xlpm.m),_xlpm.c,INDEX(Feed!$G:$G,_xlpm.m),IF(AND(_xlpm.p&gt;0,_xlpm.c&gt;0),_xlpm.p/_xlpm.c-1,"")),"")</f>
        <v>-2.3098114007204851E-2</v>
      </c>
      <c r="F737" s="23">
        <f>IF(ISNUMBER(E737),D737*E737,0)</f>
        <v>-7.3276456876456678E-5</v>
      </c>
      <c r="G737" s="22">
        <f>IF(ISNUMBER(E737),D737,0)</f>
        <v>3.1724000000000001E-3</v>
      </c>
      <c r="H737" t="s">
        <v>40</v>
      </c>
      <c r="I737" s="21">
        <v>46288</v>
      </c>
    </row>
    <row r="738" spans="1:9" x14ac:dyDescent="0.15">
      <c r="A738" t="s">
        <v>47</v>
      </c>
      <c r="B738" t="s">
        <v>814</v>
      </c>
      <c r="C738" t="s">
        <v>815</v>
      </c>
      <c r="D738" s="22">
        <v>3.0767499999999996E-3</v>
      </c>
      <c r="E738" s="22">
        <f>IFERROR(_xlfn.LET(_xlpm.m,MATCH($B738,Feed!$A:$A,0),_xlpm.p,INDEX(Feed!$B:$B,_xlpm.m),_xlpm.c,INDEX(Feed!$G:$G,_xlpm.m),IF(AND(_xlpm.p&gt;0,_xlpm.c&gt;0),_xlpm.p/_xlpm.c-1,"")),"")</f>
        <v>-2.0701754385964888E-2</v>
      </c>
      <c r="F738" s="23">
        <f>IF(ISNUMBER(E738),D738*E738,0)</f>
        <v>-6.3694122807017462E-5</v>
      </c>
      <c r="G738" s="22">
        <f>IF(ISNUMBER(E738),D738,0)</f>
        <v>3.0767499999999996E-3</v>
      </c>
      <c r="H738" t="s">
        <v>40</v>
      </c>
      <c r="I738" s="21">
        <v>46288</v>
      </c>
    </row>
    <row r="739" spans="1:9" x14ac:dyDescent="0.15">
      <c r="A739" t="s">
        <v>47</v>
      </c>
      <c r="B739" t="s">
        <v>816</v>
      </c>
      <c r="C739" t="s">
        <v>817</v>
      </c>
      <c r="D739" s="22">
        <v>3.05923E-3</v>
      </c>
      <c r="E739" s="22">
        <f>IFERROR(_xlfn.LET(_xlpm.m,MATCH($B739,Feed!$A:$A,0),_xlpm.p,INDEX(Feed!$B:$B,_xlpm.m),_xlpm.c,INDEX(Feed!$G:$G,_xlpm.m),IF(AND(_xlpm.p&gt;0,_xlpm.c&gt;0),_xlpm.p/_xlpm.c-1,"")),"")</f>
        <v>-3.1583155650319883E-2</v>
      </c>
      <c r="F739" s="23">
        <f>IF(ISNUMBER(E739),D739*E739,0)</f>
        <v>-9.6620137260128102E-5</v>
      </c>
      <c r="G739" s="22">
        <f>IF(ISNUMBER(E739),D739,0)</f>
        <v>3.05923E-3</v>
      </c>
      <c r="H739" t="s">
        <v>40</v>
      </c>
      <c r="I739" s="21">
        <v>46288</v>
      </c>
    </row>
    <row r="740" spans="1:9" x14ac:dyDescent="0.15">
      <c r="A740" t="s">
        <v>47</v>
      </c>
      <c r="B740" t="s">
        <v>842</v>
      </c>
      <c r="C740" t="s">
        <v>843</v>
      </c>
      <c r="D740" s="22">
        <v>2.8755999999999999E-3</v>
      </c>
      <c r="E740" s="22" t="str">
        <f>IFERROR(_xlfn.LET(_xlpm.m,MATCH($B740,Feed!$A:$A,0),_xlpm.p,INDEX(Feed!$B:$B,_xlpm.m),_xlpm.c,INDEX(Feed!$G:$G,_xlpm.m),IF(AND(_xlpm.p&gt;0,_xlpm.c&gt;0),_xlpm.p/_xlpm.c-1,"")),"")</f>
        <v/>
      </c>
      <c r="F740" s="23">
        <f>IF(ISNUMBER(E740),D740*E740,0)</f>
        <v>0</v>
      </c>
      <c r="G740" s="22">
        <f>IF(ISNUMBER(E740),D740,0)</f>
        <v>0</v>
      </c>
      <c r="H740" t="s">
        <v>40</v>
      </c>
      <c r="I740" s="21">
        <v>46288</v>
      </c>
    </row>
    <row r="741" spans="1:9" x14ac:dyDescent="0.15">
      <c r="A741" t="s">
        <v>47</v>
      </c>
      <c r="B741" t="s">
        <v>836</v>
      </c>
      <c r="C741" t="s">
        <v>837</v>
      </c>
      <c r="D741" s="22">
        <v>2.8639099999999999E-3</v>
      </c>
      <c r="E741" s="22">
        <f>IFERROR(_xlfn.LET(_xlpm.m,MATCH($B741,Feed!$A:$A,0),_xlpm.p,INDEX(Feed!$B:$B,_xlpm.m),_xlpm.c,INDEX(Feed!$G:$G,_xlpm.m),IF(AND(_xlpm.p&gt;0,_xlpm.c&gt;0),_xlpm.p/_xlpm.c-1,"")),"")</f>
        <v>-3.467323871844985E-2</v>
      </c>
      <c r="F741" s="23">
        <f>IF(ISNUMBER(E741),D741*E741,0)</f>
        <v>-9.9301035098155709E-5</v>
      </c>
      <c r="G741" s="22">
        <f>IF(ISNUMBER(E741),D741,0)</f>
        <v>2.8639099999999999E-3</v>
      </c>
      <c r="H741" t="s">
        <v>40</v>
      </c>
      <c r="I741" s="21">
        <v>46288</v>
      </c>
    </row>
    <row r="742" spans="1:9" x14ac:dyDescent="0.15">
      <c r="A742" t="s">
        <v>47</v>
      </c>
      <c r="B742" t="s">
        <v>898</v>
      </c>
      <c r="C742" t="s">
        <v>899</v>
      </c>
      <c r="D742" s="22">
        <v>2.4387499999999999E-3</v>
      </c>
      <c r="E742" s="22">
        <f>IFERROR(_xlfn.LET(_xlpm.m,MATCH($B742,Feed!$A:$A,0),_xlpm.p,INDEX(Feed!$B:$B,_xlpm.m),_xlpm.c,INDEX(Feed!$G:$G,_xlpm.m),IF(AND(_xlpm.p&gt;0,_xlpm.c&gt;0),_xlpm.p/_xlpm.c-1,"")),"")</f>
        <v>-3.2917940277451541E-3</v>
      </c>
      <c r="F742" s="23">
        <f>IF(ISNUMBER(E742),D742*E742,0)</f>
        <v>-8.027862685163495E-6</v>
      </c>
      <c r="G742" s="22">
        <f>IF(ISNUMBER(E742),D742,0)</f>
        <v>2.4387499999999999E-3</v>
      </c>
      <c r="H742" t="s">
        <v>40</v>
      </c>
      <c r="I742" s="21">
        <v>46288</v>
      </c>
    </row>
    <row r="743" spans="1:9" x14ac:dyDescent="0.15">
      <c r="A743" t="s">
        <v>47</v>
      </c>
      <c r="B743" t="s">
        <v>900</v>
      </c>
      <c r="C743" t="s">
        <v>901</v>
      </c>
      <c r="D743" s="22">
        <v>2.4037799999999999E-3</v>
      </c>
      <c r="E743" s="22">
        <f>IFERROR(_xlfn.LET(_xlpm.m,MATCH($B743,Feed!$A:$A,0),_xlpm.p,INDEX(Feed!$B:$B,_xlpm.m),_xlpm.c,INDEX(Feed!$G:$G,_xlpm.m),IF(AND(_xlpm.p&gt;0,_xlpm.c&gt;0),_xlpm.p/_xlpm.c-1,"")),"")</f>
        <v>-1.5857760691974976E-2</v>
      </c>
      <c r="F743" s="23">
        <f>IF(ISNUMBER(E743),D743*E743,0)</f>
        <v>-3.8118567996155606E-5</v>
      </c>
      <c r="G743" s="22">
        <f>IF(ISNUMBER(E743),D743,0)</f>
        <v>2.4037799999999999E-3</v>
      </c>
      <c r="H743" t="s">
        <v>40</v>
      </c>
      <c r="I743" s="21">
        <v>46288</v>
      </c>
    </row>
    <row r="744" spans="1:9" x14ac:dyDescent="0.15">
      <c r="A744" t="s">
        <v>47</v>
      </c>
      <c r="B744" t="s">
        <v>908</v>
      </c>
      <c r="C744" t="s">
        <v>909</v>
      </c>
      <c r="D744" s="22">
        <v>2.33278E-3</v>
      </c>
      <c r="E744" s="22">
        <f>IFERROR(_xlfn.LET(_xlpm.m,MATCH($B744,Feed!$A:$A,0),_xlpm.p,INDEX(Feed!$B:$B,_xlpm.m),_xlpm.c,INDEX(Feed!$G:$G,_xlpm.m),IF(AND(_xlpm.p&gt;0,_xlpm.c&gt;0),_xlpm.p/_xlpm.c-1,"")),"")</f>
        <v>-3.9303761931499537E-3</v>
      </c>
      <c r="F744" s="23">
        <f>IF(ISNUMBER(E744),D744*E744,0)</f>
        <v>-9.1687029758563498E-6</v>
      </c>
      <c r="G744" s="22">
        <f>IF(ISNUMBER(E744),D744,0)</f>
        <v>2.33278E-3</v>
      </c>
      <c r="H744" t="s">
        <v>40</v>
      </c>
      <c r="I744" s="21">
        <v>46288</v>
      </c>
    </row>
    <row r="745" spans="1:9" x14ac:dyDescent="0.15">
      <c r="A745" t="s">
        <v>47</v>
      </c>
      <c r="B745" t="s">
        <v>902</v>
      </c>
      <c r="C745" t="s">
        <v>903</v>
      </c>
      <c r="D745" s="22">
        <v>2.3252400000000001E-3</v>
      </c>
      <c r="E745" s="22">
        <f>IFERROR(_xlfn.LET(_xlpm.m,MATCH($B745,Feed!$A:$A,0),_xlpm.p,INDEX(Feed!$B:$B,_xlpm.m),_xlpm.c,INDEX(Feed!$G:$G,_xlpm.m),IF(AND(_xlpm.p&gt;0,_xlpm.c&gt;0),_xlpm.p/_xlpm.c-1,"")),"")</f>
        <v>-3.9680098431251865E-2</v>
      </c>
      <c r="F745" s="23">
        <f>IF(ISNUMBER(E745),D745*E745,0)</f>
        <v>-9.2265752076284088E-5</v>
      </c>
      <c r="G745" s="22">
        <f>IF(ISNUMBER(E745),D745,0)</f>
        <v>2.3252400000000001E-3</v>
      </c>
      <c r="H745" t="s">
        <v>40</v>
      </c>
      <c r="I745" s="21">
        <v>46288</v>
      </c>
    </row>
    <row r="746" spans="1:9" x14ac:dyDescent="0.15">
      <c r="A746" t="s">
        <v>47</v>
      </c>
      <c r="B746" t="s">
        <v>926</v>
      </c>
      <c r="C746" t="s">
        <v>927</v>
      </c>
      <c r="D746" s="22">
        <v>2.2694E-3</v>
      </c>
      <c r="E746" s="22">
        <f>IFERROR(_xlfn.LET(_xlpm.m,MATCH($B746,Feed!$A:$A,0),_xlpm.p,INDEX(Feed!$B:$B,_xlpm.m),_xlpm.c,INDEX(Feed!$G:$G,_xlpm.m),IF(AND(_xlpm.p&gt;0,_xlpm.c&gt;0),_xlpm.p/_xlpm.c-1,"")),"")</f>
        <v>-7.8688524590164732E-3</v>
      </c>
      <c r="F746" s="23">
        <f>IF(ISNUMBER(E746),D746*E746,0)</f>
        <v>-1.7857573770491983E-5</v>
      </c>
      <c r="G746" s="22">
        <f>IF(ISNUMBER(E746),D746,0)</f>
        <v>2.2694E-3</v>
      </c>
      <c r="H746" t="s">
        <v>40</v>
      </c>
      <c r="I746" s="21">
        <v>46288</v>
      </c>
    </row>
    <row r="747" spans="1:9" x14ac:dyDescent="0.15">
      <c r="A747" t="s">
        <v>47</v>
      </c>
      <c r="B747" t="s">
        <v>960</v>
      </c>
      <c r="C747" t="s">
        <v>961</v>
      </c>
      <c r="D747" s="22">
        <v>1.9970999999999999E-3</v>
      </c>
      <c r="E747" s="22" t="str">
        <f>IFERROR(_xlfn.LET(_xlpm.m,MATCH($B747,Feed!$A:$A,0),_xlpm.p,INDEX(Feed!$B:$B,_xlpm.m),_xlpm.c,INDEX(Feed!$G:$G,_xlpm.m),IF(AND(_xlpm.p&gt;0,_xlpm.c&gt;0),_xlpm.p/_xlpm.c-1,"")),"")</f>
        <v/>
      </c>
      <c r="F747" s="23">
        <f>IF(ISNUMBER(E747),D747*E747,0)</f>
        <v>0</v>
      </c>
      <c r="G747" s="22">
        <f>IF(ISNUMBER(E747),D747,0)</f>
        <v>0</v>
      </c>
      <c r="H747" t="s">
        <v>40</v>
      </c>
      <c r="I747" s="21">
        <v>46288</v>
      </c>
    </row>
    <row r="748" spans="1:9" x14ac:dyDescent="0.15">
      <c r="A748" t="s">
        <v>47</v>
      </c>
      <c r="B748" t="s">
        <v>994</v>
      </c>
      <c r="C748" t="s">
        <v>995</v>
      </c>
      <c r="D748" s="22">
        <v>1.76257E-3</v>
      </c>
      <c r="E748" s="22">
        <f>IFERROR(_xlfn.LET(_xlpm.m,MATCH($B748,Feed!$A:$A,0),_xlpm.p,INDEX(Feed!$B:$B,_xlpm.m),_xlpm.c,INDEX(Feed!$G:$G,_xlpm.m),IF(AND(_xlpm.p&gt;0,_xlpm.c&gt;0),_xlpm.p/_xlpm.c-1,"")),"")</f>
        <v>1.0481493612839898E-2</v>
      </c>
      <c r="F748" s="23">
        <f>IF(ISNUMBER(E748),D748*E748,0)</f>
        <v>1.847436619718322E-5</v>
      </c>
      <c r="G748" s="22">
        <f>IF(ISNUMBER(E748),D748,0)</f>
        <v>1.76257E-3</v>
      </c>
      <c r="H748" t="s">
        <v>40</v>
      </c>
      <c r="I748" s="21">
        <v>46288</v>
      </c>
    </row>
    <row r="749" spans="1:9" x14ac:dyDescent="0.15">
      <c r="A749" t="s">
        <v>47</v>
      </c>
      <c r="B749" t="s">
        <v>988</v>
      </c>
      <c r="C749" t="s">
        <v>989</v>
      </c>
      <c r="D749" s="22">
        <v>1.73018E-3</v>
      </c>
      <c r="E749" s="22">
        <f>IFERROR(_xlfn.LET(_xlpm.m,MATCH($B749,Feed!$A:$A,0),_xlpm.p,INDEX(Feed!$B:$B,_xlpm.m),_xlpm.c,INDEX(Feed!$G:$G,_xlpm.m),IF(AND(_xlpm.p&gt;0,_xlpm.c&gt;0),_xlpm.p/_xlpm.c-1,"")),"")</f>
        <v>-3.9506785246075982E-2</v>
      </c>
      <c r="F749" s="23">
        <f>IF(ISNUMBER(E749),D749*E749,0)</f>
        <v>-6.8353849697055745E-5</v>
      </c>
      <c r="G749" s="22">
        <f>IF(ISNUMBER(E749),D749,0)</f>
        <v>1.73018E-3</v>
      </c>
      <c r="H749" t="s">
        <v>40</v>
      </c>
      <c r="I749" s="21">
        <v>46288</v>
      </c>
    </row>
    <row r="750" spans="1:9" x14ac:dyDescent="0.15">
      <c r="A750" t="s">
        <v>47</v>
      </c>
      <c r="B750" t="s">
        <v>1006</v>
      </c>
      <c r="C750" t="s">
        <v>1007</v>
      </c>
      <c r="D750" s="22">
        <v>1.7119400000000001E-3</v>
      </c>
      <c r="E750" s="22">
        <f>IFERROR(_xlfn.LET(_xlpm.m,MATCH($B750,Feed!$A:$A,0),_xlpm.p,INDEX(Feed!$B:$B,_xlpm.m),_xlpm.c,INDEX(Feed!$G:$G,_xlpm.m),IF(AND(_xlpm.p&gt;0,_xlpm.c&gt;0),_xlpm.p/_xlpm.c-1,"")),"")</f>
        <v>-1.0377484327064312E-2</v>
      </c>
      <c r="F750" s="23">
        <f>IF(ISNUMBER(E750),D750*E750,0)</f>
        <v>-1.7765630518874481E-5</v>
      </c>
      <c r="G750" s="22">
        <f>IF(ISNUMBER(E750),D750,0)</f>
        <v>1.7119400000000001E-3</v>
      </c>
      <c r="H750" t="s">
        <v>40</v>
      </c>
      <c r="I750" s="21">
        <v>46288</v>
      </c>
    </row>
    <row r="751" spans="1:9" x14ac:dyDescent="0.15">
      <c r="A751" t="s">
        <v>47</v>
      </c>
      <c r="B751" t="s">
        <v>996</v>
      </c>
      <c r="C751" t="s">
        <v>997</v>
      </c>
      <c r="D751" s="22">
        <v>1.6848399999999999E-3</v>
      </c>
      <c r="E751" s="22">
        <f>IFERROR(_xlfn.LET(_xlpm.m,MATCH($B751,Feed!$A:$A,0),_xlpm.p,INDEX(Feed!$B:$B,_xlpm.m),_xlpm.c,INDEX(Feed!$G:$G,_xlpm.m),IF(AND(_xlpm.p&gt;0,_xlpm.c&gt;0),_xlpm.p/_xlpm.c-1,"")),"")</f>
        <v>-2.658286241494634E-2</v>
      </c>
      <c r="F751" s="23">
        <f>IF(ISNUMBER(E751),D751*E751,0)</f>
        <v>-4.4787869911198187E-5</v>
      </c>
      <c r="G751" s="22">
        <f>IF(ISNUMBER(E751),D751,0)</f>
        <v>1.6848399999999999E-3</v>
      </c>
      <c r="H751" t="s">
        <v>40</v>
      </c>
      <c r="I751" s="21">
        <v>46288</v>
      </c>
    </row>
    <row r="752" spans="1:9" x14ac:dyDescent="0.15">
      <c r="A752" t="s">
        <v>47</v>
      </c>
      <c r="B752" t="s">
        <v>1052</v>
      </c>
      <c r="C752" t="s">
        <v>1053</v>
      </c>
      <c r="D752" s="22">
        <v>1.37145E-3</v>
      </c>
      <c r="E752" s="22">
        <f>IFERROR(_xlfn.LET(_xlpm.m,MATCH($B752,Feed!$A:$A,0),_xlpm.p,INDEX(Feed!$B:$B,_xlpm.m),_xlpm.c,INDEX(Feed!$G:$G,_xlpm.m),IF(AND(_xlpm.p&gt;0,_xlpm.c&gt;0),_xlpm.p/_xlpm.c-1,"")),"")</f>
        <v>-3.7132709073296688E-2</v>
      </c>
      <c r="F752" s="23">
        <f>IF(ISNUMBER(E752),D752*E752,0)</f>
        <v>-5.0925653858572739E-5</v>
      </c>
      <c r="G752" s="22">
        <f>IF(ISNUMBER(E752),D752,0)</f>
        <v>1.37145E-3</v>
      </c>
      <c r="H752" t="s">
        <v>40</v>
      </c>
      <c r="I752" s="21">
        <v>46288</v>
      </c>
    </row>
    <row r="753" spans="1:9" x14ac:dyDescent="0.15">
      <c r="A753" t="s">
        <v>47</v>
      </c>
      <c r="B753" t="s">
        <v>1070</v>
      </c>
      <c r="C753" t="s">
        <v>1071</v>
      </c>
      <c r="D753" s="22">
        <v>1.27246E-3</v>
      </c>
      <c r="E753" s="22">
        <f>IFERROR(_xlfn.LET(_xlpm.m,MATCH($B753,Feed!$A:$A,0),_xlpm.p,INDEX(Feed!$B:$B,_xlpm.m),_xlpm.c,INDEX(Feed!$G:$G,_xlpm.m),IF(AND(_xlpm.p&gt;0,_xlpm.c&gt;0),_xlpm.p/_xlpm.c-1,"")),"")</f>
        <v>-2.6107176831201673E-2</v>
      </c>
      <c r="F753" s="23">
        <f>IF(ISNUMBER(E753),D753*E753,0)</f>
        <v>-3.3220338230630878E-5</v>
      </c>
      <c r="G753" s="22">
        <f>IF(ISNUMBER(E753),D753,0)</f>
        <v>1.27246E-3</v>
      </c>
      <c r="H753" t="s">
        <v>40</v>
      </c>
      <c r="I753" s="21">
        <v>46288</v>
      </c>
    </row>
    <row r="754" spans="1:9" x14ac:dyDescent="0.15">
      <c r="A754" t="s">
        <v>47</v>
      </c>
      <c r="B754" t="s">
        <v>1084</v>
      </c>
      <c r="C754" t="s">
        <v>1085</v>
      </c>
      <c r="D754" s="22">
        <v>1.2633900000000001E-3</v>
      </c>
      <c r="E754" s="22">
        <f>IFERROR(_xlfn.LET(_xlpm.m,MATCH($B754,Feed!$A:$A,0),_xlpm.p,INDEX(Feed!$B:$B,_xlpm.m),_xlpm.c,INDEX(Feed!$G:$G,_xlpm.m),IF(AND(_xlpm.p&gt;0,_xlpm.c&gt;0),_xlpm.p/_xlpm.c-1,"")),"")</f>
        <v>3.6352620418056425E-3</v>
      </c>
      <c r="F754" s="23">
        <f>IF(ISNUMBER(E754),D754*E754,0)</f>
        <v>4.592753710996831E-6</v>
      </c>
      <c r="G754" s="22">
        <f>IF(ISNUMBER(E754),D754,0)</f>
        <v>1.2633900000000001E-3</v>
      </c>
      <c r="H754" t="s">
        <v>40</v>
      </c>
      <c r="I754" s="21">
        <v>46288</v>
      </c>
    </row>
    <row r="755" spans="1:9" x14ac:dyDescent="0.15">
      <c r="A755" t="s">
        <v>47</v>
      </c>
      <c r="B755" t="s">
        <v>1114</v>
      </c>
      <c r="C755" t="s">
        <v>1115</v>
      </c>
      <c r="D755" s="22">
        <v>7.8436000000000001E-4</v>
      </c>
      <c r="E755" s="22">
        <f>IFERROR(_xlfn.LET(_xlpm.m,MATCH($B755,Feed!$A:$A,0),_xlpm.p,INDEX(Feed!$B:$B,_xlpm.m),_xlpm.c,INDEX(Feed!$G:$G,_xlpm.m),IF(AND(_xlpm.p&gt;0,_xlpm.c&gt;0),_xlpm.p/_xlpm.c-1,"")),"")</f>
        <v>-1.9535661995398468E-2</v>
      </c>
      <c r="F755" s="23">
        <f>IF(ISNUMBER(E755),D755*E755,0)</f>
        <v>-1.5322991842710742E-5</v>
      </c>
      <c r="G755" s="22">
        <f>IF(ISNUMBER(E755),D755,0)</f>
        <v>7.8436000000000001E-4</v>
      </c>
      <c r="H755" t="s">
        <v>40</v>
      </c>
      <c r="I755" s="21">
        <v>46288</v>
      </c>
    </row>
    <row r="756" spans="1:9" x14ac:dyDescent="0.15">
      <c r="A756" t="s">
        <v>49</v>
      </c>
      <c r="B756" t="s">
        <v>146</v>
      </c>
      <c r="C756" t="s">
        <v>147</v>
      </c>
      <c r="D756" s="22">
        <v>0.23363762000000002</v>
      </c>
      <c r="E756" s="22" t="str">
        <f>IFERROR(_xlfn.LET(_xlpm.m,MATCH($B756,Feed!$A:$A,0),_xlpm.p,INDEX(Feed!$B:$B,_xlpm.m),_xlpm.c,INDEX(Feed!$G:$G,_xlpm.m),IF(AND(_xlpm.p&gt;0,_xlpm.c&gt;0),_xlpm.p/_xlpm.c-1,"")),"")</f>
        <v/>
      </c>
      <c r="F756" s="23">
        <f>IF(ISNUMBER(E756),D756*E756,0)</f>
        <v>0</v>
      </c>
      <c r="G756" s="22">
        <f>IF(ISNUMBER(E756),D756,0)</f>
        <v>0</v>
      </c>
      <c r="H756" t="s">
        <v>40</v>
      </c>
      <c r="I756" s="21">
        <v>46288</v>
      </c>
    </row>
    <row r="757" spans="1:9" x14ac:dyDescent="0.15">
      <c r="A757" t="s">
        <v>49</v>
      </c>
      <c r="B757" t="s">
        <v>162</v>
      </c>
      <c r="C757" t="s">
        <v>163</v>
      </c>
      <c r="D757" s="22">
        <v>0.17839262</v>
      </c>
      <c r="E757" s="22">
        <f>IFERROR(_xlfn.LET(_xlpm.m,MATCH($B757,Feed!$A:$A,0),_xlpm.p,INDEX(Feed!$B:$B,_xlpm.m),_xlpm.c,INDEX(Feed!$G:$G,_xlpm.m),IF(AND(_xlpm.p&gt;0,_xlpm.c&gt;0),_xlpm.p/_xlpm.c-1,"")),"")</f>
        <v>-3.3888597202997417E-2</v>
      </c>
      <c r="F757" s="23">
        <f>IF(ISNUMBER(E757),D757*E757,0)</f>
        <v>-6.0454756431673811E-3</v>
      </c>
      <c r="G757" s="22">
        <f>IF(ISNUMBER(E757),D757,0)</f>
        <v>0.17839262</v>
      </c>
      <c r="H757" t="s">
        <v>40</v>
      </c>
      <c r="I757" s="21">
        <v>46288</v>
      </c>
    </row>
    <row r="758" spans="1:9" x14ac:dyDescent="0.15">
      <c r="A758" t="s">
        <v>49</v>
      </c>
      <c r="B758" t="s">
        <v>270</v>
      </c>
      <c r="C758" t="s">
        <v>271</v>
      </c>
      <c r="D758" s="22">
        <v>6.7130389999999998E-2</v>
      </c>
      <c r="E758" s="22">
        <f>IFERROR(_xlfn.LET(_xlpm.m,MATCH($B758,Feed!$A:$A,0),_xlpm.p,INDEX(Feed!$B:$B,_xlpm.m),_xlpm.c,INDEX(Feed!$G:$G,_xlpm.m),IF(AND(_xlpm.p&gt;0,_xlpm.c&gt;0),_xlpm.p/_xlpm.c-1,"")),"")</f>
        <v>-4.9761055905332752E-2</v>
      </c>
      <c r="F758" s="23">
        <f>IF(ISNUMBER(E758),D758*E758,0)</f>
        <v>-3.3404790897367904E-3</v>
      </c>
      <c r="G758" s="22">
        <f>IF(ISNUMBER(E758),D758,0)</f>
        <v>6.7130389999999998E-2</v>
      </c>
      <c r="H758" t="s">
        <v>40</v>
      </c>
      <c r="I758" s="21">
        <v>46288</v>
      </c>
    </row>
    <row r="759" spans="1:9" x14ac:dyDescent="0.15">
      <c r="A759" t="s">
        <v>49</v>
      </c>
      <c r="B759" t="s">
        <v>324</v>
      </c>
      <c r="C759" t="s">
        <v>325</v>
      </c>
      <c r="D759" s="22">
        <v>4.6575810000000002E-2</v>
      </c>
      <c r="E759" s="22" t="str">
        <f>IFERROR(_xlfn.LET(_xlpm.m,MATCH($B759,Feed!$A:$A,0),_xlpm.p,INDEX(Feed!$B:$B,_xlpm.m),_xlpm.c,INDEX(Feed!$G:$G,_xlpm.m),IF(AND(_xlpm.p&gt;0,_xlpm.c&gt;0),_xlpm.p/_xlpm.c-1,"")),"")</f>
        <v/>
      </c>
      <c r="F759" s="23">
        <f>IF(ISNUMBER(E759),D759*E759,0)</f>
        <v>0</v>
      </c>
      <c r="G759" s="22">
        <f>IF(ISNUMBER(E759),D759,0)</f>
        <v>0</v>
      </c>
      <c r="H759" t="s">
        <v>40</v>
      </c>
      <c r="I759" s="21">
        <v>46288</v>
      </c>
    </row>
    <row r="760" spans="1:9" x14ac:dyDescent="0.15">
      <c r="A760" t="s">
        <v>49</v>
      </c>
      <c r="B760" t="s">
        <v>306</v>
      </c>
      <c r="C760" t="s">
        <v>307</v>
      </c>
      <c r="D760" s="22">
        <v>4.6145989999999998E-2</v>
      </c>
      <c r="E760" s="22">
        <f>IFERROR(_xlfn.LET(_xlpm.m,MATCH($B760,Feed!$A:$A,0),_xlpm.p,INDEX(Feed!$B:$B,_xlpm.m),_xlpm.c,INDEX(Feed!$G:$G,_xlpm.m),IF(AND(_xlpm.p&gt;0,_xlpm.c&gt;0),_xlpm.p/_xlpm.c-1,"")),"")</f>
        <v>-8.1009202381792877E-2</v>
      </c>
      <c r="F760" s="23">
        <f>IF(ISNUMBER(E760),D760*E760,0)</f>
        <v>-3.7382498430181903E-3</v>
      </c>
      <c r="G760" s="22">
        <f>IF(ISNUMBER(E760),D760,0)</f>
        <v>4.6145989999999998E-2</v>
      </c>
      <c r="H760" t="s">
        <v>40</v>
      </c>
      <c r="I760" s="21">
        <v>46288</v>
      </c>
    </row>
    <row r="761" spans="1:9" x14ac:dyDescent="0.15">
      <c r="A761" t="s">
        <v>49</v>
      </c>
      <c r="B761" t="s">
        <v>310</v>
      </c>
      <c r="C761" t="s">
        <v>311</v>
      </c>
      <c r="D761" s="22">
        <v>4.5865220000000005E-2</v>
      </c>
      <c r="E761" s="22" t="str">
        <f>IFERROR(_xlfn.LET(_xlpm.m,MATCH($B761,Feed!$A:$A,0),_xlpm.p,INDEX(Feed!$B:$B,_xlpm.m),_xlpm.c,INDEX(Feed!$G:$G,_xlpm.m),IF(AND(_xlpm.p&gt;0,_xlpm.c&gt;0),_xlpm.p/_xlpm.c-1,"")),"")</f>
        <v/>
      </c>
      <c r="F761" s="23">
        <f>IF(ISNUMBER(E761),D761*E761,0)</f>
        <v>0</v>
      </c>
      <c r="G761" s="22">
        <f>IF(ISNUMBER(E761),D761,0)</f>
        <v>0</v>
      </c>
      <c r="H761" t="s">
        <v>40</v>
      </c>
      <c r="I761" s="21">
        <v>46288</v>
      </c>
    </row>
    <row r="762" spans="1:9" x14ac:dyDescent="0.15">
      <c r="A762" t="s">
        <v>49</v>
      </c>
      <c r="B762" t="s">
        <v>372</v>
      </c>
      <c r="C762" t="s">
        <v>373</v>
      </c>
      <c r="D762" s="22">
        <v>4.4676720000000003E-2</v>
      </c>
      <c r="E762" s="22" t="str">
        <f>IFERROR(_xlfn.LET(_xlpm.m,MATCH($B762,Feed!$A:$A,0),_xlpm.p,INDEX(Feed!$B:$B,_xlpm.m),_xlpm.c,INDEX(Feed!$G:$G,_xlpm.m),IF(AND(_xlpm.p&gt;0,_xlpm.c&gt;0),_xlpm.p/_xlpm.c-1,"")),"")</f>
        <v/>
      </c>
      <c r="F762" s="23">
        <f>IF(ISNUMBER(E762),D762*E762,0)</f>
        <v>0</v>
      </c>
      <c r="G762" s="22">
        <f>IF(ISNUMBER(E762),D762,0)</f>
        <v>0</v>
      </c>
      <c r="H762" t="s">
        <v>40</v>
      </c>
      <c r="I762" s="21">
        <v>46288</v>
      </c>
    </row>
    <row r="763" spans="1:9" x14ac:dyDescent="0.15">
      <c r="A763" t="s">
        <v>49</v>
      </c>
      <c r="B763" t="s">
        <v>418</v>
      </c>
      <c r="C763" t="s">
        <v>419</v>
      </c>
      <c r="D763" s="22">
        <v>4.1119839999999998E-2</v>
      </c>
      <c r="E763" s="22">
        <f>IFERROR(_xlfn.LET(_xlpm.m,MATCH($B763,Feed!$A:$A,0),_xlpm.p,INDEX(Feed!$B:$B,_xlpm.m),_xlpm.c,INDEX(Feed!$G:$G,_xlpm.m),IF(AND(_xlpm.p&gt;0,_xlpm.c&gt;0),_xlpm.p/_xlpm.c-1,"")),"")</f>
        <v>1.9561815336463173E-2</v>
      </c>
      <c r="F763" s="23">
        <f>IF(ISNUMBER(E763),D763*E763,0)</f>
        <v>8.0437871674491181E-4</v>
      </c>
      <c r="G763" s="22">
        <f>IF(ISNUMBER(E763),D763,0)</f>
        <v>4.1119839999999998E-2</v>
      </c>
      <c r="H763" t="s">
        <v>40</v>
      </c>
      <c r="I763" s="21">
        <v>46288</v>
      </c>
    </row>
    <row r="764" spans="1:9" x14ac:dyDescent="0.15">
      <c r="A764" t="s">
        <v>49</v>
      </c>
      <c r="B764" t="s">
        <v>420</v>
      </c>
      <c r="C764" t="s">
        <v>421</v>
      </c>
      <c r="D764" s="22">
        <v>3.8902450000000005E-2</v>
      </c>
      <c r="E764" s="22">
        <f>IFERROR(_xlfn.LET(_xlpm.m,MATCH($B764,Feed!$A:$A,0),_xlpm.p,INDEX(Feed!$B:$B,_xlpm.m),_xlpm.c,INDEX(Feed!$G:$G,_xlpm.m),IF(AND(_xlpm.p&gt;0,_xlpm.c&gt;0),_xlpm.p/_xlpm.c-1,"")),"")</f>
        <v>-3.6261526728142535E-2</v>
      </c>
      <c r="F764" s="23">
        <f>IF(ISNUMBER(E764),D764*E764,0)</f>
        <v>-1.4106622304652287E-3</v>
      </c>
      <c r="G764" s="22">
        <f>IF(ISNUMBER(E764),D764,0)</f>
        <v>3.8902450000000005E-2</v>
      </c>
      <c r="H764" t="s">
        <v>40</v>
      </c>
      <c r="I764" s="21">
        <v>46288</v>
      </c>
    </row>
    <row r="765" spans="1:9" x14ac:dyDescent="0.15">
      <c r="A765" t="s">
        <v>49</v>
      </c>
      <c r="B765" t="s">
        <v>492</v>
      </c>
      <c r="C765" t="s">
        <v>493</v>
      </c>
      <c r="D765" s="22">
        <v>3.257343E-2</v>
      </c>
      <c r="E765" s="22">
        <f>IFERROR(_xlfn.LET(_xlpm.m,MATCH($B765,Feed!$A:$A,0),_xlpm.p,INDEX(Feed!$B:$B,_xlpm.m),_xlpm.c,INDEX(Feed!$G:$G,_xlpm.m),IF(AND(_xlpm.p&gt;0,_xlpm.c&gt;0),_xlpm.p/_xlpm.c-1,"")),"")</f>
        <v>-1.7902010050251271E-2</v>
      </c>
      <c r="F765" s="23">
        <f>IF(ISNUMBER(E765),D765*E765,0)</f>
        <v>-5.8312987123115628E-4</v>
      </c>
      <c r="G765" s="22">
        <f>IF(ISNUMBER(E765),D765,0)</f>
        <v>3.257343E-2</v>
      </c>
      <c r="H765" t="s">
        <v>40</v>
      </c>
      <c r="I765" s="21">
        <v>46288</v>
      </c>
    </row>
    <row r="766" spans="1:9" x14ac:dyDescent="0.15">
      <c r="A766" t="s">
        <v>49</v>
      </c>
      <c r="B766" t="s">
        <v>488</v>
      </c>
      <c r="C766" t="s">
        <v>489</v>
      </c>
      <c r="D766" s="22">
        <v>3.2161710000000003E-2</v>
      </c>
      <c r="E766" s="22" t="str">
        <f>IFERROR(_xlfn.LET(_xlpm.m,MATCH($B766,Feed!$A:$A,0),_xlpm.p,INDEX(Feed!$B:$B,_xlpm.m),_xlpm.c,INDEX(Feed!$G:$G,_xlpm.m),IF(AND(_xlpm.p&gt;0,_xlpm.c&gt;0),_xlpm.p/_xlpm.c-1,"")),"")</f>
        <v/>
      </c>
      <c r="F766" s="23">
        <f>IF(ISNUMBER(E766),D766*E766,0)</f>
        <v>0</v>
      </c>
      <c r="G766" s="22">
        <f>IF(ISNUMBER(E766),D766,0)</f>
        <v>0</v>
      </c>
      <c r="H766" t="s">
        <v>40</v>
      </c>
      <c r="I766" s="21">
        <v>46288</v>
      </c>
    </row>
    <row r="767" spans="1:9" x14ac:dyDescent="0.15">
      <c r="A767" t="s">
        <v>49</v>
      </c>
      <c r="B767" t="s">
        <v>528</v>
      </c>
      <c r="C767" t="s">
        <v>529</v>
      </c>
      <c r="D767" s="22">
        <v>3.0215499999999999E-2</v>
      </c>
      <c r="E767" s="22">
        <f>IFERROR(_xlfn.LET(_xlpm.m,MATCH($B767,Feed!$A:$A,0),_xlpm.p,INDEX(Feed!$B:$B,_xlpm.m),_xlpm.c,INDEX(Feed!$G:$G,_xlpm.m),IF(AND(_xlpm.p&gt;0,_xlpm.c&gt;0),_xlpm.p/_xlpm.c-1,"")),"")</f>
        <v>1.7467248908298316E-4</v>
      </c>
      <c r="F767" s="23">
        <f>IF(ISNUMBER(E767),D767*E767,0)</f>
        <v>5.2778165938868774E-6</v>
      </c>
      <c r="G767" s="22">
        <f>IF(ISNUMBER(E767),D767,0)</f>
        <v>3.0215499999999999E-2</v>
      </c>
      <c r="H767" t="s">
        <v>40</v>
      </c>
      <c r="I767" s="21">
        <v>46288</v>
      </c>
    </row>
    <row r="768" spans="1:9" x14ac:dyDescent="0.15">
      <c r="A768" t="s">
        <v>49</v>
      </c>
      <c r="B768" t="s">
        <v>512</v>
      </c>
      <c r="C768" t="s">
        <v>513</v>
      </c>
      <c r="D768" s="22">
        <v>3.018858E-2</v>
      </c>
      <c r="E768" s="22">
        <f>IFERROR(_xlfn.LET(_xlpm.m,MATCH($B768,Feed!$A:$A,0),_xlpm.p,INDEX(Feed!$B:$B,_xlpm.m),_xlpm.c,INDEX(Feed!$G:$G,_xlpm.m),IF(AND(_xlpm.p&gt;0,_xlpm.c&gt;0),_xlpm.p/_xlpm.c-1,"")),"")</f>
        <v>-3.6058206719452035E-2</v>
      </c>
      <c r="F768" s="23">
        <f>IF(ISNUMBER(E768),D768*E768,0)</f>
        <v>-1.0885460582067154E-3</v>
      </c>
      <c r="G768" s="22">
        <f>IF(ISNUMBER(E768),D768,0)</f>
        <v>3.018858E-2</v>
      </c>
      <c r="H768" t="s">
        <v>40</v>
      </c>
      <c r="I768" s="21">
        <v>46288</v>
      </c>
    </row>
    <row r="769" spans="1:9" x14ac:dyDescent="0.15">
      <c r="A769" t="s">
        <v>49</v>
      </c>
      <c r="B769" t="s">
        <v>544</v>
      </c>
      <c r="C769" t="s">
        <v>545</v>
      </c>
      <c r="D769" s="22">
        <v>2.744187E-2</v>
      </c>
      <c r="E769" s="22">
        <f>IFERROR(_xlfn.LET(_xlpm.m,MATCH($B769,Feed!$A:$A,0),_xlpm.p,INDEX(Feed!$B:$B,_xlpm.m),_xlpm.c,INDEX(Feed!$G:$G,_xlpm.m),IF(AND(_xlpm.p&gt;0,_xlpm.c&gt;0),_xlpm.p/_xlpm.c-1,"")),"")</f>
        <v>-3.4560789960913385E-2</v>
      </c>
      <c r="F769" s="23">
        <f>IF(ISNUMBER(E769),D769*E769,0)</f>
        <v>-9.4841270520469015E-4</v>
      </c>
      <c r="G769" s="22">
        <f>IF(ISNUMBER(E769),D769,0)</f>
        <v>2.744187E-2</v>
      </c>
      <c r="H769" t="s">
        <v>40</v>
      </c>
      <c r="I769" s="21">
        <v>46288</v>
      </c>
    </row>
    <row r="770" spans="1:9" x14ac:dyDescent="0.15">
      <c r="A770" t="s">
        <v>49</v>
      </c>
      <c r="B770" t="s">
        <v>614</v>
      </c>
      <c r="C770" t="s">
        <v>615</v>
      </c>
      <c r="D770" s="22">
        <v>2.1843419999999999E-2</v>
      </c>
      <c r="E770" s="22">
        <f>IFERROR(_xlfn.LET(_xlpm.m,MATCH($B770,Feed!$A:$A,0),_xlpm.p,INDEX(Feed!$B:$B,_xlpm.m),_xlpm.c,INDEX(Feed!$G:$G,_xlpm.m),IF(AND(_xlpm.p&gt;0,_xlpm.c&gt;0),_xlpm.p/_xlpm.c-1,"")),"")</f>
        <v>-4.2997960571040106E-2</v>
      </c>
      <c r="F770" s="23">
        <f>IF(ISNUMBER(E770),D770*E770,0)</f>
        <v>-9.392225118966688E-4</v>
      </c>
      <c r="G770" s="22">
        <f>IF(ISNUMBER(E770),D770,0)</f>
        <v>2.1843419999999999E-2</v>
      </c>
      <c r="H770" t="s">
        <v>40</v>
      </c>
      <c r="I770" s="21">
        <v>46288</v>
      </c>
    </row>
    <row r="771" spans="1:9" x14ac:dyDescent="0.15">
      <c r="A771" t="s">
        <v>49</v>
      </c>
      <c r="B771" t="s">
        <v>650</v>
      </c>
      <c r="C771" t="s">
        <v>651</v>
      </c>
      <c r="D771" s="22">
        <v>2.0048699999999999E-2</v>
      </c>
      <c r="E771" s="22">
        <f>IFERROR(_xlfn.LET(_xlpm.m,MATCH($B771,Feed!$A:$A,0),_xlpm.p,INDEX(Feed!$B:$B,_xlpm.m),_xlpm.c,INDEX(Feed!$G:$G,_xlpm.m),IF(AND(_xlpm.p&gt;0,_xlpm.c&gt;0),_xlpm.p/_xlpm.c-1,"")),"")</f>
        <v>-4.1159962581852172E-2</v>
      </c>
      <c r="F771" s="23">
        <f>IF(ISNUMBER(E771),D771*E771,0)</f>
        <v>-8.2520374181477957E-4</v>
      </c>
      <c r="G771" s="22">
        <f>IF(ISNUMBER(E771),D771,0)</f>
        <v>2.0048699999999999E-2</v>
      </c>
      <c r="H771" t="s">
        <v>40</v>
      </c>
      <c r="I771" s="21">
        <v>46288</v>
      </c>
    </row>
    <row r="772" spans="1:9" x14ac:dyDescent="0.15">
      <c r="A772" t="s">
        <v>49</v>
      </c>
      <c r="B772" t="s">
        <v>722</v>
      </c>
      <c r="C772" t="s">
        <v>723</v>
      </c>
      <c r="D772" s="22">
        <v>1.6895070000000002E-2</v>
      </c>
      <c r="E772" s="22">
        <f>IFERROR(_xlfn.LET(_xlpm.m,MATCH($B772,Feed!$A:$A,0),_xlpm.p,INDEX(Feed!$B:$B,_xlpm.m),_xlpm.c,INDEX(Feed!$G:$G,_xlpm.m),IF(AND(_xlpm.p&gt;0,_xlpm.c&gt;0),_xlpm.p/_xlpm.c-1,"")),"")</f>
        <v>1.6199999999999992E-2</v>
      </c>
      <c r="F772" s="23">
        <f>IF(ISNUMBER(E772),D772*E772,0)</f>
        <v>2.7370013399999988E-4</v>
      </c>
      <c r="G772" s="22">
        <f>IF(ISNUMBER(E772),D772,0)</f>
        <v>1.6895070000000002E-2</v>
      </c>
      <c r="H772" t="s">
        <v>40</v>
      </c>
      <c r="I772" s="21">
        <v>46288</v>
      </c>
    </row>
    <row r="773" spans="1:9" x14ac:dyDescent="0.15">
      <c r="A773" t="s">
        <v>49</v>
      </c>
      <c r="B773" t="s">
        <v>748</v>
      </c>
      <c r="C773" t="s">
        <v>749</v>
      </c>
      <c r="D773" s="22">
        <v>1.4548529999999999E-2</v>
      </c>
      <c r="E773" s="22">
        <f>IFERROR(_xlfn.LET(_xlpm.m,MATCH($B773,Feed!$A:$A,0),_xlpm.p,INDEX(Feed!$B:$B,_xlpm.m),_xlpm.c,INDEX(Feed!$G:$G,_xlpm.m),IF(AND(_xlpm.p&gt;0,_xlpm.c&gt;0),_xlpm.p/_xlpm.c-1,"")),"")</f>
        <v>-2.1837098692033319E-2</v>
      </c>
      <c r="F773" s="23">
        <f>IF(ISNUMBER(E773),D773*E773,0)</f>
        <v>-3.1769768543400749E-4</v>
      </c>
      <c r="G773" s="22">
        <f>IF(ISNUMBER(E773),D773,0)</f>
        <v>1.4548529999999999E-2</v>
      </c>
      <c r="H773" t="s">
        <v>40</v>
      </c>
      <c r="I773" s="21">
        <v>46288</v>
      </c>
    </row>
    <row r="774" spans="1:9" x14ac:dyDescent="0.15">
      <c r="A774" t="s">
        <v>49</v>
      </c>
      <c r="B774" t="s">
        <v>870</v>
      </c>
      <c r="C774" t="s">
        <v>871</v>
      </c>
      <c r="D774" s="22">
        <v>1.107116E-2</v>
      </c>
      <c r="E774" s="22" t="str">
        <f>IFERROR(_xlfn.LET(_xlpm.m,MATCH($B774,Feed!$A:$A,0),_xlpm.p,INDEX(Feed!$B:$B,_xlpm.m),_xlpm.c,INDEX(Feed!$G:$G,_xlpm.m),IF(AND(_xlpm.p&gt;0,_xlpm.c&gt;0),_xlpm.p/_xlpm.c-1,"")),"")</f>
        <v/>
      </c>
      <c r="F774" s="23">
        <f>IF(ISNUMBER(E774),D774*E774,0)</f>
        <v>0</v>
      </c>
      <c r="G774" s="22">
        <f>IF(ISNUMBER(E774),D774,0)</f>
        <v>0</v>
      </c>
      <c r="H774" t="s">
        <v>40</v>
      </c>
      <c r="I774" s="21">
        <v>46288</v>
      </c>
    </row>
    <row r="775" spans="1:9" x14ac:dyDescent="0.15">
      <c r="A775" t="s">
        <v>49</v>
      </c>
      <c r="B775" t="s">
        <v>880</v>
      </c>
      <c r="C775" t="s">
        <v>881</v>
      </c>
      <c r="D775" s="22">
        <v>1.0710200000000001E-2</v>
      </c>
      <c r="E775" s="22">
        <f>IFERROR(_xlfn.LET(_xlpm.m,MATCH($B775,Feed!$A:$A,0),_xlpm.p,INDEX(Feed!$B:$B,_xlpm.m),_xlpm.c,INDEX(Feed!$G:$G,_xlpm.m),IF(AND(_xlpm.p&gt;0,_xlpm.c&gt;0),_xlpm.p/_xlpm.c-1,"")),"")</f>
        <v>-5.6006400731511974E-3</v>
      </c>
      <c r="F775" s="23">
        <f>IF(ISNUMBER(E775),D775*E775,0)</f>
        <v>-5.9983975311463961E-5</v>
      </c>
      <c r="G775" s="22">
        <f>IF(ISNUMBER(E775),D775,0)</f>
        <v>1.0710200000000001E-2</v>
      </c>
      <c r="H775" t="s">
        <v>40</v>
      </c>
      <c r="I775" s="21">
        <v>46288</v>
      </c>
    </row>
    <row r="776" spans="1:9" x14ac:dyDescent="0.15">
      <c r="A776" t="s">
        <v>49</v>
      </c>
      <c r="B776" t="s">
        <v>958</v>
      </c>
      <c r="C776" t="s">
        <v>959</v>
      </c>
      <c r="D776" s="22">
        <v>7.8779599999999998E-3</v>
      </c>
      <c r="E776" s="22">
        <f>IFERROR(_xlfn.LET(_xlpm.m,MATCH($B776,Feed!$A:$A,0),_xlpm.p,INDEX(Feed!$B:$B,_xlpm.m),_xlpm.c,INDEX(Feed!$G:$G,_xlpm.m),IF(AND(_xlpm.p&gt;0,_xlpm.c&gt;0),_xlpm.p/_xlpm.c-1,"")),"")</f>
        <v>-5.7276576777356869E-2</v>
      </c>
      <c r="F776" s="23">
        <f>IF(ISNUMBER(E776),D776*E776,0)</f>
        <v>-4.5122258078894633E-4</v>
      </c>
      <c r="G776" s="22">
        <f>IF(ISNUMBER(E776),D776,0)</f>
        <v>7.8779599999999998E-3</v>
      </c>
      <c r="H776" t="s">
        <v>40</v>
      </c>
      <c r="I776" s="21">
        <v>46288</v>
      </c>
    </row>
    <row r="777" spans="1:9" x14ac:dyDescent="0.15">
      <c r="A777" t="s">
        <v>51</v>
      </c>
      <c r="B777" t="s">
        <v>142</v>
      </c>
      <c r="C777" t="s">
        <v>143</v>
      </c>
      <c r="D777" s="22">
        <v>0.15160360000000001</v>
      </c>
      <c r="E777" s="22">
        <f>IFERROR(_xlfn.LET(_xlpm.m,MATCH($B777,Feed!$A:$A,0),_xlpm.p,INDEX(Feed!$B:$B,_xlpm.m),_xlpm.c,INDEX(Feed!$G:$G,_xlpm.m),IF(AND(_xlpm.p&gt;0,_xlpm.c&gt;0),_xlpm.p/_xlpm.c-1,"")),"")</f>
        <v>1.3938400423269437E-2</v>
      </c>
      <c r="F777" s="23">
        <f>IF(ISNUMBER(E777),D777*E777,0)</f>
        <v>2.1131116824091704E-3</v>
      </c>
      <c r="G777" s="22">
        <f>IF(ISNUMBER(E777),D777,0)</f>
        <v>0.15160360000000001</v>
      </c>
      <c r="H777" t="s">
        <v>40</v>
      </c>
      <c r="I777" s="21">
        <v>46288</v>
      </c>
    </row>
    <row r="778" spans="1:9" x14ac:dyDescent="0.15">
      <c r="A778" t="s">
        <v>51</v>
      </c>
      <c r="B778" t="s">
        <v>148</v>
      </c>
      <c r="C778" t="s">
        <v>149</v>
      </c>
      <c r="D778" s="22">
        <v>0.10504005</v>
      </c>
      <c r="E778" s="22">
        <f>IFERROR(_xlfn.LET(_xlpm.m,MATCH($B778,Feed!$A:$A,0),_xlpm.p,INDEX(Feed!$B:$B,_xlpm.m),_xlpm.c,INDEX(Feed!$G:$G,_xlpm.m),IF(AND(_xlpm.p&gt;0,_xlpm.c&gt;0),_xlpm.p/_xlpm.c-1,"")),"")</f>
        <v>-2.9630727063966189E-3</v>
      </c>
      <c r="F778" s="23">
        <f>IF(ISNUMBER(E778),D778*E778,0)</f>
        <v>-3.1124130523353617E-4</v>
      </c>
      <c r="G778" s="22">
        <f>IF(ISNUMBER(E778),D778,0)</f>
        <v>0.10504005</v>
      </c>
      <c r="H778" t="s">
        <v>40</v>
      </c>
      <c r="I778" s="21">
        <v>46288</v>
      </c>
    </row>
    <row r="779" spans="1:9" x14ac:dyDescent="0.15">
      <c r="A779" t="s">
        <v>51</v>
      </c>
      <c r="B779" t="s">
        <v>156</v>
      </c>
      <c r="C779" t="s">
        <v>157</v>
      </c>
      <c r="D779" s="22">
        <v>7.5884560000000004E-2</v>
      </c>
      <c r="E779" s="22">
        <f>IFERROR(_xlfn.LET(_xlpm.m,MATCH($B779,Feed!$A:$A,0),_xlpm.p,INDEX(Feed!$B:$B,_xlpm.m),_xlpm.c,INDEX(Feed!$G:$G,_xlpm.m),IF(AND(_xlpm.p&gt;0,_xlpm.c&gt;0),_xlpm.p/_xlpm.c-1,"")),"")</f>
        <v>4.7355659948478124E-3</v>
      </c>
      <c r="F779" s="23">
        <f>IF(ISNUMBER(E779),D779*E779,0)</f>
        <v>3.593563418699885E-4</v>
      </c>
      <c r="G779" s="22">
        <f>IF(ISNUMBER(E779),D779,0)</f>
        <v>7.5884560000000004E-2</v>
      </c>
      <c r="H779" t="s">
        <v>40</v>
      </c>
      <c r="I779" s="21">
        <v>46288</v>
      </c>
    </row>
    <row r="780" spans="1:9" x14ac:dyDescent="0.15">
      <c r="A780" t="s">
        <v>51</v>
      </c>
      <c r="B780" t="s">
        <v>172</v>
      </c>
      <c r="C780" t="s">
        <v>173</v>
      </c>
      <c r="D780" s="22">
        <v>6.0285749999999999E-2</v>
      </c>
      <c r="E780" s="22">
        <f>IFERROR(_xlfn.LET(_xlpm.m,MATCH($B780,Feed!$A:$A,0),_xlpm.p,INDEX(Feed!$B:$B,_xlpm.m),_xlpm.c,INDEX(Feed!$G:$G,_xlpm.m),IF(AND(_xlpm.p&gt;0,_xlpm.c&gt;0),_xlpm.p/_xlpm.c-1,"")),"")</f>
        <v>2.7507319398107022E-2</v>
      </c>
      <c r="F780" s="23">
        <f>IF(ISNUMBER(E780),D780*E780,0)</f>
        <v>1.6582993804044304E-3</v>
      </c>
      <c r="G780" s="22">
        <f>IF(ISNUMBER(E780),D780,0)</f>
        <v>6.0285749999999999E-2</v>
      </c>
      <c r="H780" t="s">
        <v>40</v>
      </c>
      <c r="I780" s="21">
        <v>46288</v>
      </c>
    </row>
    <row r="781" spans="1:9" x14ac:dyDescent="0.15">
      <c r="A781" t="s">
        <v>51</v>
      </c>
      <c r="B781" t="s">
        <v>182</v>
      </c>
      <c r="C781" t="s">
        <v>183</v>
      </c>
      <c r="D781" s="22">
        <v>5.4203460000000002E-2</v>
      </c>
      <c r="E781" s="22" t="str">
        <f>IFERROR(_xlfn.LET(_xlpm.m,MATCH($B781,Feed!$A:$A,0),_xlpm.p,INDEX(Feed!$B:$B,_xlpm.m),_xlpm.c,INDEX(Feed!$G:$G,_xlpm.m),IF(AND(_xlpm.p&gt;0,_xlpm.c&gt;0),_xlpm.p/_xlpm.c-1,"")),"")</f>
        <v/>
      </c>
      <c r="F781" s="23">
        <f>IF(ISNUMBER(E781),D781*E781,0)</f>
        <v>0</v>
      </c>
      <c r="G781" s="22">
        <f>IF(ISNUMBER(E781),D781,0)</f>
        <v>0</v>
      </c>
      <c r="H781" t="s">
        <v>40</v>
      </c>
      <c r="I781" s="21">
        <v>46288</v>
      </c>
    </row>
    <row r="782" spans="1:9" x14ac:dyDescent="0.15">
      <c r="A782" t="s">
        <v>51</v>
      </c>
      <c r="B782" t="s">
        <v>212</v>
      </c>
      <c r="C782" t="s">
        <v>213</v>
      </c>
      <c r="D782" s="22">
        <v>3.9424600000000004E-2</v>
      </c>
      <c r="E782" s="22">
        <f>IFERROR(_xlfn.LET(_xlpm.m,MATCH($B782,Feed!$A:$A,0),_xlpm.p,INDEX(Feed!$B:$B,_xlpm.m),_xlpm.c,INDEX(Feed!$G:$G,_xlpm.m),IF(AND(_xlpm.p&gt;0,_xlpm.c&gt;0),_xlpm.p/_xlpm.c-1,"")),"")</f>
        <v>1.0852713178294504E-2</v>
      </c>
      <c r="F782" s="23">
        <f>IF(ISNUMBER(E782),D782*E782,0)</f>
        <v>4.2786387596898957E-4</v>
      </c>
      <c r="G782" s="22">
        <f>IF(ISNUMBER(E782),D782,0)</f>
        <v>3.9424600000000004E-2</v>
      </c>
      <c r="H782" t="s">
        <v>40</v>
      </c>
      <c r="I782" s="21">
        <v>46288</v>
      </c>
    </row>
    <row r="783" spans="1:9" x14ac:dyDescent="0.15">
      <c r="A783" t="s">
        <v>51</v>
      </c>
      <c r="B783" t="s">
        <v>226</v>
      </c>
      <c r="C783" t="s">
        <v>227</v>
      </c>
      <c r="D783" s="22">
        <v>3.5911789999999999E-2</v>
      </c>
      <c r="E783" s="22">
        <f>IFERROR(_xlfn.LET(_xlpm.m,MATCH($B783,Feed!$A:$A,0),_xlpm.p,INDEX(Feed!$B:$B,_xlpm.m),_xlpm.c,INDEX(Feed!$G:$G,_xlpm.m),IF(AND(_xlpm.p&gt;0,_xlpm.c&gt;0),_xlpm.p/_xlpm.c-1,"")),"")</f>
        <v>6.3762478931673972E-2</v>
      </c>
      <c r="F783" s="23">
        <f>IF(ISNUMBER(E783),D783*E783,0)</f>
        <v>2.2898247532737001E-3</v>
      </c>
      <c r="G783" s="22">
        <f>IF(ISNUMBER(E783),D783,0)</f>
        <v>3.5911789999999999E-2</v>
      </c>
      <c r="H783" t="s">
        <v>40</v>
      </c>
      <c r="I783" s="21">
        <v>46288</v>
      </c>
    </row>
    <row r="784" spans="1:9" x14ac:dyDescent="0.15">
      <c r="A784" t="s">
        <v>51</v>
      </c>
      <c r="B784" t="s">
        <v>238</v>
      </c>
      <c r="C784" t="s">
        <v>239</v>
      </c>
      <c r="D784" s="22">
        <v>3.0651560000000001E-2</v>
      </c>
      <c r="E784" s="22">
        <f>IFERROR(_xlfn.LET(_xlpm.m,MATCH($B784,Feed!$A:$A,0),_xlpm.p,INDEX(Feed!$B:$B,_xlpm.m),_xlpm.c,INDEX(Feed!$G:$G,_xlpm.m),IF(AND(_xlpm.p&gt;0,_xlpm.c&gt;0),_xlpm.p/_xlpm.c-1,"")),"")</f>
        <v>1.705416028245943E-2</v>
      </c>
      <c r="F784" s="23">
        <f>IF(ISNUMBER(E784),D784*E784,0)</f>
        <v>5.2273661714742213E-4</v>
      </c>
      <c r="G784" s="22">
        <f>IF(ISNUMBER(E784),D784,0)</f>
        <v>3.0651560000000001E-2</v>
      </c>
      <c r="H784" t="s">
        <v>40</v>
      </c>
      <c r="I784" s="21">
        <v>46288</v>
      </c>
    </row>
    <row r="785" spans="1:9" x14ac:dyDescent="0.15">
      <c r="A785" t="s">
        <v>51</v>
      </c>
      <c r="B785" t="s">
        <v>242</v>
      </c>
      <c r="C785" t="s">
        <v>243</v>
      </c>
      <c r="D785" s="22">
        <v>2.9052049999999999E-2</v>
      </c>
      <c r="E785" s="22">
        <f>IFERROR(_xlfn.LET(_xlpm.m,MATCH($B785,Feed!$A:$A,0),_xlpm.p,INDEX(Feed!$B:$B,_xlpm.m),_xlpm.c,INDEX(Feed!$G:$G,_xlpm.m),IF(AND(_xlpm.p&gt;0,_xlpm.c&gt;0),_xlpm.p/_xlpm.c-1,"")),"")</f>
        <v>1.0525289932755033E-2</v>
      </c>
      <c r="F785" s="23">
        <f>IF(ISNUMBER(E785),D785*E785,0)</f>
        <v>3.0578124939089588E-4</v>
      </c>
      <c r="G785" s="22">
        <f>IF(ISNUMBER(E785),D785,0)</f>
        <v>2.9052049999999999E-2</v>
      </c>
      <c r="H785" t="s">
        <v>40</v>
      </c>
      <c r="I785" s="21">
        <v>46288</v>
      </c>
    </row>
    <row r="786" spans="1:9" x14ac:dyDescent="0.15">
      <c r="A786" t="s">
        <v>51</v>
      </c>
      <c r="B786" t="s">
        <v>272</v>
      </c>
      <c r="C786" t="s">
        <v>273</v>
      </c>
      <c r="D786" s="22">
        <v>2.5776129999999998E-2</v>
      </c>
      <c r="E786" s="22">
        <f>IFERROR(_xlfn.LET(_xlpm.m,MATCH($B786,Feed!$A:$A,0),_xlpm.p,INDEX(Feed!$B:$B,_xlpm.m),_xlpm.c,INDEX(Feed!$G:$G,_xlpm.m),IF(AND(_xlpm.p&gt;0,_xlpm.c&gt;0),_xlpm.p/_xlpm.c-1,"")),"")</f>
        <v>9.761388286334105E-3</v>
      </c>
      <c r="F786" s="23">
        <f>IF(ISNUMBER(E786),D786*E786,0)</f>
        <v>2.5161081344902508E-4</v>
      </c>
      <c r="G786" s="22">
        <f>IF(ISNUMBER(E786),D786,0)</f>
        <v>2.5776129999999998E-2</v>
      </c>
      <c r="H786" t="s">
        <v>40</v>
      </c>
      <c r="I786" s="21">
        <v>46288</v>
      </c>
    </row>
    <row r="787" spans="1:9" x14ac:dyDescent="0.15">
      <c r="A787" t="s">
        <v>51</v>
      </c>
      <c r="B787" t="s">
        <v>284</v>
      </c>
      <c r="C787" t="s">
        <v>285</v>
      </c>
      <c r="D787" s="22">
        <v>2.3000199999999998E-2</v>
      </c>
      <c r="E787" s="22">
        <f>IFERROR(_xlfn.LET(_xlpm.m,MATCH($B787,Feed!$A:$A,0),_xlpm.p,INDEX(Feed!$B:$B,_xlpm.m),_xlpm.c,INDEX(Feed!$G:$G,_xlpm.m),IF(AND(_xlpm.p&gt;0,_xlpm.c&gt;0),_xlpm.p/_xlpm.c-1,"")),"")</f>
        <v>2.2271375181145636E-2</v>
      </c>
      <c r="F787" s="23">
        <f>IF(ISNUMBER(E787),D787*E787,0)</f>
        <v>5.122460834413858E-4</v>
      </c>
      <c r="G787" s="22">
        <f>IF(ISNUMBER(E787),D787,0)</f>
        <v>2.3000199999999998E-2</v>
      </c>
      <c r="H787" t="s">
        <v>40</v>
      </c>
      <c r="I787" s="21">
        <v>46288</v>
      </c>
    </row>
    <row r="788" spans="1:9" x14ac:dyDescent="0.15">
      <c r="A788" t="s">
        <v>51</v>
      </c>
      <c r="B788" t="s">
        <v>286</v>
      </c>
      <c r="C788" t="s">
        <v>287</v>
      </c>
      <c r="D788" s="22">
        <v>2.2397330000000003E-2</v>
      </c>
      <c r="E788" s="22">
        <f>IFERROR(_xlfn.LET(_xlpm.m,MATCH($B788,Feed!$A:$A,0),_xlpm.p,INDEX(Feed!$B:$B,_xlpm.m),_xlpm.c,INDEX(Feed!$G:$G,_xlpm.m),IF(AND(_xlpm.p&gt;0,_xlpm.c&gt;0),_xlpm.p/_xlpm.c-1,"")),"")</f>
        <v>4.3812851140172748E-2</v>
      </c>
      <c r="F788" s="23">
        <f>IF(ISNUMBER(E788),D788*E788,0)</f>
        <v>9.8129088522732537E-4</v>
      </c>
      <c r="G788" s="22">
        <f>IF(ISNUMBER(E788),D788,0)</f>
        <v>2.2397330000000003E-2</v>
      </c>
      <c r="H788" t="s">
        <v>40</v>
      </c>
      <c r="I788" s="21">
        <v>46288</v>
      </c>
    </row>
    <row r="789" spans="1:9" x14ac:dyDescent="0.15">
      <c r="A789" t="s">
        <v>51</v>
      </c>
      <c r="B789" t="s">
        <v>292</v>
      </c>
      <c r="C789" t="s">
        <v>293</v>
      </c>
      <c r="D789" s="22">
        <v>2.1134750000000001E-2</v>
      </c>
      <c r="E789" s="22" t="str">
        <f>IFERROR(_xlfn.LET(_xlpm.m,MATCH($B789,Feed!$A:$A,0),_xlpm.p,INDEX(Feed!$B:$B,_xlpm.m),_xlpm.c,INDEX(Feed!$G:$G,_xlpm.m),IF(AND(_xlpm.p&gt;0,_xlpm.c&gt;0),_xlpm.p/_xlpm.c-1,"")),"")</f>
        <v/>
      </c>
      <c r="F789" s="23">
        <f>IF(ISNUMBER(E789),D789*E789,0)</f>
        <v>0</v>
      </c>
      <c r="G789" s="22">
        <f>IF(ISNUMBER(E789),D789,0)</f>
        <v>0</v>
      </c>
      <c r="H789" t="s">
        <v>40</v>
      </c>
      <c r="I789" s="21">
        <v>46288</v>
      </c>
    </row>
    <row r="790" spans="1:9" x14ac:dyDescent="0.15">
      <c r="A790" t="s">
        <v>51</v>
      </c>
      <c r="B790" t="s">
        <v>290</v>
      </c>
      <c r="C790" t="s">
        <v>291</v>
      </c>
      <c r="D790" s="22">
        <v>2.0589449999999999E-2</v>
      </c>
      <c r="E790" s="22">
        <f>IFERROR(_xlfn.LET(_xlpm.m,MATCH($B790,Feed!$A:$A,0),_xlpm.p,INDEX(Feed!$B:$B,_xlpm.m),_xlpm.c,INDEX(Feed!$G:$G,_xlpm.m),IF(AND(_xlpm.p&gt;0,_xlpm.c&gt;0),_xlpm.p/_xlpm.c-1,"")),"")</f>
        <v>-1.2844909609895372E-2</v>
      </c>
      <c r="F790" s="23">
        <f>IF(ISNUMBER(E790),D790*E790,0)</f>
        <v>-2.6446962416746026E-4</v>
      </c>
      <c r="G790" s="22">
        <f>IF(ISNUMBER(E790),D790,0)</f>
        <v>2.0589449999999999E-2</v>
      </c>
      <c r="H790" t="s">
        <v>40</v>
      </c>
      <c r="I790" s="21">
        <v>46288</v>
      </c>
    </row>
    <row r="791" spans="1:9" x14ac:dyDescent="0.15">
      <c r="A791" t="s">
        <v>51</v>
      </c>
      <c r="B791" t="s">
        <v>314</v>
      </c>
      <c r="C791" t="s">
        <v>315</v>
      </c>
      <c r="D791" s="22">
        <v>1.8813340000000001E-2</v>
      </c>
      <c r="E791" s="22">
        <f>IFERROR(_xlfn.LET(_xlpm.m,MATCH($B791,Feed!$A:$A,0),_xlpm.p,INDEX(Feed!$B:$B,_xlpm.m),_xlpm.c,INDEX(Feed!$G:$G,_xlpm.m),IF(AND(_xlpm.p&gt;0,_xlpm.c&gt;0),_xlpm.p/_xlpm.c-1,"")),"")</f>
        <v>-1.1455551937479602E-2</v>
      </c>
      <c r="F791" s="23">
        <f>IF(ISNUMBER(E791),D791*E791,0)</f>
        <v>-2.1551719348746252E-4</v>
      </c>
      <c r="G791" s="22">
        <f>IF(ISNUMBER(E791),D791,0)</f>
        <v>1.8813340000000001E-2</v>
      </c>
      <c r="H791" t="s">
        <v>40</v>
      </c>
      <c r="I791" s="21">
        <v>46288</v>
      </c>
    </row>
    <row r="792" spans="1:9" x14ac:dyDescent="0.15">
      <c r="A792" t="s">
        <v>51</v>
      </c>
      <c r="B792" t="s">
        <v>318</v>
      </c>
      <c r="C792" t="s">
        <v>319</v>
      </c>
      <c r="D792" s="22">
        <v>1.8037460000000002E-2</v>
      </c>
      <c r="E792" s="22">
        <f>IFERROR(_xlfn.LET(_xlpm.m,MATCH($B792,Feed!$A:$A,0),_xlpm.p,INDEX(Feed!$B:$B,_xlpm.m),_xlpm.c,INDEX(Feed!$G:$G,_xlpm.m),IF(AND(_xlpm.p&gt;0,_xlpm.c&gt;0),_xlpm.p/_xlpm.c-1,"")),"")</f>
        <v>-1.9099504727600247E-2</v>
      </c>
      <c r="F792" s="23">
        <f>IF(ISNUMBER(E792),D792*E792,0)</f>
        <v>-3.445065525439004E-4</v>
      </c>
      <c r="G792" s="22">
        <f>IF(ISNUMBER(E792),D792,0)</f>
        <v>1.8037460000000002E-2</v>
      </c>
      <c r="H792" t="s">
        <v>40</v>
      </c>
      <c r="I792" s="21">
        <v>46288</v>
      </c>
    </row>
    <row r="793" spans="1:9" x14ac:dyDescent="0.15">
      <c r="A793" t="s">
        <v>51</v>
      </c>
      <c r="B793" t="s">
        <v>338</v>
      </c>
      <c r="C793" t="s">
        <v>339</v>
      </c>
      <c r="D793" s="22">
        <v>1.6825570000000001E-2</v>
      </c>
      <c r="E793" s="22">
        <f>IFERROR(_xlfn.LET(_xlpm.m,MATCH($B793,Feed!$A:$A,0),_xlpm.p,INDEX(Feed!$B:$B,_xlpm.m),_xlpm.c,INDEX(Feed!$G:$G,_xlpm.m),IF(AND(_xlpm.p&gt;0,_xlpm.c&gt;0),_xlpm.p/_xlpm.c-1,"")),"")</f>
        <v>1.8956153890127503E-2</v>
      </c>
      <c r="F793" s="23">
        <f>IF(ISNUMBER(E793),D793*E793,0)</f>
        <v>3.1894809420911262E-4</v>
      </c>
      <c r="G793" s="22">
        <f>IF(ISNUMBER(E793),D793,0)</f>
        <v>1.6825570000000001E-2</v>
      </c>
      <c r="H793" t="s">
        <v>40</v>
      </c>
      <c r="I793" s="21">
        <v>46288</v>
      </c>
    </row>
    <row r="794" spans="1:9" x14ac:dyDescent="0.15">
      <c r="A794" t="s">
        <v>51</v>
      </c>
      <c r="B794" t="s">
        <v>348</v>
      </c>
      <c r="C794" t="s">
        <v>349</v>
      </c>
      <c r="D794" s="22">
        <v>1.5547409999999999E-2</v>
      </c>
      <c r="E794" s="22">
        <f>IFERROR(_xlfn.LET(_xlpm.m,MATCH($B794,Feed!$A:$A,0),_xlpm.p,INDEX(Feed!$B:$B,_xlpm.m),_xlpm.c,INDEX(Feed!$G:$G,_xlpm.m),IF(AND(_xlpm.p&gt;0,_xlpm.c&gt;0),_xlpm.p/_xlpm.c-1,"")),"")</f>
        <v>-1.0904332654848581E-4</v>
      </c>
      <c r="F794" s="23">
        <f>IF(ISNUMBER(E794),D794*E794,0)</f>
        <v>-1.6953413056131937E-6</v>
      </c>
      <c r="G794" s="22">
        <f>IF(ISNUMBER(E794),D794,0)</f>
        <v>1.5547409999999999E-2</v>
      </c>
      <c r="H794" t="s">
        <v>40</v>
      </c>
      <c r="I794" s="21">
        <v>46288</v>
      </c>
    </row>
    <row r="795" spans="1:9" x14ac:dyDescent="0.15">
      <c r="A795" t="s">
        <v>51</v>
      </c>
      <c r="B795" t="s">
        <v>370</v>
      </c>
      <c r="C795" t="s">
        <v>371</v>
      </c>
      <c r="D795" s="22">
        <v>1.4131400000000001E-2</v>
      </c>
      <c r="E795" s="22">
        <f>IFERROR(_xlfn.LET(_xlpm.m,MATCH($B795,Feed!$A:$A,0),_xlpm.p,INDEX(Feed!$B:$B,_xlpm.m),_xlpm.c,INDEX(Feed!$G:$G,_xlpm.m),IF(AND(_xlpm.p&gt;0,_xlpm.c&gt;0),_xlpm.p/_xlpm.c-1,"")),"")</f>
        <v>-2.073244920306605E-2</v>
      </c>
      <c r="F795" s="23">
        <f>IF(ISNUMBER(E795),D795*E795,0)</f>
        <v>-2.9297853266820761E-4</v>
      </c>
      <c r="G795" s="22">
        <f>IF(ISNUMBER(E795),D795,0)</f>
        <v>1.4131400000000001E-2</v>
      </c>
      <c r="H795" t="s">
        <v>40</v>
      </c>
      <c r="I795" s="21">
        <v>46288</v>
      </c>
    </row>
    <row r="796" spans="1:9" x14ac:dyDescent="0.15">
      <c r="A796" t="s">
        <v>51</v>
      </c>
      <c r="B796" t="s">
        <v>414</v>
      </c>
      <c r="C796" t="s">
        <v>415</v>
      </c>
      <c r="D796" s="22">
        <v>1.2760830000000001E-2</v>
      </c>
      <c r="E796" s="22">
        <f>IFERROR(_xlfn.LET(_xlpm.m,MATCH($B796,Feed!$A:$A,0),_xlpm.p,INDEX(Feed!$B:$B,_xlpm.m),_xlpm.c,INDEX(Feed!$G:$G,_xlpm.m),IF(AND(_xlpm.p&gt;0,_xlpm.c&gt;0),_xlpm.p/_xlpm.c-1,"")),"")</f>
        <v>2.4272153914760786E-2</v>
      </c>
      <c r="F796" s="23">
        <f>IF(ISNUMBER(E796),D796*E796,0)</f>
        <v>3.0973282984009688E-4</v>
      </c>
      <c r="G796" s="22">
        <f>IF(ISNUMBER(E796),D796,0)</f>
        <v>1.2760830000000001E-2</v>
      </c>
      <c r="H796" t="s">
        <v>40</v>
      </c>
      <c r="I796" s="21">
        <v>46288</v>
      </c>
    </row>
    <row r="797" spans="1:9" x14ac:dyDescent="0.15">
      <c r="A797" t="s">
        <v>51</v>
      </c>
      <c r="B797" t="s">
        <v>430</v>
      </c>
      <c r="C797" t="s">
        <v>431</v>
      </c>
      <c r="D797" s="22">
        <v>1.1711849999999999E-2</v>
      </c>
      <c r="E797" s="22">
        <f>IFERROR(_xlfn.LET(_xlpm.m,MATCH($B797,Feed!$A:$A,0),_xlpm.p,INDEX(Feed!$B:$B,_xlpm.m),_xlpm.c,INDEX(Feed!$G:$G,_xlpm.m),IF(AND(_xlpm.p&gt;0,_xlpm.c&gt;0),_xlpm.p/_xlpm.c-1,"")),"")</f>
        <v>-5.5943039814005946E-3</v>
      </c>
      <c r="F797" s="23">
        <f>IF(ISNUMBER(E797),D797*E797,0)</f>
        <v>-6.5519649084566552E-5</v>
      </c>
      <c r="G797" s="22">
        <f>IF(ISNUMBER(E797),D797,0)</f>
        <v>1.1711849999999999E-2</v>
      </c>
      <c r="H797" t="s">
        <v>40</v>
      </c>
      <c r="I797" s="21">
        <v>46288</v>
      </c>
    </row>
    <row r="798" spans="1:9" x14ac:dyDescent="0.15">
      <c r="A798" t="s">
        <v>51</v>
      </c>
      <c r="B798" t="s">
        <v>524</v>
      </c>
      <c r="C798" t="s">
        <v>525</v>
      </c>
      <c r="D798" s="22">
        <v>1.097533E-2</v>
      </c>
      <c r="E798" s="22">
        <f>IFERROR(_xlfn.LET(_xlpm.m,MATCH($B798,Feed!$A:$A,0),_xlpm.p,INDEX(Feed!$B:$B,_xlpm.m),_xlpm.c,INDEX(Feed!$G:$G,_xlpm.m),IF(AND(_xlpm.p&gt;0,_xlpm.c&gt;0),_xlpm.p/_xlpm.c-1,"")),"")</f>
        <v>0.1801395741365881</v>
      </c>
      <c r="F798" s="23">
        <f>IF(ISNUMBER(E798),D798*E798,0)</f>
        <v>1.9770912722085194E-3</v>
      </c>
      <c r="G798" s="22">
        <f>IF(ISNUMBER(E798),D798,0)</f>
        <v>1.097533E-2</v>
      </c>
      <c r="H798" t="s">
        <v>40</v>
      </c>
      <c r="I798" s="21">
        <v>46288</v>
      </c>
    </row>
    <row r="799" spans="1:9" x14ac:dyDescent="0.15">
      <c r="A799" t="s">
        <v>51</v>
      </c>
      <c r="B799" t="s">
        <v>486</v>
      </c>
      <c r="C799" t="s">
        <v>487</v>
      </c>
      <c r="D799" s="22">
        <v>1.0540840000000001E-2</v>
      </c>
      <c r="E799" s="22">
        <f>IFERROR(_xlfn.LET(_xlpm.m,MATCH($B799,Feed!$A:$A,0),_xlpm.p,INDEX(Feed!$B:$B,_xlpm.m),_xlpm.c,INDEX(Feed!$G:$G,_xlpm.m),IF(AND(_xlpm.p&gt;0,_xlpm.c&gt;0),_xlpm.p/_xlpm.c-1,"")),"")</f>
        <v>2.8841716658975614E-2</v>
      </c>
      <c r="F799" s="23">
        <f>IF(ISNUMBER(E799),D799*E799,0)</f>
        <v>3.0401592062759655E-4</v>
      </c>
      <c r="G799" s="22">
        <f>IF(ISNUMBER(E799),D799,0)</f>
        <v>1.0540840000000001E-2</v>
      </c>
      <c r="H799" t="s">
        <v>40</v>
      </c>
      <c r="I799" s="21">
        <v>46288</v>
      </c>
    </row>
    <row r="800" spans="1:9" x14ac:dyDescent="0.15">
      <c r="A800" t="s">
        <v>51</v>
      </c>
      <c r="B800" t="s">
        <v>484</v>
      </c>
      <c r="C800" t="s">
        <v>485</v>
      </c>
      <c r="D800" s="22">
        <v>1.0443770000000002E-2</v>
      </c>
      <c r="E800" s="22">
        <f>IFERROR(_xlfn.LET(_xlpm.m,MATCH($B800,Feed!$A:$A,0),_xlpm.p,INDEX(Feed!$B:$B,_xlpm.m),_xlpm.c,INDEX(Feed!$G:$G,_xlpm.m),IF(AND(_xlpm.p&gt;0,_xlpm.c&gt;0),_xlpm.p/_xlpm.c-1,"")),"")</f>
        <v>2.4338921231675803E-2</v>
      </c>
      <c r="F800" s="23">
        <f>IF(ISNUMBER(E800),D800*E800,0)</f>
        <v>2.5419009539173884E-4</v>
      </c>
      <c r="G800" s="22">
        <f>IF(ISNUMBER(E800),D800,0)</f>
        <v>1.0443770000000002E-2</v>
      </c>
      <c r="H800" t="s">
        <v>40</v>
      </c>
      <c r="I800" s="21">
        <v>46288</v>
      </c>
    </row>
    <row r="801" spans="1:9" x14ac:dyDescent="0.15">
      <c r="A801" t="s">
        <v>51</v>
      </c>
      <c r="B801" t="s">
        <v>514</v>
      </c>
      <c r="C801" t="s">
        <v>515</v>
      </c>
      <c r="D801" s="22">
        <v>9.7152999999999996E-3</v>
      </c>
      <c r="E801" s="22">
        <f>IFERROR(_xlfn.LET(_xlpm.m,MATCH($B801,Feed!$A:$A,0),_xlpm.p,INDEX(Feed!$B:$B,_xlpm.m),_xlpm.c,INDEX(Feed!$G:$G,_xlpm.m),IF(AND(_xlpm.p&gt;0,_xlpm.c&gt;0),_xlpm.p/_xlpm.c-1,"")),"")</f>
        <v>1.8297817216140988E-2</v>
      </c>
      <c r="F801" s="23">
        <f>IF(ISNUMBER(E801),D801*E801,0)</f>
        <v>1.7776878359997454E-4</v>
      </c>
      <c r="G801" s="22">
        <f>IF(ISNUMBER(E801),D801,0)</f>
        <v>9.7152999999999996E-3</v>
      </c>
      <c r="H801" t="s">
        <v>40</v>
      </c>
      <c r="I801" s="21">
        <v>46288</v>
      </c>
    </row>
    <row r="802" spans="1:9" x14ac:dyDescent="0.15">
      <c r="A802" t="s">
        <v>51</v>
      </c>
      <c r="B802" t="s">
        <v>548</v>
      </c>
      <c r="C802" t="s">
        <v>549</v>
      </c>
      <c r="D802" s="22">
        <v>8.3614599999999994E-3</v>
      </c>
      <c r="E802" s="22">
        <f>IFERROR(_xlfn.LET(_xlpm.m,MATCH($B802,Feed!$A:$A,0),_xlpm.p,INDEX(Feed!$B:$B,_xlpm.m),_xlpm.c,INDEX(Feed!$G:$G,_xlpm.m),IF(AND(_xlpm.p&gt;0,_xlpm.c&gt;0),_xlpm.p/_xlpm.c-1,"")),"")</f>
        <v>-1.4819416097258009E-2</v>
      </c>
      <c r="F802" s="23">
        <f>IF(ISNUMBER(E802),D802*E802,0)</f>
        <v>-1.2391195492057893E-4</v>
      </c>
      <c r="G802" s="22">
        <f>IF(ISNUMBER(E802),D802,0)</f>
        <v>8.3614599999999994E-3</v>
      </c>
      <c r="H802" t="s">
        <v>40</v>
      </c>
      <c r="I802" s="21">
        <v>46288</v>
      </c>
    </row>
    <row r="803" spans="1:9" x14ac:dyDescent="0.15">
      <c r="A803" t="s">
        <v>51</v>
      </c>
      <c r="B803" t="s">
        <v>558</v>
      </c>
      <c r="C803" t="s">
        <v>559</v>
      </c>
      <c r="D803" s="22">
        <v>8.2856900000000001E-3</v>
      </c>
      <c r="E803" s="22">
        <f>IFERROR(_xlfn.LET(_xlpm.m,MATCH($B803,Feed!$A:$A,0),_xlpm.p,INDEX(Feed!$B:$B,_xlpm.m),_xlpm.c,INDEX(Feed!$G:$G,_xlpm.m),IF(AND(_xlpm.p&gt;0,_xlpm.c&gt;0),_xlpm.p/_xlpm.c-1,"")),"")</f>
        <v>5.8916836619078428E-3</v>
      </c>
      <c r="F803" s="23">
        <f>IF(ISNUMBER(E803),D803*E803,0)</f>
        <v>4.8816664400633192E-5</v>
      </c>
      <c r="G803" s="22">
        <f>IF(ISNUMBER(E803),D803,0)</f>
        <v>8.2856900000000001E-3</v>
      </c>
      <c r="H803" t="s">
        <v>40</v>
      </c>
      <c r="I803" s="21">
        <v>46288</v>
      </c>
    </row>
    <row r="804" spans="1:9" x14ac:dyDescent="0.15">
      <c r="A804" t="s">
        <v>51</v>
      </c>
      <c r="B804" t="s">
        <v>566</v>
      </c>
      <c r="C804" t="s">
        <v>567</v>
      </c>
      <c r="D804" s="22">
        <v>8.0708500000000009E-3</v>
      </c>
      <c r="E804" s="22">
        <f>IFERROR(_xlfn.LET(_xlpm.m,MATCH($B804,Feed!$A:$A,0),_xlpm.p,INDEX(Feed!$B:$B,_xlpm.m),_xlpm.c,INDEX(Feed!$G:$G,_xlpm.m),IF(AND(_xlpm.p&gt;0,_xlpm.c&gt;0),_xlpm.p/_xlpm.c-1,"")),"")</f>
        <v>1.1384989499281462E-2</v>
      </c>
      <c r="F804" s="23">
        <f>IF(ISNUMBER(E804),D804*E804,0)</f>
        <v>9.1886542500275789E-5</v>
      </c>
      <c r="G804" s="22">
        <f>IF(ISNUMBER(E804),D804,0)</f>
        <v>8.0708500000000009E-3</v>
      </c>
      <c r="H804" t="s">
        <v>40</v>
      </c>
      <c r="I804" s="21">
        <v>46288</v>
      </c>
    </row>
    <row r="805" spans="1:9" x14ac:dyDescent="0.15">
      <c r="A805" t="s">
        <v>51</v>
      </c>
      <c r="B805" t="s">
        <v>602</v>
      </c>
      <c r="C805" t="s">
        <v>603</v>
      </c>
      <c r="D805" s="22">
        <v>7.6487600000000001E-3</v>
      </c>
      <c r="E805" s="22">
        <f>IFERROR(_xlfn.LET(_xlpm.m,MATCH($B805,Feed!$A:$A,0),_xlpm.p,INDEX(Feed!$B:$B,_xlpm.m),_xlpm.c,INDEX(Feed!$G:$G,_xlpm.m),IF(AND(_xlpm.p&gt;0,_xlpm.c&gt;0),_xlpm.p/_xlpm.c-1,"")),"")</f>
        <v>6.8958905860548203E-2</v>
      </c>
      <c r="F805" s="23">
        <f>IF(ISNUMBER(E805),D805*E805,0)</f>
        <v>5.2745012078992673E-4</v>
      </c>
      <c r="G805" s="22">
        <f>IF(ISNUMBER(E805),D805,0)</f>
        <v>7.6487600000000001E-3</v>
      </c>
      <c r="H805" t="s">
        <v>40</v>
      </c>
      <c r="I805" s="21">
        <v>46288</v>
      </c>
    </row>
    <row r="806" spans="1:9" x14ac:dyDescent="0.15">
      <c r="A806" t="s">
        <v>51</v>
      </c>
      <c r="B806" t="s">
        <v>582</v>
      </c>
      <c r="C806" t="s">
        <v>583</v>
      </c>
      <c r="D806" s="22">
        <v>7.23282E-3</v>
      </c>
      <c r="E806" s="22">
        <f>IFERROR(_xlfn.LET(_xlpm.m,MATCH($B806,Feed!$A:$A,0),_xlpm.p,INDEX(Feed!$B:$B,_xlpm.m),_xlpm.c,INDEX(Feed!$G:$G,_xlpm.m),IF(AND(_xlpm.p&gt;0,_xlpm.c&gt;0),_xlpm.p/_xlpm.c-1,"")),"")</f>
        <v>-3.6818393661643745E-2</v>
      </c>
      <c r="F806" s="23">
        <f>IF(ISNUMBER(E806),D806*E806,0)</f>
        <v>-2.6630081404381008E-4</v>
      </c>
      <c r="G806" s="22">
        <f>IF(ISNUMBER(E806),D806,0)</f>
        <v>7.23282E-3</v>
      </c>
      <c r="H806" t="s">
        <v>40</v>
      </c>
      <c r="I806" s="21">
        <v>46288</v>
      </c>
    </row>
    <row r="807" spans="1:9" x14ac:dyDescent="0.15">
      <c r="A807" t="s">
        <v>51</v>
      </c>
      <c r="B807" t="s">
        <v>608</v>
      </c>
      <c r="C807" t="s">
        <v>609</v>
      </c>
      <c r="D807" s="22">
        <v>7.1981199999999997E-3</v>
      </c>
      <c r="E807" s="22">
        <f>IFERROR(_xlfn.LET(_xlpm.m,MATCH($B807,Feed!$A:$A,0),_xlpm.p,INDEX(Feed!$B:$B,_xlpm.m),_xlpm.c,INDEX(Feed!$G:$G,_xlpm.m),IF(AND(_xlpm.p&gt;0,_xlpm.c&gt;0),_xlpm.p/_xlpm.c-1,"")),"")</f>
        <v>7.7812361049356404E-4</v>
      </c>
      <c r="F807" s="23">
        <f>IF(ISNUMBER(E807),D807*E807,0)</f>
        <v>5.6010271231659334E-6</v>
      </c>
      <c r="G807" s="22">
        <f>IF(ISNUMBER(E807),D807,0)</f>
        <v>7.1981199999999997E-3</v>
      </c>
      <c r="H807" t="s">
        <v>40</v>
      </c>
      <c r="I807" s="21">
        <v>46288</v>
      </c>
    </row>
    <row r="808" spans="1:9" x14ac:dyDescent="0.15">
      <c r="A808" t="s">
        <v>51</v>
      </c>
      <c r="B808" t="s">
        <v>626</v>
      </c>
      <c r="C808" t="s">
        <v>627</v>
      </c>
      <c r="D808" s="22">
        <v>6.7723499999999999E-3</v>
      </c>
      <c r="E808" s="22" t="str">
        <f>IFERROR(_xlfn.LET(_xlpm.m,MATCH($B808,Feed!$A:$A,0),_xlpm.p,INDEX(Feed!$B:$B,_xlpm.m),_xlpm.c,INDEX(Feed!$G:$G,_xlpm.m),IF(AND(_xlpm.p&gt;0,_xlpm.c&gt;0),_xlpm.p/_xlpm.c-1,"")),"")</f>
        <v/>
      </c>
      <c r="F808" s="23">
        <f>IF(ISNUMBER(E808),D808*E808,0)</f>
        <v>0</v>
      </c>
      <c r="G808" s="22">
        <f>IF(ISNUMBER(E808),D808,0)</f>
        <v>0</v>
      </c>
      <c r="H808" t="s">
        <v>40</v>
      </c>
      <c r="I808" s="21">
        <v>46288</v>
      </c>
    </row>
    <row r="809" spans="1:9" x14ac:dyDescent="0.15">
      <c r="A809" t="s">
        <v>51</v>
      </c>
      <c r="B809" t="s">
        <v>638</v>
      </c>
      <c r="C809" t="s">
        <v>639</v>
      </c>
      <c r="D809" s="22">
        <v>6.6524100000000001E-3</v>
      </c>
      <c r="E809" s="22">
        <f>IFERROR(_xlfn.LET(_xlpm.m,MATCH($B809,Feed!$A:$A,0),_xlpm.p,INDEX(Feed!$B:$B,_xlpm.m),_xlpm.c,INDEX(Feed!$G:$G,_xlpm.m),IF(AND(_xlpm.p&gt;0,_xlpm.c&gt;0),_xlpm.p/_xlpm.c-1,"")),"")</f>
        <v>1.9251441415029769E-2</v>
      </c>
      <c r="F809" s="23">
        <f>IF(ISNUMBER(E809),D809*E809,0)</f>
        <v>1.2806848138375819E-4</v>
      </c>
      <c r="G809" s="22">
        <f>IF(ISNUMBER(E809),D809,0)</f>
        <v>6.6524100000000001E-3</v>
      </c>
      <c r="H809" t="s">
        <v>40</v>
      </c>
      <c r="I809" s="21">
        <v>46288</v>
      </c>
    </row>
    <row r="810" spans="1:9" x14ac:dyDescent="0.15">
      <c r="A810" t="s">
        <v>51</v>
      </c>
      <c r="B810" t="s">
        <v>654</v>
      </c>
      <c r="C810" t="s">
        <v>655</v>
      </c>
      <c r="D810" s="22">
        <v>6.31374E-3</v>
      </c>
      <c r="E810" s="22" t="str">
        <f>IFERROR(_xlfn.LET(_xlpm.m,MATCH($B810,Feed!$A:$A,0),_xlpm.p,INDEX(Feed!$B:$B,_xlpm.m),_xlpm.c,INDEX(Feed!$G:$G,_xlpm.m),IF(AND(_xlpm.p&gt;0,_xlpm.c&gt;0),_xlpm.p/_xlpm.c-1,"")),"")</f>
        <v/>
      </c>
      <c r="F810" s="23">
        <f>IF(ISNUMBER(E810),D810*E810,0)</f>
        <v>0</v>
      </c>
      <c r="G810" s="22">
        <f>IF(ISNUMBER(E810),D810,0)</f>
        <v>0</v>
      </c>
      <c r="H810" t="s">
        <v>40</v>
      </c>
      <c r="I810" s="21">
        <v>46288</v>
      </c>
    </row>
    <row r="811" spans="1:9" x14ac:dyDescent="0.15">
      <c r="A811" t="s">
        <v>51</v>
      </c>
      <c r="B811" t="s">
        <v>670</v>
      </c>
      <c r="C811" t="s">
        <v>671</v>
      </c>
      <c r="D811" s="22">
        <v>6.0501400000000007E-3</v>
      </c>
      <c r="E811" s="22">
        <f>IFERROR(_xlfn.LET(_xlpm.m,MATCH($B811,Feed!$A:$A,0),_xlpm.p,INDEX(Feed!$B:$B,_xlpm.m),_xlpm.c,INDEX(Feed!$G:$G,_xlpm.m),IF(AND(_xlpm.p&gt;0,_xlpm.c&gt;0),_xlpm.p/_xlpm.c-1,"")),"")</f>
        <v>3.2718470912277864E-2</v>
      </c>
      <c r="F811" s="23">
        <f>IF(ISNUMBER(E811),D811*E811,0)</f>
        <v>1.9795132960520882E-4</v>
      </c>
      <c r="G811" s="22">
        <f>IF(ISNUMBER(E811),D811,0)</f>
        <v>6.0501400000000007E-3</v>
      </c>
      <c r="H811" t="s">
        <v>40</v>
      </c>
      <c r="I811" s="21">
        <v>46288</v>
      </c>
    </row>
    <row r="812" spans="1:9" x14ac:dyDescent="0.15">
      <c r="A812" t="s">
        <v>51</v>
      </c>
      <c r="B812" t="s">
        <v>692</v>
      </c>
      <c r="C812" t="s">
        <v>693</v>
      </c>
      <c r="D812" s="22">
        <v>5.4704100000000002E-3</v>
      </c>
      <c r="E812" s="22">
        <f>IFERROR(_xlfn.LET(_xlpm.m,MATCH($B812,Feed!$A:$A,0),_xlpm.p,INDEX(Feed!$B:$B,_xlpm.m),_xlpm.c,INDEX(Feed!$G:$G,_xlpm.m),IF(AND(_xlpm.p&gt;0,_xlpm.c&gt;0),_xlpm.p/_xlpm.c-1,"")),"")</f>
        <v>2.014549524342657E-3</v>
      </c>
      <c r="F812" s="23">
        <f>IF(ISNUMBER(E812),D812*E812,0)</f>
        <v>1.1020411863459315E-5</v>
      </c>
      <c r="G812" s="22">
        <f>IF(ISNUMBER(E812),D812,0)</f>
        <v>5.4704100000000002E-3</v>
      </c>
      <c r="H812" t="s">
        <v>40</v>
      </c>
      <c r="I812" s="21">
        <v>46288</v>
      </c>
    </row>
    <row r="813" spans="1:9" x14ac:dyDescent="0.15">
      <c r="A813" t="s">
        <v>51</v>
      </c>
      <c r="B813" t="s">
        <v>714</v>
      </c>
      <c r="C813" t="s">
        <v>715</v>
      </c>
      <c r="D813" s="22">
        <v>5.3917700000000006E-3</v>
      </c>
      <c r="E813" s="22">
        <f>IFERROR(_xlfn.LET(_xlpm.m,MATCH($B813,Feed!$A:$A,0),_xlpm.p,INDEX(Feed!$B:$B,_xlpm.m),_xlpm.c,INDEX(Feed!$G:$G,_xlpm.m),IF(AND(_xlpm.p&gt;0,_xlpm.c&gt;0),_xlpm.p/_xlpm.c-1,"")),"")</f>
        <v>4.5754060324826096E-2</v>
      </c>
      <c r="F813" s="23">
        <f>IF(ISNUMBER(E813),D813*E813,0)</f>
        <v>2.4669536983758765E-4</v>
      </c>
      <c r="G813" s="22">
        <f>IF(ISNUMBER(E813),D813,0)</f>
        <v>5.3917700000000006E-3</v>
      </c>
      <c r="H813" t="s">
        <v>40</v>
      </c>
      <c r="I813" s="21">
        <v>46288</v>
      </c>
    </row>
    <row r="814" spans="1:9" x14ac:dyDescent="0.15">
      <c r="A814" t="s">
        <v>51</v>
      </c>
      <c r="B814" t="s">
        <v>704</v>
      </c>
      <c r="C814" t="s">
        <v>705</v>
      </c>
      <c r="D814" s="22">
        <v>5.1843599999999998E-3</v>
      </c>
      <c r="E814" s="22">
        <f>IFERROR(_xlfn.LET(_xlpm.m,MATCH($B814,Feed!$A:$A,0),_xlpm.p,INDEX(Feed!$B:$B,_xlpm.m),_xlpm.c,INDEX(Feed!$G:$G,_xlpm.m),IF(AND(_xlpm.p&gt;0,_xlpm.c&gt;0),_xlpm.p/_xlpm.c-1,"")),"")</f>
        <v>-1.34228187919464E-2</v>
      </c>
      <c r="F814" s="23">
        <f>IF(ISNUMBER(E814),D814*E814,0)</f>
        <v>-6.9588724832215243E-5</v>
      </c>
      <c r="G814" s="22">
        <f>IF(ISNUMBER(E814),D814,0)</f>
        <v>5.1843599999999998E-3</v>
      </c>
      <c r="H814" t="s">
        <v>40</v>
      </c>
      <c r="I814" s="21">
        <v>46288</v>
      </c>
    </row>
    <row r="815" spans="1:9" x14ac:dyDescent="0.15">
      <c r="A815" t="s">
        <v>51</v>
      </c>
      <c r="B815" t="s">
        <v>710</v>
      </c>
      <c r="C815" t="s">
        <v>711</v>
      </c>
      <c r="D815" s="22">
        <v>5.0632200000000002E-3</v>
      </c>
      <c r="E815" s="22">
        <f>IFERROR(_xlfn.LET(_xlpm.m,MATCH($B815,Feed!$A:$A,0),_xlpm.p,INDEX(Feed!$B:$B,_xlpm.m),_xlpm.c,INDEX(Feed!$G:$G,_xlpm.m),IF(AND(_xlpm.p&gt;0,_xlpm.c&gt;0),_xlpm.p/_xlpm.c-1,"")),"")</f>
        <v>-2.7799109199815764E-2</v>
      </c>
      <c r="F815" s="23">
        <f>IF(ISNUMBER(E815),D815*E815,0)</f>
        <v>-1.4075300568269119E-4</v>
      </c>
      <c r="G815" s="22">
        <f>IF(ISNUMBER(E815),D815,0)</f>
        <v>5.0632200000000002E-3</v>
      </c>
      <c r="H815" t="s">
        <v>40</v>
      </c>
      <c r="I815" s="21">
        <v>46288</v>
      </c>
    </row>
    <row r="816" spans="1:9" x14ac:dyDescent="0.15">
      <c r="A816" t="s">
        <v>51</v>
      </c>
      <c r="B816" t="s">
        <v>730</v>
      </c>
      <c r="C816" t="s">
        <v>731</v>
      </c>
      <c r="D816" s="22">
        <v>4.8750299999999998E-3</v>
      </c>
      <c r="E816" s="22" t="str">
        <f>IFERROR(_xlfn.LET(_xlpm.m,MATCH($B816,Feed!$A:$A,0),_xlpm.p,INDEX(Feed!$B:$B,_xlpm.m),_xlpm.c,INDEX(Feed!$G:$G,_xlpm.m),IF(AND(_xlpm.p&gt;0,_xlpm.c&gt;0),_xlpm.p/_xlpm.c-1,"")),"")</f>
        <v/>
      </c>
      <c r="F816" s="23">
        <f>IF(ISNUMBER(E816),D816*E816,0)</f>
        <v>0</v>
      </c>
      <c r="G816" s="22">
        <f>IF(ISNUMBER(E816),D816,0)</f>
        <v>0</v>
      </c>
      <c r="H816" t="s">
        <v>40</v>
      </c>
      <c r="I816" s="21">
        <v>46288</v>
      </c>
    </row>
    <row r="817" spans="1:9" x14ac:dyDescent="0.15">
      <c r="A817" t="s">
        <v>51</v>
      </c>
      <c r="B817" t="s">
        <v>734</v>
      </c>
      <c r="C817" t="s">
        <v>735</v>
      </c>
      <c r="D817" s="22">
        <v>4.8467300000000005E-3</v>
      </c>
      <c r="E817" s="22">
        <f>IFERROR(_xlfn.LET(_xlpm.m,MATCH($B817,Feed!$A:$A,0),_xlpm.p,INDEX(Feed!$B:$B,_xlpm.m),_xlpm.c,INDEX(Feed!$G:$G,_xlpm.m),IF(AND(_xlpm.p&gt;0,_xlpm.c&gt;0),_xlpm.p/_xlpm.c-1,"")),"")</f>
        <v>3.2278184936847198E-2</v>
      </c>
      <c r="F817" s="23">
        <f>IF(ISNUMBER(E817),D817*E817,0)</f>
        <v>1.5644364727896543E-4</v>
      </c>
      <c r="G817" s="22">
        <f>IF(ISNUMBER(E817),D817,0)</f>
        <v>4.8467300000000005E-3</v>
      </c>
      <c r="H817" t="s">
        <v>40</v>
      </c>
      <c r="I817" s="21">
        <v>46288</v>
      </c>
    </row>
    <row r="818" spans="1:9" x14ac:dyDescent="0.15">
      <c r="A818" t="s">
        <v>51</v>
      </c>
      <c r="B818" t="s">
        <v>750</v>
      </c>
      <c r="C818" t="s">
        <v>751</v>
      </c>
      <c r="D818" s="22">
        <v>4.83644E-3</v>
      </c>
      <c r="E818" s="22">
        <f>IFERROR(_xlfn.LET(_xlpm.m,MATCH($B818,Feed!$A:$A,0),_xlpm.p,INDEX(Feed!$B:$B,_xlpm.m),_xlpm.c,INDEX(Feed!$G:$G,_xlpm.m),IF(AND(_xlpm.p&gt;0,_xlpm.c&gt;0),_xlpm.p/_xlpm.c-1,"")),"")</f>
        <v>7.0702137439669022E-2</v>
      </c>
      <c r="F818" s="23">
        <f>IF(ISNUMBER(E818),D818*E818,0)</f>
        <v>3.4194664559871282E-4</v>
      </c>
      <c r="G818" s="22">
        <f>IF(ISNUMBER(E818),D818,0)</f>
        <v>4.83644E-3</v>
      </c>
      <c r="H818" t="s">
        <v>40</v>
      </c>
      <c r="I818" s="21">
        <v>46288</v>
      </c>
    </row>
    <row r="819" spans="1:9" x14ac:dyDescent="0.15">
      <c r="A819" t="s">
        <v>51</v>
      </c>
      <c r="B819" t="s">
        <v>786</v>
      </c>
      <c r="C819" t="s">
        <v>787</v>
      </c>
      <c r="D819" s="22">
        <v>4.2289500000000004E-3</v>
      </c>
      <c r="E819" s="22" t="str">
        <f>IFERROR(_xlfn.LET(_xlpm.m,MATCH($B819,Feed!$A:$A,0),_xlpm.p,INDEX(Feed!$B:$B,_xlpm.m),_xlpm.c,INDEX(Feed!$G:$G,_xlpm.m),IF(AND(_xlpm.p&gt;0,_xlpm.c&gt;0),_xlpm.p/_xlpm.c-1,"")),"")</f>
        <v/>
      </c>
      <c r="F819" s="23">
        <f>IF(ISNUMBER(E819),D819*E819,0)</f>
        <v>0</v>
      </c>
      <c r="G819" s="22">
        <f>IF(ISNUMBER(E819),D819,0)</f>
        <v>0</v>
      </c>
      <c r="H819" t="s">
        <v>40</v>
      </c>
      <c r="I819" s="21">
        <v>46288</v>
      </c>
    </row>
    <row r="820" spans="1:9" x14ac:dyDescent="0.15">
      <c r="A820" t="s">
        <v>51</v>
      </c>
      <c r="B820" t="s">
        <v>758</v>
      </c>
      <c r="C820" t="s">
        <v>759</v>
      </c>
      <c r="D820" s="22">
        <v>4.1954799999999997E-3</v>
      </c>
      <c r="E820" s="22">
        <f>IFERROR(_xlfn.LET(_xlpm.m,MATCH($B820,Feed!$A:$A,0),_xlpm.p,INDEX(Feed!$B:$B,_xlpm.m),_xlpm.c,INDEX(Feed!$G:$G,_xlpm.m),IF(AND(_xlpm.p&gt;0,_xlpm.c&gt;0),_xlpm.p/_xlpm.c-1,"")),"")</f>
        <v>-4.4430919050517326E-2</v>
      </c>
      <c r="F820" s="23">
        <f>IF(ISNUMBER(E820),D820*E820,0)</f>
        <v>-1.8640903225806442E-4</v>
      </c>
      <c r="G820" s="22">
        <f>IF(ISNUMBER(E820),D820,0)</f>
        <v>4.1954799999999997E-3</v>
      </c>
      <c r="H820" t="s">
        <v>40</v>
      </c>
      <c r="I820" s="21">
        <v>46288</v>
      </c>
    </row>
    <row r="821" spans="1:9" x14ac:dyDescent="0.15">
      <c r="A821" t="s">
        <v>51</v>
      </c>
      <c r="B821" t="s">
        <v>784</v>
      </c>
      <c r="C821" t="s">
        <v>785</v>
      </c>
      <c r="D821" s="22">
        <v>4.0912300000000004E-3</v>
      </c>
      <c r="E821" s="22">
        <f>IFERROR(_xlfn.LET(_xlpm.m,MATCH($B821,Feed!$A:$A,0),_xlpm.p,INDEX(Feed!$B:$B,_xlpm.m),_xlpm.c,INDEX(Feed!$G:$G,_xlpm.m),IF(AND(_xlpm.p&gt;0,_xlpm.c&gt;0),_xlpm.p/_xlpm.c-1,"")),"")</f>
        <v>-2.8592809703470334E-2</v>
      </c>
      <c r="F821" s="23">
        <f>IF(ISNUMBER(E821),D821*E821,0)</f>
        <v>-1.1697976084312894E-4</v>
      </c>
      <c r="G821" s="22">
        <f>IF(ISNUMBER(E821),D821,0)</f>
        <v>4.0912300000000004E-3</v>
      </c>
      <c r="H821" t="s">
        <v>40</v>
      </c>
      <c r="I821" s="21">
        <v>46288</v>
      </c>
    </row>
    <row r="822" spans="1:9" x14ac:dyDescent="0.15">
      <c r="A822" t="s">
        <v>51</v>
      </c>
      <c r="B822" t="s">
        <v>858</v>
      </c>
      <c r="C822" t="s">
        <v>859</v>
      </c>
      <c r="D822" s="22">
        <v>3.4992499999999998E-3</v>
      </c>
      <c r="E822" s="22">
        <f>IFERROR(_xlfn.LET(_xlpm.m,MATCH($B822,Feed!$A:$A,0),_xlpm.p,INDEX(Feed!$B:$B,_xlpm.m),_xlpm.c,INDEX(Feed!$G:$G,_xlpm.m),IF(AND(_xlpm.p&gt;0,_xlpm.c&gt;0),_xlpm.p/_xlpm.c-1,"")),"")</f>
        <v>1.2927938711994269E-2</v>
      </c>
      <c r="F822" s="23">
        <f>IF(ISNUMBER(E822),D822*E822,0)</f>
        <v>4.5238089537945942E-5</v>
      </c>
      <c r="G822" s="22">
        <f>IF(ISNUMBER(E822),D822,0)</f>
        <v>3.4992499999999998E-3</v>
      </c>
      <c r="H822" t="s">
        <v>40</v>
      </c>
      <c r="I822" s="21">
        <v>46288</v>
      </c>
    </row>
    <row r="823" spans="1:9" x14ac:dyDescent="0.15">
      <c r="A823" t="s">
        <v>51</v>
      </c>
      <c r="B823" t="s">
        <v>878</v>
      </c>
      <c r="C823" t="s">
        <v>879</v>
      </c>
      <c r="D823" s="22">
        <v>3.2961900000000001E-3</v>
      </c>
      <c r="E823" s="22">
        <f>IFERROR(_xlfn.LET(_xlpm.m,MATCH($B823,Feed!$A:$A,0),_xlpm.p,INDEX(Feed!$B:$B,_xlpm.m),_xlpm.c,INDEX(Feed!$G:$G,_xlpm.m),IF(AND(_xlpm.p&gt;0,_xlpm.c&gt;0),_xlpm.p/_xlpm.c-1,"")),"")</f>
        <v>1.8289114319157251E-2</v>
      </c>
      <c r="F823" s="23">
        <f>IF(ISNUMBER(E823),D823*E823,0)</f>
        <v>6.028439572766294E-5</v>
      </c>
      <c r="G823" s="22">
        <f>IF(ISNUMBER(E823),D823,0)</f>
        <v>3.2961900000000001E-3</v>
      </c>
      <c r="H823" t="s">
        <v>40</v>
      </c>
      <c r="I823" s="21">
        <v>46288</v>
      </c>
    </row>
    <row r="824" spans="1:9" x14ac:dyDescent="0.15">
      <c r="A824" t="s">
        <v>51</v>
      </c>
      <c r="B824" t="s">
        <v>884</v>
      </c>
      <c r="C824" t="s">
        <v>885</v>
      </c>
      <c r="D824" s="22">
        <v>3.1951099999999997E-3</v>
      </c>
      <c r="E824" s="22" t="str">
        <f>IFERROR(_xlfn.LET(_xlpm.m,MATCH($B824,Feed!$A:$A,0),_xlpm.p,INDEX(Feed!$B:$B,_xlpm.m),_xlpm.c,INDEX(Feed!$G:$G,_xlpm.m),IF(AND(_xlpm.p&gt;0,_xlpm.c&gt;0),_xlpm.p/_xlpm.c-1,"")),"")</f>
        <v/>
      </c>
      <c r="F824" s="23">
        <f>IF(ISNUMBER(E824),D824*E824,0)</f>
        <v>0</v>
      </c>
      <c r="G824" s="22">
        <f>IF(ISNUMBER(E824),D824,0)</f>
        <v>0</v>
      </c>
      <c r="H824" t="s">
        <v>40</v>
      </c>
      <c r="I824" s="21">
        <v>46288</v>
      </c>
    </row>
    <row r="825" spans="1:9" x14ac:dyDescent="0.15">
      <c r="A825" t="s">
        <v>51</v>
      </c>
      <c r="B825" t="s">
        <v>918</v>
      </c>
      <c r="C825" t="s">
        <v>919</v>
      </c>
      <c r="D825" s="22">
        <v>2.90237E-3</v>
      </c>
      <c r="E825" s="22" t="str">
        <f>IFERROR(_xlfn.LET(_xlpm.m,MATCH($B825,Feed!$A:$A,0),_xlpm.p,INDEX(Feed!$B:$B,_xlpm.m),_xlpm.c,INDEX(Feed!$G:$G,_xlpm.m),IF(AND(_xlpm.p&gt;0,_xlpm.c&gt;0),_xlpm.p/_xlpm.c-1,"")),"")</f>
        <v/>
      </c>
      <c r="F825" s="23">
        <f>IF(ISNUMBER(E825),D825*E825,0)</f>
        <v>0</v>
      </c>
      <c r="G825" s="22">
        <f>IF(ISNUMBER(E825),D825,0)</f>
        <v>0</v>
      </c>
      <c r="H825" t="s">
        <v>40</v>
      </c>
      <c r="I825" s="21">
        <v>46288</v>
      </c>
    </row>
    <row r="826" spans="1:9" x14ac:dyDescent="0.15">
      <c r="A826" t="s">
        <v>51</v>
      </c>
      <c r="B826" t="s">
        <v>956</v>
      </c>
      <c r="C826" t="s">
        <v>957</v>
      </c>
      <c r="D826" s="22">
        <v>2.5893800000000001E-3</v>
      </c>
      <c r="E826" s="22">
        <f>IFERROR(_xlfn.LET(_xlpm.m,MATCH($B826,Feed!$A:$A,0),_xlpm.p,INDEX(Feed!$B:$B,_xlpm.m),_xlpm.c,INDEX(Feed!$G:$G,_xlpm.m),IF(AND(_xlpm.p&gt;0,_xlpm.c&gt;0),_xlpm.p/_xlpm.c-1,"")),"")</f>
        <v>-9.7594980829551758E-4</v>
      </c>
      <c r="F826" s="23">
        <f>IF(ISNUMBER(E826),D826*E826,0)</f>
        <v>-2.5271049146042472E-6</v>
      </c>
      <c r="G826" s="22">
        <f>IF(ISNUMBER(E826),D826,0)</f>
        <v>2.5893800000000001E-3</v>
      </c>
      <c r="H826" t="s">
        <v>40</v>
      </c>
      <c r="I826" s="21">
        <v>46288</v>
      </c>
    </row>
    <row r="827" spans="1:9" x14ac:dyDescent="0.15">
      <c r="A827" t="s">
        <v>51</v>
      </c>
      <c r="B827" t="s">
        <v>1000</v>
      </c>
      <c r="C827" t="s">
        <v>1001</v>
      </c>
      <c r="D827" s="22">
        <v>2.2040599999999999E-3</v>
      </c>
      <c r="E827" s="22">
        <f>IFERROR(_xlfn.LET(_xlpm.m,MATCH($B827,Feed!$A:$A,0),_xlpm.p,INDEX(Feed!$B:$B,_xlpm.m),_xlpm.c,INDEX(Feed!$G:$G,_xlpm.m),IF(AND(_xlpm.p&gt;0,_xlpm.c&gt;0),_xlpm.p/_xlpm.c-1,"")),"")</f>
        <v>2.1863015662521246E-2</v>
      </c>
      <c r="F827" s="23">
        <f>IF(ISNUMBER(E827),D827*E827,0)</f>
        <v>4.8187398301136577E-5</v>
      </c>
      <c r="G827" s="22">
        <f>IF(ISNUMBER(E827),D827,0)</f>
        <v>2.2040599999999999E-3</v>
      </c>
      <c r="H827" t="s">
        <v>40</v>
      </c>
      <c r="I827" s="21">
        <v>46288</v>
      </c>
    </row>
    <row r="828" spans="1:9" x14ac:dyDescent="0.15">
      <c r="A828" t="s">
        <v>51</v>
      </c>
      <c r="B828" t="s">
        <v>1022</v>
      </c>
      <c r="C828" t="s">
        <v>1023</v>
      </c>
      <c r="D828" s="22">
        <v>2.0792599999999999E-3</v>
      </c>
      <c r="E828" s="22">
        <f>IFERROR(_xlfn.LET(_xlpm.m,MATCH($B828,Feed!$A:$A,0),_xlpm.p,INDEX(Feed!$B:$B,_xlpm.m),_xlpm.c,INDEX(Feed!$G:$G,_xlpm.m),IF(AND(_xlpm.p&gt;0,_xlpm.c&gt;0),_xlpm.p/_xlpm.c-1,"")),"")</f>
        <v>-1.013057181449839E-3</v>
      </c>
      <c r="F828" s="23">
        <f>IF(ISNUMBER(E828),D828*E828,0)</f>
        <v>-2.1064092751013921E-6</v>
      </c>
      <c r="G828" s="22">
        <f>IF(ISNUMBER(E828),D828,0)</f>
        <v>2.0792599999999999E-3</v>
      </c>
      <c r="H828" t="s">
        <v>40</v>
      </c>
      <c r="I828" s="21">
        <v>46288</v>
      </c>
    </row>
    <row r="829" spans="1:9" x14ac:dyDescent="0.15">
      <c r="A829" t="s">
        <v>51</v>
      </c>
      <c r="B829" t="s">
        <v>1040</v>
      </c>
      <c r="C829" t="s">
        <v>1041</v>
      </c>
      <c r="D829" s="22">
        <v>1.9822999999999998E-3</v>
      </c>
      <c r="E829" s="22">
        <f>IFERROR(_xlfn.LET(_xlpm.m,MATCH($B829,Feed!$A:$A,0),_xlpm.p,INDEX(Feed!$B:$B,_xlpm.m),_xlpm.c,INDEX(Feed!$G:$G,_xlpm.m),IF(AND(_xlpm.p&gt;0,_xlpm.c&gt;0),_xlpm.p/_xlpm.c-1,"")),"")</f>
        <v>3.8596491228070073E-2</v>
      </c>
      <c r="F829" s="23">
        <f>IF(ISNUMBER(E829),D829*E829,0)</f>
        <v>7.6509824561403296E-5</v>
      </c>
      <c r="G829" s="22">
        <f>IF(ISNUMBER(E829),D829,0)</f>
        <v>1.9822999999999998E-3</v>
      </c>
      <c r="H829" t="s">
        <v>40</v>
      </c>
      <c r="I829" s="21">
        <v>46288</v>
      </c>
    </row>
    <row r="830" spans="1:9" x14ac:dyDescent="0.15">
      <c r="A830" t="s">
        <v>51</v>
      </c>
      <c r="B830" t="s">
        <v>1048</v>
      </c>
      <c r="C830" t="s">
        <v>1049</v>
      </c>
      <c r="D830" s="22">
        <v>1.83913E-3</v>
      </c>
      <c r="E830" s="22">
        <f>IFERROR(_xlfn.LET(_xlpm.m,MATCH($B830,Feed!$A:$A,0),_xlpm.p,INDEX(Feed!$B:$B,_xlpm.m),_xlpm.c,INDEX(Feed!$G:$G,_xlpm.m),IF(AND(_xlpm.p&gt;0,_xlpm.c&gt;0),_xlpm.p/_xlpm.c-1,"")),"")</f>
        <v>2.487218460688112E-3</v>
      </c>
      <c r="F830" s="23">
        <f>IF(ISNUMBER(E830),D830*E830,0)</f>
        <v>4.5743180876053275E-6</v>
      </c>
      <c r="G830" s="22">
        <f>IF(ISNUMBER(E830),D830,0)</f>
        <v>1.83913E-3</v>
      </c>
      <c r="H830" t="s">
        <v>40</v>
      </c>
      <c r="I830" s="21">
        <v>46288</v>
      </c>
    </row>
    <row r="831" spans="1:9" x14ac:dyDescent="0.15">
      <c r="A831" t="s">
        <v>51</v>
      </c>
      <c r="B831" t="s">
        <v>1056</v>
      </c>
      <c r="C831" t="s">
        <v>1057</v>
      </c>
      <c r="D831" s="22">
        <v>1.74606E-3</v>
      </c>
      <c r="E831" s="22">
        <f>IFERROR(_xlfn.LET(_xlpm.m,MATCH($B831,Feed!$A:$A,0),_xlpm.p,INDEX(Feed!$B:$B,_xlpm.m),_xlpm.c,INDEX(Feed!$G:$G,_xlpm.m),IF(AND(_xlpm.p&gt;0,_xlpm.c&gt;0),_xlpm.p/_xlpm.c-1,"")),"")</f>
        <v>0</v>
      </c>
      <c r="F831" s="23">
        <f>IF(ISNUMBER(E831),D831*E831,0)</f>
        <v>0</v>
      </c>
      <c r="G831" s="22">
        <f>IF(ISNUMBER(E831),D831,0)</f>
        <v>1.74606E-3</v>
      </c>
      <c r="H831" t="s">
        <v>40</v>
      </c>
      <c r="I831" s="21">
        <v>46288</v>
      </c>
    </row>
    <row r="832" spans="1:9" x14ac:dyDescent="0.15">
      <c r="A832" t="s">
        <v>51</v>
      </c>
      <c r="B832" t="s">
        <v>1080</v>
      </c>
      <c r="C832" t="s">
        <v>1081</v>
      </c>
      <c r="D832" s="22">
        <v>1.6399100000000001E-3</v>
      </c>
      <c r="E832" s="22">
        <f>IFERROR(_xlfn.LET(_xlpm.m,MATCH($B832,Feed!$A:$A,0),_xlpm.p,INDEX(Feed!$B:$B,_xlpm.m),_xlpm.c,INDEX(Feed!$G:$G,_xlpm.m),IF(AND(_xlpm.p&gt;0,_xlpm.c&gt;0),_xlpm.p/_xlpm.c-1,"")),"")</f>
        <v>3.8479777792832293E-2</v>
      </c>
      <c r="F832" s="23">
        <f>IF(ISNUMBER(E832),D832*E832,0)</f>
        <v>6.3103372400243613E-5</v>
      </c>
      <c r="G832" s="22">
        <f>IF(ISNUMBER(E832),D832,0)</f>
        <v>1.6399100000000001E-3</v>
      </c>
      <c r="H832" t="s">
        <v>40</v>
      </c>
      <c r="I832" s="21">
        <v>46288</v>
      </c>
    </row>
    <row r="833" spans="1:9" x14ac:dyDescent="0.15">
      <c r="A833" t="s">
        <v>51</v>
      </c>
      <c r="B833" t="s">
        <v>1078</v>
      </c>
      <c r="C833" t="s">
        <v>1079</v>
      </c>
      <c r="D833" s="22">
        <v>1.56536E-3</v>
      </c>
      <c r="E833" s="22" t="str">
        <f>IFERROR(_xlfn.LET(_xlpm.m,MATCH($B833,Feed!$A:$A,0),_xlpm.p,INDEX(Feed!$B:$B,_xlpm.m),_xlpm.c,INDEX(Feed!$G:$G,_xlpm.m),IF(AND(_xlpm.p&gt;0,_xlpm.c&gt;0),_xlpm.p/_xlpm.c-1,"")),"")</f>
        <v/>
      </c>
      <c r="F833" s="23">
        <f>IF(ISNUMBER(E833),D833*E833,0)</f>
        <v>0</v>
      </c>
      <c r="G833" s="22">
        <f>IF(ISNUMBER(E833),D833,0)</f>
        <v>0</v>
      </c>
      <c r="H833" t="s">
        <v>40</v>
      </c>
      <c r="I833" s="21">
        <v>46288</v>
      </c>
    </row>
    <row r="834" spans="1:9" x14ac:dyDescent="0.15">
      <c r="A834" t="s">
        <v>51</v>
      </c>
      <c r="B834" t="s">
        <v>1090</v>
      </c>
      <c r="C834" t="s">
        <v>1091</v>
      </c>
      <c r="D834" s="22">
        <v>1.50007E-3</v>
      </c>
      <c r="E834" s="22" t="str">
        <f>IFERROR(_xlfn.LET(_xlpm.m,MATCH($B834,Feed!$A:$A,0),_xlpm.p,INDEX(Feed!$B:$B,_xlpm.m),_xlpm.c,INDEX(Feed!$G:$G,_xlpm.m),IF(AND(_xlpm.p&gt;0,_xlpm.c&gt;0),_xlpm.p/_xlpm.c-1,"")),"")</f>
        <v/>
      </c>
      <c r="F834" s="23">
        <f>IF(ISNUMBER(E834),D834*E834,0)</f>
        <v>0</v>
      </c>
      <c r="G834" s="22">
        <f>IF(ISNUMBER(E834),D834,0)</f>
        <v>0</v>
      </c>
      <c r="H834" t="s">
        <v>40</v>
      </c>
      <c r="I834" s="21">
        <v>46288</v>
      </c>
    </row>
    <row r="835" spans="1:9" x14ac:dyDescent="0.15">
      <c r="A835" t="s">
        <v>51</v>
      </c>
      <c r="B835" t="s">
        <v>1098</v>
      </c>
      <c r="C835" t="s">
        <v>1099</v>
      </c>
      <c r="D835" s="22">
        <v>1.3568300000000001E-3</v>
      </c>
      <c r="E835" s="22">
        <f>IFERROR(_xlfn.LET(_xlpm.m,MATCH($B835,Feed!$A:$A,0),_xlpm.p,INDEX(Feed!$B:$B,_xlpm.m),_xlpm.c,INDEX(Feed!$G:$G,_xlpm.m),IF(AND(_xlpm.p&gt;0,_xlpm.c&gt;0),_xlpm.p/_xlpm.c-1,"")),"")</f>
        <v>2.6173708920187888E-2</v>
      </c>
      <c r="F835" s="23">
        <f>IF(ISNUMBER(E835),D835*E835,0)</f>
        <v>3.5513273474178534E-5</v>
      </c>
      <c r="G835" s="22">
        <f>IF(ISNUMBER(E835),D835,0)</f>
        <v>1.3568300000000001E-3</v>
      </c>
      <c r="H835" t="s">
        <v>40</v>
      </c>
      <c r="I835" s="21">
        <v>46288</v>
      </c>
    </row>
    <row r="836" spans="1:9" x14ac:dyDescent="0.15">
      <c r="A836" t="s">
        <v>51</v>
      </c>
      <c r="B836" t="s">
        <v>1110</v>
      </c>
      <c r="C836" t="s">
        <v>1111</v>
      </c>
      <c r="D836" s="22">
        <v>1.0058200000000002E-3</v>
      </c>
      <c r="E836" s="22">
        <f>IFERROR(_xlfn.LET(_xlpm.m,MATCH($B836,Feed!$A:$A,0),_xlpm.p,INDEX(Feed!$B:$B,_xlpm.m),_xlpm.c,INDEX(Feed!$G:$G,_xlpm.m),IF(AND(_xlpm.p&gt;0,_xlpm.c&gt;0),_xlpm.p/_xlpm.c-1,"")),"")</f>
        <v>-7.6144892853269308E-4</v>
      </c>
      <c r="F836" s="23">
        <f>IF(ISNUMBER(E836),D836*E836,0)</f>
        <v>-7.6588056129675349E-7</v>
      </c>
      <c r="G836" s="22">
        <f>IF(ISNUMBER(E836),D836,0)</f>
        <v>1.0058200000000002E-3</v>
      </c>
      <c r="H836" t="s">
        <v>40</v>
      </c>
      <c r="I836" s="21">
        <v>46288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showGridLines="0" workbookViewId="0">
      <selection activeCell="B1" sqref="B1"/>
    </sheetView>
  </sheetViews>
  <sheetFormatPr baseColWidth="10" defaultColWidth="8.83203125" defaultRowHeight="14" x14ac:dyDescent="0.15"/>
  <cols>
    <col min="1" max="1" width="8" customWidth="1"/>
  </cols>
  <sheetData>
    <row r="1" spans="1:2" x14ac:dyDescent="0.15">
      <c r="A1" s="17" t="s">
        <v>28</v>
      </c>
      <c r="B1" s="18" t="s">
        <v>56</v>
      </c>
    </row>
    <row r="2" spans="1:2" x14ac:dyDescent="0.15">
      <c r="A2" s="17" t="s">
        <v>90</v>
      </c>
      <c r="B2" s="18">
        <v>126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Universe!$A$2:$A$300</xm:f>
          </x14:formula1>
          <xm:sqref>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7"/>
  <sheetViews>
    <sheetView showGridLines="0" workbookViewId="0"/>
  </sheetViews>
  <sheetFormatPr baseColWidth="10" defaultColWidth="8.83203125" defaultRowHeight="14" x14ac:dyDescent="0.15"/>
  <sheetData>
    <row r="1" spans="1:5" x14ac:dyDescent="0.15">
      <c r="A1" t="s">
        <v>1256</v>
      </c>
      <c r="B1" t="s">
        <v>28</v>
      </c>
      <c r="C1" t="s">
        <v>31</v>
      </c>
      <c r="D1" t="s">
        <v>1257</v>
      </c>
      <c r="E1" t="s">
        <v>10</v>
      </c>
    </row>
    <row r="2" spans="1:5" x14ac:dyDescent="0.15">
      <c r="A2" s="21">
        <v>46104</v>
      </c>
      <c r="B2">
        <v>102.69670000000001</v>
      </c>
      <c r="C2">
        <v>102.8227</v>
      </c>
      <c r="D2">
        <v>-12.5997</v>
      </c>
      <c r="E2">
        <v>2035700</v>
      </c>
    </row>
    <row r="3" spans="1:5" x14ac:dyDescent="0.15">
      <c r="A3" s="21">
        <v>46105</v>
      </c>
      <c r="B3">
        <v>102.93089999999999</v>
      </c>
      <c r="C3">
        <v>102.9453</v>
      </c>
      <c r="D3">
        <v>-1.7230000000000001</v>
      </c>
      <c r="E3">
        <v>1328600</v>
      </c>
    </row>
    <row r="4" spans="1:5" x14ac:dyDescent="0.15">
      <c r="A4" s="21">
        <v>46106</v>
      </c>
      <c r="B4">
        <v>103.63720000000001</v>
      </c>
      <c r="C4">
        <v>103.74720000000001</v>
      </c>
      <c r="D4">
        <v>-10.995699999999999</v>
      </c>
      <c r="E4">
        <v>1247100</v>
      </c>
    </row>
    <row r="5" spans="1:5" x14ac:dyDescent="0.15">
      <c r="A5" s="21">
        <v>46107</v>
      </c>
      <c r="B5">
        <v>103.86020000000001</v>
      </c>
      <c r="C5">
        <v>103.96899999999999</v>
      </c>
      <c r="D5">
        <v>-10.8514</v>
      </c>
      <c r="E5">
        <v>2024300</v>
      </c>
    </row>
    <row r="6" spans="1:5" x14ac:dyDescent="0.15">
      <c r="A6" s="21">
        <v>46108</v>
      </c>
      <c r="B6">
        <v>100.4032</v>
      </c>
      <c r="C6">
        <v>100.60599999999999</v>
      </c>
      <c r="D6">
        <v>-20.246200000000002</v>
      </c>
      <c r="E6">
        <v>1508600</v>
      </c>
    </row>
    <row r="7" spans="1:5" x14ac:dyDescent="0.15">
      <c r="A7" s="21">
        <v>46111</v>
      </c>
      <c r="B7">
        <v>98.618899999999996</v>
      </c>
      <c r="C7">
        <v>98.850999999999999</v>
      </c>
      <c r="D7">
        <v>-23.520499999999998</v>
      </c>
      <c r="E7">
        <v>1353600</v>
      </c>
    </row>
    <row r="8" spans="1:5" x14ac:dyDescent="0.15">
      <c r="A8" s="21">
        <v>46112</v>
      </c>
      <c r="B8">
        <v>104.30629999999999</v>
      </c>
      <c r="C8">
        <v>104.59059999999999</v>
      </c>
      <c r="D8">
        <v>-27.442799999999998</v>
      </c>
      <c r="E8">
        <v>1775000</v>
      </c>
    </row>
    <row r="9" spans="1:5" x14ac:dyDescent="0.15">
      <c r="A9" s="21">
        <v>46113</v>
      </c>
      <c r="B9">
        <v>105.8304</v>
      </c>
      <c r="C9">
        <v>106.10720000000001</v>
      </c>
      <c r="D9">
        <v>-26.3294</v>
      </c>
      <c r="E9">
        <v>2008300</v>
      </c>
    </row>
    <row r="10" spans="1:5" x14ac:dyDescent="0.15">
      <c r="A10" s="21">
        <v>46114</v>
      </c>
      <c r="B10">
        <v>105.9419</v>
      </c>
      <c r="C10">
        <v>106.3479</v>
      </c>
      <c r="D10">
        <v>-38.4801</v>
      </c>
      <c r="E10">
        <v>1540900</v>
      </c>
    </row>
    <row r="11" spans="1:5" x14ac:dyDescent="0.15">
      <c r="A11" s="21">
        <v>46118</v>
      </c>
      <c r="B11">
        <v>108.4324</v>
      </c>
      <c r="C11">
        <v>108.79130000000001</v>
      </c>
      <c r="D11">
        <v>-33.151200000000003</v>
      </c>
      <c r="E11">
        <v>1267300</v>
      </c>
    </row>
    <row r="12" spans="1:5" x14ac:dyDescent="0.15">
      <c r="A12" s="21">
        <v>46119</v>
      </c>
      <c r="B12">
        <v>103.86020000000001</v>
      </c>
      <c r="C12">
        <v>104.286</v>
      </c>
      <c r="D12">
        <v>-40.693899999999999</v>
      </c>
      <c r="E12">
        <v>4435700</v>
      </c>
    </row>
    <row r="13" spans="1:5" x14ac:dyDescent="0.15">
      <c r="A13" s="21">
        <v>46120</v>
      </c>
      <c r="B13">
        <v>108.32089999999999</v>
      </c>
      <c r="C13">
        <v>108.729</v>
      </c>
      <c r="D13">
        <v>-37.2393</v>
      </c>
      <c r="E13">
        <v>1553400</v>
      </c>
    </row>
    <row r="14" spans="1:5" x14ac:dyDescent="0.15">
      <c r="A14" s="21">
        <v>46121</v>
      </c>
      <c r="B14">
        <v>109.5476</v>
      </c>
      <c r="C14">
        <v>110.0645</v>
      </c>
      <c r="D14">
        <v>-46.819200000000002</v>
      </c>
      <c r="E14">
        <v>1036600</v>
      </c>
    </row>
    <row r="15" spans="1:5" x14ac:dyDescent="0.15">
      <c r="A15" s="21">
        <v>46122</v>
      </c>
      <c r="B15">
        <v>109.3989</v>
      </c>
      <c r="C15">
        <v>110.056</v>
      </c>
      <c r="D15">
        <v>-59.6248</v>
      </c>
      <c r="E15">
        <v>1041000</v>
      </c>
    </row>
    <row r="16" spans="1:5" x14ac:dyDescent="0.15">
      <c r="A16" s="21">
        <v>46125</v>
      </c>
      <c r="B16">
        <v>108.39530000000001</v>
      </c>
      <c r="C16">
        <v>108.9744</v>
      </c>
      <c r="D16">
        <v>-53.088500000000003</v>
      </c>
      <c r="E16">
        <v>1700500</v>
      </c>
    </row>
    <row r="17" spans="1:5" x14ac:dyDescent="0.15">
      <c r="A17" s="21">
        <v>46126</v>
      </c>
      <c r="B17">
        <v>108.0607</v>
      </c>
      <c r="C17">
        <v>108.66330000000001</v>
      </c>
      <c r="D17">
        <v>-55.402200000000001</v>
      </c>
      <c r="E17">
        <v>3498600</v>
      </c>
    </row>
    <row r="18" spans="1:5" x14ac:dyDescent="0.15">
      <c r="A18" s="21">
        <v>46127</v>
      </c>
      <c r="B18">
        <v>114.3057</v>
      </c>
      <c r="C18">
        <v>115.0446</v>
      </c>
      <c r="D18">
        <v>-64.744900000000001</v>
      </c>
      <c r="E18">
        <v>3236900</v>
      </c>
    </row>
    <row r="19" spans="1:5" x14ac:dyDescent="0.15">
      <c r="A19" s="21">
        <v>46128</v>
      </c>
      <c r="B19">
        <v>111.74079999999999</v>
      </c>
      <c r="C19">
        <v>112.42789999999999</v>
      </c>
      <c r="D19">
        <v>-61.683799999999998</v>
      </c>
      <c r="E19">
        <v>3025600</v>
      </c>
    </row>
    <row r="20" spans="1:5" x14ac:dyDescent="0.15">
      <c r="A20" s="21">
        <v>46129</v>
      </c>
      <c r="B20">
        <v>117.3539</v>
      </c>
      <c r="C20">
        <v>118.2585</v>
      </c>
      <c r="D20">
        <v>-77.958299999999994</v>
      </c>
      <c r="E20">
        <v>2920800</v>
      </c>
    </row>
    <row r="21" spans="1:5" x14ac:dyDescent="0.15">
      <c r="A21" s="21">
        <v>46132</v>
      </c>
      <c r="B21">
        <v>119.7701</v>
      </c>
      <c r="C21">
        <v>120.7266</v>
      </c>
      <c r="D21">
        <v>-80.775099999999995</v>
      </c>
      <c r="E21">
        <v>2742700</v>
      </c>
    </row>
    <row r="22" spans="1:5" x14ac:dyDescent="0.15">
      <c r="A22" s="21">
        <v>46133</v>
      </c>
      <c r="B22">
        <v>113.82250000000001</v>
      </c>
      <c r="C22">
        <v>114.64279999999999</v>
      </c>
      <c r="D22">
        <v>-73.426299999999998</v>
      </c>
      <c r="E22">
        <v>2875000</v>
      </c>
    </row>
    <row r="23" spans="1:5" x14ac:dyDescent="0.15">
      <c r="A23" s="21">
        <v>46134</v>
      </c>
      <c r="B23">
        <v>119.7329</v>
      </c>
      <c r="C23">
        <v>120.6728</v>
      </c>
      <c r="D23">
        <v>-80.139200000000002</v>
      </c>
      <c r="E23">
        <v>2189200</v>
      </c>
    </row>
    <row r="24" spans="1:5" x14ac:dyDescent="0.15">
      <c r="A24" s="21">
        <v>46135</v>
      </c>
      <c r="B24">
        <v>119.956</v>
      </c>
      <c r="C24">
        <v>120.9025</v>
      </c>
      <c r="D24">
        <v>-80.543499999999995</v>
      </c>
      <c r="E24">
        <v>1911100</v>
      </c>
    </row>
    <row r="25" spans="1:5" x14ac:dyDescent="0.15">
      <c r="A25" s="21">
        <v>46136</v>
      </c>
      <c r="B25">
        <v>117.7256</v>
      </c>
      <c r="C25">
        <v>118.8066</v>
      </c>
      <c r="D25">
        <v>-93.121700000000004</v>
      </c>
      <c r="E25">
        <v>2183700</v>
      </c>
    </row>
    <row r="26" spans="1:5" x14ac:dyDescent="0.15">
      <c r="A26" s="21">
        <v>46139</v>
      </c>
      <c r="B26">
        <v>114.7518</v>
      </c>
      <c r="C26">
        <v>115.78230000000001</v>
      </c>
      <c r="D26">
        <v>-91.170699999999997</v>
      </c>
      <c r="E26">
        <v>2141500</v>
      </c>
    </row>
    <row r="27" spans="1:5" x14ac:dyDescent="0.15">
      <c r="A27" s="21">
        <v>46140</v>
      </c>
      <c r="B27">
        <v>117.39100000000001</v>
      </c>
      <c r="C27">
        <v>118.46469999999999</v>
      </c>
      <c r="D27">
        <v>-92.855000000000004</v>
      </c>
      <c r="E27">
        <v>2127700</v>
      </c>
    </row>
    <row r="28" spans="1:5" x14ac:dyDescent="0.15">
      <c r="A28" s="21">
        <v>46141</v>
      </c>
      <c r="B28">
        <v>116.94499999999999</v>
      </c>
      <c r="C28">
        <v>117.99209999999999</v>
      </c>
      <c r="D28">
        <v>-90.959199999999996</v>
      </c>
      <c r="E28">
        <v>1915100</v>
      </c>
    </row>
    <row r="29" spans="1:5" x14ac:dyDescent="0.15">
      <c r="A29" s="21">
        <v>46142</v>
      </c>
      <c r="B29">
        <v>117.9486</v>
      </c>
      <c r="C29">
        <v>119.0228</v>
      </c>
      <c r="D29">
        <v>-92.4893</v>
      </c>
      <c r="E29">
        <v>7449800</v>
      </c>
    </row>
    <row r="30" spans="1:5" x14ac:dyDescent="0.15">
      <c r="A30" s="21">
        <v>46143</v>
      </c>
      <c r="B30">
        <v>125.4203</v>
      </c>
      <c r="C30">
        <v>126.73399999999999</v>
      </c>
      <c r="D30">
        <v>-106.89149999999999</v>
      </c>
      <c r="E30">
        <v>9075100</v>
      </c>
    </row>
    <row r="31" spans="1:5" x14ac:dyDescent="0.15">
      <c r="A31" s="21">
        <v>46146</v>
      </c>
      <c r="B31">
        <v>122.4093</v>
      </c>
      <c r="C31">
        <v>123.73909999999999</v>
      </c>
      <c r="D31">
        <v>-110.64830000000001</v>
      </c>
      <c r="E31">
        <v>2954100</v>
      </c>
    </row>
    <row r="32" spans="1:5" x14ac:dyDescent="0.15">
      <c r="A32" s="21">
        <v>46147</v>
      </c>
      <c r="B32">
        <v>128.9145</v>
      </c>
      <c r="C32">
        <v>130.3098</v>
      </c>
      <c r="D32">
        <v>-110.23269999999999</v>
      </c>
      <c r="E32">
        <v>2996300</v>
      </c>
    </row>
    <row r="33" spans="1:5" x14ac:dyDescent="0.15">
      <c r="A33" s="21">
        <v>46148</v>
      </c>
      <c r="B33">
        <v>131.7397</v>
      </c>
      <c r="C33">
        <v>133.3638</v>
      </c>
      <c r="D33">
        <v>-125.4465</v>
      </c>
      <c r="E33">
        <v>2769800</v>
      </c>
    </row>
    <row r="34" spans="1:5" x14ac:dyDescent="0.15">
      <c r="A34" s="21">
        <v>46149</v>
      </c>
      <c r="B34">
        <v>131.77680000000001</v>
      </c>
      <c r="C34">
        <v>133.2988</v>
      </c>
      <c r="D34">
        <v>-117.7548</v>
      </c>
      <c r="E34">
        <v>3006000</v>
      </c>
    </row>
    <row r="35" spans="1:5" x14ac:dyDescent="0.15">
      <c r="A35" s="21">
        <v>46150</v>
      </c>
      <c r="B35">
        <v>136.94380000000001</v>
      </c>
      <c r="C35">
        <v>138.75239999999999</v>
      </c>
      <c r="D35">
        <v>-134.7808</v>
      </c>
      <c r="E35">
        <v>3031500</v>
      </c>
    </row>
    <row r="36" spans="1:5" x14ac:dyDescent="0.15">
      <c r="A36" s="21">
        <v>46153</v>
      </c>
      <c r="B36">
        <v>136.75800000000001</v>
      </c>
      <c r="C36">
        <v>138.40199999999999</v>
      </c>
      <c r="D36">
        <v>-123.1001</v>
      </c>
      <c r="E36">
        <v>2074800</v>
      </c>
    </row>
    <row r="37" spans="1:5" x14ac:dyDescent="0.15">
      <c r="A37" s="21">
        <v>46154</v>
      </c>
      <c r="B37">
        <v>138.7653</v>
      </c>
      <c r="C37">
        <v>140.40700000000001</v>
      </c>
      <c r="D37">
        <v>-121.1888</v>
      </c>
      <c r="E37">
        <v>1442800</v>
      </c>
    </row>
    <row r="38" spans="1:5" x14ac:dyDescent="0.15">
      <c r="A38" s="21">
        <v>46155</v>
      </c>
      <c r="B38">
        <v>142.48249999999999</v>
      </c>
      <c r="C38">
        <v>144.28399999999999</v>
      </c>
      <c r="D38">
        <v>-129.42699999999999</v>
      </c>
      <c r="E38">
        <v>1905700</v>
      </c>
    </row>
    <row r="39" spans="1:5" x14ac:dyDescent="0.15">
      <c r="A39" s="21">
        <v>46156</v>
      </c>
      <c r="B39">
        <v>141.73910000000001</v>
      </c>
      <c r="C39">
        <v>143.64670000000001</v>
      </c>
      <c r="D39">
        <v>-137.44030000000001</v>
      </c>
      <c r="E39">
        <v>1593400</v>
      </c>
    </row>
    <row r="40" spans="1:5" x14ac:dyDescent="0.15">
      <c r="A40" s="21">
        <v>46157</v>
      </c>
      <c r="B40">
        <v>143.5977</v>
      </c>
      <c r="C40">
        <v>145.59280000000001</v>
      </c>
      <c r="D40">
        <v>-141.786</v>
      </c>
      <c r="E40">
        <v>2434400</v>
      </c>
    </row>
    <row r="41" spans="1:5" x14ac:dyDescent="0.15">
      <c r="A41" s="21">
        <v>46160</v>
      </c>
      <c r="B41">
        <v>141.29300000000001</v>
      </c>
      <c r="C41">
        <v>143.2748</v>
      </c>
      <c r="D41">
        <v>-143.07069999999999</v>
      </c>
      <c r="E41">
        <v>2178200</v>
      </c>
    </row>
    <row r="42" spans="1:5" x14ac:dyDescent="0.15">
      <c r="A42" s="21">
        <v>46161</v>
      </c>
      <c r="B42">
        <v>142.37100000000001</v>
      </c>
      <c r="C42">
        <v>144.36189999999999</v>
      </c>
      <c r="D42">
        <v>-142.6541</v>
      </c>
      <c r="E42">
        <v>1630800</v>
      </c>
    </row>
    <row r="43" spans="1:5" x14ac:dyDescent="0.15">
      <c r="A43" s="21">
        <v>46162</v>
      </c>
      <c r="B43">
        <v>145.4564</v>
      </c>
      <c r="C43">
        <v>147.52950000000001</v>
      </c>
      <c r="D43">
        <v>-145.3647</v>
      </c>
      <c r="E43">
        <v>1722400</v>
      </c>
    </row>
    <row r="44" spans="1:5" x14ac:dyDescent="0.15">
      <c r="A44" s="21">
        <v>46163</v>
      </c>
      <c r="B44">
        <v>148.05840000000001</v>
      </c>
      <c r="C44">
        <v>150.20429999999999</v>
      </c>
      <c r="D44">
        <v>-147.77879999999999</v>
      </c>
      <c r="E44">
        <v>1484400</v>
      </c>
    </row>
    <row r="45" spans="1:5" x14ac:dyDescent="0.15">
      <c r="A45" s="21">
        <v>46164</v>
      </c>
      <c r="B45">
        <v>151.5898</v>
      </c>
      <c r="C45">
        <v>153.9768</v>
      </c>
      <c r="D45">
        <v>-160.42320000000001</v>
      </c>
      <c r="E45">
        <v>1355000</v>
      </c>
    </row>
    <row r="46" spans="1:5" x14ac:dyDescent="0.15">
      <c r="A46" s="21">
        <v>46168</v>
      </c>
      <c r="B46">
        <v>151.1437</v>
      </c>
      <c r="C46">
        <v>153.48820000000001</v>
      </c>
      <c r="D46">
        <v>-158.11429999999999</v>
      </c>
      <c r="E46">
        <v>1429800</v>
      </c>
    </row>
    <row r="47" spans="1:5" x14ac:dyDescent="0.15">
      <c r="A47" s="21">
        <v>46169</v>
      </c>
      <c r="B47">
        <v>153.6343</v>
      </c>
      <c r="C47">
        <v>155.99709999999999</v>
      </c>
      <c r="D47">
        <v>-156.79570000000001</v>
      </c>
      <c r="E47">
        <v>1671600</v>
      </c>
    </row>
    <row r="48" spans="1:5" x14ac:dyDescent="0.15">
      <c r="A48" s="21">
        <v>46170</v>
      </c>
      <c r="B48">
        <v>155.1584</v>
      </c>
      <c r="C48">
        <v>157.66319999999999</v>
      </c>
      <c r="D48">
        <v>-164.39779999999999</v>
      </c>
      <c r="E48">
        <v>1143100</v>
      </c>
    </row>
    <row r="49" spans="1:5" x14ac:dyDescent="0.15">
      <c r="A49" s="21">
        <v>46171</v>
      </c>
      <c r="B49">
        <v>154.56360000000001</v>
      </c>
      <c r="C49">
        <v>157.20920000000001</v>
      </c>
      <c r="D49">
        <v>-173.93119999999999</v>
      </c>
      <c r="E49">
        <v>1529500</v>
      </c>
    </row>
    <row r="50" spans="1:5" x14ac:dyDescent="0.15">
      <c r="A50" s="21">
        <v>46174</v>
      </c>
      <c r="B50">
        <v>148.95060000000001</v>
      </c>
      <c r="C50">
        <v>151.41569999999999</v>
      </c>
      <c r="D50">
        <v>-168.5676</v>
      </c>
      <c r="E50">
        <v>2043600</v>
      </c>
    </row>
    <row r="51" spans="1:5" x14ac:dyDescent="0.15">
      <c r="A51" s="21">
        <v>46175</v>
      </c>
      <c r="B51">
        <v>157.5746</v>
      </c>
      <c r="C51">
        <v>160.20480000000001</v>
      </c>
      <c r="D51">
        <v>-170.03919999999999</v>
      </c>
      <c r="E51">
        <v>1710000</v>
      </c>
    </row>
    <row r="52" spans="1:5" x14ac:dyDescent="0.15">
      <c r="A52" s="21">
        <v>46176</v>
      </c>
      <c r="B52">
        <v>152.77930000000001</v>
      </c>
      <c r="C52">
        <v>155.1831</v>
      </c>
      <c r="D52">
        <v>-160.90350000000001</v>
      </c>
      <c r="E52">
        <v>1602600</v>
      </c>
    </row>
    <row r="53" spans="1:5" x14ac:dyDescent="0.15">
      <c r="A53" s="21">
        <v>46177</v>
      </c>
      <c r="B53">
        <v>153.48560000000001</v>
      </c>
      <c r="C53">
        <v>156.1534</v>
      </c>
      <c r="D53">
        <v>-177.20400000000001</v>
      </c>
      <c r="E53">
        <v>875300</v>
      </c>
    </row>
    <row r="54" spans="1:5" x14ac:dyDescent="0.15">
      <c r="A54" s="21">
        <v>46178</v>
      </c>
      <c r="B54">
        <v>149.5453</v>
      </c>
      <c r="C54">
        <v>152.25</v>
      </c>
      <c r="D54">
        <v>-183.94810000000001</v>
      </c>
      <c r="E54">
        <v>2166600</v>
      </c>
    </row>
    <row r="55" spans="1:5" x14ac:dyDescent="0.15">
      <c r="A55" s="21">
        <v>46181</v>
      </c>
      <c r="B55">
        <v>143.96940000000001</v>
      </c>
      <c r="C55">
        <v>146.50360000000001</v>
      </c>
      <c r="D55">
        <v>-179.37309999999999</v>
      </c>
      <c r="E55">
        <v>5973200</v>
      </c>
    </row>
    <row r="56" spans="1:5" x14ac:dyDescent="0.15">
      <c r="A56" s="21">
        <v>46182</v>
      </c>
      <c r="B56">
        <v>133.30090000000001</v>
      </c>
      <c r="C56">
        <v>135.8245</v>
      </c>
      <c r="D56">
        <v>-191.47389999999999</v>
      </c>
      <c r="E56">
        <v>3359400</v>
      </c>
    </row>
    <row r="57" spans="1:5" x14ac:dyDescent="0.15">
      <c r="A57" s="21">
        <v>46183</v>
      </c>
      <c r="B57">
        <v>134.19300000000001</v>
      </c>
      <c r="C57">
        <v>136.78749999999999</v>
      </c>
      <c r="D57">
        <v>-195.4479</v>
      </c>
      <c r="E57">
        <v>2369100</v>
      </c>
    </row>
    <row r="58" spans="1:5" x14ac:dyDescent="0.15">
      <c r="A58" s="21">
        <v>46184</v>
      </c>
      <c r="B58">
        <v>137.83600000000001</v>
      </c>
      <c r="C58">
        <v>140.58750000000001</v>
      </c>
      <c r="D58">
        <v>-201.7757</v>
      </c>
      <c r="E58">
        <v>1969100</v>
      </c>
    </row>
    <row r="59" spans="1:5" x14ac:dyDescent="0.15">
      <c r="A59" s="21">
        <v>46185</v>
      </c>
      <c r="B59">
        <v>133.67259999999999</v>
      </c>
      <c r="C59">
        <v>136.3075</v>
      </c>
      <c r="D59">
        <v>-199.39279999999999</v>
      </c>
      <c r="E59">
        <v>1331600</v>
      </c>
    </row>
    <row r="60" spans="1:5" x14ac:dyDescent="0.15">
      <c r="A60" s="21">
        <v>46188</v>
      </c>
      <c r="B60">
        <v>138.57939999999999</v>
      </c>
      <c r="C60">
        <v>141.2611</v>
      </c>
      <c r="D60">
        <v>-195.72919999999999</v>
      </c>
      <c r="E60">
        <v>1257900</v>
      </c>
    </row>
    <row r="61" spans="1:5" x14ac:dyDescent="0.15">
      <c r="A61" s="21">
        <v>46189</v>
      </c>
      <c r="B61">
        <v>141.14429999999999</v>
      </c>
      <c r="C61">
        <v>143.94890000000001</v>
      </c>
      <c r="D61">
        <v>-200.9135</v>
      </c>
      <c r="E61">
        <v>1009400</v>
      </c>
    </row>
    <row r="62" spans="1:5" x14ac:dyDescent="0.15">
      <c r="A62" s="21">
        <v>46190</v>
      </c>
      <c r="B62">
        <v>137.91030000000001</v>
      </c>
      <c r="C62">
        <v>140.78360000000001</v>
      </c>
      <c r="D62">
        <v>-210.15110000000001</v>
      </c>
      <c r="E62">
        <v>1191300</v>
      </c>
    </row>
    <row r="63" spans="1:5" x14ac:dyDescent="0.15">
      <c r="A63" s="21">
        <v>46191</v>
      </c>
      <c r="B63">
        <v>139.62029999999999</v>
      </c>
      <c r="C63">
        <v>142.74340000000001</v>
      </c>
      <c r="D63">
        <v>-225.374</v>
      </c>
      <c r="E63">
        <v>1214900</v>
      </c>
    </row>
    <row r="64" spans="1:5" x14ac:dyDescent="0.15">
      <c r="A64" s="21">
        <v>46195</v>
      </c>
      <c r="B64">
        <v>138.61660000000001</v>
      </c>
      <c r="C64">
        <v>141.78550000000001</v>
      </c>
      <c r="D64">
        <v>-230.14959999999999</v>
      </c>
      <c r="E64">
        <v>978000</v>
      </c>
    </row>
    <row r="65" spans="1:5" x14ac:dyDescent="0.15">
      <c r="A65" s="21">
        <v>46196</v>
      </c>
      <c r="B65">
        <v>136.17869999999999</v>
      </c>
      <c r="C65">
        <v>139.19810000000001</v>
      </c>
      <c r="D65">
        <v>-223.53569999999999</v>
      </c>
      <c r="E65">
        <v>897800</v>
      </c>
    </row>
    <row r="66" spans="1:5" x14ac:dyDescent="0.15">
      <c r="A66" s="21">
        <v>46197</v>
      </c>
      <c r="B66">
        <v>135.0196</v>
      </c>
      <c r="C66">
        <v>138.04400000000001</v>
      </c>
      <c r="D66">
        <v>-225.74350000000001</v>
      </c>
      <c r="E66">
        <v>1480100</v>
      </c>
    </row>
    <row r="67" spans="1:5" x14ac:dyDescent="0.15">
      <c r="A67" s="21">
        <v>46198</v>
      </c>
      <c r="B67">
        <v>118.6048</v>
      </c>
      <c r="C67">
        <v>121.1536</v>
      </c>
      <c r="D67">
        <v>-217.9188</v>
      </c>
      <c r="E67">
        <v>3318600</v>
      </c>
    </row>
    <row r="68" spans="1:5" x14ac:dyDescent="0.15">
      <c r="A68" s="21">
        <v>46199</v>
      </c>
      <c r="B68">
        <v>125.1857</v>
      </c>
      <c r="C68">
        <v>128.7534</v>
      </c>
      <c r="D68">
        <v>-290.35750000000002</v>
      </c>
      <c r="E68">
        <v>3055300</v>
      </c>
    </row>
    <row r="69" spans="1:5" x14ac:dyDescent="0.15">
      <c r="A69" s="21">
        <v>46202</v>
      </c>
      <c r="B69">
        <v>123.8396</v>
      </c>
      <c r="C69">
        <v>126.9023</v>
      </c>
      <c r="D69">
        <v>-254.11150000000001</v>
      </c>
      <c r="E69">
        <v>1676600</v>
      </c>
    </row>
    <row r="70" spans="1:5" x14ac:dyDescent="0.15">
      <c r="A70" s="21">
        <v>46203</v>
      </c>
      <c r="B70">
        <v>130.38300000000001</v>
      </c>
      <c r="C70">
        <v>133.76679999999999</v>
      </c>
      <c r="D70">
        <v>-266.65410000000003</v>
      </c>
      <c r="E70">
        <v>1396300</v>
      </c>
    </row>
    <row r="71" spans="1:5" x14ac:dyDescent="0.15">
      <c r="A71" s="21">
        <v>46204</v>
      </c>
      <c r="B71">
        <v>135.0943</v>
      </c>
      <c r="C71">
        <v>138.40809999999999</v>
      </c>
      <c r="D71">
        <v>-252.28479999999999</v>
      </c>
      <c r="E71">
        <v>1440700</v>
      </c>
    </row>
    <row r="72" spans="1:5" x14ac:dyDescent="0.15">
      <c r="A72" s="21">
        <v>46205</v>
      </c>
      <c r="B72">
        <v>147.62039999999999</v>
      </c>
      <c r="C72">
        <v>151.80789999999999</v>
      </c>
      <c r="D72">
        <v>-293.21300000000002</v>
      </c>
      <c r="E72">
        <v>2523400</v>
      </c>
    </row>
    <row r="73" spans="1:5" x14ac:dyDescent="0.15">
      <c r="A73" s="21">
        <v>46209</v>
      </c>
      <c r="B73">
        <v>152.0325</v>
      </c>
      <c r="C73">
        <v>155.7724</v>
      </c>
      <c r="D73">
        <v>-255.48310000000001</v>
      </c>
      <c r="E73">
        <v>1092000</v>
      </c>
    </row>
    <row r="74" spans="1:5" x14ac:dyDescent="0.15">
      <c r="A74" s="21">
        <v>46210</v>
      </c>
      <c r="B74">
        <v>149.90119999999999</v>
      </c>
      <c r="C74">
        <v>153.77959999999999</v>
      </c>
      <c r="D74">
        <v>-267.73450000000003</v>
      </c>
      <c r="E74">
        <v>1401800</v>
      </c>
    </row>
    <row r="75" spans="1:5" x14ac:dyDescent="0.15">
      <c r="A75" s="21">
        <v>46211</v>
      </c>
      <c r="B75">
        <v>152.44380000000001</v>
      </c>
      <c r="C75">
        <v>156.48230000000001</v>
      </c>
      <c r="D75">
        <v>-273.87180000000001</v>
      </c>
      <c r="E75">
        <v>997000</v>
      </c>
    </row>
    <row r="76" spans="1:5" x14ac:dyDescent="0.15">
      <c r="A76" s="21">
        <v>46212</v>
      </c>
      <c r="B76">
        <v>155.2482</v>
      </c>
      <c r="C76">
        <v>159.30850000000001</v>
      </c>
      <c r="D76">
        <v>-270.51760000000002</v>
      </c>
      <c r="E76">
        <v>1159900</v>
      </c>
    </row>
    <row r="77" spans="1:5" x14ac:dyDescent="0.15">
      <c r="A77" s="21">
        <v>46213</v>
      </c>
      <c r="B77">
        <v>154.3134</v>
      </c>
      <c r="C77">
        <v>158.40170000000001</v>
      </c>
      <c r="D77">
        <v>-273.80860000000001</v>
      </c>
      <c r="E77">
        <v>1092500</v>
      </c>
    </row>
    <row r="78" spans="1:5" x14ac:dyDescent="0.15">
      <c r="A78" s="21">
        <v>46216</v>
      </c>
      <c r="B78">
        <v>156.44470000000001</v>
      </c>
      <c r="C78">
        <v>160.40100000000001</v>
      </c>
      <c r="D78">
        <v>-261.9126</v>
      </c>
      <c r="E78">
        <v>1952100</v>
      </c>
    </row>
    <row r="79" spans="1:5" x14ac:dyDescent="0.15">
      <c r="A79" s="21">
        <v>46217</v>
      </c>
      <c r="B79">
        <v>153.8647</v>
      </c>
      <c r="C79">
        <v>157.92400000000001</v>
      </c>
      <c r="D79">
        <v>-272.404</v>
      </c>
      <c r="E79">
        <v>1104900</v>
      </c>
    </row>
    <row r="80" spans="1:5" x14ac:dyDescent="0.15">
      <c r="A80" s="21">
        <v>46218</v>
      </c>
      <c r="B80">
        <v>166.24119999999999</v>
      </c>
      <c r="C80">
        <v>170.6037</v>
      </c>
      <c r="D80">
        <v>-270.92759999999998</v>
      </c>
      <c r="E80">
        <v>2636000</v>
      </c>
    </row>
    <row r="81" spans="1:5" x14ac:dyDescent="0.15">
      <c r="A81" s="21">
        <v>46219</v>
      </c>
      <c r="B81">
        <v>171.8125</v>
      </c>
      <c r="C81">
        <v>176.60480000000001</v>
      </c>
      <c r="D81">
        <v>-287.55020000000002</v>
      </c>
      <c r="E81">
        <v>2659500</v>
      </c>
    </row>
    <row r="82" spans="1:5" x14ac:dyDescent="0.15">
      <c r="A82" s="21">
        <v>46220</v>
      </c>
      <c r="B82">
        <v>172.11160000000001</v>
      </c>
      <c r="C82">
        <v>177.11349999999999</v>
      </c>
      <c r="D82">
        <v>-298.94470000000001</v>
      </c>
      <c r="E82">
        <v>2569400</v>
      </c>
    </row>
    <row r="83" spans="1:5" x14ac:dyDescent="0.15">
      <c r="A83" s="21">
        <v>46223</v>
      </c>
      <c r="B83">
        <v>165.04470000000001</v>
      </c>
      <c r="C83">
        <v>169.52459999999999</v>
      </c>
      <c r="D83">
        <v>-281.06970000000001</v>
      </c>
      <c r="E83">
        <v>2081300</v>
      </c>
    </row>
    <row r="84" spans="1:5" x14ac:dyDescent="0.15">
      <c r="A84" s="21">
        <v>46224</v>
      </c>
      <c r="B84">
        <v>165.94210000000001</v>
      </c>
      <c r="C84">
        <v>170.71850000000001</v>
      </c>
      <c r="D84">
        <v>-297.12200000000001</v>
      </c>
      <c r="E84">
        <v>1353200</v>
      </c>
    </row>
    <row r="85" spans="1:5" x14ac:dyDescent="0.15">
      <c r="A85" s="21">
        <v>46225</v>
      </c>
      <c r="B85">
        <v>163.99770000000001</v>
      </c>
      <c r="C85">
        <v>168.7912</v>
      </c>
      <c r="D85">
        <v>-301.39870000000002</v>
      </c>
      <c r="E85">
        <v>671400</v>
      </c>
    </row>
    <row r="86" spans="1:5" x14ac:dyDescent="0.15">
      <c r="A86" s="21">
        <v>46226</v>
      </c>
      <c r="B86">
        <v>159.62289999999999</v>
      </c>
      <c r="C86">
        <v>164.40940000000001</v>
      </c>
      <c r="D86">
        <v>-308.56060000000002</v>
      </c>
      <c r="E86">
        <v>796800</v>
      </c>
    </row>
    <row r="87" spans="1:5" x14ac:dyDescent="0.15">
      <c r="A87" s="21">
        <v>46227</v>
      </c>
      <c r="B87">
        <v>170.9151</v>
      </c>
      <c r="C87">
        <v>176.0222</v>
      </c>
      <c r="D87">
        <v>-307.46929999999998</v>
      </c>
      <c r="E87">
        <v>1490700</v>
      </c>
    </row>
    <row r="88" spans="1:5" x14ac:dyDescent="0.15">
      <c r="A88" s="21">
        <v>46230</v>
      </c>
      <c r="B88">
        <v>174.9907</v>
      </c>
      <c r="C88">
        <v>180.1345</v>
      </c>
      <c r="D88">
        <v>-302.62959999999998</v>
      </c>
      <c r="E88">
        <v>1554300</v>
      </c>
    </row>
    <row r="89" spans="1:5" x14ac:dyDescent="0.15">
      <c r="A89" s="21">
        <v>46231</v>
      </c>
      <c r="B89">
        <v>178.39330000000001</v>
      </c>
      <c r="C89">
        <v>183.52420000000001</v>
      </c>
      <c r="D89">
        <v>-296.36410000000001</v>
      </c>
      <c r="E89">
        <v>1335500</v>
      </c>
    </row>
    <row r="90" spans="1:5" x14ac:dyDescent="0.15">
      <c r="A90" s="21">
        <v>46232</v>
      </c>
      <c r="B90">
        <v>176.262</v>
      </c>
      <c r="C90">
        <v>181.48439999999999</v>
      </c>
      <c r="D90">
        <v>-304.68759999999997</v>
      </c>
      <c r="E90">
        <v>1772900</v>
      </c>
    </row>
    <row r="91" spans="1:5" x14ac:dyDescent="0.15">
      <c r="A91" s="21">
        <v>46233</v>
      </c>
      <c r="B91">
        <v>171.3638</v>
      </c>
      <c r="C91">
        <v>176.37559999999999</v>
      </c>
      <c r="D91">
        <v>-301.0829</v>
      </c>
      <c r="E91">
        <v>3241900</v>
      </c>
    </row>
    <row r="92" spans="1:5" x14ac:dyDescent="0.15">
      <c r="A92" s="21">
        <v>46234</v>
      </c>
      <c r="B92">
        <v>145.90039999999999</v>
      </c>
      <c r="C92">
        <v>150.4348</v>
      </c>
      <c r="D92">
        <v>-316.23770000000002</v>
      </c>
      <c r="E92">
        <v>5865000</v>
      </c>
    </row>
    <row r="93" spans="1:5" x14ac:dyDescent="0.15">
      <c r="A93" s="21">
        <v>46237</v>
      </c>
      <c r="B93">
        <v>140.5908</v>
      </c>
      <c r="C93">
        <v>145.08770000000001</v>
      </c>
      <c r="D93">
        <v>-324.71140000000003</v>
      </c>
      <c r="E93">
        <v>4453900</v>
      </c>
    </row>
    <row r="94" spans="1:5" x14ac:dyDescent="0.15">
      <c r="A94" s="21">
        <v>46238</v>
      </c>
      <c r="B94">
        <v>146.0873</v>
      </c>
      <c r="C94">
        <v>150.78749999999999</v>
      </c>
      <c r="D94">
        <v>-326.60640000000001</v>
      </c>
      <c r="E94">
        <v>3714600</v>
      </c>
    </row>
    <row r="95" spans="1:5" x14ac:dyDescent="0.15">
      <c r="A95" s="21">
        <v>46239</v>
      </c>
      <c r="B95">
        <v>147.583</v>
      </c>
      <c r="C95">
        <v>152.36660000000001</v>
      </c>
      <c r="D95">
        <v>-328.95240000000001</v>
      </c>
      <c r="E95">
        <v>3227300</v>
      </c>
    </row>
    <row r="96" spans="1:5" x14ac:dyDescent="0.15">
      <c r="A96" s="21">
        <v>46240</v>
      </c>
      <c r="B96">
        <v>149.00389999999999</v>
      </c>
      <c r="C96">
        <v>153.7482</v>
      </c>
      <c r="D96">
        <v>-323.35250000000002</v>
      </c>
      <c r="E96">
        <v>2550500</v>
      </c>
    </row>
    <row r="97" spans="1:5" x14ac:dyDescent="0.15">
      <c r="A97" s="21">
        <v>46241</v>
      </c>
      <c r="B97">
        <v>149.67689999999999</v>
      </c>
      <c r="C97">
        <v>154.65369999999999</v>
      </c>
      <c r="D97">
        <v>-337.07889999999998</v>
      </c>
      <c r="E97">
        <v>1230200</v>
      </c>
    </row>
    <row r="98" spans="1:5" x14ac:dyDescent="0.15">
      <c r="A98" s="21">
        <v>46244</v>
      </c>
      <c r="B98">
        <v>144.96559999999999</v>
      </c>
      <c r="C98">
        <v>149.91130000000001</v>
      </c>
      <c r="D98">
        <v>-345.1927</v>
      </c>
      <c r="E98">
        <v>1919500</v>
      </c>
    </row>
    <row r="99" spans="1:5" x14ac:dyDescent="0.15">
      <c r="A99" s="21">
        <v>46245</v>
      </c>
      <c r="B99">
        <v>141.8621</v>
      </c>
      <c r="C99">
        <v>146.65299999999999</v>
      </c>
      <c r="D99">
        <v>-341.92680000000001</v>
      </c>
      <c r="E99">
        <v>1312700</v>
      </c>
    </row>
    <row r="100" spans="1:5" x14ac:dyDescent="0.15">
      <c r="A100" s="21">
        <v>46246</v>
      </c>
      <c r="B100">
        <v>139.3569</v>
      </c>
      <c r="C100">
        <v>144.0942</v>
      </c>
      <c r="D100">
        <v>-344.04300000000001</v>
      </c>
      <c r="E100">
        <v>1625900</v>
      </c>
    </row>
    <row r="101" spans="1:5" x14ac:dyDescent="0.15">
      <c r="A101" s="21">
        <v>46247</v>
      </c>
      <c r="B101">
        <v>142.0865</v>
      </c>
      <c r="C101">
        <v>146.96420000000001</v>
      </c>
      <c r="D101">
        <v>-347.34870000000001</v>
      </c>
      <c r="E101">
        <v>1954700</v>
      </c>
    </row>
    <row r="102" spans="1:5" x14ac:dyDescent="0.15">
      <c r="A102" s="21">
        <v>46248</v>
      </c>
      <c r="B102">
        <v>142.68469999999999</v>
      </c>
      <c r="C102">
        <v>147.60929999999999</v>
      </c>
      <c r="D102">
        <v>-349.13929999999999</v>
      </c>
      <c r="E102">
        <v>1010600</v>
      </c>
    </row>
    <row r="103" spans="1:5" x14ac:dyDescent="0.15">
      <c r="A103" s="21">
        <v>46251</v>
      </c>
      <c r="B103">
        <v>142.38560000000001</v>
      </c>
      <c r="C103">
        <v>147.28120000000001</v>
      </c>
      <c r="D103">
        <v>-347.87610000000001</v>
      </c>
      <c r="E103">
        <v>1403400</v>
      </c>
    </row>
    <row r="104" spans="1:5" x14ac:dyDescent="0.15">
      <c r="A104" s="21">
        <v>46252</v>
      </c>
      <c r="B104">
        <v>146.46119999999999</v>
      </c>
      <c r="C104">
        <v>151.56100000000001</v>
      </c>
      <c r="D104">
        <v>-352.22320000000002</v>
      </c>
      <c r="E104">
        <v>1889700</v>
      </c>
    </row>
    <row r="105" spans="1:5" x14ac:dyDescent="0.15">
      <c r="A105" s="21">
        <v>46253</v>
      </c>
      <c r="B105">
        <v>152.5934</v>
      </c>
      <c r="C105">
        <v>158.20939999999999</v>
      </c>
      <c r="D105">
        <v>-372.20100000000002</v>
      </c>
      <c r="E105">
        <v>1866500</v>
      </c>
    </row>
    <row r="106" spans="1:5" x14ac:dyDescent="0.15">
      <c r="A106" s="21">
        <v>46254</v>
      </c>
      <c r="B106">
        <v>147.43340000000001</v>
      </c>
      <c r="C106">
        <v>152.6866</v>
      </c>
      <c r="D106">
        <v>-361.2706</v>
      </c>
      <c r="E106">
        <v>1212200</v>
      </c>
    </row>
    <row r="107" spans="1:5" x14ac:dyDescent="0.15">
      <c r="A107" s="21">
        <v>46255</v>
      </c>
      <c r="B107">
        <v>145.33949999999999</v>
      </c>
      <c r="C107">
        <v>150.77379999999999</v>
      </c>
      <c r="D107">
        <v>-378.01490000000001</v>
      </c>
      <c r="E107">
        <v>1088300</v>
      </c>
    </row>
    <row r="108" spans="1:5" x14ac:dyDescent="0.15">
      <c r="A108" s="21">
        <v>46258</v>
      </c>
      <c r="B108">
        <v>146.23689999999999</v>
      </c>
      <c r="C108">
        <v>151.7388</v>
      </c>
      <c r="D108">
        <v>-380.2747</v>
      </c>
      <c r="E108">
        <v>814200</v>
      </c>
    </row>
    <row r="109" spans="1:5" x14ac:dyDescent="0.15">
      <c r="A109" s="21">
        <v>46259</v>
      </c>
      <c r="B109">
        <v>145.78819999999999</v>
      </c>
      <c r="C109">
        <v>151.30850000000001</v>
      </c>
      <c r="D109">
        <v>-382.601</v>
      </c>
      <c r="E109">
        <v>613400</v>
      </c>
    </row>
    <row r="110" spans="1:5" x14ac:dyDescent="0.15">
      <c r="A110" s="21">
        <v>46260</v>
      </c>
      <c r="B110">
        <v>149.1908</v>
      </c>
      <c r="C110">
        <v>154.77510000000001</v>
      </c>
      <c r="D110">
        <v>-378.3152</v>
      </c>
      <c r="E110">
        <v>1111200</v>
      </c>
    </row>
    <row r="111" spans="1:5" x14ac:dyDescent="0.15">
      <c r="A111" s="21">
        <v>46261</v>
      </c>
      <c r="B111">
        <v>149.93860000000001</v>
      </c>
      <c r="C111">
        <v>155.89099999999999</v>
      </c>
      <c r="D111">
        <v>-400.28989999999999</v>
      </c>
      <c r="E111">
        <v>921300</v>
      </c>
    </row>
    <row r="112" spans="1:5" x14ac:dyDescent="0.15">
      <c r="A112" s="21">
        <v>46262</v>
      </c>
      <c r="B112">
        <v>154.7621</v>
      </c>
      <c r="C112">
        <v>160.96549999999999</v>
      </c>
      <c r="D112">
        <v>-404.10890000000001</v>
      </c>
      <c r="E112">
        <v>1707300</v>
      </c>
    </row>
    <row r="113" spans="1:5" x14ac:dyDescent="0.15">
      <c r="A113" s="21">
        <v>46265</v>
      </c>
      <c r="B113">
        <v>152.44380000000001</v>
      </c>
      <c r="C113">
        <v>158.09559999999999</v>
      </c>
      <c r="D113">
        <v>-375.61070000000001</v>
      </c>
      <c r="E113">
        <v>2383500</v>
      </c>
    </row>
    <row r="114" spans="1:5" x14ac:dyDescent="0.15">
      <c r="A114" s="21">
        <v>46266</v>
      </c>
      <c r="B114">
        <v>160.07169999999999</v>
      </c>
      <c r="C114">
        <v>166.35839999999999</v>
      </c>
      <c r="D114">
        <v>-397.88729999999998</v>
      </c>
      <c r="E114">
        <v>2372300</v>
      </c>
    </row>
    <row r="115" spans="1:5" x14ac:dyDescent="0.15">
      <c r="A115" s="21">
        <v>46267</v>
      </c>
      <c r="B115">
        <v>159.8099</v>
      </c>
      <c r="C115">
        <v>166.18440000000001</v>
      </c>
      <c r="D115">
        <v>-403.78039999999999</v>
      </c>
      <c r="E115">
        <v>898800</v>
      </c>
    </row>
    <row r="116" spans="1:5" x14ac:dyDescent="0.15">
      <c r="A116" s="21">
        <v>46268</v>
      </c>
      <c r="B116">
        <v>162.876</v>
      </c>
      <c r="C116">
        <v>169.5085</v>
      </c>
      <c r="D116">
        <v>-411.94729999999998</v>
      </c>
      <c r="E116">
        <v>1071300</v>
      </c>
    </row>
    <row r="117" spans="1:5" x14ac:dyDescent="0.15">
      <c r="A117" s="21">
        <v>46269</v>
      </c>
      <c r="B117">
        <v>154.57509999999999</v>
      </c>
      <c r="C117">
        <v>160.99719999999999</v>
      </c>
      <c r="D117">
        <v>-419.47250000000003</v>
      </c>
      <c r="E117">
        <v>1662300</v>
      </c>
    </row>
    <row r="118" spans="1:5" x14ac:dyDescent="0.15">
      <c r="A118" s="21">
        <v>46273</v>
      </c>
      <c r="B118">
        <v>150.94820000000001</v>
      </c>
      <c r="C118">
        <v>157.2235</v>
      </c>
      <c r="D118">
        <v>-419.71539999999999</v>
      </c>
      <c r="E118">
        <v>1330800</v>
      </c>
    </row>
    <row r="119" spans="1:5" x14ac:dyDescent="0.15">
      <c r="A119" s="21">
        <v>46274</v>
      </c>
      <c r="B119">
        <v>150.05080000000001</v>
      </c>
      <c r="C119">
        <v>156.3484</v>
      </c>
      <c r="D119">
        <v>-423.50720000000001</v>
      </c>
      <c r="E119">
        <v>4701100</v>
      </c>
    </row>
    <row r="120" spans="1:5" x14ac:dyDescent="0.15">
      <c r="A120" s="21">
        <v>46275</v>
      </c>
      <c r="B120">
        <v>160.5951</v>
      </c>
      <c r="C120">
        <v>167.48429999999999</v>
      </c>
      <c r="D120">
        <v>-433.03890000000001</v>
      </c>
      <c r="E120">
        <v>5125300</v>
      </c>
    </row>
    <row r="121" spans="1:5" x14ac:dyDescent="0.15">
      <c r="A121" s="21">
        <v>46276</v>
      </c>
      <c r="B121">
        <v>166.16640000000001</v>
      </c>
      <c r="C121">
        <v>173.33090000000001</v>
      </c>
      <c r="D121">
        <v>-435.20620000000002</v>
      </c>
      <c r="E121">
        <v>2177000</v>
      </c>
    </row>
    <row r="122" spans="1:5" x14ac:dyDescent="0.15">
      <c r="A122" s="21">
        <v>46279</v>
      </c>
      <c r="B122">
        <v>166.8021</v>
      </c>
      <c r="C122">
        <v>174.17590000000001</v>
      </c>
      <c r="D122">
        <v>-445.70729999999998</v>
      </c>
      <c r="E122">
        <v>1298500</v>
      </c>
    </row>
    <row r="123" spans="1:5" x14ac:dyDescent="0.15">
      <c r="A123" s="21">
        <v>46280</v>
      </c>
      <c r="B123">
        <v>165.0821</v>
      </c>
      <c r="C123">
        <v>172.3562</v>
      </c>
      <c r="D123">
        <v>-444.34410000000003</v>
      </c>
      <c r="E123">
        <v>787600</v>
      </c>
    </row>
    <row r="124" spans="1:5" x14ac:dyDescent="0.15">
      <c r="A124" s="21">
        <v>46281</v>
      </c>
      <c r="B124">
        <v>166.27860000000001</v>
      </c>
      <c r="C124">
        <v>173.46940000000001</v>
      </c>
      <c r="D124">
        <v>-436.45069999999998</v>
      </c>
      <c r="E124">
        <v>878600</v>
      </c>
    </row>
    <row r="125" spans="1:5" x14ac:dyDescent="0.15">
      <c r="A125" s="21">
        <v>46282</v>
      </c>
      <c r="B125">
        <v>170.80289999999999</v>
      </c>
      <c r="C125">
        <v>178.26</v>
      </c>
      <c r="D125">
        <v>-440.52210000000002</v>
      </c>
      <c r="E125">
        <v>807600</v>
      </c>
    </row>
    <row r="126" spans="1:5" x14ac:dyDescent="0.15">
      <c r="A126" s="21">
        <v>46283</v>
      </c>
      <c r="B126">
        <v>169.26990000000001</v>
      </c>
      <c r="C126">
        <v>177.33959999999999</v>
      </c>
      <c r="D126">
        <v>-478.64510000000001</v>
      </c>
      <c r="E126">
        <v>715500</v>
      </c>
    </row>
    <row r="127" spans="1:5" x14ac:dyDescent="0.15">
      <c r="A127" s="21">
        <v>46286</v>
      </c>
      <c r="B127">
        <v>172.63509999999999</v>
      </c>
      <c r="C127">
        <v>180.34690000000001</v>
      </c>
      <c r="D127">
        <v>-449.41609999999997</v>
      </c>
      <c r="E127">
        <v>702700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showGridLines="0" zoomScale="208" workbookViewId="0">
      <selection activeCell="B4" sqref="B4"/>
    </sheetView>
  </sheetViews>
  <sheetFormatPr baseColWidth="10" defaultColWidth="8.83203125" defaultRowHeight="14" x14ac:dyDescent="0.15"/>
  <cols>
    <col min="1" max="1" width="24" customWidth="1"/>
    <col min="2" max="2" width="10" customWidth="1"/>
  </cols>
  <sheetData>
    <row r="1" spans="1:2" x14ac:dyDescent="0.15">
      <c r="A1" s="2" t="s">
        <v>91</v>
      </c>
      <c r="B1" s="3" t="s">
        <v>92</v>
      </c>
    </row>
    <row r="2" spans="1:2" x14ac:dyDescent="0.15">
      <c r="A2" s="4" t="s">
        <v>93</v>
      </c>
      <c r="B2" s="19" t="s">
        <v>41</v>
      </c>
    </row>
    <row r="3" spans="1:2" x14ac:dyDescent="0.15">
      <c r="A3" s="4" t="s">
        <v>94</v>
      </c>
      <c r="B3" s="19">
        <v>5</v>
      </c>
    </row>
    <row r="4" spans="1:2" x14ac:dyDescent="0.15">
      <c r="A4" s="4" t="s">
        <v>95</v>
      </c>
      <c r="B4" s="19">
        <v>3</v>
      </c>
    </row>
    <row r="5" spans="1:2" x14ac:dyDescent="0.15">
      <c r="A5" s="4" t="s">
        <v>96</v>
      </c>
      <c r="B5" s="19">
        <v>8</v>
      </c>
    </row>
    <row r="6" spans="1:2" x14ac:dyDescent="0.15">
      <c r="A6" s="4" t="s">
        <v>97</v>
      </c>
      <c r="B6" s="19">
        <v>2</v>
      </c>
    </row>
    <row r="7" spans="1:2" x14ac:dyDescent="0.15">
      <c r="A7" s="4" t="s">
        <v>98</v>
      </c>
      <c r="B7" s="19">
        <v>5</v>
      </c>
    </row>
    <row r="8" spans="1:2" x14ac:dyDescent="0.15">
      <c r="A8" s="4" t="s">
        <v>99</v>
      </c>
      <c r="B8" s="19" t="s">
        <v>100</v>
      </c>
    </row>
    <row r="9" spans="1:2" x14ac:dyDescent="0.15">
      <c r="A9" s="4" t="s">
        <v>101</v>
      </c>
      <c r="B9" s="19">
        <v>20</v>
      </c>
    </row>
    <row r="10" spans="1:2" x14ac:dyDescent="0.15">
      <c r="A10" s="4" t="s">
        <v>102</v>
      </c>
      <c r="B10" s="19">
        <v>30</v>
      </c>
    </row>
    <row r="11" spans="1:2" x14ac:dyDescent="0.15">
      <c r="A11" s="4" t="s">
        <v>103</v>
      </c>
      <c r="B11" s="19">
        <v>3</v>
      </c>
    </row>
    <row r="12" spans="1:2" x14ac:dyDescent="0.15">
      <c r="A12" s="4" t="s">
        <v>104</v>
      </c>
      <c r="B12" s="19">
        <v>600</v>
      </c>
    </row>
    <row r="13" spans="1:2" x14ac:dyDescent="0.15">
      <c r="A13" s="4" t="s">
        <v>105</v>
      </c>
      <c r="B13" s="19" t="s">
        <v>106</v>
      </c>
    </row>
    <row r="14" spans="1:2" x14ac:dyDescent="0.15">
      <c r="A14" s="4" t="s">
        <v>107</v>
      </c>
      <c r="B14" s="19">
        <v>120</v>
      </c>
    </row>
    <row r="15" spans="1:2" x14ac:dyDescent="0.15">
      <c r="A15" s="4" t="s">
        <v>108</v>
      </c>
      <c r="B15" s="19">
        <v>60</v>
      </c>
    </row>
    <row r="16" spans="1:2" x14ac:dyDescent="0.15">
      <c r="A16" s="4" t="s">
        <v>109</v>
      </c>
      <c r="B16" s="19">
        <v>60</v>
      </c>
    </row>
    <row r="17" spans="1:2" x14ac:dyDescent="0.15">
      <c r="A17" s="4" t="s">
        <v>110</v>
      </c>
      <c r="B17" s="19">
        <v>120</v>
      </c>
    </row>
    <row r="18" spans="1:2" x14ac:dyDescent="0.15">
      <c r="A18" s="4" t="s">
        <v>111</v>
      </c>
      <c r="B18" s="19" t="s">
        <v>41</v>
      </c>
    </row>
  </sheetData>
  <dataValidations count="2">
    <dataValidation type="list" sqref="B2 B18" xr:uid="{00000000-0002-0000-0500-000000000000}">
      <formula1>"Y,N"</formula1>
    </dataValidation>
    <dataValidation type="list" sqref="B8" xr:uid="{00000000-0002-0000-0500-000001000000}">
      <formula1>"CLOSE,NAV"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6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 x14ac:dyDescent="0.15"/>
  <cols>
    <col min="1" max="1" width="12" customWidth="1"/>
    <col min="2" max="18" width="10" customWidth="1"/>
  </cols>
  <sheetData>
    <row r="1" spans="1:18" ht="28" x14ac:dyDescent="0.15">
      <c r="A1" s="2" t="s">
        <v>83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112</v>
      </c>
      <c r="H1" s="3" t="s">
        <v>10</v>
      </c>
      <c r="I1" s="3" t="s">
        <v>11</v>
      </c>
      <c r="J1" s="3" t="s">
        <v>113</v>
      </c>
      <c r="K1" s="3" t="s">
        <v>26</v>
      </c>
      <c r="L1" s="3" t="s">
        <v>114</v>
      </c>
      <c r="M1" s="3" t="s">
        <v>27</v>
      </c>
      <c r="N1" s="3" t="s">
        <v>115</v>
      </c>
      <c r="O1" s="3" t="s">
        <v>116</v>
      </c>
      <c r="P1" s="3" t="s">
        <v>117</v>
      </c>
      <c r="Q1" s="3"/>
      <c r="R1" s="3" t="s">
        <v>118</v>
      </c>
    </row>
    <row r="2" spans="1:18" x14ac:dyDescent="0.15">
      <c r="A2" t="s">
        <v>36</v>
      </c>
      <c r="B2" s="24">
        <v>773.61969999999997</v>
      </c>
      <c r="C2" s="24">
        <v>773.61</v>
      </c>
      <c r="D2" s="24">
        <v>773.66</v>
      </c>
      <c r="E2" s="25">
        <v>246</v>
      </c>
      <c r="F2" s="25">
        <v>1620</v>
      </c>
      <c r="G2" s="24">
        <v>761.69</v>
      </c>
      <c r="H2" s="25">
        <v>50486686</v>
      </c>
      <c r="I2" s="25"/>
      <c r="J2" s="24">
        <v>762.01139999999998</v>
      </c>
      <c r="K2" s="22">
        <v>9.7999999999999997E-3</v>
      </c>
      <c r="L2" s="22">
        <v>7.3762092903559623E-3</v>
      </c>
      <c r="M2" s="26">
        <v>46287.672222222223</v>
      </c>
      <c r="N2" s="27">
        <v>1</v>
      </c>
      <c r="O2" s="23">
        <v>-3.1026106581087845E-5</v>
      </c>
      <c r="P2" s="23">
        <v>1.0921634277059875E-3</v>
      </c>
      <c r="R2" s="20">
        <v>0</v>
      </c>
    </row>
    <row r="3" spans="1:18" x14ac:dyDescent="0.15">
      <c r="A3" t="s">
        <v>42</v>
      </c>
      <c r="B3" s="24">
        <v>747.45</v>
      </c>
      <c r="C3" s="24">
        <v>747.45</v>
      </c>
      <c r="D3" s="24">
        <v>747.48</v>
      </c>
      <c r="E3" s="25">
        <v>180</v>
      </c>
      <c r="F3" s="25">
        <v>100</v>
      </c>
      <c r="G3" s="24">
        <v>720.69860000000006</v>
      </c>
      <c r="H3" s="25">
        <v>46731300</v>
      </c>
      <c r="I3" s="25"/>
      <c r="J3" s="24">
        <v>721.72</v>
      </c>
      <c r="K3" s="22">
        <v>4.1999999999999997E-3</v>
      </c>
      <c r="L3" s="22">
        <v>1.3248840131814392E-2</v>
      </c>
      <c r="M3" s="26">
        <v>46287.672222222223</v>
      </c>
      <c r="N3" s="27">
        <v>1</v>
      </c>
      <c r="O3" s="23">
        <v>-7.6728868686893002E-6</v>
      </c>
      <c r="P3" s="23">
        <v>8.7942103269125944E-4</v>
      </c>
    </row>
    <row r="4" spans="1:18" x14ac:dyDescent="0.15">
      <c r="A4" t="s">
        <v>45</v>
      </c>
      <c r="B4" s="24">
        <v>196.22900000000001</v>
      </c>
      <c r="C4" s="24">
        <v>195.6</v>
      </c>
      <c r="D4" s="24">
        <v>196.24</v>
      </c>
      <c r="E4" s="25">
        <v>400</v>
      </c>
      <c r="F4" s="25">
        <v>100</v>
      </c>
      <c r="G4" s="24">
        <v>189.6</v>
      </c>
      <c r="H4" s="25">
        <v>9047360</v>
      </c>
      <c r="I4" s="25"/>
      <c r="J4" s="24">
        <v>189.69777999999999</v>
      </c>
      <c r="K4" s="22">
        <v>4.3E-3</v>
      </c>
      <c r="L4" s="22">
        <v>1.8249067909335906E-2</v>
      </c>
      <c r="M4" s="26">
        <v>46287.67291666667</v>
      </c>
      <c r="N4" s="27">
        <v>1</v>
      </c>
      <c r="O4" s="23">
        <v>-1.6313162333393881E-4</v>
      </c>
      <c r="P4" s="23">
        <v>8.3223394462123446E-4</v>
      </c>
    </row>
    <row r="5" spans="1:18" x14ac:dyDescent="0.15">
      <c r="A5" t="s">
        <v>47</v>
      </c>
      <c r="B5" s="24">
        <v>54.8</v>
      </c>
      <c r="C5" s="24"/>
      <c r="D5" s="24"/>
      <c r="E5" s="25"/>
      <c r="F5" s="25"/>
      <c r="G5" s="24">
        <v>55.86</v>
      </c>
      <c r="H5" s="25">
        <v>30640768</v>
      </c>
      <c r="I5" s="25"/>
      <c r="J5" s="24">
        <v>55.90363</v>
      </c>
      <c r="K5" s="22">
        <v>1.3999999500000001E-2</v>
      </c>
      <c r="L5" s="22">
        <v>8.1681500053617274E-3</v>
      </c>
      <c r="M5" s="26">
        <v>46287.671377314815</v>
      </c>
      <c r="N5" s="27">
        <v>1</v>
      </c>
      <c r="O5" s="23">
        <v>-5.3154859643103686E-6</v>
      </c>
      <c r="P5" s="23">
        <v>5.0362287540942194E-4</v>
      </c>
    </row>
    <row r="6" spans="1:18" x14ac:dyDescent="0.15">
      <c r="A6" t="s">
        <v>49</v>
      </c>
      <c r="B6" s="24">
        <v>61.78</v>
      </c>
      <c r="C6" s="24"/>
      <c r="D6" s="24"/>
      <c r="E6" s="25"/>
      <c r="F6" s="25"/>
      <c r="G6" s="24">
        <v>64.31</v>
      </c>
      <c r="H6" s="25">
        <v>36482216</v>
      </c>
      <c r="I6" s="25"/>
      <c r="J6" s="24">
        <v>64.354299999999995</v>
      </c>
      <c r="K6" s="22">
        <v>2.3699998999999999E-2</v>
      </c>
      <c r="L6" s="22">
        <v>1.3677718688802947E-2</v>
      </c>
      <c r="M6" s="26">
        <v>46287.671377314815</v>
      </c>
      <c r="N6" s="27">
        <v>1</v>
      </c>
      <c r="O6" s="23">
        <v>8.8664632311738806E-5</v>
      </c>
      <c r="P6" s="23">
        <v>9.0341353656091217E-4</v>
      </c>
    </row>
    <row r="7" spans="1:18" x14ac:dyDescent="0.15">
      <c r="A7" t="s">
        <v>51</v>
      </c>
      <c r="B7" s="24">
        <v>170.34</v>
      </c>
      <c r="C7" s="24">
        <v>169.55</v>
      </c>
      <c r="D7" s="24">
        <v>170.35</v>
      </c>
      <c r="E7" s="25">
        <v>100</v>
      </c>
      <c r="F7" s="25">
        <v>700</v>
      </c>
      <c r="G7" s="24">
        <v>168.39</v>
      </c>
      <c r="H7" s="25">
        <v>7618319</v>
      </c>
      <c r="I7" s="25"/>
      <c r="J7" s="24">
        <v>168.47355999999999</v>
      </c>
      <c r="K7" s="22">
        <v>1.49E-2</v>
      </c>
      <c r="L7" s="22">
        <v>1.2011045651777406E-2</v>
      </c>
      <c r="M7" s="26">
        <v>46287.67291666667</v>
      </c>
      <c r="N7" s="27">
        <v>1</v>
      </c>
      <c r="O7" s="23">
        <v>-2.5233535543319303E-5</v>
      </c>
      <c r="P7" s="23">
        <v>4.6629262324073115E-4</v>
      </c>
    </row>
    <row r="8" spans="1:18" x14ac:dyDescent="0.15">
      <c r="A8" t="s">
        <v>53</v>
      </c>
      <c r="B8" s="24">
        <v>285.49209999999999</v>
      </c>
      <c r="C8" s="24"/>
      <c r="D8" s="24"/>
      <c r="E8" s="25"/>
      <c r="F8" s="25"/>
      <c r="G8" s="24">
        <v>284.10000000000002</v>
      </c>
      <c r="H8" s="25">
        <v>18968224</v>
      </c>
      <c r="I8" s="25"/>
      <c r="J8" s="24">
        <v>283.99689999999998</v>
      </c>
      <c r="K8" s="22">
        <v>8.9999999999999993E-3</v>
      </c>
      <c r="L8" s="22">
        <v>8.1275090172931667E-3</v>
      </c>
      <c r="M8" s="26">
        <v>46287.672222222223</v>
      </c>
      <c r="N8" s="27">
        <v>0.99819867429314268</v>
      </c>
      <c r="O8" s="23">
        <v>-1.2839089144733582E-5</v>
      </c>
      <c r="P8" s="23">
        <v>1.3638499522975983E-3</v>
      </c>
    </row>
    <row r="9" spans="1:18" x14ac:dyDescent="0.15">
      <c r="A9" t="s">
        <v>56</v>
      </c>
      <c r="B9" s="24">
        <v>46.14</v>
      </c>
      <c r="C9" s="24"/>
      <c r="D9" s="24"/>
      <c r="E9" s="25"/>
      <c r="F9" s="25"/>
      <c r="G9" s="24">
        <v>45.27</v>
      </c>
      <c r="H9" s="25">
        <v>706522</v>
      </c>
      <c r="I9" s="25"/>
      <c r="J9" s="24">
        <v>45.386000000000003</v>
      </c>
      <c r="K9" s="22">
        <v>1.8599999999999998E-2</v>
      </c>
      <c r="L9" s="22">
        <v>3.6577395213630494E-2</v>
      </c>
      <c r="M9" s="26">
        <v>46287.671377314815</v>
      </c>
      <c r="N9" s="27">
        <v>2</v>
      </c>
      <c r="O9" s="23">
        <v>-3.8582890290612498E-4</v>
      </c>
      <c r="P9" s="23">
        <v>1.6894243068285549E-3</v>
      </c>
    </row>
    <row r="10" spans="1:18" x14ac:dyDescent="0.15">
      <c r="A10" t="s">
        <v>58</v>
      </c>
      <c r="B10" s="24">
        <v>81.69</v>
      </c>
      <c r="C10" s="24">
        <v>81.7</v>
      </c>
      <c r="D10" s="24">
        <v>81.72</v>
      </c>
      <c r="E10" s="25">
        <v>1600</v>
      </c>
      <c r="F10" s="25">
        <v>1300</v>
      </c>
      <c r="G10" s="24">
        <v>81.25</v>
      </c>
      <c r="H10" s="25">
        <v>26981681</v>
      </c>
      <c r="I10" s="25"/>
      <c r="J10" s="24">
        <v>81.155240000000006</v>
      </c>
      <c r="K10" s="22">
        <v>4.7300000000000002E-2</v>
      </c>
      <c r="L10" s="22">
        <v>5.9716258893203105E-3</v>
      </c>
      <c r="M10" s="26">
        <v>46287.67291666667</v>
      </c>
      <c r="N10" s="27">
        <v>1.0740028153889525</v>
      </c>
      <c r="O10" s="23">
        <v>-3.3884059151581897E-5</v>
      </c>
      <c r="P10" s="23">
        <v>5.1905822492647954E-4</v>
      </c>
    </row>
    <row r="11" spans="1:18" x14ac:dyDescent="0.15">
      <c r="A11" t="s">
        <v>62</v>
      </c>
      <c r="B11" s="24">
        <v>91.14</v>
      </c>
      <c r="C11" s="24"/>
      <c r="D11" s="24"/>
      <c r="E11" s="25"/>
      <c r="F11" s="25"/>
      <c r="G11" s="24">
        <v>90.8</v>
      </c>
      <c r="H11" s="25">
        <v>8833521</v>
      </c>
      <c r="I11" s="25"/>
      <c r="J11" s="24">
        <v>90.759450000000001</v>
      </c>
      <c r="K11" s="22">
        <v>3.9699999999999999E-2</v>
      </c>
      <c r="L11" s="22">
        <v>2.9743916348182668E-3</v>
      </c>
      <c r="M11" s="26">
        <v>46287.671377314815</v>
      </c>
      <c r="N11" s="27">
        <v>1.3887397591674899</v>
      </c>
      <c r="O11" s="23">
        <v>-2.0551888700860468E-5</v>
      </c>
      <c r="P11" s="23">
        <v>5.4245509078797941E-4</v>
      </c>
    </row>
    <row r="12" spans="1:18" x14ac:dyDescent="0.15">
      <c r="A12" t="s">
        <v>65</v>
      </c>
      <c r="B12" s="24">
        <v>81.301500000000004</v>
      </c>
      <c r="C12" s="24">
        <v>81.3</v>
      </c>
      <c r="D12" s="24">
        <v>81.31</v>
      </c>
      <c r="E12" s="25">
        <v>116049</v>
      </c>
      <c r="F12" s="25">
        <v>6100</v>
      </c>
      <c r="G12" s="24">
        <v>81.239999999999995</v>
      </c>
      <c r="H12" s="25">
        <v>3973124</v>
      </c>
      <c r="I12" s="25"/>
      <c r="J12" s="24">
        <v>81.223749999999995</v>
      </c>
      <c r="K12" s="22">
        <v>3.6299999999999999E-2</v>
      </c>
      <c r="L12" s="22">
        <v>8.6285564442329754E-4</v>
      </c>
      <c r="M12" s="26">
        <v>46287.67291666667</v>
      </c>
      <c r="N12" s="27">
        <v>1.0304722319382673</v>
      </c>
      <c r="O12" s="23">
        <v>-1.2011800753385145E-6</v>
      </c>
      <c r="P12" s="23">
        <v>2.1328567544902781E-4</v>
      </c>
    </row>
    <row r="13" spans="1:18" x14ac:dyDescent="0.15">
      <c r="A13" t="s">
        <v>68</v>
      </c>
      <c r="B13" s="24">
        <v>105.09</v>
      </c>
      <c r="C13" s="24"/>
      <c r="D13" s="24"/>
      <c r="E13" s="25"/>
      <c r="F13" s="25"/>
      <c r="G13" s="24">
        <v>104.7</v>
      </c>
      <c r="H13" s="25">
        <v>23076568</v>
      </c>
      <c r="I13" s="25"/>
      <c r="J13" s="24">
        <v>104.60595000000001</v>
      </c>
      <c r="K13" s="22">
        <v>4.6699999999999998E-2</v>
      </c>
      <c r="L13" s="22">
        <v>3.4482239640991627E-3</v>
      </c>
      <c r="M13" s="26">
        <v>46287.671377314815</v>
      </c>
      <c r="N13" s="27">
        <v>1.0508314736063638</v>
      </c>
      <c r="O13" s="23">
        <v>2.1715149175806793E-5</v>
      </c>
      <c r="P13" s="23">
        <v>1.0979121353379329E-3</v>
      </c>
    </row>
    <row r="14" spans="1:18" x14ac:dyDescent="0.15">
      <c r="A14" t="s">
        <v>70</v>
      </c>
      <c r="B14" s="24">
        <v>79.95</v>
      </c>
      <c r="C14" s="24">
        <v>79.900000000000006</v>
      </c>
      <c r="D14" s="24">
        <v>80.349999999999994</v>
      </c>
      <c r="E14" s="25">
        <v>700</v>
      </c>
      <c r="F14" s="25">
        <v>31</v>
      </c>
      <c r="G14" s="24">
        <v>79.69</v>
      </c>
      <c r="H14" s="25">
        <v>10353336</v>
      </c>
      <c r="I14" s="25"/>
      <c r="J14" s="24">
        <v>79.64</v>
      </c>
      <c r="K14" s="22">
        <v>4.8899997000000001E-2</v>
      </c>
      <c r="L14" s="22">
        <v>2.7199828478861078E-3</v>
      </c>
      <c r="M14" s="26">
        <v>46287.67291666667</v>
      </c>
      <c r="N14" s="27">
        <v>0.87552298291957642</v>
      </c>
      <c r="O14" s="23">
        <v>4.0167579826661887E-5</v>
      </c>
      <c r="P14" s="23">
        <v>6.3716917413193666E-4</v>
      </c>
    </row>
    <row r="15" spans="1:18" x14ac:dyDescent="0.15">
      <c r="A15" t="s">
        <v>72</v>
      </c>
      <c r="B15" s="24">
        <v>78.67</v>
      </c>
      <c r="C15" s="24"/>
      <c r="D15" s="24"/>
      <c r="E15" s="25"/>
      <c r="F15" s="25"/>
      <c r="G15" s="24">
        <v>78.53</v>
      </c>
      <c r="H15" s="25">
        <v>44495821</v>
      </c>
      <c r="I15" s="25"/>
      <c r="J15" s="24">
        <v>78.425349999999995</v>
      </c>
      <c r="K15" s="22">
        <v>5.8799999999999998E-2</v>
      </c>
      <c r="L15" s="22">
        <v>1.7903913470799714E-3</v>
      </c>
      <c r="M15" s="26">
        <v>46287.671377314815</v>
      </c>
      <c r="N15" s="27">
        <v>1.0145609842358256</v>
      </c>
      <c r="O15" s="23">
        <v>-6.0266859770630274E-6</v>
      </c>
      <c r="P15" s="23">
        <v>2.9398753776790741E-4</v>
      </c>
    </row>
    <row r="16" spans="1:18" x14ac:dyDescent="0.15">
      <c r="A16" t="s">
        <v>75</v>
      </c>
      <c r="B16" s="24">
        <v>96.25</v>
      </c>
      <c r="C16" s="24">
        <v>96</v>
      </c>
      <c r="D16" s="24">
        <v>97.26</v>
      </c>
      <c r="E16" s="25">
        <v>100</v>
      </c>
      <c r="F16" s="25">
        <v>50</v>
      </c>
      <c r="G16" s="24">
        <v>95.96</v>
      </c>
      <c r="H16" s="25">
        <v>9197633</v>
      </c>
      <c r="I16" s="25"/>
      <c r="J16" s="24">
        <v>95.904449999999997</v>
      </c>
      <c r="K16" s="22">
        <v>4.0500000000000001E-2</v>
      </c>
      <c r="L16" s="22">
        <v>2.533895059848211E-3</v>
      </c>
      <c r="M16" s="26">
        <v>46287.67291666667</v>
      </c>
      <c r="N16" s="27">
        <v>1.0340764585451576</v>
      </c>
      <c r="O16" s="23">
        <v>-1.8549609983446287E-6</v>
      </c>
      <c r="P16" s="23">
        <v>2.1987032289991389E-4</v>
      </c>
    </row>
    <row r="17" spans="1:16" x14ac:dyDescent="0.15">
      <c r="A17" t="s">
        <v>78</v>
      </c>
      <c r="B17" s="24">
        <v>105.55</v>
      </c>
      <c r="C17" s="24">
        <v>105.55</v>
      </c>
      <c r="D17" s="24">
        <v>105.57</v>
      </c>
      <c r="E17" s="25">
        <v>11506</v>
      </c>
      <c r="F17" s="25">
        <v>400</v>
      </c>
      <c r="G17" s="24">
        <v>105.27</v>
      </c>
      <c r="H17" s="25">
        <v>1757608</v>
      </c>
      <c r="I17" s="25"/>
      <c r="J17" s="24">
        <v>105.26103999999999</v>
      </c>
      <c r="K17" s="22">
        <v>4.9799999999999997E-2</v>
      </c>
      <c r="L17" s="22">
        <v>2.1936612894987522E-3</v>
      </c>
      <c r="M17" s="26">
        <v>46287.672222222223</v>
      </c>
      <c r="N17" s="27">
        <v>0.99680541910261267</v>
      </c>
      <c r="O17" s="23">
        <v>-9.0342129097585544E-6</v>
      </c>
      <c r="P17" s="23">
        <v>3.7069835270829728E-4</v>
      </c>
    </row>
    <row r="18" spans="1:16" x14ac:dyDescent="0.15">
      <c r="A18" t="s">
        <v>81</v>
      </c>
      <c r="B18" s="24">
        <v>102.75</v>
      </c>
      <c r="C18" s="24"/>
      <c r="D18" s="24"/>
      <c r="E18" s="25"/>
      <c r="F18" s="25"/>
      <c r="G18" s="24">
        <v>102.88</v>
      </c>
      <c r="H18" s="25">
        <v>8743685</v>
      </c>
      <c r="I18" s="25"/>
      <c r="J18" s="24">
        <v>102.63043</v>
      </c>
      <c r="K18" s="22">
        <v>3.2500000000000001E-2</v>
      </c>
      <c r="L18" s="22">
        <v>2.2422134099837703E-3</v>
      </c>
      <c r="M18" s="26">
        <v>46287.671377314815</v>
      </c>
      <c r="N18" s="27">
        <v>1.0208871449012338</v>
      </c>
      <c r="O18" s="23">
        <v>2.4440209355536281E-5</v>
      </c>
      <c r="P18" s="23">
        <v>4.7235551224562161E-4</v>
      </c>
    </row>
    <row r="19" spans="1:16" x14ac:dyDescent="0.15">
      <c r="A19" t="s">
        <v>602</v>
      </c>
      <c r="B19" s="24">
        <v>167.26</v>
      </c>
      <c r="C19" s="24"/>
      <c r="D19" s="24"/>
      <c r="E19" s="25"/>
      <c r="F19" s="25"/>
      <c r="G19" s="24">
        <v>156.47</v>
      </c>
      <c r="H19" s="25">
        <v>2710412</v>
      </c>
      <c r="I19" s="25"/>
      <c r="J19" s="24"/>
      <c r="K19" s="22"/>
      <c r="L19" s="22">
        <v>1.7637269393600174E-2</v>
      </c>
      <c r="M19" s="26">
        <v>46287.671377314815</v>
      </c>
      <c r="N19" s="27"/>
      <c r="O19" s="23"/>
      <c r="P19" s="23"/>
    </row>
    <row r="20" spans="1:16" x14ac:dyDescent="0.15">
      <c r="A20" t="s">
        <v>57</v>
      </c>
      <c r="B20" s="24"/>
      <c r="C20" s="24"/>
      <c r="D20" s="24"/>
      <c r="E20" s="25"/>
      <c r="F20" s="25"/>
      <c r="G20" s="24">
        <v>338.98001098632812</v>
      </c>
      <c r="H20" s="25"/>
      <c r="I20" s="25"/>
      <c r="J20" s="24"/>
      <c r="K20" s="22"/>
      <c r="L20" s="22">
        <v>1.8439339103154519E-2</v>
      </c>
      <c r="M20" s="26"/>
      <c r="N20" s="27"/>
      <c r="O20" s="23"/>
      <c r="P20" s="23"/>
    </row>
    <row r="21" spans="1:16" x14ac:dyDescent="0.15">
      <c r="A21" t="s">
        <v>156</v>
      </c>
      <c r="B21" s="24">
        <v>265.20999999999998</v>
      </c>
      <c r="C21" s="24"/>
      <c r="D21" s="24"/>
      <c r="E21" s="25"/>
      <c r="F21" s="25"/>
      <c r="G21" s="24">
        <v>263.95999999999998</v>
      </c>
      <c r="H21" s="25">
        <v>3438160</v>
      </c>
      <c r="I21" s="25"/>
      <c r="J21" s="24"/>
      <c r="K21" s="22"/>
      <c r="L21" s="22">
        <v>1.5757902673756798E-2</v>
      </c>
      <c r="M21" s="26">
        <v>46287.671377314815</v>
      </c>
      <c r="N21" s="27"/>
      <c r="O21" s="23"/>
      <c r="P21" s="23"/>
    </row>
    <row r="22" spans="1:16" x14ac:dyDescent="0.15">
      <c r="A22" t="s">
        <v>454</v>
      </c>
      <c r="B22" s="24">
        <v>161.81</v>
      </c>
      <c r="C22" s="24"/>
      <c r="D22" s="24"/>
      <c r="E22" s="25"/>
      <c r="F22" s="25"/>
      <c r="G22" s="24">
        <v>166.22</v>
      </c>
      <c r="H22" s="25">
        <v>3301800</v>
      </c>
      <c r="I22" s="25"/>
      <c r="J22" s="24"/>
      <c r="K22" s="22"/>
      <c r="L22" s="22">
        <v>2.9691324266187532E-2</v>
      </c>
      <c r="M22" s="26">
        <v>46287.671377314815</v>
      </c>
      <c r="N22" s="27"/>
      <c r="O22" s="23"/>
      <c r="P22" s="23"/>
    </row>
    <row r="23" spans="1:16" x14ac:dyDescent="0.15">
      <c r="A23" t="s">
        <v>242</v>
      </c>
      <c r="B23" s="24">
        <v>103.69</v>
      </c>
      <c r="C23" s="24"/>
      <c r="D23" s="24"/>
      <c r="E23" s="25"/>
      <c r="F23" s="25"/>
      <c r="G23" s="24">
        <v>102.61</v>
      </c>
      <c r="H23" s="25">
        <v>5018290</v>
      </c>
      <c r="I23" s="25"/>
      <c r="J23" s="24"/>
      <c r="K23" s="22"/>
      <c r="L23" s="22">
        <v>2.0104590352957207E-2</v>
      </c>
      <c r="M23" s="26">
        <v>46287.671377314815</v>
      </c>
      <c r="N23" s="27"/>
      <c r="O23" s="23"/>
      <c r="P23" s="23"/>
    </row>
    <row r="24" spans="1:16" x14ac:dyDescent="0.15">
      <c r="A24" t="s">
        <v>696</v>
      </c>
      <c r="B24" s="24">
        <v>96.406000000000006</v>
      </c>
      <c r="C24" s="24"/>
      <c r="D24" s="24"/>
      <c r="E24" s="25"/>
      <c r="F24" s="25"/>
      <c r="G24" s="24">
        <v>96.89</v>
      </c>
      <c r="H24" s="25">
        <v>4102033</v>
      </c>
      <c r="I24" s="25"/>
      <c r="J24" s="24"/>
      <c r="K24" s="22"/>
      <c r="L24" s="22">
        <v>1.4502498578893254E-2</v>
      </c>
      <c r="M24" s="26">
        <v>46287.671377314815</v>
      </c>
      <c r="N24" s="27"/>
      <c r="O24" s="23"/>
      <c r="P24" s="23"/>
    </row>
    <row r="25" spans="1:16" x14ac:dyDescent="0.15">
      <c r="A25" t="s">
        <v>320</v>
      </c>
      <c r="B25" s="24">
        <v>182.15</v>
      </c>
      <c r="C25" s="24"/>
      <c r="D25" s="24"/>
      <c r="E25" s="25"/>
      <c r="F25" s="25"/>
      <c r="G25" s="24">
        <v>181.29</v>
      </c>
      <c r="H25" s="25">
        <v>7419162</v>
      </c>
      <c r="I25" s="25"/>
      <c r="J25" s="24"/>
      <c r="K25" s="22"/>
      <c r="L25" s="22">
        <v>2.9911926344593102E-2</v>
      </c>
      <c r="M25" s="26">
        <v>46287.671377314815</v>
      </c>
      <c r="N25" s="27"/>
      <c r="O25" s="23"/>
      <c r="P25" s="23"/>
    </row>
    <row r="26" spans="1:16" x14ac:dyDescent="0.15">
      <c r="A26" t="s">
        <v>344</v>
      </c>
      <c r="B26" s="24">
        <v>238.43</v>
      </c>
      <c r="C26" s="24"/>
      <c r="D26" s="24"/>
      <c r="E26" s="25"/>
      <c r="F26" s="25"/>
      <c r="G26" s="24">
        <v>248.92</v>
      </c>
      <c r="H26" s="25">
        <v>5186640</v>
      </c>
      <c r="I26" s="25"/>
      <c r="J26" s="24"/>
      <c r="K26" s="22"/>
      <c r="L26" s="22">
        <v>3.0712659082451091E-2</v>
      </c>
      <c r="M26" s="26">
        <v>46287.671377314815</v>
      </c>
      <c r="N26" s="27"/>
      <c r="O26" s="23"/>
      <c r="P26" s="23"/>
    </row>
    <row r="27" spans="1:16" x14ac:dyDescent="0.15">
      <c r="A27" t="s">
        <v>240</v>
      </c>
      <c r="B27" s="24">
        <v>390.37</v>
      </c>
      <c r="C27" s="24"/>
      <c r="D27" s="24"/>
      <c r="E27" s="25"/>
      <c r="F27" s="25"/>
      <c r="G27" s="24">
        <v>375.72</v>
      </c>
      <c r="H27" s="25">
        <v>4050448</v>
      </c>
      <c r="I27" s="25"/>
      <c r="J27" s="24"/>
      <c r="K27" s="22"/>
      <c r="L27" s="22">
        <v>2.267806293491054E-2</v>
      </c>
      <c r="M27" s="26">
        <v>46287.671377314815</v>
      </c>
      <c r="N27" s="27"/>
      <c r="O27" s="23"/>
      <c r="P27" s="23"/>
    </row>
    <row r="28" spans="1:16" x14ac:dyDescent="0.15">
      <c r="A28" t="s">
        <v>632</v>
      </c>
      <c r="B28" s="24">
        <v>83.11</v>
      </c>
      <c r="C28" s="24"/>
      <c r="D28" s="24"/>
      <c r="E28" s="25"/>
      <c r="F28" s="25"/>
      <c r="G28" s="24">
        <v>85.18</v>
      </c>
      <c r="H28" s="25">
        <v>2565830</v>
      </c>
      <c r="I28" s="25"/>
      <c r="J28" s="24"/>
      <c r="K28" s="22"/>
      <c r="L28" s="22">
        <v>1.8009989944301495E-2</v>
      </c>
      <c r="M28" s="26">
        <v>46287.671377314815</v>
      </c>
      <c r="N28" s="27"/>
      <c r="O28" s="23"/>
      <c r="P28" s="23"/>
    </row>
    <row r="29" spans="1:16" x14ac:dyDescent="0.15">
      <c r="A29" t="s">
        <v>330</v>
      </c>
      <c r="B29" s="24">
        <v>269.64</v>
      </c>
      <c r="C29" s="24"/>
      <c r="D29" s="24"/>
      <c r="E29" s="25"/>
      <c r="F29" s="25"/>
      <c r="G29" s="24">
        <v>271.22000000000003</v>
      </c>
      <c r="H29" s="25">
        <v>2307379</v>
      </c>
      <c r="I29" s="25"/>
      <c r="J29" s="24"/>
      <c r="K29" s="22"/>
      <c r="L29" s="22">
        <v>1.8988042185347692E-2</v>
      </c>
      <c r="M29" s="26">
        <v>46287.671377314815</v>
      </c>
      <c r="N29" s="27"/>
      <c r="O29" s="23"/>
      <c r="P29" s="23"/>
    </row>
    <row r="30" spans="1:16" x14ac:dyDescent="0.15">
      <c r="A30" t="s">
        <v>588</v>
      </c>
      <c r="B30" s="24">
        <v>219.62</v>
      </c>
      <c r="C30" s="24"/>
      <c r="D30" s="24"/>
      <c r="E30" s="25"/>
      <c r="F30" s="25"/>
      <c r="G30" s="24">
        <v>216.95</v>
      </c>
      <c r="H30" s="25">
        <v>1528518</v>
      </c>
      <c r="I30" s="25"/>
      <c r="J30" s="24"/>
      <c r="K30" s="22"/>
      <c r="L30" s="22">
        <v>2.980632372238946E-2</v>
      </c>
      <c r="M30" s="26">
        <v>46287.671377314815</v>
      </c>
      <c r="N30" s="27"/>
      <c r="O30" s="23"/>
      <c r="P30" s="23"/>
    </row>
    <row r="31" spans="1:16" x14ac:dyDescent="0.15">
      <c r="A31" t="s">
        <v>746</v>
      </c>
      <c r="B31" s="24">
        <v>101.66</v>
      </c>
      <c r="C31" s="24"/>
      <c r="D31" s="24"/>
      <c r="E31" s="25"/>
      <c r="F31" s="25"/>
      <c r="G31" s="24">
        <v>102.23</v>
      </c>
      <c r="H31" s="25">
        <v>1852613</v>
      </c>
      <c r="I31" s="25"/>
      <c r="J31" s="24"/>
      <c r="K31" s="22"/>
      <c r="L31" s="22">
        <v>1.1739342981126461E-2</v>
      </c>
      <c r="M31" s="26">
        <v>46287.671377314815</v>
      </c>
      <c r="N31" s="27"/>
      <c r="O31" s="23"/>
      <c r="P31" s="23"/>
    </row>
    <row r="32" spans="1:16" x14ac:dyDescent="0.15">
      <c r="A32" t="s">
        <v>472</v>
      </c>
      <c r="B32" s="24">
        <v>120.27</v>
      </c>
      <c r="C32" s="24"/>
      <c r="D32" s="24"/>
      <c r="E32" s="25"/>
      <c r="F32" s="25"/>
      <c r="G32" s="24">
        <v>120</v>
      </c>
      <c r="H32" s="25">
        <v>6986209</v>
      </c>
      <c r="I32" s="25"/>
      <c r="J32" s="24"/>
      <c r="K32" s="22"/>
      <c r="L32" s="22">
        <v>1.1102305158567768E-2</v>
      </c>
      <c r="M32" s="26">
        <v>46287.671377314815</v>
      </c>
      <c r="N32" s="27"/>
      <c r="O32" s="23"/>
      <c r="P32" s="23"/>
    </row>
    <row r="33" spans="1:16" x14ac:dyDescent="0.15">
      <c r="A33" t="s">
        <v>1060</v>
      </c>
      <c r="B33" s="24">
        <v>14.82</v>
      </c>
      <c r="C33" s="24"/>
      <c r="D33" s="24"/>
      <c r="E33" s="25"/>
      <c r="F33" s="25"/>
      <c r="G33" s="24">
        <v>14.83</v>
      </c>
      <c r="H33" s="25">
        <v>13969737</v>
      </c>
      <c r="I33" s="25"/>
      <c r="J33" s="24"/>
      <c r="K33" s="22"/>
      <c r="L33" s="22">
        <v>1.9193673586410127E-3</v>
      </c>
      <c r="M33" s="26">
        <v>46287.671377314815</v>
      </c>
      <c r="N33" s="27"/>
      <c r="O33" s="23"/>
      <c r="P33" s="23"/>
    </row>
    <row r="34" spans="1:16" x14ac:dyDescent="0.15">
      <c r="A34" t="s">
        <v>552</v>
      </c>
      <c r="B34" s="24">
        <v>114.6</v>
      </c>
      <c r="C34" s="24"/>
      <c r="D34" s="24"/>
      <c r="E34" s="25"/>
      <c r="F34" s="25"/>
      <c r="G34" s="24">
        <v>116.33</v>
      </c>
      <c r="H34" s="25">
        <v>1886391</v>
      </c>
      <c r="I34" s="25"/>
      <c r="J34" s="24"/>
      <c r="K34" s="22"/>
      <c r="L34" s="22">
        <v>1.1383981299723525E-2</v>
      </c>
      <c r="M34" s="26">
        <v>46287.671377314815</v>
      </c>
      <c r="N34" s="27"/>
      <c r="O34" s="23"/>
      <c r="P34" s="23"/>
    </row>
    <row r="35" spans="1:16" x14ac:dyDescent="0.15">
      <c r="A35" t="s">
        <v>648</v>
      </c>
      <c r="B35" s="24">
        <v>75.180000000000007</v>
      </c>
      <c r="C35" s="24"/>
      <c r="D35" s="24"/>
      <c r="E35" s="25"/>
      <c r="F35" s="25"/>
      <c r="G35" s="24">
        <v>75.33</v>
      </c>
      <c r="H35" s="25">
        <v>3340017</v>
      </c>
      <c r="I35" s="25"/>
      <c r="J35" s="24"/>
      <c r="K35" s="22"/>
      <c r="L35" s="22">
        <v>1.276228155162764E-2</v>
      </c>
      <c r="M35" s="26">
        <v>46287.671377314815</v>
      </c>
      <c r="N35" s="27"/>
      <c r="O35" s="23"/>
      <c r="P35" s="23"/>
    </row>
    <row r="36" spans="1:16" x14ac:dyDescent="0.15">
      <c r="A36" t="s">
        <v>988</v>
      </c>
      <c r="B36" s="24">
        <v>271.08</v>
      </c>
      <c r="C36" s="24"/>
      <c r="D36" s="24"/>
      <c r="E36" s="25"/>
      <c r="F36" s="25"/>
      <c r="G36" s="24">
        <v>282.23</v>
      </c>
      <c r="H36" s="25">
        <v>335600</v>
      </c>
      <c r="I36" s="25"/>
      <c r="J36" s="24"/>
      <c r="K36" s="22"/>
      <c r="L36" s="22">
        <v>1.3807181197924605E-2</v>
      </c>
      <c r="M36" s="26">
        <v>46287.671377314815</v>
      </c>
      <c r="N36" s="27"/>
      <c r="O36" s="23"/>
      <c r="P36" s="23"/>
    </row>
    <row r="37" spans="1:16" x14ac:dyDescent="0.15">
      <c r="A37" t="s">
        <v>496</v>
      </c>
      <c r="B37" s="24">
        <v>230.45</v>
      </c>
      <c r="C37" s="24"/>
      <c r="D37" s="24"/>
      <c r="E37" s="25"/>
      <c r="F37" s="25"/>
      <c r="G37" s="24">
        <v>239.48</v>
      </c>
      <c r="H37" s="25">
        <v>1284170</v>
      </c>
      <c r="I37" s="25"/>
      <c r="J37" s="24"/>
      <c r="K37" s="22"/>
      <c r="L37" s="22">
        <v>2.2646477722439218E-2</v>
      </c>
      <c r="M37" s="26">
        <v>46287.671377314815</v>
      </c>
      <c r="N37" s="27"/>
      <c r="O37" s="23"/>
      <c r="P37" s="23"/>
    </row>
    <row r="38" spans="1:16" x14ac:dyDescent="0.15">
      <c r="A38" t="s">
        <v>968</v>
      </c>
      <c r="B38" s="24">
        <v>118.34</v>
      </c>
      <c r="C38" s="24"/>
      <c r="D38" s="24"/>
      <c r="E38" s="25"/>
      <c r="F38" s="25"/>
      <c r="G38" s="24">
        <v>104.52</v>
      </c>
      <c r="H38" s="25">
        <v>4706705</v>
      </c>
      <c r="I38" s="25"/>
      <c r="J38" s="24"/>
      <c r="K38" s="22"/>
      <c r="L38" s="22">
        <v>3.574109107926518E-2</v>
      </c>
      <c r="M38" s="26">
        <v>46287.671377314815</v>
      </c>
      <c r="N38" s="27"/>
      <c r="O38" s="23"/>
      <c r="P38" s="23"/>
    </row>
    <row r="39" spans="1:16" x14ac:dyDescent="0.15">
      <c r="A39" t="s">
        <v>1205</v>
      </c>
      <c r="B39" s="24">
        <v>361.4</v>
      </c>
      <c r="C39" s="24"/>
      <c r="D39" s="24"/>
      <c r="E39" s="25"/>
      <c r="F39" s="25"/>
      <c r="G39" s="24">
        <v>303.25</v>
      </c>
      <c r="H39" s="25">
        <v>6146058</v>
      </c>
      <c r="I39" s="25"/>
      <c r="J39" s="24"/>
      <c r="K39" s="22"/>
      <c r="L39" s="22">
        <v>6.8271220962321771E-2</v>
      </c>
      <c r="M39" s="26">
        <v>46287.671377314815</v>
      </c>
      <c r="N39" s="27"/>
      <c r="O39" s="23"/>
      <c r="P39" s="23"/>
    </row>
    <row r="40" spans="1:16" x14ac:dyDescent="0.15">
      <c r="A40" t="s">
        <v>1012</v>
      </c>
      <c r="B40" s="24">
        <v>116.8</v>
      </c>
      <c r="C40" s="24"/>
      <c r="D40" s="24"/>
      <c r="E40" s="25"/>
      <c r="F40" s="25"/>
      <c r="G40" s="24">
        <v>110.91</v>
      </c>
      <c r="H40" s="25">
        <v>1908299</v>
      </c>
      <c r="I40" s="25"/>
      <c r="J40" s="24"/>
      <c r="K40" s="22"/>
      <c r="L40" s="22">
        <v>2.7300897892278912E-2</v>
      </c>
      <c r="M40" s="26">
        <v>46287.671377314815</v>
      </c>
      <c r="N40" s="27"/>
      <c r="O40" s="23"/>
      <c r="P40" s="23"/>
    </row>
    <row r="41" spans="1:16" x14ac:dyDescent="0.15">
      <c r="A41" t="s">
        <v>1080</v>
      </c>
      <c r="B41" s="24">
        <v>153.29</v>
      </c>
      <c r="C41" s="24"/>
      <c r="D41" s="24"/>
      <c r="E41" s="25"/>
      <c r="F41" s="25"/>
      <c r="G41" s="24">
        <v>147.61000000000001</v>
      </c>
      <c r="H41" s="25">
        <v>976156</v>
      </c>
      <c r="I41" s="25"/>
      <c r="J41" s="24"/>
      <c r="K41" s="22"/>
      <c r="L41" s="22">
        <v>2.4196489528169333E-2</v>
      </c>
      <c r="M41" s="26">
        <v>46287.671377314815</v>
      </c>
      <c r="N41" s="27"/>
      <c r="O41" s="23"/>
      <c r="P41" s="23"/>
    </row>
    <row r="42" spans="1:16" x14ac:dyDescent="0.15">
      <c r="A42" t="s">
        <v>482</v>
      </c>
      <c r="B42" s="24">
        <v>229.5</v>
      </c>
      <c r="C42" s="24"/>
      <c r="D42" s="24"/>
      <c r="E42" s="25"/>
      <c r="F42" s="25"/>
      <c r="G42" s="24">
        <v>249.83</v>
      </c>
      <c r="H42" s="25">
        <v>2355066</v>
      </c>
      <c r="I42" s="25"/>
      <c r="J42" s="24"/>
      <c r="K42" s="22"/>
      <c r="L42" s="22">
        <v>1.8465322842426725E-2</v>
      </c>
      <c r="M42" s="26">
        <v>46287.671377314815</v>
      </c>
      <c r="N42" s="27"/>
      <c r="O42" s="23"/>
      <c r="P42" s="23"/>
    </row>
    <row r="43" spans="1:16" x14ac:dyDescent="0.15">
      <c r="A43" t="s">
        <v>1014</v>
      </c>
      <c r="B43" s="24">
        <v>153.94999999999999</v>
      </c>
      <c r="C43" s="24"/>
      <c r="D43" s="24"/>
      <c r="E43" s="25"/>
      <c r="F43" s="25"/>
      <c r="G43" s="24">
        <v>151.36000000000001</v>
      </c>
      <c r="H43" s="25">
        <v>1020252</v>
      </c>
      <c r="I43" s="25"/>
      <c r="J43" s="24"/>
      <c r="K43" s="22"/>
      <c r="L43" s="22">
        <v>1.9390713509971194E-2</v>
      </c>
      <c r="M43" s="26">
        <v>46287.671377314815</v>
      </c>
      <c r="N43" s="27"/>
      <c r="O43" s="23"/>
      <c r="P43" s="23"/>
    </row>
    <row r="44" spans="1:16" x14ac:dyDescent="0.15">
      <c r="A44" t="s">
        <v>1236</v>
      </c>
      <c r="B44" s="24">
        <v>251.65</v>
      </c>
      <c r="C44" s="24"/>
      <c r="D44" s="24"/>
      <c r="E44" s="25"/>
      <c r="F44" s="25"/>
      <c r="G44" s="24">
        <v>239.56</v>
      </c>
      <c r="H44" s="25">
        <v>1152874</v>
      </c>
      <c r="I44" s="25"/>
      <c r="J44" s="24"/>
      <c r="K44" s="22"/>
      <c r="L44" s="22">
        <v>4.6656630943788753E-2</v>
      </c>
      <c r="M44" s="26">
        <v>46287.671377314815</v>
      </c>
      <c r="N44" s="27"/>
      <c r="O44" s="23"/>
      <c r="P44" s="23"/>
    </row>
    <row r="45" spans="1:16" x14ac:dyDescent="0.15">
      <c r="A45" t="s">
        <v>176</v>
      </c>
      <c r="B45" s="24">
        <v>472.46</v>
      </c>
      <c r="C45" s="24"/>
      <c r="D45" s="24"/>
      <c r="E45" s="25"/>
      <c r="F45" s="25"/>
      <c r="G45" s="24">
        <v>444.57</v>
      </c>
      <c r="H45" s="25">
        <v>9491091</v>
      </c>
      <c r="I45" s="25"/>
      <c r="J45" s="24"/>
      <c r="K45" s="22"/>
      <c r="L45" s="22">
        <v>4.6521957462392322E-2</v>
      </c>
      <c r="M45" s="26">
        <v>46287.671377314815</v>
      </c>
      <c r="N45" s="27"/>
      <c r="O45" s="23"/>
      <c r="P45" s="23"/>
    </row>
    <row r="46" spans="1:16" x14ac:dyDescent="0.15">
      <c r="A46" t="s">
        <v>894</v>
      </c>
      <c r="B46" s="24">
        <v>43.24</v>
      </c>
      <c r="C46" s="24"/>
      <c r="D46" s="24"/>
      <c r="E46" s="25"/>
      <c r="F46" s="25"/>
      <c r="G46" s="24">
        <v>41.9</v>
      </c>
      <c r="H46" s="25">
        <v>3212400</v>
      </c>
      <c r="I46" s="25"/>
      <c r="J46" s="24"/>
      <c r="K46" s="22"/>
      <c r="L46" s="22">
        <v>1.7841816246332635E-2</v>
      </c>
      <c r="M46" s="26">
        <v>46287.671377314815</v>
      </c>
      <c r="N46" s="27"/>
      <c r="O46" s="23"/>
      <c r="P46" s="23"/>
    </row>
    <row r="47" spans="1:16" x14ac:dyDescent="0.15">
      <c r="A47" t="s">
        <v>144</v>
      </c>
      <c r="B47" s="24">
        <v>622.85</v>
      </c>
      <c r="C47" s="24"/>
      <c r="D47" s="24"/>
      <c r="E47" s="25"/>
      <c r="F47" s="25"/>
      <c r="G47" s="24">
        <v>559.82000000000005</v>
      </c>
      <c r="H47" s="25">
        <v>44495358</v>
      </c>
      <c r="I47" s="25"/>
      <c r="J47" s="24"/>
      <c r="K47" s="22"/>
      <c r="L47" s="22">
        <v>4.5236047159306514E-2</v>
      </c>
      <c r="M47" s="26">
        <v>46287.671377314815</v>
      </c>
      <c r="N47" s="27"/>
      <c r="O47" s="23"/>
      <c r="P47" s="23"/>
    </row>
    <row r="48" spans="1:16" x14ac:dyDescent="0.15">
      <c r="A48" t="s">
        <v>538</v>
      </c>
      <c r="B48" s="24">
        <v>245.41</v>
      </c>
      <c r="C48" s="24"/>
      <c r="D48" s="24"/>
      <c r="E48" s="25"/>
      <c r="F48" s="25"/>
      <c r="G48" s="24">
        <v>237.64</v>
      </c>
      <c r="H48" s="25">
        <v>1351908</v>
      </c>
      <c r="I48" s="25"/>
      <c r="J48" s="24"/>
      <c r="K48" s="22"/>
      <c r="L48" s="22">
        <v>1.4537429662439002E-2</v>
      </c>
      <c r="M48" s="26">
        <v>46287.671377314815</v>
      </c>
      <c r="N48" s="27"/>
      <c r="O48" s="23"/>
      <c r="P48" s="23"/>
    </row>
    <row r="49" spans="1:16" x14ac:dyDescent="0.15">
      <c r="A49" t="s">
        <v>226</v>
      </c>
      <c r="B49" s="24">
        <v>410.24</v>
      </c>
      <c r="C49" s="24"/>
      <c r="D49" s="24"/>
      <c r="E49" s="25"/>
      <c r="F49" s="25"/>
      <c r="G49" s="24">
        <v>385.65</v>
      </c>
      <c r="H49" s="25">
        <v>2889260</v>
      </c>
      <c r="I49" s="25"/>
      <c r="J49" s="24"/>
      <c r="K49" s="22"/>
      <c r="L49" s="22">
        <v>2.0980879808433609E-2</v>
      </c>
      <c r="M49" s="26">
        <v>46287.671377314815</v>
      </c>
      <c r="N49" s="27"/>
      <c r="O49" s="23"/>
      <c r="P49" s="23"/>
    </row>
    <row r="50" spans="1:16" x14ac:dyDescent="0.15">
      <c r="A50" t="s">
        <v>570</v>
      </c>
      <c r="B50" s="24">
        <v>514.40200000000004</v>
      </c>
      <c r="C50" s="24"/>
      <c r="D50" s="24"/>
      <c r="E50" s="25"/>
      <c r="F50" s="25"/>
      <c r="G50" s="24">
        <v>544.33000000000004</v>
      </c>
      <c r="H50" s="25">
        <v>659436</v>
      </c>
      <c r="I50" s="25"/>
      <c r="J50" s="24"/>
      <c r="K50" s="22"/>
      <c r="L50" s="22">
        <v>1.5031401416438208E-2</v>
      </c>
      <c r="M50" s="26">
        <v>46287.671377314815</v>
      </c>
      <c r="N50" s="27"/>
      <c r="O50" s="23"/>
      <c r="P50" s="23"/>
    </row>
    <row r="51" spans="1:16" x14ac:dyDescent="0.15">
      <c r="A51" t="s">
        <v>394</v>
      </c>
      <c r="B51" s="24">
        <v>176.25</v>
      </c>
      <c r="C51" s="24"/>
      <c r="D51" s="24"/>
      <c r="E51" s="25"/>
      <c r="F51" s="25"/>
      <c r="G51" s="24">
        <v>173.98</v>
      </c>
      <c r="H51" s="25">
        <v>3569176</v>
      </c>
      <c r="I51" s="25"/>
      <c r="J51" s="24"/>
      <c r="K51" s="22"/>
      <c r="L51" s="22">
        <v>1.7302412235694533E-2</v>
      </c>
      <c r="M51" s="26">
        <v>46287.671377314815</v>
      </c>
      <c r="N51" s="27"/>
      <c r="O51" s="23"/>
      <c r="P51" s="23"/>
    </row>
    <row r="52" spans="1:16" x14ac:dyDescent="0.15">
      <c r="A52" t="s">
        <v>124</v>
      </c>
      <c r="B52" s="24">
        <v>255.01</v>
      </c>
      <c r="C52" s="24"/>
      <c r="D52" s="24"/>
      <c r="E52" s="25"/>
      <c r="F52" s="25"/>
      <c r="G52" s="24">
        <v>253.71</v>
      </c>
      <c r="H52" s="25">
        <v>42979564</v>
      </c>
      <c r="I52" s="25"/>
      <c r="J52" s="24"/>
      <c r="K52" s="22"/>
      <c r="L52" s="22">
        <v>2.6708039960800435E-2</v>
      </c>
      <c r="M52" s="26">
        <v>46287.671377314815</v>
      </c>
      <c r="N52" s="27"/>
      <c r="O52" s="23"/>
      <c r="P52" s="23"/>
    </row>
    <row r="53" spans="1:16" x14ac:dyDescent="0.15">
      <c r="A53" t="s">
        <v>224</v>
      </c>
      <c r="B53" s="24">
        <v>204.4692</v>
      </c>
      <c r="C53" s="24"/>
      <c r="D53" s="24"/>
      <c r="E53" s="25"/>
      <c r="F53" s="25"/>
      <c r="G53" s="24">
        <v>199.39</v>
      </c>
      <c r="H53" s="25">
        <v>5004360</v>
      </c>
      <c r="I53" s="25"/>
      <c r="J53" s="24"/>
      <c r="K53" s="22"/>
      <c r="L53" s="22">
        <v>3.5726556381767138E-2</v>
      </c>
      <c r="M53" s="26">
        <v>46287.671377314815</v>
      </c>
      <c r="N53" s="27"/>
      <c r="O53" s="23"/>
      <c r="P53" s="23"/>
    </row>
    <row r="54" spans="1:16" x14ac:dyDescent="0.15">
      <c r="A54" t="s">
        <v>490</v>
      </c>
      <c r="B54" s="24">
        <v>286.10000000000002</v>
      </c>
      <c r="C54" s="24"/>
      <c r="D54" s="24"/>
      <c r="E54" s="25"/>
      <c r="F54" s="25"/>
      <c r="G54" s="24">
        <v>295.64</v>
      </c>
      <c r="H54" s="25">
        <v>1936412</v>
      </c>
      <c r="I54" s="25"/>
      <c r="J54" s="24"/>
      <c r="K54" s="22"/>
      <c r="L54" s="22">
        <v>2.1742489246805417E-2</v>
      </c>
      <c r="M54" s="26">
        <v>46287.671377314815</v>
      </c>
      <c r="N54" s="27"/>
      <c r="O54" s="23"/>
      <c r="P54" s="23"/>
    </row>
    <row r="55" spans="1:16" x14ac:dyDescent="0.15">
      <c r="A55" t="s">
        <v>1108</v>
      </c>
      <c r="B55" s="24">
        <v>58.16</v>
      </c>
      <c r="C55" s="24"/>
      <c r="D55" s="24"/>
      <c r="E55" s="25"/>
      <c r="F55" s="25"/>
      <c r="G55" s="24">
        <v>56.95</v>
      </c>
      <c r="H55" s="25">
        <v>1479188</v>
      </c>
      <c r="I55" s="25"/>
      <c r="J55" s="24"/>
      <c r="K55" s="22"/>
      <c r="L55" s="22">
        <v>1.7788037452854909E-2</v>
      </c>
      <c r="M55" s="26">
        <v>46287.671377314815</v>
      </c>
      <c r="N55" s="27"/>
      <c r="O55" s="23"/>
      <c r="P55" s="23"/>
    </row>
    <row r="56" spans="1:16" x14ac:dyDescent="0.15">
      <c r="A56" t="s">
        <v>958</v>
      </c>
      <c r="B56" s="24">
        <v>42.3</v>
      </c>
      <c r="C56" s="24"/>
      <c r="D56" s="24"/>
      <c r="E56" s="25"/>
      <c r="F56" s="25"/>
      <c r="G56" s="24">
        <v>44.87</v>
      </c>
      <c r="H56" s="25">
        <v>6001572</v>
      </c>
      <c r="I56" s="25"/>
      <c r="J56" s="24"/>
      <c r="K56" s="22"/>
      <c r="L56" s="22">
        <v>2.7156063230145081E-2</v>
      </c>
      <c r="M56" s="26">
        <v>46287.671377314815</v>
      </c>
      <c r="N56" s="27"/>
      <c r="O56" s="23"/>
      <c r="P56" s="23"/>
    </row>
    <row r="57" spans="1:16" x14ac:dyDescent="0.15">
      <c r="A57" t="s">
        <v>478</v>
      </c>
      <c r="B57" s="24">
        <v>287.86</v>
      </c>
      <c r="C57" s="24"/>
      <c r="D57" s="24"/>
      <c r="E57" s="25"/>
      <c r="F57" s="25"/>
      <c r="G57" s="24">
        <v>284.18</v>
      </c>
      <c r="H57" s="25">
        <v>1741511</v>
      </c>
      <c r="I57" s="25"/>
      <c r="J57" s="24"/>
      <c r="K57" s="22"/>
      <c r="L57" s="22">
        <v>1.7527010767177231E-2</v>
      </c>
      <c r="M57" s="26">
        <v>46287.671377314815</v>
      </c>
      <c r="N57" s="27"/>
      <c r="O57" s="23"/>
      <c r="P57" s="23"/>
    </row>
    <row r="58" spans="1:16" x14ac:dyDescent="0.15">
      <c r="A58" t="s">
        <v>234</v>
      </c>
      <c r="B58" s="24">
        <v>82.84</v>
      </c>
      <c r="C58" s="24"/>
      <c r="D58" s="24"/>
      <c r="E58" s="25"/>
      <c r="F58" s="25"/>
      <c r="G58" s="24">
        <v>77.55</v>
      </c>
      <c r="H58" s="25">
        <v>11656297</v>
      </c>
      <c r="I58" s="25"/>
      <c r="J58" s="24"/>
      <c r="K58" s="22"/>
      <c r="L58" s="22">
        <v>2.7561574788809051E-2</v>
      </c>
      <c r="M58" s="26">
        <v>46287.671377314815</v>
      </c>
      <c r="N58" s="27"/>
      <c r="O58" s="23"/>
      <c r="P58" s="23"/>
    </row>
    <row r="59" spans="1:16" x14ac:dyDescent="0.15">
      <c r="A59" t="s">
        <v>506</v>
      </c>
      <c r="B59" s="24">
        <v>124.15</v>
      </c>
      <c r="C59" s="24"/>
      <c r="D59" s="24"/>
      <c r="E59" s="25"/>
      <c r="F59" s="25"/>
      <c r="G59" s="24">
        <v>125.91</v>
      </c>
      <c r="H59" s="25">
        <v>2368187</v>
      </c>
      <c r="I59" s="25"/>
      <c r="J59" s="24"/>
      <c r="K59" s="22"/>
      <c r="L59" s="22">
        <v>2.1351584340860694E-2</v>
      </c>
      <c r="M59" s="26">
        <v>46287.671377314815</v>
      </c>
      <c r="N59" s="27"/>
      <c r="O59" s="23"/>
      <c r="P59" s="23"/>
    </row>
    <row r="60" spans="1:16" x14ac:dyDescent="0.15">
      <c r="A60" t="s">
        <v>388</v>
      </c>
      <c r="B60" s="24">
        <v>328.35579999999999</v>
      </c>
      <c r="C60" s="24"/>
      <c r="D60" s="24"/>
      <c r="E60" s="25"/>
      <c r="F60" s="25"/>
      <c r="G60" s="24">
        <v>308.06</v>
      </c>
      <c r="H60" s="25">
        <v>5999110</v>
      </c>
      <c r="I60" s="25"/>
      <c r="J60" s="24"/>
      <c r="K60" s="22"/>
      <c r="L60" s="22">
        <v>4.4233770672424282E-2</v>
      </c>
      <c r="M60" s="26">
        <v>46287.671377314815</v>
      </c>
      <c r="N60" s="27"/>
      <c r="O60" s="23"/>
      <c r="P60" s="23"/>
    </row>
    <row r="61" spans="1:16" x14ac:dyDescent="0.15">
      <c r="A61" t="s">
        <v>1088</v>
      </c>
      <c r="B61" s="24">
        <v>44.47</v>
      </c>
      <c r="C61" s="24"/>
      <c r="D61" s="24"/>
      <c r="E61" s="25"/>
      <c r="F61" s="25"/>
      <c r="G61" s="24">
        <v>43.59</v>
      </c>
      <c r="H61" s="25">
        <v>2779554</v>
      </c>
      <c r="I61" s="25"/>
      <c r="J61" s="24"/>
      <c r="K61" s="22"/>
      <c r="L61" s="22">
        <v>3.0293201743434344E-2</v>
      </c>
      <c r="M61" s="26">
        <v>46287.671377314815</v>
      </c>
      <c r="N61" s="27"/>
      <c r="O61" s="23"/>
      <c r="P61" s="23"/>
    </row>
    <row r="62" spans="1:16" x14ac:dyDescent="0.15">
      <c r="A62" t="s">
        <v>1096</v>
      </c>
      <c r="B62" s="24">
        <v>53.85</v>
      </c>
      <c r="C62" s="24"/>
      <c r="D62" s="24"/>
      <c r="E62" s="25"/>
      <c r="F62" s="25"/>
      <c r="G62" s="24">
        <v>53.3</v>
      </c>
      <c r="H62" s="25">
        <v>1921140</v>
      </c>
      <c r="I62" s="25"/>
      <c r="J62" s="24"/>
      <c r="K62" s="22"/>
      <c r="L62" s="22">
        <v>2.8398282457675585E-2</v>
      </c>
      <c r="M62" s="26">
        <v>46287.671388888892</v>
      </c>
      <c r="N62" s="27"/>
      <c r="O62" s="23"/>
      <c r="P62" s="23"/>
    </row>
    <row r="63" spans="1:16" x14ac:dyDescent="0.15">
      <c r="A63" t="s">
        <v>756</v>
      </c>
      <c r="B63" s="24">
        <v>124.72</v>
      </c>
      <c r="C63" s="24"/>
      <c r="D63" s="24"/>
      <c r="E63" s="25"/>
      <c r="F63" s="25"/>
      <c r="G63" s="24">
        <v>123.8</v>
      </c>
      <c r="H63" s="25">
        <v>1616048</v>
      </c>
      <c r="I63" s="25"/>
      <c r="J63" s="24"/>
      <c r="K63" s="22"/>
      <c r="L63" s="22">
        <v>2.4079825984221721E-2</v>
      </c>
      <c r="M63" s="26">
        <v>46287.671388888892</v>
      </c>
      <c r="N63" s="27"/>
      <c r="O63" s="23"/>
      <c r="P63" s="23"/>
    </row>
    <row r="64" spans="1:16" x14ac:dyDescent="0.15">
      <c r="A64" t="s">
        <v>1168</v>
      </c>
      <c r="B64" s="24">
        <v>333.7</v>
      </c>
      <c r="C64" s="24"/>
      <c r="D64" s="24"/>
      <c r="E64" s="25"/>
      <c r="F64" s="25"/>
      <c r="G64" s="24">
        <v>275.61</v>
      </c>
      <c r="H64" s="25">
        <v>13009969</v>
      </c>
      <c r="I64" s="25"/>
      <c r="J64" s="24"/>
      <c r="K64" s="22"/>
      <c r="L64" s="22">
        <v>5.4287912102367629E-2</v>
      </c>
      <c r="M64" s="26">
        <v>46287.671388888892</v>
      </c>
      <c r="N64" s="27"/>
      <c r="O64" s="23"/>
      <c r="P64" s="23"/>
    </row>
    <row r="65" spans="1:16" x14ac:dyDescent="0.15">
      <c r="A65" t="s">
        <v>1161</v>
      </c>
      <c r="B65" s="24">
        <v>1747.9</v>
      </c>
      <c r="C65" s="24"/>
      <c r="D65" s="24"/>
      <c r="E65" s="25"/>
      <c r="F65" s="25"/>
      <c r="G65" s="24">
        <v>1679.92</v>
      </c>
      <c r="H65" s="25">
        <v>1316216</v>
      </c>
      <c r="I65" s="25"/>
      <c r="J65" s="24"/>
      <c r="K65" s="22"/>
      <c r="L65" s="22">
        <v>2.9813363296776339E-2</v>
      </c>
      <c r="M65" s="26">
        <v>46287.671388888892</v>
      </c>
      <c r="N65" s="27"/>
      <c r="O65" s="23"/>
      <c r="P65" s="23"/>
    </row>
    <row r="66" spans="1:16" x14ac:dyDescent="0.15">
      <c r="A66" t="s">
        <v>762</v>
      </c>
      <c r="B66" s="24">
        <v>157.34</v>
      </c>
      <c r="C66" s="24"/>
      <c r="D66" s="24"/>
      <c r="E66" s="25"/>
      <c r="F66" s="25"/>
      <c r="G66" s="24">
        <v>160.30000000000001</v>
      </c>
      <c r="H66" s="25">
        <v>1059874</v>
      </c>
      <c r="I66" s="25"/>
      <c r="J66" s="24"/>
      <c r="K66" s="22"/>
      <c r="L66" s="22">
        <v>1.0331730815926241E-2</v>
      </c>
      <c r="M66" s="26">
        <v>46287.671388888892</v>
      </c>
      <c r="N66" s="27"/>
      <c r="O66" s="23"/>
      <c r="P66" s="23"/>
    </row>
    <row r="67" spans="1:16" x14ac:dyDescent="0.15">
      <c r="A67" t="s">
        <v>128</v>
      </c>
      <c r="B67" s="24">
        <v>364.16</v>
      </c>
      <c r="C67" s="24"/>
      <c r="D67" s="24"/>
      <c r="E67" s="25"/>
      <c r="F67" s="25"/>
      <c r="G67" s="24">
        <v>356.96</v>
      </c>
      <c r="H67" s="25">
        <v>26498826</v>
      </c>
      <c r="I67" s="25"/>
      <c r="J67" s="24"/>
      <c r="K67" s="22"/>
      <c r="L67" s="22">
        <v>2.5651849864177428E-2</v>
      </c>
      <c r="M67" s="26">
        <v>46287.671388888892</v>
      </c>
      <c r="N67" s="27"/>
      <c r="O67" s="23"/>
      <c r="P67" s="23"/>
    </row>
    <row r="68" spans="1:16" x14ac:dyDescent="0.15">
      <c r="A68" t="s">
        <v>1020</v>
      </c>
      <c r="B68" s="24">
        <v>172.09</v>
      </c>
      <c r="C68" s="24"/>
      <c r="D68" s="24"/>
      <c r="E68" s="25"/>
      <c r="F68" s="25"/>
      <c r="G68" s="24">
        <v>167.71</v>
      </c>
      <c r="H68" s="25">
        <v>761982</v>
      </c>
      <c r="I68" s="25"/>
      <c r="J68" s="24"/>
      <c r="K68" s="22"/>
      <c r="L68" s="22">
        <v>1.7055508012248193E-2</v>
      </c>
      <c r="M68" s="26">
        <v>46287.671388888892</v>
      </c>
      <c r="N68" s="27"/>
      <c r="O68" s="23"/>
      <c r="P68" s="23"/>
    </row>
    <row r="69" spans="1:16" x14ac:dyDescent="0.15">
      <c r="A69" t="s">
        <v>766</v>
      </c>
      <c r="B69" s="24">
        <v>133.82</v>
      </c>
      <c r="C69" s="24"/>
      <c r="D69" s="24"/>
      <c r="E69" s="25"/>
      <c r="F69" s="25"/>
      <c r="G69" s="24">
        <v>135.9</v>
      </c>
      <c r="H69" s="25">
        <v>1442254</v>
      </c>
      <c r="I69" s="25"/>
      <c r="J69" s="24"/>
      <c r="K69" s="22"/>
      <c r="L69" s="22">
        <v>1.4432389464101395E-2</v>
      </c>
      <c r="M69" s="26">
        <v>46287.671388888892</v>
      </c>
      <c r="N69" s="27"/>
      <c r="O69" s="23"/>
      <c r="P69" s="23"/>
    </row>
    <row r="70" spans="1:16" x14ac:dyDescent="0.15">
      <c r="A70" t="s">
        <v>668</v>
      </c>
      <c r="B70" s="24">
        <v>459.31</v>
      </c>
      <c r="C70" s="24"/>
      <c r="D70" s="24"/>
      <c r="E70" s="25"/>
      <c r="F70" s="25"/>
      <c r="G70" s="24">
        <v>447.76</v>
      </c>
      <c r="H70" s="25">
        <v>991051</v>
      </c>
      <c r="I70" s="25"/>
      <c r="J70" s="24"/>
      <c r="K70" s="22"/>
      <c r="L70" s="22">
        <v>4.864664229734033E-2</v>
      </c>
      <c r="M70" s="26">
        <v>46287.671388888892</v>
      </c>
      <c r="N70" s="27"/>
      <c r="O70" s="23"/>
      <c r="P70" s="23"/>
    </row>
    <row r="71" spans="1:16" x14ac:dyDescent="0.15">
      <c r="A71" t="s">
        <v>266</v>
      </c>
      <c r="B71" s="24">
        <v>305.60000000000002</v>
      </c>
      <c r="C71" s="24"/>
      <c r="D71" s="24"/>
      <c r="E71" s="25"/>
      <c r="F71" s="25"/>
      <c r="G71" s="24">
        <v>311.56</v>
      </c>
      <c r="H71" s="25">
        <v>2490697</v>
      </c>
      <c r="I71" s="25"/>
      <c r="J71" s="24"/>
      <c r="K71" s="22"/>
      <c r="L71" s="22">
        <v>1.5333864112886933E-2</v>
      </c>
      <c r="M71" s="26">
        <v>46287.671388888892</v>
      </c>
      <c r="N71" s="27"/>
      <c r="O71" s="23"/>
      <c r="P71" s="23"/>
    </row>
    <row r="72" spans="1:16" x14ac:dyDescent="0.15">
      <c r="A72" t="s">
        <v>580</v>
      </c>
      <c r="B72" s="24">
        <v>2917</v>
      </c>
      <c r="C72" s="24"/>
      <c r="D72" s="24"/>
      <c r="E72" s="25"/>
      <c r="F72" s="25"/>
      <c r="G72" s="24">
        <v>2855.31</v>
      </c>
      <c r="H72" s="25">
        <v>609560</v>
      </c>
      <c r="I72" s="25"/>
      <c r="J72" s="24"/>
      <c r="K72" s="22"/>
      <c r="L72" s="22">
        <v>1.8924113550661526E-2</v>
      </c>
      <c r="M72" s="26">
        <v>46287.671388888892</v>
      </c>
      <c r="N72" s="27"/>
      <c r="O72" s="23"/>
      <c r="P72" s="23"/>
    </row>
    <row r="73" spans="1:16" x14ac:dyDescent="0.15">
      <c r="A73" t="s">
        <v>274</v>
      </c>
      <c r="B73" s="24">
        <v>198.12</v>
      </c>
      <c r="C73" s="24"/>
      <c r="D73" s="24"/>
      <c r="E73" s="25"/>
      <c r="F73" s="25"/>
      <c r="G73" s="24">
        <v>198.2</v>
      </c>
      <c r="H73" s="25">
        <v>6351814</v>
      </c>
      <c r="I73" s="25"/>
      <c r="J73" s="24"/>
      <c r="K73" s="22"/>
      <c r="L73" s="22">
        <v>2.1040124537860857E-2</v>
      </c>
      <c r="M73" s="26">
        <v>46287.671388888892</v>
      </c>
      <c r="N73" s="27"/>
      <c r="O73" s="23"/>
      <c r="P73" s="23"/>
    </row>
    <row r="74" spans="1:16" x14ac:dyDescent="0.15">
      <c r="A74" t="s">
        <v>168</v>
      </c>
      <c r="B74" s="24">
        <v>56.2</v>
      </c>
      <c r="C74" s="24"/>
      <c r="D74" s="24"/>
      <c r="E74" s="25"/>
      <c r="F74" s="25"/>
      <c r="G74" s="24">
        <v>57.73</v>
      </c>
      <c r="H74" s="25">
        <v>33228148</v>
      </c>
      <c r="I74" s="25"/>
      <c r="J74" s="24"/>
      <c r="K74" s="22"/>
      <c r="L74" s="22">
        <v>1.3178921900620101E-2</v>
      </c>
      <c r="M74" s="26">
        <v>46287.671388888892</v>
      </c>
      <c r="N74" s="27"/>
      <c r="O74" s="23"/>
      <c r="P74" s="23"/>
    </row>
    <row r="75" spans="1:16" x14ac:dyDescent="0.15">
      <c r="A75" t="s">
        <v>954</v>
      </c>
      <c r="B75" s="24">
        <v>59.97</v>
      </c>
      <c r="C75" s="24"/>
      <c r="D75" s="24"/>
      <c r="E75" s="25"/>
      <c r="F75" s="25"/>
      <c r="G75" s="24">
        <v>60.15</v>
      </c>
      <c r="H75" s="25">
        <v>2049570</v>
      </c>
      <c r="I75" s="25"/>
      <c r="J75" s="24"/>
      <c r="K75" s="22"/>
      <c r="L75" s="22">
        <v>1.3349560638813422E-2</v>
      </c>
      <c r="M75" s="26">
        <v>46287.671388888892</v>
      </c>
      <c r="N75" s="27"/>
      <c r="O75" s="23"/>
      <c r="P75" s="23"/>
    </row>
    <row r="76" spans="1:16" x14ac:dyDescent="0.15">
      <c r="A76" t="s">
        <v>1040</v>
      </c>
      <c r="B76" s="24">
        <v>23.68</v>
      </c>
      <c r="C76" s="24"/>
      <c r="D76" s="24"/>
      <c r="E76" s="25"/>
      <c r="F76" s="25"/>
      <c r="G76" s="24">
        <v>22.8</v>
      </c>
      <c r="H76" s="25">
        <v>11747972</v>
      </c>
      <c r="I76" s="25"/>
      <c r="J76" s="24"/>
      <c r="K76" s="22"/>
      <c r="L76" s="22">
        <v>2.5500046489674619E-2</v>
      </c>
      <c r="M76" s="26">
        <v>46287.671388888892</v>
      </c>
      <c r="N76" s="27"/>
      <c r="O76" s="23"/>
      <c r="P76" s="23"/>
    </row>
    <row r="77" spans="1:16" x14ac:dyDescent="0.15">
      <c r="A77" t="s">
        <v>912</v>
      </c>
      <c r="B77" s="24">
        <v>93.383499999999998</v>
      </c>
      <c r="C77" s="24"/>
      <c r="D77" s="24"/>
      <c r="E77" s="25"/>
      <c r="F77" s="25"/>
      <c r="G77" s="24">
        <v>92.85</v>
      </c>
      <c r="H77" s="25">
        <v>2631366</v>
      </c>
      <c r="I77" s="25"/>
      <c r="J77" s="24"/>
      <c r="K77" s="22"/>
      <c r="L77" s="22">
        <v>2.2485080281561525E-2</v>
      </c>
      <c r="M77" s="26">
        <v>46287.671388888892</v>
      </c>
      <c r="N77" s="27"/>
      <c r="O77" s="23"/>
      <c r="P77" s="23"/>
    </row>
    <row r="78" spans="1:16" x14ac:dyDescent="0.15">
      <c r="A78" t="s">
        <v>566</v>
      </c>
      <c r="B78" s="24">
        <v>183</v>
      </c>
      <c r="C78" s="24"/>
      <c r="D78" s="24"/>
      <c r="E78" s="25"/>
      <c r="F78" s="25"/>
      <c r="G78" s="24">
        <v>180.94</v>
      </c>
      <c r="H78" s="25">
        <v>1461544</v>
      </c>
      <c r="I78" s="25"/>
      <c r="J78" s="24"/>
      <c r="K78" s="22"/>
      <c r="L78" s="22">
        <v>1.7891497792464958E-2</v>
      </c>
      <c r="M78" s="26">
        <v>46287.671388888892</v>
      </c>
      <c r="N78" s="27"/>
      <c r="O78" s="23"/>
      <c r="P78" s="23"/>
    </row>
    <row r="79" spans="1:16" x14ac:dyDescent="0.15">
      <c r="A79" t="s">
        <v>404</v>
      </c>
      <c r="B79" s="24">
        <v>276.58999999999997</v>
      </c>
      <c r="C79" s="24"/>
      <c r="D79" s="24"/>
      <c r="E79" s="25"/>
      <c r="F79" s="25"/>
      <c r="G79" s="24">
        <v>265.63</v>
      </c>
      <c r="H79" s="25">
        <v>14545057</v>
      </c>
      <c r="I79" s="25"/>
      <c r="J79" s="24"/>
      <c r="K79" s="22"/>
      <c r="L79" s="22">
        <v>7.4186971023911003E-2</v>
      </c>
      <c r="M79" s="26">
        <v>46287.671388888892</v>
      </c>
      <c r="N79" s="27"/>
      <c r="O79" s="23"/>
      <c r="P79" s="23"/>
    </row>
    <row r="80" spans="1:16" x14ac:dyDescent="0.15">
      <c r="A80" t="s">
        <v>1084</v>
      </c>
      <c r="B80" s="24">
        <v>33.130000000000003</v>
      </c>
      <c r="C80" s="24"/>
      <c r="D80" s="24"/>
      <c r="E80" s="25"/>
      <c r="F80" s="25"/>
      <c r="G80" s="24">
        <v>33.01</v>
      </c>
      <c r="H80" s="25">
        <v>4988971</v>
      </c>
      <c r="I80" s="25"/>
      <c r="J80" s="24"/>
      <c r="K80" s="22"/>
      <c r="L80" s="22">
        <v>1.5104783234168724E-2</v>
      </c>
      <c r="M80" s="26">
        <v>46287.671388888892</v>
      </c>
      <c r="N80" s="27"/>
      <c r="O80" s="23"/>
      <c r="P80" s="23"/>
    </row>
    <row r="81" spans="1:16" x14ac:dyDescent="0.15">
      <c r="A81" t="s">
        <v>1120</v>
      </c>
      <c r="B81" s="24">
        <v>26.56</v>
      </c>
      <c r="C81" s="24"/>
      <c r="D81" s="24"/>
      <c r="E81" s="25"/>
      <c r="F81" s="25"/>
      <c r="G81" s="24">
        <v>26.149999618530273</v>
      </c>
      <c r="H81" s="25"/>
      <c r="I81" s="25"/>
      <c r="J81" s="24"/>
      <c r="K81" s="22"/>
      <c r="L81" s="22">
        <v>2.2256688078231668E-2</v>
      </c>
      <c r="M81" s="26">
        <v>46287.671388888892</v>
      </c>
      <c r="N81" s="27"/>
      <c r="O81" s="23"/>
      <c r="P81" s="23"/>
    </row>
    <row r="82" spans="1:16" x14ac:dyDescent="0.15">
      <c r="A82" t="s">
        <v>916</v>
      </c>
      <c r="B82" s="24">
        <v>110</v>
      </c>
      <c r="C82" s="24"/>
      <c r="D82" s="24"/>
      <c r="E82" s="25"/>
      <c r="F82" s="25"/>
      <c r="G82" s="24">
        <v>115.58</v>
      </c>
      <c r="H82" s="25">
        <v>1583079</v>
      </c>
      <c r="I82" s="25"/>
      <c r="J82" s="24"/>
      <c r="K82" s="22"/>
      <c r="L82" s="22">
        <v>2.2488651790885845E-2</v>
      </c>
      <c r="M82" s="26">
        <v>46287.671400462961</v>
      </c>
      <c r="N82" s="27"/>
      <c r="O82" s="23"/>
      <c r="P82" s="23"/>
    </row>
    <row r="83" spans="1:16" x14ac:dyDescent="0.15">
      <c r="A83" t="s">
        <v>714</v>
      </c>
      <c r="B83" s="24">
        <v>225.36</v>
      </c>
      <c r="C83" s="24"/>
      <c r="D83" s="24"/>
      <c r="E83" s="25"/>
      <c r="F83" s="25"/>
      <c r="G83" s="24">
        <v>215.5</v>
      </c>
      <c r="H83" s="25">
        <v>928563</v>
      </c>
      <c r="I83" s="25"/>
      <c r="J83" s="24"/>
      <c r="K83" s="22"/>
      <c r="L83" s="22">
        <v>2.4746039744366496E-2</v>
      </c>
      <c r="M83" s="26">
        <v>46287.671400462961</v>
      </c>
      <c r="N83" s="27"/>
      <c r="O83" s="23"/>
      <c r="P83" s="23"/>
    </row>
    <row r="84" spans="1:16" x14ac:dyDescent="0.15">
      <c r="A84" t="s">
        <v>296</v>
      </c>
      <c r="B84" s="24">
        <v>164.22</v>
      </c>
      <c r="C84" s="24"/>
      <c r="D84" s="24"/>
      <c r="E84" s="25"/>
      <c r="F84" s="25"/>
      <c r="G84" s="24">
        <v>167.9</v>
      </c>
      <c r="H84" s="25">
        <v>6994688</v>
      </c>
      <c r="I84" s="25"/>
      <c r="J84" s="24"/>
      <c r="K84" s="22"/>
      <c r="L84" s="22">
        <v>2.4952237180912377E-2</v>
      </c>
      <c r="M84" s="26">
        <v>46287.671400462961</v>
      </c>
      <c r="N84" s="27"/>
      <c r="O84" s="23"/>
      <c r="P84" s="23"/>
    </row>
    <row r="85" spans="1:16" x14ac:dyDescent="0.15">
      <c r="A85" t="s">
        <v>528</v>
      </c>
      <c r="B85" s="24">
        <v>57.26</v>
      </c>
      <c r="C85" s="24"/>
      <c r="D85" s="24"/>
      <c r="E85" s="25"/>
      <c r="F85" s="25"/>
      <c r="G85" s="24">
        <v>57.25</v>
      </c>
      <c r="H85" s="25">
        <v>7974891</v>
      </c>
      <c r="I85" s="25"/>
      <c r="J85" s="24"/>
      <c r="K85" s="22"/>
      <c r="L85" s="22">
        <v>1.999118189829166E-2</v>
      </c>
      <c r="M85" s="26">
        <v>46287.671400462961</v>
      </c>
      <c r="N85" s="27"/>
      <c r="O85" s="23"/>
      <c r="P85" s="23"/>
    </row>
    <row r="86" spans="1:16" x14ac:dyDescent="0.15">
      <c r="A86" t="s">
        <v>276</v>
      </c>
      <c r="B86" s="24">
        <v>1066.6600000000001</v>
      </c>
      <c r="C86" s="24"/>
      <c r="D86" s="24"/>
      <c r="E86" s="25"/>
      <c r="F86" s="25"/>
      <c r="G86" s="24">
        <v>1069.78</v>
      </c>
      <c r="H86" s="25">
        <v>512501</v>
      </c>
      <c r="I86" s="25"/>
      <c r="J86" s="24"/>
      <c r="K86" s="22"/>
      <c r="L86" s="22">
        <v>1.7290826459813918E-2</v>
      </c>
      <c r="M86" s="26">
        <v>46287.671400462961</v>
      </c>
      <c r="N86" s="27"/>
      <c r="O86" s="23"/>
      <c r="P86" s="23"/>
    </row>
    <row r="87" spans="1:16" x14ac:dyDescent="0.15">
      <c r="A87" t="s">
        <v>290</v>
      </c>
      <c r="B87" s="24">
        <v>62.25</v>
      </c>
      <c r="C87" s="24"/>
      <c r="D87" s="24"/>
      <c r="E87" s="25"/>
      <c r="F87" s="25"/>
      <c r="G87" s="24">
        <v>63.06</v>
      </c>
      <c r="H87" s="25">
        <v>6839128</v>
      </c>
      <c r="I87" s="25"/>
      <c r="J87" s="24"/>
      <c r="K87" s="22"/>
      <c r="L87" s="22">
        <v>1.7654678124280634E-2</v>
      </c>
      <c r="M87" s="26">
        <v>46287.671400462961</v>
      </c>
      <c r="N87" s="27"/>
      <c r="O87" s="23"/>
      <c r="P87" s="23"/>
    </row>
    <row r="88" spans="1:16" x14ac:dyDescent="0.15">
      <c r="A88" t="s">
        <v>76</v>
      </c>
      <c r="B88" s="24">
        <v>71.41</v>
      </c>
      <c r="C88" s="24"/>
      <c r="D88" s="24"/>
      <c r="E88" s="25"/>
      <c r="F88" s="25"/>
      <c r="G88" s="24">
        <v>71.2</v>
      </c>
      <c r="H88" s="25">
        <v>7596009</v>
      </c>
      <c r="I88" s="25"/>
      <c r="J88" s="24"/>
      <c r="K88" s="22"/>
      <c r="L88" s="22">
        <v>2.4393467181374178E-3</v>
      </c>
      <c r="M88" s="26">
        <v>46287.671400462961</v>
      </c>
      <c r="N88" s="27"/>
      <c r="O88" s="23"/>
      <c r="P88" s="23"/>
    </row>
    <row r="89" spans="1:16" x14ac:dyDescent="0.15">
      <c r="A89" t="s">
        <v>334</v>
      </c>
      <c r="B89" s="24">
        <v>150.16999999999999</v>
      </c>
      <c r="C89" s="24"/>
      <c r="D89" s="24"/>
      <c r="E89" s="25"/>
      <c r="F89" s="25"/>
      <c r="G89" s="24">
        <v>153.79</v>
      </c>
      <c r="H89" s="25">
        <v>3645745</v>
      </c>
      <c r="I89" s="25"/>
      <c r="J89" s="24"/>
      <c r="K89" s="22"/>
      <c r="L89" s="22">
        <v>1.3802663523331498E-2</v>
      </c>
      <c r="M89" s="26">
        <v>46287.671400462961</v>
      </c>
      <c r="N89" s="27"/>
      <c r="O89" s="23"/>
      <c r="P89" s="23"/>
    </row>
    <row r="90" spans="1:16" x14ac:dyDescent="0.15">
      <c r="A90" t="s">
        <v>906</v>
      </c>
      <c r="B90" s="24">
        <v>160</v>
      </c>
      <c r="C90" s="24"/>
      <c r="D90" s="24"/>
      <c r="E90" s="25"/>
      <c r="F90" s="25"/>
      <c r="G90" s="24">
        <v>163.13</v>
      </c>
      <c r="H90" s="25">
        <v>1078766</v>
      </c>
      <c r="I90" s="25"/>
      <c r="J90" s="24"/>
      <c r="K90" s="22"/>
      <c r="L90" s="22">
        <v>2.1680910985727043E-2</v>
      </c>
      <c r="M90" s="26">
        <v>46287.671400462961</v>
      </c>
      <c r="N90" s="27"/>
      <c r="O90" s="23"/>
      <c r="P90" s="23"/>
    </row>
    <row r="91" spans="1:16" x14ac:dyDescent="0.15">
      <c r="A91" t="s">
        <v>138</v>
      </c>
      <c r="B91" s="24">
        <v>503.57</v>
      </c>
      <c r="C91" s="24"/>
      <c r="D91" s="24"/>
      <c r="E91" s="25"/>
      <c r="F91" s="25"/>
      <c r="G91" s="24">
        <v>509.77</v>
      </c>
      <c r="H91" s="25">
        <v>4807459</v>
      </c>
      <c r="I91" s="25"/>
      <c r="J91" s="24"/>
      <c r="K91" s="22"/>
      <c r="L91" s="22">
        <v>9.6126655611705365E-3</v>
      </c>
      <c r="M91" s="26">
        <v>46287.671400462961</v>
      </c>
      <c r="N91" s="27"/>
      <c r="O91" s="23"/>
      <c r="P91" s="23"/>
    </row>
    <row r="92" spans="1:16" x14ac:dyDescent="0.15">
      <c r="A92" t="s">
        <v>902</v>
      </c>
      <c r="B92" s="24">
        <v>62.44</v>
      </c>
      <c r="C92" s="24"/>
      <c r="D92" s="24"/>
      <c r="E92" s="25"/>
      <c r="F92" s="25"/>
      <c r="G92" s="24">
        <v>65.02</v>
      </c>
      <c r="H92" s="25">
        <v>2328331</v>
      </c>
      <c r="I92" s="25"/>
      <c r="J92" s="24"/>
      <c r="K92" s="22"/>
      <c r="L92" s="22">
        <v>2.2563750914180926E-2</v>
      </c>
      <c r="M92" s="26">
        <v>46287.671400462961</v>
      </c>
      <c r="N92" s="27"/>
      <c r="O92" s="23"/>
      <c r="P92" s="23"/>
    </row>
    <row r="93" spans="1:16" x14ac:dyDescent="0.15">
      <c r="A93" t="s">
        <v>486</v>
      </c>
      <c r="B93" s="24">
        <v>44.59</v>
      </c>
      <c r="C93" s="24"/>
      <c r="D93" s="24"/>
      <c r="E93" s="25"/>
      <c r="F93" s="25"/>
      <c r="G93" s="24">
        <v>43.34</v>
      </c>
      <c r="H93" s="25">
        <v>24998926</v>
      </c>
      <c r="I93" s="25"/>
      <c r="J93" s="24"/>
      <c r="K93" s="22"/>
      <c r="L93" s="22">
        <v>2.3054514711030889E-2</v>
      </c>
      <c r="M93" s="26">
        <v>46287.671400462961</v>
      </c>
      <c r="N93" s="27"/>
      <c r="O93" s="23"/>
      <c r="P93" s="23"/>
    </row>
    <row r="94" spans="1:16" x14ac:dyDescent="0.15">
      <c r="A94" t="s">
        <v>358</v>
      </c>
      <c r="B94" s="24">
        <v>124.06</v>
      </c>
      <c r="C94" s="24"/>
      <c r="D94" s="24"/>
      <c r="E94" s="25"/>
      <c r="F94" s="25"/>
      <c r="G94" s="24">
        <v>124.96</v>
      </c>
      <c r="H94" s="25">
        <v>2865345</v>
      </c>
      <c r="I94" s="25"/>
      <c r="J94" s="24"/>
      <c r="K94" s="22"/>
      <c r="L94" s="22">
        <v>2.1948059048213252E-2</v>
      </c>
      <c r="M94" s="26">
        <v>46287.671400462961</v>
      </c>
      <c r="N94" s="27"/>
      <c r="O94" s="23"/>
      <c r="P94" s="23"/>
    </row>
    <row r="95" spans="1:16" x14ac:dyDescent="0.15">
      <c r="A95" t="s">
        <v>1072</v>
      </c>
      <c r="B95" s="24">
        <v>64.31</v>
      </c>
      <c r="C95" s="24"/>
      <c r="D95" s="24"/>
      <c r="E95" s="25"/>
      <c r="F95" s="25"/>
      <c r="G95" s="24">
        <v>63.17</v>
      </c>
      <c r="H95" s="25">
        <v>1305388</v>
      </c>
      <c r="I95" s="25"/>
      <c r="J95" s="24"/>
      <c r="K95" s="22"/>
      <c r="L95" s="22">
        <v>1.69400982304313E-2</v>
      </c>
      <c r="M95" s="26">
        <v>46287.671400462961</v>
      </c>
      <c r="N95" s="27"/>
      <c r="O95" s="23"/>
      <c r="P95" s="23"/>
    </row>
    <row r="96" spans="1:16" x14ac:dyDescent="0.15">
      <c r="A96" t="s">
        <v>216</v>
      </c>
      <c r="B96" s="24">
        <v>132.61869999999999</v>
      </c>
      <c r="C96" s="24"/>
      <c r="D96" s="24"/>
      <c r="E96" s="25"/>
      <c r="F96" s="25"/>
      <c r="G96" s="24">
        <v>131.77000000000001</v>
      </c>
      <c r="H96" s="25">
        <v>10426145</v>
      </c>
      <c r="I96" s="25"/>
      <c r="J96" s="24"/>
      <c r="K96" s="22"/>
      <c r="L96" s="22">
        <v>1.7607602498675014E-2</v>
      </c>
      <c r="M96" s="26">
        <v>46287.671400462961</v>
      </c>
      <c r="N96" s="27"/>
      <c r="O96" s="23"/>
      <c r="P96" s="23"/>
    </row>
    <row r="97" spans="1:16" x14ac:dyDescent="0.15">
      <c r="A97" t="s">
        <v>548</v>
      </c>
      <c r="B97" s="24">
        <v>222.04</v>
      </c>
      <c r="C97" s="24"/>
      <c r="D97" s="24"/>
      <c r="E97" s="25"/>
      <c r="F97" s="25"/>
      <c r="G97" s="24">
        <v>225.38</v>
      </c>
      <c r="H97" s="25">
        <v>1189142</v>
      </c>
      <c r="I97" s="25"/>
      <c r="J97" s="24"/>
      <c r="K97" s="22"/>
      <c r="L97" s="22">
        <v>1.4090283913096167E-2</v>
      </c>
      <c r="M97" s="26">
        <v>46287.671400462961</v>
      </c>
      <c r="N97" s="27"/>
      <c r="O97" s="23"/>
      <c r="P97" s="23"/>
    </row>
    <row r="98" spans="1:16" x14ac:dyDescent="0.15">
      <c r="A98" t="s">
        <v>600</v>
      </c>
      <c r="B98" s="24">
        <v>55.26</v>
      </c>
      <c r="C98" s="24"/>
      <c r="D98" s="24"/>
      <c r="E98" s="25"/>
      <c r="F98" s="25"/>
      <c r="G98" s="24">
        <v>53.88</v>
      </c>
      <c r="H98" s="25">
        <v>6875750</v>
      </c>
      <c r="I98" s="25"/>
      <c r="J98" s="24"/>
      <c r="K98" s="22"/>
      <c r="L98" s="22">
        <v>2.0190025395790491E-2</v>
      </c>
      <c r="M98" s="26">
        <v>46287.671400462961</v>
      </c>
      <c r="N98" s="27"/>
      <c r="O98" s="23"/>
      <c r="P98" s="23"/>
    </row>
    <row r="99" spans="1:16" x14ac:dyDescent="0.15">
      <c r="A99" t="s">
        <v>844</v>
      </c>
      <c r="B99" s="24">
        <v>584.83000000000004</v>
      </c>
      <c r="C99" s="24"/>
      <c r="D99" s="24"/>
      <c r="E99" s="25"/>
      <c r="F99" s="25"/>
      <c r="G99" s="24">
        <v>597.48</v>
      </c>
      <c r="H99" s="25">
        <v>648633</v>
      </c>
      <c r="I99" s="25"/>
      <c r="J99" s="24"/>
      <c r="K99" s="22"/>
      <c r="L99" s="22">
        <v>2.8444978969426424E-2</v>
      </c>
      <c r="M99" s="26">
        <v>46287.671400462961</v>
      </c>
      <c r="N99" s="27"/>
      <c r="O99" s="23"/>
      <c r="P99" s="23"/>
    </row>
    <row r="100" spans="1:16" x14ac:dyDescent="0.15">
      <c r="A100" t="s">
        <v>170</v>
      </c>
      <c r="B100" s="24">
        <v>808.97</v>
      </c>
      <c r="C100" s="24"/>
      <c r="D100" s="24"/>
      <c r="E100" s="25"/>
      <c r="F100" s="25"/>
      <c r="G100" s="24">
        <v>808.99</v>
      </c>
      <c r="H100" s="25">
        <v>1869375</v>
      </c>
      <c r="I100" s="25"/>
      <c r="J100" s="24"/>
      <c r="K100" s="22"/>
      <c r="L100" s="22">
        <v>2.4930282442961017E-2</v>
      </c>
      <c r="M100" s="26">
        <v>46287.671400462961</v>
      </c>
      <c r="N100" s="27"/>
      <c r="O100" s="23"/>
      <c r="P100" s="23"/>
    </row>
    <row r="101" spans="1:16" x14ac:dyDescent="0.15">
      <c r="A101" t="s">
        <v>304</v>
      </c>
      <c r="B101" s="24">
        <v>337.99990000000003</v>
      </c>
      <c r="C101" s="24"/>
      <c r="D101" s="24"/>
      <c r="E101" s="25"/>
      <c r="F101" s="25"/>
      <c r="G101" s="24">
        <v>340.64</v>
      </c>
      <c r="H101" s="25">
        <v>934217</v>
      </c>
      <c r="I101" s="25"/>
      <c r="J101" s="24"/>
      <c r="K101" s="22"/>
      <c r="L101" s="22">
        <v>1.4715853075436111E-2</v>
      </c>
      <c r="M101" s="26">
        <v>46287.671400462961</v>
      </c>
      <c r="N101" s="27"/>
      <c r="O101" s="23"/>
      <c r="P101" s="23"/>
    </row>
    <row r="102" spans="1:16" x14ac:dyDescent="0.15">
      <c r="A102" t="s">
        <v>740</v>
      </c>
      <c r="B102" s="24">
        <v>266.83</v>
      </c>
      <c r="C102" s="24"/>
      <c r="D102" s="24"/>
      <c r="E102" s="25"/>
      <c r="F102" s="25"/>
      <c r="G102" s="24">
        <v>272.86</v>
      </c>
      <c r="H102" s="25">
        <v>1028963</v>
      </c>
      <c r="I102" s="25"/>
      <c r="J102" s="24"/>
      <c r="K102" s="22"/>
      <c r="L102" s="22">
        <v>2.4221059519189202E-2</v>
      </c>
      <c r="M102" s="26">
        <v>46287.671388888892</v>
      </c>
      <c r="N102" s="27"/>
      <c r="O102" s="23"/>
      <c r="P102" s="23"/>
    </row>
    <row r="103" spans="1:16" x14ac:dyDescent="0.15">
      <c r="A103" t="s">
        <v>646</v>
      </c>
      <c r="B103" s="24">
        <v>141.05000000000001</v>
      </c>
      <c r="C103" s="24"/>
      <c r="D103" s="24"/>
      <c r="E103" s="25"/>
      <c r="F103" s="25"/>
      <c r="G103" s="24">
        <v>139.5</v>
      </c>
      <c r="H103" s="25">
        <v>1995341</v>
      </c>
      <c r="I103" s="25"/>
      <c r="J103" s="24"/>
      <c r="K103" s="22"/>
      <c r="L103" s="22">
        <v>2.1822288788486341E-2</v>
      </c>
      <c r="M103" s="26">
        <v>46287.671388888892</v>
      </c>
      <c r="N103" s="27"/>
      <c r="O103" s="23"/>
      <c r="P103" s="23"/>
    </row>
    <row r="104" spans="1:16" x14ac:dyDescent="0.15">
      <c r="A104" t="s">
        <v>1215</v>
      </c>
      <c r="B104" s="24">
        <v>102.31</v>
      </c>
      <c r="C104" s="24"/>
      <c r="D104" s="24"/>
      <c r="E104" s="25"/>
      <c r="F104" s="25"/>
      <c r="G104" s="24">
        <v>99.77</v>
      </c>
      <c r="H104" s="25">
        <v>1490524</v>
      </c>
      <c r="I104" s="25"/>
      <c r="J104" s="24"/>
      <c r="K104" s="22"/>
      <c r="L104" s="22">
        <v>1.5703673549418515E-2</v>
      </c>
      <c r="M104" s="26">
        <v>46287.671388888892</v>
      </c>
      <c r="N104" s="27"/>
      <c r="O104" s="23"/>
      <c r="P104" s="23"/>
    </row>
    <row r="105" spans="1:16" x14ac:dyDescent="0.15">
      <c r="A105" t="s">
        <v>726</v>
      </c>
      <c r="B105" s="24">
        <v>72.37</v>
      </c>
      <c r="C105" s="24"/>
      <c r="D105" s="24"/>
      <c r="E105" s="25"/>
      <c r="F105" s="25"/>
      <c r="G105" s="24">
        <v>73.06</v>
      </c>
      <c r="H105" s="25">
        <v>3142305</v>
      </c>
      <c r="I105" s="25"/>
      <c r="J105" s="24"/>
      <c r="K105" s="22"/>
      <c r="L105" s="22">
        <v>1.9484402046098314E-2</v>
      </c>
      <c r="M105" s="26">
        <v>46287.671388888892</v>
      </c>
      <c r="N105" s="27"/>
      <c r="O105" s="23"/>
      <c r="P105" s="23"/>
    </row>
    <row r="106" spans="1:16" x14ac:dyDescent="0.15">
      <c r="A106" t="s">
        <v>754</v>
      </c>
      <c r="B106" s="24">
        <v>22.32</v>
      </c>
      <c r="C106" s="24"/>
      <c r="D106" s="24"/>
      <c r="E106" s="25"/>
      <c r="F106" s="25"/>
      <c r="G106" s="24">
        <v>21.84</v>
      </c>
      <c r="H106" s="25">
        <v>18274477</v>
      </c>
      <c r="I106" s="25"/>
      <c r="J106" s="24"/>
      <c r="K106" s="22"/>
      <c r="L106" s="22">
        <v>2.1299397502119195E-2</v>
      </c>
      <c r="M106" s="26">
        <v>46287.671388888892</v>
      </c>
      <c r="N106" s="27"/>
      <c r="O106" s="23"/>
      <c r="P106" s="23"/>
    </row>
    <row r="107" spans="1:16" x14ac:dyDescent="0.15">
      <c r="A107" t="s">
        <v>408</v>
      </c>
      <c r="B107" s="24">
        <v>302.95</v>
      </c>
      <c r="C107" s="24"/>
      <c r="D107" s="24"/>
      <c r="E107" s="25"/>
      <c r="F107" s="25"/>
      <c r="G107" s="24">
        <v>282.89999999999998</v>
      </c>
      <c r="H107" s="25">
        <v>2344652</v>
      </c>
      <c r="I107" s="25"/>
      <c r="J107" s="24"/>
      <c r="K107" s="22"/>
      <c r="L107" s="22">
        <v>2.5194102034541133E-2</v>
      </c>
      <c r="M107" s="26">
        <v>46287.671388888892</v>
      </c>
      <c r="N107" s="27"/>
      <c r="O107" s="23"/>
      <c r="P107" s="23"/>
    </row>
    <row r="108" spans="1:16" x14ac:dyDescent="0.15">
      <c r="A108" t="s">
        <v>920</v>
      </c>
      <c r="B108" s="24">
        <v>147.43</v>
      </c>
      <c r="C108" s="24"/>
      <c r="D108" s="24"/>
      <c r="E108" s="25"/>
      <c r="F108" s="25"/>
      <c r="G108" s="24">
        <v>146.41</v>
      </c>
      <c r="H108" s="25">
        <v>1843811</v>
      </c>
      <c r="I108" s="25"/>
      <c r="J108" s="24"/>
      <c r="K108" s="22"/>
      <c r="L108" s="22">
        <v>3.1547917347001596E-2</v>
      </c>
      <c r="M108" s="26">
        <v>46287.671388888892</v>
      </c>
      <c r="N108" s="27"/>
      <c r="O108" s="23"/>
      <c r="P108" s="23"/>
    </row>
    <row r="109" spans="1:16" x14ac:dyDescent="0.15">
      <c r="A109" t="s">
        <v>382</v>
      </c>
      <c r="B109" s="24">
        <v>263.45999999999998</v>
      </c>
      <c r="C109" s="24"/>
      <c r="D109" s="24"/>
      <c r="E109" s="25"/>
      <c r="F109" s="25"/>
      <c r="G109" s="24">
        <v>254.71</v>
      </c>
      <c r="H109" s="25">
        <v>3402480</v>
      </c>
      <c r="I109" s="25"/>
      <c r="J109" s="24"/>
      <c r="K109" s="22"/>
      <c r="L109" s="22">
        <v>2.4425297914864051E-2</v>
      </c>
      <c r="M109" s="26">
        <v>46287.671388888892</v>
      </c>
      <c r="N109" s="27"/>
      <c r="O109" s="23"/>
      <c r="P109" s="23"/>
    </row>
    <row r="110" spans="1:16" x14ac:dyDescent="0.15">
      <c r="A110" t="s">
        <v>892</v>
      </c>
      <c r="B110" s="24">
        <v>120.59</v>
      </c>
      <c r="C110" s="24"/>
      <c r="D110" s="24"/>
      <c r="E110" s="25"/>
      <c r="F110" s="25"/>
      <c r="G110" s="24">
        <v>127.7</v>
      </c>
      <c r="H110" s="25">
        <v>3220383</v>
      </c>
      <c r="I110" s="25"/>
      <c r="J110" s="24"/>
      <c r="K110" s="22"/>
      <c r="L110" s="22">
        <v>2.5135479761671728E-2</v>
      </c>
      <c r="M110" s="26">
        <v>46287.671388888892</v>
      </c>
      <c r="N110" s="27"/>
      <c r="O110" s="23"/>
      <c r="P110" s="23"/>
    </row>
    <row r="111" spans="1:16" x14ac:dyDescent="0.15">
      <c r="A111" t="s">
        <v>744</v>
      </c>
      <c r="B111" s="24">
        <v>65.489999999999995</v>
      </c>
      <c r="C111" s="24"/>
      <c r="D111" s="24"/>
      <c r="E111" s="25"/>
      <c r="F111" s="25"/>
      <c r="G111" s="24">
        <v>67.040000000000006</v>
      </c>
      <c r="H111" s="25">
        <v>3172016</v>
      </c>
      <c r="I111" s="25"/>
      <c r="J111" s="24"/>
      <c r="K111" s="22"/>
      <c r="L111" s="22">
        <v>1.5933378586642389E-2</v>
      </c>
      <c r="M111" s="26">
        <v>46287.671388888892</v>
      </c>
      <c r="N111" s="27"/>
      <c r="O111" s="23"/>
      <c r="P111" s="23"/>
    </row>
    <row r="112" spans="1:16" x14ac:dyDescent="0.15">
      <c r="A112" t="s">
        <v>840</v>
      </c>
      <c r="B112" s="24">
        <v>96.12</v>
      </c>
      <c r="C112" s="24"/>
      <c r="D112" s="24"/>
      <c r="E112" s="25"/>
      <c r="F112" s="25"/>
      <c r="G112" s="24">
        <v>94.75</v>
      </c>
      <c r="H112" s="25">
        <v>1928506</v>
      </c>
      <c r="I112" s="25"/>
      <c r="J112" s="24"/>
      <c r="K112" s="22"/>
      <c r="L112" s="22">
        <v>1.3691730574585427E-2</v>
      </c>
      <c r="M112" s="26">
        <v>46287.671388888892</v>
      </c>
      <c r="N112" s="27"/>
      <c r="O112" s="23"/>
      <c r="P112" s="23"/>
    </row>
    <row r="113" spans="1:16" x14ac:dyDescent="0.15">
      <c r="A113" t="s">
        <v>922</v>
      </c>
      <c r="B113" s="24">
        <v>149.56</v>
      </c>
      <c r="C113" s="24"/>
      <c r="D113" s="24"/>
      <c r="E113" s="25"/>
      <c r="F113" s="25"/>
      <c r="G113" s="24">
        <v>152.99</v>
      </c>
      <c r="H113" s="25">
        <v>1398146</v>
      </c>
      <c r="I113" s="25"/>
      <c r="J113" s="24"/>
      <c r="K113" s="22"/>
      <c r="L113" s="22">
        <v>3.090225814826647E-2</v>
      </c>
      <c r="M113" s="26">
        <v>46287.671388888892</v>
      </c>
      <c r="N113" s="27"/>
      <c r="O113" s="23"/>
      <c r="P113" s="23"/>
    </row>
    <row r="114" spans="1:16" x14ac:dyDescent="0.15">
      <c r="A114" t="s">
        <v>984</v>
      </c>
      <c r="B114" s="24">
        <v>117.20010000000001</v>
      </c>
      <c r="C114" s="24"/>
      <c r="D114" s="24"/>
      <c r="E114" s="25"/>
      <c r="F114" s="25"/>
      <c r="G114" s="24">
        <v>128.16999999999999</v>
      </c>
      <c r="H114" s="25">
        <v>2687973</v>
      </c>
      <c r="I114" s="25"/>
      <c r="J114" s="24"/>
      <c r="K114" s="22"/>
      <c r="L114" s="22">
        <v>3.6534496970986492E-2</v>
      </c>
      <c r="M114" s="26">
        <v>46287.671388888892</v>
      </c>
      <c r="N114" s="27"/>
      <c r="O114" s="23"/>
      <c r="P114" s="23"/>
    </row>
    <row r="115" spans="1:16" x14ac:dyDescent="0.15">
      <c r="A115" t="s">
        <v>430</v>
      </c>
      <c r="B115" s="24">
        <v>273.74</v>
      </c>
      <c r="C115" s="24"/>
      <c r="D115" s="24"/>
      <c r="E115" s="25"/>
      <c r="F115" s="25"/>
      <c r="G115" s="24">
        <v>275.27999999999997</v>
      </c>
      <c r="H115" s="25">
        <v>1394990</v>
      </c>
      <c r="I115" s="25"/>
      <c r="J115" s="24"/>
      <c r="K115" s="22"/>
      <c r="L115" s="22">
        <v>1.8084410015963868E-2</v>
      </c>
      <c r="M115" s="26">
        <v>46287.671388888892</v>
      </c>
      <c r="N115" s="27"/>
      <c r="O115" s="23"/>
      <c r="P115" s="23"/>
    </row>
    <row r="116" spans="1:16" x14ac:dyDescent="0.15">
      <c r="A116" t="s">
        <v>564</v>
      </c>
      <c r="B116" s="24">
        <v>368.56</v>
      </c>
      <c r="C116" s="24"/>
      <c r="D116" s="24"/>
      <c r="E116" s="25"/>
      <c r="F116" s="25"/>
      <c r="G116" s="24">
        <v>348.8</v>
      </c>
      <c r="H116" s="25">
        <v>2886604</v>
      </c>
      <c r="I116" s="25"/>
      <c r="J116" s="24"/>
      <c r="K116" s="22"/>
      <c r="L116" s="22">
        <v>4.8920393657382127E-2</v>
      </c>
      <c r="M116" s="26">
        <v>46287.671388888892</v>
      </c>
      <c r="N116" s="27"/>
      <c r="O116" s="23"/>
      <c r="P116" s="23"/>
    </row>
    <row r="117" spans="1:16" x14ac:dyDescent="0.15">
      <c r="A117" t="s">
        <v>782</v>
      </c>
      <c r="B117" s="24">
        <v>165.83</v>
      </c>
      <c r="C117" s="24"/>
      <c r="D117" s="24"/>
      <c r="E117" s="25"/>
      <c r="F117" s="25"/>
      <c r="G117" s="24">
        <v>169</v>
      </c>
      <c r="H117" s="25">
        <v>520781</v>
      </c>
      <c r="I117" s="25"/>
      <c r="J117" s="24"/>
      <c r="K117" s="22"/>
      <c r="L117" s="22">
        <v>1.5522408748881576E-2</v>
      </c>
      <c r="M117" s="26">
        <v>46287.671388888892</v>
      </c>
      <c r="N117" s="27"/>
      <c r="O117" s="23"/>
      <c r="P117" s="23"/>
    </row>
    <row r="118" spans="1:16" x14ac:dyDescent="0.15">
      <c r="A118" t="s">
        <v>452</v>
      </c>
      <c r="B118" s="24">
        <v>87.13</v>
      </c>
      <c r="C118" s="24"/>
      <c r="D118" s="24"/>
      <c r="E118" s="25"/>
      <c r="F118" s="25"/>
      <c r="G118" s="24">
        <v>87.47</v>
      </c>
      <c r="H118" s="25">
        <v>7282656</v>
      </c>
      <c r="I118" s="25"/>
      <c r="J118" s="24"/>
      <c r="K118" s="22"/>
      <c r="L118" s="22">
        <v>1.3001159499856333E-2</v>
      </c>
      <c r="M118" s="26">
        <v>46287.671388888892</v>
      </c>
      <c r="N118" s="27"/>
      <c r="O118" s="23"/>
      <c r="P118" s="23"/>
    </row>
    <row r="119" spans="1:16" x14ac:dyDescent="0.15">
      <c r="A119" t="s">
        <v>1068</v>
      </c>
      <c r="B119" s="24">
        <v>87.15</v>
      </c>
      <c r="C119" s="24"/>
      <c r="D119" s="24"/>
      <c r="E119" s="25"/>
      <c r="F119" s="25"/>
      <c r="G119" s="24">
        <v>83.1</v>
      </c>
      <c r="H119" s="25">
        <v>4132748</v>
      </c>
      <c r="I119" s="25"/>
      <c r="J119" s="24"/>
      <c r="K119" s="22"/>
      <c r="L119" s="22">
        <v>1.9670231694226725E-2</v>
      </c>
      <c r="M119" s="26">
        <v>46287.671388888892</v>
      </c>
      <c r="N119" s="27"/>
      <c r="O119" s="23"/>
      <c r="P119" s="23"/>
    </row>
    <row r="120" spans="1:16" x14ac:dyDescent="0.15">
      <c r="A120" t="s">
        <v>398</v>
      </c>
      <c r="B120" s="24">
        <v>22.45</v>
      </c>
      <c r="C120" s="24"/>
      <c r="D120" s="24"/>
      <c r="E120" s="25"/>
      <c r="F120" s="25"/>
      <c r="G120" s="24">
        <v>22.74</v>
      </c>
      <c r="H120" s="25">
        <v>29119260</v>
      </c>
      <c r="I120" s="25"/>
      <c r="J120" s="24"/>
      <c r="K120" s="22"/>
      <c r="L120" s="22">
        <v>2.3005300233513624E-2</v>
      </c>
      <c r="M120" s="26">
        <v>46287.671388888892</v>
      </c>
      <c r="N120" s="27"/>
      <c r="O120" s="23"/>
      <c r="P120" s="23"/>
    </row>
    <row r="121" spans="1:16" x14ac:dyDescent="0.15">
      <c r="A121" t="s">
        <v>342</v>
      </c>
      <c r="B121" s="24">
        <v>267.20999999999998</v>
      </c>
      <c r="C121" s="24"/>
      <c r="D121" s="24"/>
      <c r="E121" s="25"/>
      <c r="F121" s="25"/>
      <c r="G121" s="24">
        <v>276.01</v>
      </c>
      <c r="H121" s="25">
        <v>1532108</v>
      </c>
      <c r="I121" s="25"/>
      <c r="J121" s="24"/>
      <c r="K121" s="22"/>
      <c r="L121" s="22">
        <v>1.5475778798004023E-2</v>
      </c>
      <c r="M121" s="26">
        <v>46287.671388888892</v>
      </c>
      <c r="N121" s="27"/>
      <c r="O121" s="23"/>
      <c r="P121" s="23"/>
    </row>
    <row r="122" spans="1:16" x14ac:dyDescent="0.15">
      <c r="A122" t="s">
        <v>622</v>
      </c>
      <c r="B122" s="24">
        <v>32.630000000000003</v>
      </c>
      <c r="C122" s="24"/>
      <c r="D122" s="24"/>
      <c r="E122" s="25"/>
      <c r="F122" s="25"/>
      <c r="G122" s="24">
        <v>33.43</v>
      </c>
      <c r="H122" s="25">
        <v>11595258</v>
      </c>
      <c r="I122" s="25"/>
      <c r="J122" s="24"/>
      <c r="K122" s="22"/>
      <c r="L122" s="22">
        <v>3.1752601046968636E-2</v>
      </c>
      <c r="M122" s="26">
        <v>46287.671400462961</v>
      </c>
      <c r="N122" s="27"/>
      <c r="O122" s="23"/>
      <c r="P122" s="23"/>
    </row>
    <row r="123" spans="1:16" x14ac:dyDescent="0.15">
      <c r="A123" t="s">
        <v>426</v>
      </c>
      <c r="B123" s="24">
        <v>526.25</v>
      </c>
      <c r="C123" s="24"/>
      <c r="D123" s="24"/>
      <c r="E123" s="25"/>
      <c r="F123" s="25"/>
      <c r="G123" s="24">
        <v>532.23</v>
      </c>
      <c r="H123" s="25">
        <v>1017118</v>
      </c>
      <c r="I123" s="25"/>
      <c r="J123" s="24"/>
      <c r="K123" s="22"/>
      <c r="L123" s="22">
        <v>2.0531572167814437E-2</v>
      </c>
      <c r="M123" s="26">
        <v>46287.671400462961</v>
      </c>
      <c r="N123" s="27"/>
      <c r="O123" s="23"/>
      <c r="P123" s="23"/>
    </row>
    <row r="124" spans="1:16" x14ac:dyDescent="0.15">
      <c r="A124" t="s">
        <v>876</v>
      </c>
      <c r="B124" s="24">
        <v>64.27</v>
      </c>
      <c r="C124" s="24"/>
      <c r="D124" s="24"/>
      <c r="E124" s="25"/>
      <c r="F124" s="25"/>
      <c r="G124" s="24">
        <v>65.34</v>
      </c>
      <c r="H124" s="25">
        <v>2812273</v>
      </c>
      <c r="I124" s="25"/>
      <c r="J124" s="24"/>
      <c r="K124" s="22"/>
      <c r="L124" s="22">
        <v>1.0594036208817584E-2</v>
      </c>
      <c r="M124" s="26">
        <v>46287.671400462961</v>
      </c>
      <c r="N124" s="27"/>
      <c r="O124" s="23"/>
      <c r="P124" s="23"/>
    </row>
    <row r="125" spans="1:16" x14ac:dyDescent="0.15">
      <c r="A125" t="s">
        <v>710</v>
      </c>
      <c r="B125" s="24">
        <v>63.3</v>
      </c>
      <c r="C125" s="24"/>
      <c r="D125" s="24"/>
      <c r="E125" s="25"/>
      <c r="F125" s="25"/>
      <c r="G125" s="24">
        <v>65.11</v>
      </c>
      <c r="H125" s="25">
        <v>4423586</v>
      </c>
      <c r="I125" s="25"/>
      <c r="J125" s="24"/>
      <c r="K125" s="22"/>
      <c r="L125" s="22">
        <v>2.3781620291208245E-2</v>
      </c>
      <c r="M125" s="26">
        <v>46287.671400462961</v>
      </c>
      <c r="N125" s="27"/>
      <c r="O125" s="23"/>
      <c r="P125" s="23"/>
    </row>
    <row r="126" spans="1:16" x14ac:dyDescent="0.15">
      <c r="A126" t="s">
        <v>800</v>
      </c>
      <c r="B126" s="24">
        <v>37.85</v>
      </c>
      <c r="C126" s="24"/>
      <c r="D126" s="24"/>
      <c r="E126" s="25"/>
      <c r="F126" s="25"/>
      <c r="G126" s="24">
        <v>38.22</v>
      </c>
      <c r="H126" s="25">
        <v>4584377</v>
      </c>
      <c r="I126" s="25"/>
      <c r="J126" s="24"/>
      <c r="K126" s="22"/>
      <c r="L126" s="22">
        <v>1.2129300911645982E-2</v>
      </c>
      <c r="M126" s="26">
        <v>46287.671400462961</v>
      </c>
      <c r="N126" s="27"/>
      <c r="O126" s="23"/>
      <c r="P126" s="23"/>
    </row>
    <row r="127" spans="1:16" x14ac:dyDescent="0.15">
      <c r="A127" t="s">
        <v>300</v>
      </c>
      <c r="B127" s="24">
        <v>200.55</v>
      </c>
      <c r="C127" s="24"/>
      <c r="D127" s="24"/>
      <c r="E127" s="25"/>
      <c r="F127" s="25"/>
      <c r="G127" s="24">
        <v>202.43</v>
      </c>
      <c r="H127" s="25">
        <v>2937748</v>
      </c>
      <c r="I127" s="25"/>
      <c r="J127" s="24"/>
      <c r="K127" s="22"/>
      <c r="L127" s="22">
        <v>1.7241171958612973E-2</v>
      </c>
      <c r="M127" s="26">
        <v>46287.671400462961</v>
      </c>
      <c r="N127" s="27"/>
      <c r="O127" s="23"/>
      <c r="P127" s="23"/>
    </row>
    <row r="128" spans="1:16" x14ac:dyDescent="0.15">
      <c r="A128" t="s">
        <v>494</v>
      </c>
      <c r="B128" s="24">
        <v>309.14350000000002</v>
      </c>
      <c r="C128" s="24"/>
      <c r="D128" s="24"/>
      <c r="E128" s="25"/>
      <c r="F128" s="25"/>
      <c r="G128" s="24">
        <v>317.36</v>
      </c>
      <c r="H128" s="25">
        <v>7586519</v>
      </c>
      <c r="I128" s="25"/>
      <c r="J128" s="24"/>
      <c r="K128" s="22"/>
      <c r="L128" s="22">
        <v>6.4519652984671258E-2</v>
      </c>
      <c r="M128" s="26">
        <v>46287.671400462961</v>
      </c>
      <c r="N128" s="27"/>
      <c r="O128" s="23"/>
      <c r="P128" s="23"/>
    </row>
    <row r="129" spans="1:16" x14ac:dyDescent="0.15">
      <c r="A129" t="s">
        <v>612</v>
      </c>
      <c r="B129" s="24">
        <v>200.12</v>
      </c>
      <c r="C129" s="24"/>
      <c r="D129" s="24"/>
      <c r="E129" s="25"/>
      <c r="F129" s="25"/>
      <c r="G129" s="24">
        <v>194.25</v>
      </c>
      <c r="H129" s="25">
        <v>14506955</v>
      </c>
      <c r="I129" s="25"/>
      <c r="J129" s="24"/>
      <c r="K129" s="22"/>
      <c r="L129" s="22">
        <v>5.0167620767907171E-2</v>
      </c>
      <c r="M129" s="26">
        <v>46287.671400462961</v>
      </c>
      <c r="N129" s="27"/>
      <c r="O129" s="23"/>
      <c r="P129" s="23"/>
    </row>
    <row r="130" spans="1:16" x14ac:dyDescent="0.15">
      <c r="A130" t="s">
        <v>1056</v>
      </c>
      <c r="B130" s="24">
        <v>55.29</v>
      </c>
      <c r="C130" s="24"/>
      <c r="D130" s="24"/>
      <c r="E130" s="25"/>
      <c r="F130" s="25"/>
      <c r="G130" s="24">
        <v>55.29</v>
      </c>
      <c r="H130" s="25">
        <v>4186362</v>
      </c>
      <c r="I130" s="25"/>
      <c r="J130" s="24"/>
      <c r="K130" s="22"/>
      <c r="L130" s="22">
        <v>2.6445350285222397E-2</v>
      </c>
      <c r="M130" s="26">
        <v>46287.671400462961</v>
      </c>
      <c r="N130" s="27"/>
      <c r="O130" s="23"/>
      <c r="P130" s="23"/>
    </row>
    <row r="131" spans="1:16" x14ac:dyDescent="0.15">
      <c r="A131" t="s">
        <v>270</v>
      </c>
      <c r="B131" s="24">
        <v>125.27</v>
      </c>
      <c r="C131" s="24"/>
      <c r="D131" s="24"/>
      <c r="E131" s="25"/>
      <c r="F131" s="25"/>
      <c r="G131" s="24">
        <v>131.83000000000001</v>
      </c>
      <c r="H131" s="25">
        <v>6157054</v>
      </c>
      <c r="I131" s="25"/>
      <c r="J131" s="24"/>
      <c r="K131" s="22"/>
      <c r="L131" s="22">
        <v>1.9798019712667907E-2</v>
      </c>
      <c r="M131" s="26">
        <v>46287.671400462961</v>
      </c>
      <c r="N131" s="27"/>
      <c r="O131" s="23"/>
      <c r="P131" s="23"/>
    </row>
    <row r="132" spans="1:16" x14ac:dyDescent="0.15">
      <c r="A132" t="s">
        <v>514</v>
      </c>
      <c r="B132" s="24">
        <v>314.43</v>
      </c>
      <c r="C132" s="24"/>
      <c r="D132" s="24"/>
      <c r="E132" s="25"/>
      <c r="F132" s="25"/>
      <c r="G132" s="24">
        <v>308.77999999999997</v>
      </c>
      <c r="H132" s="25">
        <v>1049949</v>
      </c>
      <c r="I132" s="25"/>
      <c r="J132" s="24"/>
      <c r="K132" s="22"/>
      <c r="L132" s="22">
        <v>1.7587890542296009E-2</v>
      </c>
      <c r="M132" s="26">
        <v>46287.671400462961</v>
      </c>
      <c r="N132" s="27"/>
      <c r="O132" s="23"/>
      <c r="P132" s="23"/>
    </row>
    <row r="133" spans="1:16" x14ac:dyDescent="0.15">
      <c r="A133" t="s">
        <v>166</v>
      </c>
      <c r="B133" s="24">
        <v>899.41</v>
      </c>
      <c r="C133" s="24"/>
      <c r="D133" s="24"/>
      <c r="E133" s="25"/>
      <c r="F133" s="25"/>
      <c r="G133" s="24">
        <v>895.31</v>
      </c>
      <c r="H133" s="25">
        <v>2163685</v>
      </c>
      <c r="I133" s="25"/>
      <c r="J133" s="24"/>
      <c r="K133" s="22"/>
      <c r="L133" s="22">
        <v>1.2689866065245047E-2</v>
      </c>
      <c r="M133" s="26">
        <v>46287.671400462961</v>
      </c>
      <c r="N133" s="27"/>
      <c r="O133" s="23"/>
      <c r="P133" s="23"/>
    </row>
    <row r="134" spans="1:16" x14ac:dyDescent="0.15">
      <c r="A134" t="s">
        <v>780</v>
      </c>
      <c r="B134" s="24">
        <v>392.95</v>
      </c>
      <c r="C134" s="24"/>
      <c r="D134" s="24"/>
      <c r="E134" s="25"/>
      <c r="F134" s="25"/>
      <c r="G134" s="24">
        <v>397.76</v>
      </c>
      <c r="H134" s="25">
        <v>445900</v>
      </c>
      <c r="I134" s="25"/>
      <c r="J134" s="24"/>
      <c r="K134" s="22"/>
      <c r="L134" s="22">
        <v>1.5887394010764052E-2</v>
      </c>
      <c r="M134" s="26">
        <v>46287.671400462961</v>
      </c>
      <c r="N134" s="27"/>
      <c r="O134" s="23"/>
      <c r="P134" s="23"/>
    </row>
    <row r="135" spans="1:16" x14ac:dyDescent="0.15">
      <c r="A135" t="s">
        <v>810</v>
      </c>
      <c r="B135" s="24">
        <v>28.795000000000002</v>
      </c>
      <c r="C135" s="24"/>
      <c r="D135" s="24"/>
      <c r="E135" s="25"/>
      <c r="F135" s="25"/>
      <c r="G135" s="24">
        <v>29.28</v>
      </c>
      <c r="H135" s="25">
        <v>11104708</v>
      </c>
      <c r="I135" s="25"/>
      <c r="J135" s="24"/>
      <c r="K135" s="22"/>
      <c r="L135" s="22">
        <v>2.8126173067016324E-2</v>
      </c>
      <c r="M135" s="26">
        <v>46287.671400462961</v>
      </c>
      <c r="N135" s="27"/>
      <c r="O135" s="23"/>
      <c r="P135" s="23"/>
    </row>
    <row r="136" spans="1:16" x14ac:dyDescent="0.15">
      <c r="A136" t="s">
        <v>1076</v>
      </c>
      <c r="B136" s="24">
        <v>99.31</v>
      </c>
      <c r="C136" s="24"/>
      <c r="D136" s="24"/>
      <c r="E136" s="25"/>
      <c r="F136" s="25"/>
      <c r="G136" s="24">
        <v>99.12</v>
      </c>
      <c r="H136" s="25">
        <v>1513577</v>
      </c>
      <c r="I136" s="25"/>
      <c r="J136" s="24"/>
      <c r="K136" s="22"/>
      <c r="L136" s="22">
        <v>1.1999458274231444E-2</v>
      </c>
      <c r="M136" s="26">
        <v>46287.671400462961</v>
      </c>
      <c r="N136" s="27"/>
      <c r="O136" s="23"/>
      <c r="P136" s="23"/>
    </row>
    <row r="137" spans="1:16" x14ac:dyDescent="0.15">
      <c r="A137" t="s">
        <v>526</v>
      </c>
      <c r="B137" s="24">
        <v>88.04</v>
      </c>
      <c r="C137" s="24"/>
      <c r="D137" s="24"/>
      <c r="E137" s="25"/>
      <c r="F137" s="25"/>
      <c r="G137" s="24">
        <v>87.14</v>
      </c>
      <c r="H137" s="25">
        <v>4367113</v>
      </c>
      <c r="I137" s="25"/>
      <c r="J137" s="24"/>
      <c r="K137" s="22"/>
      <c r="L137" s="22">
        <v>1.8603320341138031E-2</v>
      </c>
      <c r="M137" s="26">
        <v>46287.671400462961</v>
      </c>
      <c r="N137" s="27"/>
      <c r="O137" s="23"/>
      <c r="P137" s="23"/>
    </row>
    <row r="138" spans="1:16" x14ac:dyDescent="0.15">
      <c r="A138" t="s">
        <v>1000</v>
      </c>
      <c r="B138" s="24">
        <v>285.11</v>
      </c>
      <c r="C138" s="24"/>
      <c r="D138" s="24"/>
      <c r="E138" s="25"/>
      <c r="F138" s="25"/>
      <c r="G138" s="24">
        <v>279.01</v>
      </c>
      <c r="H138" s="25">
        <v>1107894</v>
      </c>
      <c r="I138" s="25"/>
      <c r="J138" s="24"/>
      <c r="K138" s="22"/>
      <c r="L138" s="22">
        <v>2.5019457317217407E-2</v>
      </c>
      <c r="M138" s="26">
        <v>46287.671400462961</v>
      </c>
      <c r="N138" s="27"/>
      <c r="O138" s="23"/>
      <c r="P138" s="23"/>
    </row>
    <row r="139" spans="1:16" x14ac:dyDescent="0.15">
      <c r="A139" t="s">
        <v>230</v>
      </c>
      <c r="B139" s="24">
        <v>233</v>
      </c>
      <c r="C139" s="24"/>
      <c r="D139" s="24"/>
      <c r="E139" s="25"/>
      <c r="F139" s="25"/>
      <c r="G139" s="24">
        <v>237.92</v>
      </c>
      <c r="H139" s="25">
        <v>10581937</v>
      </c>
      <c r="I139" s="25"/>
      <c r="J139" s="24"/>
      <c r="K139" s="22"/>
      <c r="L139" s="22">
        <v>3.9379245542288749E-2</v>
      </c>
      <c r="M139" s="26">
        <v>46287.671400462961</v>
      </c>
      <c r="N139" s="27"/>
      <c r="O139" s="23"/>
      <c r="P139" s="23"/>
    </row>
    <row r="140" spans="1:16" x14ac:dyDescent="0.15">
      <c r="A140" t="s">
        <v>208</v>
      </c>
      <c r="B140" s="24">
        <v>249.7775</v>
      </c>
      <c r="C140" s="24"/>
      <c r="D140" s="24"/>
      <c r="E140" s="25"/>
      <c r="F140" s="25"/>
      <c r="G140" s="24">
        <v>237.65</v>
      </c>
      <c r="H140" s="25">
        <v>13372734</v>
      </c>
      <c r="I140" s="25"/>
      <c r="J140" s="24"/>
      <c r="K140" s="22"/>
      <c r="L140" s="22">
        <v>4.7038634602562523E-2</v>
      </c>
      <c r="M140" s="26">
        <v>46287.671400462961</v>
      </c>
      <c r="N140" s="27"/>
      <c r="O140" s="23"/>
      <c r="P140" s="23"/>
    </row>
    <row r="141" spans="1:16" x14ac:dyDescent="0.15">
      <c r="A141" t="s">
        <v>1229</v>
      </c>
      <c r="B141" s="24">
        <v>86.7</v>
      </c>
      <c r="C141" s="24"/>
      <c r="D141" s="24"/>
      <c r="E141" s="25"/>
      <c r="F141" s="25"/>
      <c r="G141" s="24">
        <v>81.36</v>
      </c>
      <c r="H141" s="25">
        <v>39845105</v>
      </c>
      <c r="I141" s="25"/>
      <c r="J141" s="24"/>
      <c r="K141" s="22"/>
      <c r="L141" s="22">
        <v>6.762579183131498E-2</v>
      </c>
      <c r="M141" s="26">
        <v>46287.671400462961</v>
      </c>
      <c r="N141" s="27"/>
      <c r="O141" s="23"/>
      <c r="P141" s="23"/>
    </row>
    <row r="142" spans="1:16" x14ac:dyDescent="0.15">
      <c r="A142" t="s">
        <v>160</v>
      </c>
      <c r="B142" s="24">
        <v>106.3</v>
      </c>
      <c r="C142" s="24"/>
      <c r="D142" s="24"/>
      <c r="E142" s="25"/>
      <c r="F142" s="25"/>
      <c r="G142" s="24">
        <v>109.51</v>
      </c>
      <c r="H142" s="25">
        <v>21567259</v>
      </c>
      <c r="I142" s="25"/>
      <c r="J142" s="24"/>
      <c r="K142" s="22"/>
      <c r="L142" s="22">
        <v>2.2311299930677344E-2</v>
      </c>
      <c r="M142" s="26">
        <v>46287.671377314815</v>
      </c>
      <c r="N142" s="27"/>
      <c r="O142" s="23"/>
      <c r="P142" s="23"/>
    </row>
    <row r="143" spans="1:16" x14ac:dyDescent="0.15">
      <c r="A143" t="s">
        <v>1038</v>
      </c>
      <c r="B143" s="24">
        <v>28.77</v>
      </c>
      <c r="C143" s="24"/>
      <c r="D143" s="24"/>
      <c r="E143" s="25"/>
      <c r="F143" s="25"/>
      <c r="G143" s="24">
        <v>29.09</v>
      </c>
      <c r="H143" s="25">
        <v>7100175</v>
      </c>
      <c r="I143" s="25"/>
      <c r="J143" s="24"/>
      <c r="K143" s="22"/>
      <c r="L143" s="22">
        <v>3.1431980275915469E-2</v>
      </c>
      <c r="M143" s="26">
        <v>46287.671377314815</v>
      </c>
      <c r="N143" s="27"/>
      <c r="O143" s="23"/>
      <c r="P143" s="23"/>
    </row>
    <row r="144" spans="1:16" x14ac:dyDescent="0.15">
      <c r="A144" t="s">
        <v>376</v>
      </c>
      <c r="B144" s="24">
        <v>46.59</v>
      </c>
      <c r="C144" s="24"/>
      <c r="D144" s="24"/>
      <c r="E144" s="25"/>
      <c r="F144" s="25"/>
      <c r="G144" s="24">
        <v>47.1</v>
      </c>
      <c r="H144" s="25">
        <v>16409578</v>
      </c>
      <c r="I144" s="25"/>
      <c r="J144" s="24"/>
      <c r="K144" s="22"/>
      <c r="L144" s="22">
        <v>1.368674959647012E-2</v>
      </c>
      <c r="M144" s="26">
        <v>46287.671377314815</v>
      </c>
      <c r="N144" s="27"/>
      <c r="O144" s="23"/>
      <c r="P144" s="23"/>
    </row>
    <row r="145" spans="1:16" x14ac:dyDescent="0.15">
      <c r="A145" t="s">
        <v>462</v>
      </c>
      <c r="B145" s="24">
        <v>198.8</v>
      </c>
      <c r="C145" s="24"/>
      <c r="D145" s="24"/>
      <c r="E145" s="25"/>
      <c r="F145" s="25"/>
      <c r="G145" s="24">
        <v>197.64</v>
      </c>
      <c r="H145" s="25">
        <v>1626382</v>
      </c>
      <c r="I145" s="25"/>
      <c r="J145" s="24"/>
      <c r="K145" s="22"/>
      <c r="L145" s="22">
        <v>1.7250190146704678E-2</v>
      </c>
      <c r="M145" s="26">
        <v>46287.671377314815</v>
      </c>
      <c r="N145" s="27"/>
      <c r="O145" s="23"/>
      <c r="P145" s="23"/>
    </row>
    <row r="146" spans="1:16" x14ac:dyDescent="0.15">
      <c r="A146" t="s">
        <v>768</v>
      </c>
      <c r="B146" s="24">
        <v>58.68</v>
      </c>
      <c r="C146" s="24"/>
      <c r="D146" s="24"/>
      <c r="E146" s="25"/>
      <c r="F146" s="25"/>
      <c r="G146" s="24">
        <v>59.87</v>
      </c>
      <c r="H146" s="25">
        <v>5753511</v>
      </c>
      <c r="I146" s="25"/>
      <c r="J146" s="24"/>
      <c r="K146" s="22"/>
      <c r="L146" s="22">
        <v>3.0792901776756865E-2</v>
      </c>
      <c r="M146" s="26">
        <v>46287.671377314815</v>
      </c>
      <c r="N146" s="27"/>
      <c r="O146" s="23"/>
      <c r="P146" s="23"/>
    </row>
    <row r="147" spans="1:16" x14ac:dyDescent="0.15">
      <c r="A147" t="s">
        <v>540</v>
      </c>
      <c r="B147" s="24">
        <v>80.34</v>
      </c>
      <c r="C147" s="24"/>
      <c r="D147" s="24"/>
      <c r="E147" s="25"/>
      <c r="F147" s="25"/>
      <c r="G147" s="24">
        <v>80.53</v>
      </c>
      <c r="H147" s="25">
        <v>2881679</v>
      </c>
      <c r="I147" s="25"/>
      <c r="J147" s="24"/>
      <c r="K147" s="22"/>
      <c r="L147" s="22">
        <v>2.2250116595819922E-2</v>
      </c>
      <c r="M147" s="26">
        <v>46287.671377314815</v>
      </c>
      <c r="N147" s="27"/>
      <c r="O147" s="23"/>
      <c r="P147" s="23"/>
    </row>
    <row r="148" spans="1:16" x14ac:dyDescent="0.15">
      <c r="A148" t="s">
        <v>578</v>
      </c>
      <c r="B148" s="24">
        <v>65.650000000000006</v>
      </c>
      <c r="C148" s="24"/>
      <c r="D148" s="24"/>
      <c r="E148" s="25"/>
      <c r="F148" s="25"/>
      <c r="G148" s="24">
        <v>65.11</v>
      </c>
      <c r="H148" s="25">
        <v>5442689</v>
      </c>
      <c r="I148" s="25"/>
      <c r="J148" s="24"/>
      <c r="K148" s="22"/>
      <c r="L148" s="22">
        <v>3.6140780576653993E-2</v>
      </c>
      <c r="M148" s="26">
        <v>46287.671377314815</v>
      </c>
      <c r="N148" s="27"/>
      <c r="O148" s="23"/>
      <c r="P148" s="23"/>
    </row>
    <row r="149" spans="1:16" x14ac:dyDescent="0.15">
      <c r="A149" t="s">
        <v>318</v>
      </c>
      <c r="B149" s="24">
        <v>87.143199999999993</v>
      </c>
      <c r="C149" s="24"/>
      <c r="D149" s="24"/>
      <c r="E149" s="25"/>
      <c r="F149" s="25"/>
      <c r="G149" s="24">
        <v>88.84</v>
      </c>
      <c r="H149" s="25">
        <v>10137936</v>
      </c>
      <c r="I149" s="25"/>
      <c r="J149" s="24"/>
      <c r="K149" s="22"/>
      <c r="L149" s="22">
        <v>1.6065802277173715E-2</v>
      </c>
      <c r="M149" s="26">
        <v>46287.671377314815</v>
      </c>
      <c r="N149" s="27"/>
      <c r="O149" s="23"/>
      <c r="P149" s="23"/>
    </row>
    <row r="150" spans="1:16" x14ac:dyDescent="0.15">
      <c r="A150" t="s">
        <v>162</v>
      </c>
      <c r="B150" s="24">
        <v>202.41</v>
      </c>
      <c r="C150" s="24"/>
      <c r="D150" s="24"/>
      <c r="E150" s="25"/>
      <c r="F150" s="25"/>
      <c r="G150" s="24">
        <v>209.51</v>
      </c>
      <c r="H150" s="25">
        <v>8469759</v>
      </c>
      <c r="I150" s="25"/>
      <c r="J150" s="24"/>
      <c r="K150" s="22"/>
      <c r="L150" s="22">
        <v>1.5788965960304345E-2</v>
      </c>
      <c r="M150" s="26">
        <v>46287.671377314815</v>
      </c>
      <c r="N150" s="27"/>
      <c r="O150" s="23"/>
      <c r="P150" s="23"/>
    </row>
    <row r="151" spans="1:16" x14ac:dyDescent="0.15">
      <c r="A151" t="s">
        <v>534</v>
      </c>
      <c r="B151" s="24">
        <v>62.43</v>
      </c>
      <c r="C151" s="24"/>
      <c r="D151" s="24"/>
      <c r="E151" s="25"/>
      <c r="F151" s="25"/>
      <c r="G151" s="24">
        <v>63.58</v>
      </c>
      <c r="H151" s="25">
        <v>5326365</v>
      </c>
      <c r="I151" s="25"/>
      <c r="J151" s="24"/>
      <c r="K151" s="22"/>
      <c r="L151" s="22">
        <v>9.4925923743940203E-3</v>
      </c>
      <c r="M151" s="26">
        <v>46287.671377314815</v>
      </c>
      <c r="N151" s="27"/>
      <c r="O151" s="23"/>
      <c r="P151" s="23"/>
    </row>
    <row r="152" spans="1:16" x14ac:dyDescent="0.15">
      <c r="A152" t="s">
        <v>574</v>
      </c>
      <c r="B152" s="24">
        <v>83.92</v>
      </c>
      <c r="C152" s="24"/>
      <c r="D152" s="24"/>
      <c r="E152" s="25"/>
      <c r="F152" s="25"/>
      <c r="G152" s="24">
        <v>79.62</v>
      </c>
      <c r="H152" s="25">
        <v>9200278</v>
      </c>
      <c r="I152" s="25"/>
      <c r="J152" s="24"/>
      <c r="K152" s="22"/>
      <c r="L152" s="22">
        <v>1.9014108062976216E-2</v>
      </c>
      <c r="M152" s="26">
        <v>46287.671377314815</v>
      </c>
      <c r="N152" s="27"/>
      <c r="O152" s="23"/>
      <c r="P152" s="23"/>
    </row>
    <row r="153" spans="1:16" x14ac:dyDescent="0.15">
      <c r="A153" t="s">
        <v>432</v>
      </c>
      <c r="B153" s="24">
        <v>192.65</v>
      </c>
      <c r="C153" s="24"/>
      <c r="D153" s="24"/>
      <c r="E153" s="25"/>
      <c r="F153" s="25"/>
      <c r="G153" s="24">
        <v>192.94</v>
      </c>
      <c r="H153" s="25">
        <v>5061174</v>
      </c>
      <c r="I153" s="25"/>
      <c r="J153" s="24"/>
      <c r="K153" s="22"/>
      <c r="L153" s="22">
        <v>2.4559339391314709E-2</v>
      </c>
      <c r="M153" s="26">
        <v>46287.671377314815</v>
      </c>
      <c r="N153" s="27"/>
      <c r="O153" s="23"/>
      <c r="P153" s="23"/>
    </row>
    <row r="154" spans="1:16" x14ac:dyDescent="0.15">
      <c r="A154" t="s">
        <v>930</v>
      </c>
      <c r="B154" s="24">
        <v>131.80000000000001</v>
      </c>
      <c r="C154" s="24"/>
      <c r="D154" s="24"/>
      <c r="E154" s="25"/>
      <c r="F154" s="25"/>
      <c r="G154" s="24">
        <v>129.01</v>
      </c>
      <c r="H154" s="25">
        <v>922165</v>
      </c>
      <c r="I154" s="25"/>
      <c r="J154" s="24"/>
      <c r="K154" s="22"/>
      <c r="L154" s="22">
        <v>1.4227988690811287E-2</v>
      </c>
      <c r="M154" s="26">
        <v>46287.671377314815</v>
      </c>
      <c r="N154" s="27"/>
      <c r="O154" s="23"/>
      <c r="P154" s="23"/>
    </row>
    <row r="155" spans="1:16" x14ac:dyDescent="0.15">
      <c r="A155" t="s">
        <v>412</v>
      </c>
      <c r="B155" s="24">
        <v>247.15</v>
      </c>
      <c r="C155" s="24"/>
      <c r="D155" s="24"/>
      <c r="E155" s="25"/>
      <c r="F155" s="25"/>
      <c r="G155" s="24">
        <v>229.92</v>
      </c>
      <c r="H155" s="25">
        <v>2928027</v>
      </c>
      <c r="I155" s="25"/>
      <c r="J155" s="24"/>
      <c r="K155" s="22"/>
      <c r="L155" s="22">
        <v>4.4009719401983428E-2</v>
      </c>
      <c r="M155" s="26">
        <v>46287.671377314815</v>
      </c>
      <c r="N155" s="27"/>
      <c r="O155" s="23"/>
      <c r="P155" s="23"/>
    </row>
    <row r="156" spans="1:16" x14ac:dyDescent="0.15">
      <c r="A156" t="s">
        <v>254</v>
      </c>
      <c r="B156" s="24">
        <v>703.12</v>
      </c>
      <c r="C156" s="24"/>
      <c r="D156" s="24"/>
      <c r="E156" s="25"/>
      <c r="F156" s="25"/>
      <c r="G156" s="24">
        <v>683.99</v>
      </c>
      <c r="H156" s="25">
        <v>953198</v>
      </c>
      <c r="I156" s="25"/>
      <c r="J156" s="24"/>
      <c r="K156" s="22"/>
      <c r="L156" s="22">
        <v>2.1152715354825886E-2</v>
      </c>
      <c r="M156" s="26">
        <v>46287.671377314815</v>
      </c>
      <c r="N156" s="27"/>
      <c r="O156" s="23"/>
      <c r="P156" s="23"/>
    </row>
    <row r="157" spans="1:16" x14ac:dyDescent="0.15">
      <c r="A157" t="s">
        <v>1062</v>
      </c>
      <c r="B157" s="24">
        <v>79.83</v>
      </c>
      <c r="C157" s="24"/>
      <c r="D157" s="24"/>
      <c r="E157" s="25"/>
      <c r="F157" s="25"/>
      <c r="G157" s="24">
        <v>78.430000000000007</v>
      </c>
      <c r="H157" s="25">
        <v>3807703</v>
      </c>
      <c r="I157" s="25"/>
      <c r="J157" s="24"/>
      <c r="K157" s="22"/>
      <c r="L157" s="22">
        <v>2.4038463349771281E-2</v>
      </c>
      <c r="M157" s="26">
        <v>46287.671377314815</v>
      </c>
      <c r="N157" s="27"/>
      <c r="O157" s="23"/>
      <c r="P157" s="23"/>
    </row>
    <row r="158" spans="1:16" x14ac:dyDescent="0.15">
      <c r="A158" t="s">
        <v>252</v>
      </c>
      <c r="B158" s="24">
        <v>549.49</v>
      </c>
      <c r="C158" s="24"/>
      <c r="D158" s="24"/>
      <c r="E158" s="25"/>
      <c r="F158" s="25"/>
      <c r="G158" s="24">
        <v>575.30999999999995</v>
      </c>
      <c r="H158" s="25">
        <v>7822058</v>
      </c>
      <c r="I158" s="25"/>
      <c r="J158" s="24"/>
      <c r="K158" s="22"/>
      <c r="L158" s="22">
        <v>5.1974672909070027E-2</v>
      </c>
      <c r="M158" s="26">
        <v>46287.671377314815</v>
      </c>
      <c r="N158" s="27"/>
      <c r="O158" s="23"/>
      <c r="P158" s="23"/>
    </row>
    <row r="159" spans="1:16" x14ac:dyDescent="0.15">
      <c r="A159" t="s">
        <v>764</v>
      </c>
      <c r="B159" s="24">
        <v>122.63</v>
      </c>
      <c r="C159" s="24"/>
      <c r="D159" s="24"/>
      <c r="E159" s="25"/>
      <c r="F159" s="25"/>
      <c r="G159" s="24">
        <v>122.41</v>
      </c>
      <c r="H159" s="25">
        <v>2375248</v>
      </c>
      <c r="I159" s="25"/>
      <c r="J159" s="24"/>
      <c r="K159" s="22"/>
      <c r="L159" s="22">
        <v>2.1808323197712438E-2</v>
      </c>
      <c r="M159" s="26">
        <v>46287.671377314815</v>
      </c>
      <c r="N159" s="27"/>
      <c r="O159" s="23"/>
      <c r="P159" s="23"/>
    </row>
    <row r="160" spans="1:16" x14ac:dyDescent="0.15">
      <c r="A160" t="s">
        <v>758</v>
      </c>
      <c r="B160" s="24">
        <v>235.5</v>
      </c>
      <c r="C160" s="24"/>
      <c r="D160" s="24"/>
      <c r="E160" s="25"/>
      <c r="F160" s="25"/>
      <c r="G160" s="24">
        <v>246.45</v>
      </c>
      <c r="H160" s="25">
        <v>907953</v>
      </c>
      <c r="I160" s="25"/>
      <c r="J160" s="24"/>
      <c r="K160" s="22"/>
      <c r="L160" s="22">
        <v>1.6273057073994318E-2</v>
      </c>
      <c r="M160" s="26">
        <v>46287.671377314815</v>
      </c>
      <c r="N160" s="27"/>
      <c r="O160" s="23"/>
      <c r="P160" s="23"/>
    </row>
    <row r="161" spans="1:16" x14ac:dyDescent="0.15">
      <c r="A161" t="s">
        <v>678</v>
      </c>
      <c r="B161" s="24">
        <v>144.11000000000001</v>
      </c>
      <c r="C161" s="24"/>
      <c r="D161" s="24"/>
      <c r="E161" s="25"/>
      <c r="F161" s="25"/>
      <c r="G161" s="24">
        <v>138.02000000000001</v>
      </c>
      <c r="H161" s="25">
        <v>3620951</v>
      </c>
      <c r="I161" s="25"/>
      <c r="J161" s="24"/>
      <c r="K161" s="22"/>
      <c r="L161" s="22">
        <v>2.0532241752876042E-2</v>
      </c>
      <c r="M161" s="26">
        <v>46287.671377314815</v>
      </c>
      <c r="N161" s="27"/>
      <c r="O161" s="23"/>
      <c r="P161" s="23"/>
    </row>
    <row r="162" spans="1:16" x14ac:dyDescent="0.15">
      <c r="A162" t="s">
        <v>286</v>
      </c>
      <c r="B162" s="24">
        <v>221.09</v>
      </c>
      <c r="C162" s="24"/>
      <c r="D162" s="24"/>
      <c r="E162" s="25"/>
      <c r="F162" s="25"/>
      <c r="G162" s="24">
        <v>211.81</v>
      </c>
      <c r="H162" s="25">
        <v>5164084</v>
      </c>
      <c r="I162" s="25"/>
      <c r="J162" s="24"/>
      <c r="K162" s="22"/>
      <c r="L162" s="22">
        <v>2.3908571274964315E-2</v>
      </c>
      <c r="M162" s="26">
        <v>46287.671412037038</v>
      </c>
      <c r="N162" s="27"/>
      <c r="O162" s="23"/>
      <c r="P162" s="23"/>
    </row>
    <row r="163" spans="1:16" x14ac:dyDescent="0.15">
      <c r="A163" t="s">
        <v>244</v>
      </c>
      <c r="B163" s="24">
        <v>104.13</v>
      </c>
      <c r="C163" s="24"/>
      <c r="D163" s="24"/>
      <c r="E163" s="25"/>
      <c r="F163" s="25"/>
      <c r="G163" s="24">
        <v>102.67</v>
      </c>
      <c r="H163" s="25">
        <v>7128277</v>
      </c>
      <c r="I163" s="25"/>
      <c r="J163" s="24"/>
      <c r="K163" s="22"/>
      <c r="L163" s="22">
        <v>1.6975574358025523E-2</v>
      </c>
      <c r="M163" s="26">
        <v>46287.671412037038</v>
      </c>
      <c r="N163" s="27"/>
      <c r="O163" s="23"/>
      <c r="P163" s="23"/>
    </row>
    <row r="164" spans="1:16" x14ac:dyDescent="0.15">
      <c r="A164" t="s">
        <v>474</v>
      </c>
      <c r="B164" s="24">
        <v>185.65</v>
      </c>
      <c r="C164" s="24"/>
      <c r="D164" s="24"/>
      <c r="E164" s="25"/>
      <c r="F164" s="25"/>
      <c r="G164" s="24">
        <v>182.12</v>
      </c>
      <c r="H164" s="25">
        <v>1679733</v>
      </c>
      <c r="I164" s="25"/>
      <c r="J164" s="24"/>
      <c r="K164" s="22"/>
      <c r="L164" s="22">
        <v>2.2881822528915952E-2</v>
      </c>
      <c r="M164" s="26">
        <v>46287.671412037038</v>
      </c>
      <c r="N164" s="27"/>
      <c r="O164" s="23"/>
      <c r="P164" s="23"/>
    </row>
    <row r="165" spans="1:16" x14ac:dyDescent="0.15">
      <c r="A165" t="s">
        <v>854</v>
      </c>
      <c r="B165" s="24">
        <v>115.04</v>
      </c>
      <c r="C165" s="24"/>
      <c r="D165" s="24"/>
      <c r="E165" s="25"/>
      <c r="F165" s="25"/>
      <c r="G165" s="24">
        <v>111.96</v>
      </c>
      <c r="H165" s="25">
        <v>3018799</v>
      </c>
      <c r="I165" s="25"/>
      <c r="J165" s="24"/>
      <c r="K165" s="22"/>
      <c r="L165" s="22">
        <v>2.205835039095784E-2</v>
      </c>
      <c r="M165" s="26">
        <v>46287.671412037038</v>
      </c>
      <c r="N165" s="27"/>
      <c r="O165" s="23"/>
      <c r="P165" s="23"/>
    </row>
    <row r="166" spans="1:16" x14ac:dyDescent="0.15">
      <c r="A166" t="s">
        <v>986</v>
      </c>
      <c r="B166" s="24">
        <v>20.6</v>
      </c>
      <c r="C166" s="24"/>
      <c r="D166" s="24"/>
      <c r="E166" s="25"/>
      <c r="F166" s="25"/>
      <c r="G166" s="24">
        <v>20.72</v>
      </c>
      <c r="H166" s="25">
        <v>6034412</v>
      </c>
      <c r="I166" s="25"/>
      <c r="J166" s="24"/>
      <c r="K166" s="22"/>
      <c r="L166" s="22">
        <v>1.2365239277825828E-2</v>
      </c>
      <c r="M166" s="26">
        <v>46287.671412037038</v>
      </c>
      <c r="N166" s="27"/>
      <c r="O166" s="23"/>
      <c r="P166" s="23"/>
    </row>
    <row r="167" spans="1:16" x14ac:dyDescent="0.15">
      <c r="A167" t="s">
        <v>788</v>
      </c>
      <c r="B167" s="24">
        <v>186.54</v>
      </c>
      <c r="C167" s="24"/>
      <c r="D167" s="24"/>
      <c r="E167" s="25"/>
      <c r="F167" s="25"/>
      <c r="G167" s="24">
        <v>187.42</v>
      </c>
      <c r="H167" s="25">
        <v>1223041</v>
      </c>
      <c r="I167" s="25"/>
      <c r="J167" s="24"/>
      <c r="K167" s="22"/>
      <c r="L167" s="22">
        <v>1.6473749257246852E-2</v>
      </c>
      <c r="M167" s="26">
        <v>46287.671412037038</v>
      </c>
      <c r="N167" s="27"/>
      <c r="O167" s="23"/>
      <c r="P167" s="23"/>
    </row>
    <row r="168" spans="1:16" x14ac:dyDescent="0.15">
      <c r="A168" t="s">
        <v>868</v>
      </c>
      <c r="B168" s="24">
        <v>28.2</v>
      </c>
      <c r="C168" s="24"/>
      <c r="D168" s="24"/>
      <c r="E168" s="25"/>
      <c r="F168" s="25"/>
      <c r="G168" s="24">
        <v>28.73</v>
      </c>
      <c r="H168" s="25">
        <v>9639688</v>
      </c>
      <c r="I168" s="25"/>
      <c r="J168" s="24"/>
      <c r="K168" s="22"/>
      <c r="L168" s="22">
        <v>2.3278374289488278E-2</v>
      </c>
      <c r="M168" s="26">
        <v>46287.671412037038</v>
      </c>
      <c r="N168" s="27"/>
      <c r="O168" s="23"/>
      <c r="P168" s="23"/>
    </row>
    <row r="169" spans="1:16" x14ac:dyDescent="0.15">
      <c r="A169" t="s">
        <v>1082</v>
      </c>
      <c r="B169" s="24">
        <v>297.11</v>
      </c>
      <c r="C169" s="24"/>
      <c r="D169" s="24"/>
      <c r="E169" s="25"/>
      <c r="F169" s="25"/>
      <c r="G169" s="24">
        <v>294.2</v>
      </c>
      <c r="H169" s="25">
        <v>810719</v>
      </c>
      <c r="I169" s="25"/>
      <c r="J169" s="24"/>
      <c r="K169" s="22"/>
      <c r="L169" s="22">
        <v>2.4147964600409272E-2</v>
      </c>
      <c r="M169" s="26">
        <v>46287.671412037038</v>
      </c>
      <c r="N169" s="27"/>
      <c r="O169" s="23"/>
      <c r="P169" s="23"/>
    </row>
    <row r="170" spans="1:16" x14ac:dyDescent="0.15">
      <c r="A170" t="s">
        <v>818</v>
      </c>
      <c r="B170" s="24">
        <v>213.54</v>
      </c>
      <c r="C170" s="24"/>
      <c r="D170" s="24"/>
      <c r="E170" s="25"/>
      <c r="F170" s="25"/>
      <c r="G170" s="24">
        <v>209.28</v>
      </c>
      <c r="H170" s="25">
        <v>1725076</v>
      </c>
      <c r="I170" s="25"/>
      <c r="J170" s="24"/>
      <c r="K170" s="22"/>
      <c r="L170" s="22">
        <v>1.9192138198157634E-2</v>
      </c>
      <c r="M170" s="26">
        <v>46287.671412037038</v>
      </c>
      <c r="N170" s="27"/>
      <c r="O170" s="23"/>
      <c r="P170" s="23"/>
    </row>
    <row r="171" spans="1:16" x14ac:dyDescent="0.15">
      <c r="A171" t="s">
        <v>770</v>
      </c>
      <c r="B171" s="24">
        <v>125.41</v>
      </c>
      <c r="C171" s="24"/>
      <c r="D171" s="24"/>
      <c r="E171" s="25"/>
      <c r="F171" s="25"/>
      <c r="G171" s="24">
        <v>128.52000000000001</v>
      </c>
      <c r="H171" s="25">
        <v>2179615</v>
      </c>
      <c r="I171" s="25"/>
      <c r="J171" s="24"/>
      <c r="K171" s="22"/>
      <c r="L171" s="22">
        <v>1.0536605804273073E-2</v>
      </c>
      <c r="M171" s="26">
        <v>46287.671412037038</v>
      </c>
      <c r="N171" s="27"/>
      <c r="O171" s="23"/>
      <c r="P171" s="23"/>
    </row>
    <row r="172" spans="1:16" x14ac:dyDescent="0.15">
      <c r="A172" t="s">
        <v>364</v>
      </c>
      <c r="B172" s="24">
        <v>116.31</v>
      </c>
      <c r="C172" s="24"/>
      <c r="D172" s="24"/>
      <c r="E172" s="25"/>
      <c r="F172" s="25"/>
      <c r="G172" s="24">
        <v>117.53</v>
      </c>
      <c r="H172" s="25">
        <v>4270665</v>
      </c>
      <c r="I172" s="25"/>
      <c r="J172" s="24"/>
      <c r="K172" s="22"/>
      <c r="L172" s="22">
        <v>1.1316850507917102E-2</v>
      </c>
      <c r="M172" s="26">
        <v>46287.671412037038</v>
      </c>
      <c r="N172" s="27"/>
      <c r="O172" s="23"/>
      <c r="P172" s="23"/>
    </row>
    <row r="173" spans="1:16" x14ac:dyDescent="0.15">
      <c r="A173" t="s">
        <v>1110</v>
      </c>
      <c r="B173" s="24">
        <v>183.72</v>
      </c>
      <c r="C173" s="24"/>
      <c r="D173" s="24"/>
      <c r="E173" s="25"/>
      <c r="F173" s="25"/>
      <c r="G173" s="24">
        <v>183.86</v>
      </c>
      <c r="H173" s="25">
        <v>565043</v>
      </c>
      <c r="I173" s="25"/>
      <c r="J173" s="24"/>
      <c r="K173" s="22"/>
      <c r="L173" s="22">
        <v>2.8333762163186324E-2</v>
      </c>
      <c r="M173" s="26">
        <v>46287.671412037038</v>
      </c>
      <c r="N173" s="27"/>
      <c r="O173" s="23"/>
      <c r="P173" s="23"/>
    </row>
    <row r="174" spans="1:16" x14ac:dyDescent="0.15">
      <c r="A174" t="s">
        <v>544</v>
      </c>
      <c r="B174" s="24">
        <v>46.93</v>
      </c>
      <c r="C174" s="24"/>
      <c r="D174" s="24"/>
      <c r="E174" s="25"/>
      <c r="F174" s="25"/>
      <c r="G174" s="24">
        <v>48.61</v>
      </c>
      <c r="H174" s="25">
        <v>13043257</v>
      </c>
      <c r="I174" s="25"/>
      <c r="J174" s="24"/>
      <c r="K174" s="22"/>
      <c r="L174" s="22">
        <v>2.1976464178311429E-2</v>
      </c>
      <c r="M174" s="26">
        <v>46287.671412037038</v>
      </c>
      <c r="N174" s="27"/>
      <c r="O174" s="23"/>
      <c r="P174" s="23"/>
    </row>
    <row r="175" spans="1:16" x14ac:dyDescent="0.15">
      <c r="A175" t="s">
        <v>692</v>
      </c>
      <c r="B175" s="24">
        <v>89.53</v>
      </c>
      <c r="C175" s="24"/>
      <c r="D175" s="24"/>
      <c r="E175" s="25"/>
      <c r="F175" s="25"/>
      <c r="G175" s="24">
        <v>89.35</v>
      </c>
      <c r="H175" s="25">
        <v>3515970</v>
      </c>
      <c r="I175" s="25"/>
      <c r="J175" s="24"/>
      <c r="K175" s="22"/>
      <c r="L175" s="22">
        <v>2.6550426022207446E-2</v>
      </c>
      <c r="M175" s="26">
        <v>46287.671412037038</v>
      </c>
      <c r="N175" s="27"/>
      <c r="O175" s="23"/>
      <c r="P175" s="23"/>
    </row>
    <row r="176" spans="1:16" x14ac:dyDescent="0.15">
      <c r="A176" t="s">
        <v>594</v>
      </c>
      <c r="B176" s="24">
        <v>109.28</v>
      </c>
      <c r="C176" s="24"/>
      <c r="D176" s="24"/>
      <c r="E176" s="25"/>
      <c r="F176" s="25"/>
      <c r="G176" s="24">
        <v>111.84</v>
      </c>
      <c r="H176" s="25">
        <v>5189592</v>
      </c>
      <c r="I176" s="25"/>
      <c r="J176" s="24"/>
      <c r="K176" s="22"/>
      <c r="L176" s="22">
        <v>2.0641728735759122E-2</v>
      </c>
      <c r="M176" s="26">
        <v>46287.671412037038</v>
      </c>
      <c r="N176" s="27"/>
      <c r="O176" s="23"/>
      <c r="P176" s="23"/>
    </row>
    <row r="177" spans="1:16" x14ac:dyDescent="0.15">
      <c r="A177" t="s">
        <v>1016</v>
      </c>
      <c r="B177" s="24">
        <v>95.46</v>
      </c>
      <c r="C177" s="24"/>
      <c r="D177" s="24"/>
      <c r="E177" s="25"/>
      <c r="F177" s="25"/>
      <c r="G177" s="24">
        <v>93.46</v>
      </c>
      <c r="H177" s="25">
        <v>4741832</v>
      </c>
      <c r="I177" s="25"/>
      <c r="J177" s="24"/>
      <c r="K177" s="22"/>
      <c r="L177" s="22">
        <v>2.3785816713604059E-2</v>
      </c>
      <c r="M177" s="26">
        <v>46287.671412037038</v>
      </c>
      <c r="N177" s="27"/>
      <c r="O177" s="23"/>
      <c r="P177" s="23"/>
    </row>
    <row r="178" spans="1:16" x14ac:dyDescent="0.15">
      <c r="A178" t="s">
        <v>464</v>
      </c>
      <c r="B178" s="24">
        <v>276.22000000000003</v>
      </c>
      <c r="C178" s="24"/>
      <c r="D178" s="24"/>
      <c r="E178" s="25"/>
      <c r="F178" s="25"/>
      <c r="G178" s="24">
        <v>269.45999999999998</v>
      </c>
      <c r="H178" s="25">
        <v>803792</v>
      </c>
      <c r="I178" s="25"/>
      <c r="J178" s="24"/>
      <c r="K178" s="22"/>
      <c r="L178" s="22">
        <v>1.2699695228268571E-2</v>
      </c>
      <c r="M178" s="26">
        <v>46287.671412037038</v>
      </c>
      <c r="N178" s="27"/>
      <c r="O178" s="23"/>
      <c r="P178" s="23"/>
    </row>
    <row r="179" spans="1:16" x14ac:dyDescent="0.15">
      <c r="A179" t="s">
        <v>652</v>
      </c>
      <c r="B179" s="24">
        <v>103.84</v>
      </c>
      <c r="C179" s="24"/>
      <c r="D179" s="24"/>
      <c r="E179" s="25"/>
      <c r="F179" s="25"/>
      <c r="G179" s="24">
        <v>105.43</v>
      </c>
      <c r="H179" s="25">
        <v>1826032</v>
      </c>
      <c r="I179" s="25"/>
      <c r="J179" s="24"/>
      <c r="K179" s="22"/>
      <c r="L179" s="22">
        <v>1.0722068644273219E-2</v>
      </c>
      <c r="M179" s="26">
        <v>46287.671412037038</v>
      </c>
      <c r="N179" s="27"/>
      <c r="O179" s="23"/>
      <c r="P179" s="23"/>
    </row>
    <row r="180" spans="1:16" x14ac:dyDescent="0.15">
      <c r="A180" t="s">
        <v>904</v>
      </c>
      <c r="B180" s="24">
        <v>159.78</v>
      </c>
      <c r="C180" s="24"/>
      <c r="D180" s="24"/>
      <c r="E180" s="25"/>
      <c r="F180" s="25"/>
      <c r="G180" s="24">
        <v>158.87</v>
      </c>
      <c r="H180" s="25">
        <v>1439598</v>
      </c>
      <c r="I180" s="25"/>
      <c r="J180" s="24"/>
      <c r="K180" s="22"/>
      <c r="L180" s="22">
        <v>2.6890342072033922E-2</v>
      </c>
      <c r="M180" s="26">
        <v>46287.671412037038</v>
      </c>
      <c r="N180" s="27"/>
      <c r="O180" s="23"/>
      <c r="P180" s="23"/>
    </row>
    <row r="181" spans="1:16" x14ac:dyDescent="0.15">
      <c r="A181" t="s">
        <v>1006</v>
      </c>
      <c r="B181" s="24">
        <v>370.96</v>
      </c>
      <c r="C181" s="24"/>
      <c r="D181" s="24"/>
      <c r="E181" s="25"/>
      <c r="F181" s="25"/>
      <c r="G181" s="24">
        <v>374.85</v>
      </c>
      <c r="H181" s="25">
        <v>386110</v>
      </c>
      <c r="I181" s="25"/>
      <c r="J181" s="24"/>
      <c r="K181" s="22"/>
      <c r="L181" s="22">
        <v>1.5127962760146987E-2</v>
      </c>
      <c r="M181" s="26">
        <v>46287.671412037038</v>
      </c>
      <c r="N181" s="27"/>
      <c r="O181" s="23"/>
      <c r="P181" s="23"/>
    </row>
    <row r="182" spans="1:16" x14ac:dyDescent="0.15">
      <c r="A182" t="s">
        <v>856</v>
      </c>
      <c r="B182" s="24">
        <v>55.05</v>
      </c>
      <c r="C182" s="24"/>
      <c r="D182" s="24"/>
      <c r="E182" s="25"/>
      <c r="F182" s="25"/>
      <c r="G182" s="24">
        <v>55.31</v>
      </c>
      <c r="H182" s="25">
        <v>3840341</v>
      </c>
      <c r="I182" s="25"/>
      <c r="J182" s="24"/>
      <c r="K182" s="22"/>
      <c r="L182" s="22">
        <v>3.8800670081349145E-2</v>
      </c>
      <c r="M182" s="26">
        <v>46287.671388888892</v>
      </c>
      <c r="N182" s="27"/>
      <c r="O182" s="23"/>
      <c r="P182" s="23"/>
    </row>
    <row r="183" spans="1:16" x14ac:dyDescent="0.15">
      <c r="A183" t="s">
        <v>830</v>
      </c>
      <c r="B183" s="24">
        <v>100.29</v>
      </c>
      <c r="C183" s="24"/>
      <c r="D183" s="24"/>
      <c r="E183" s="25"/>
      <c r="F183" s="25"/>
      <c r="G183" s="24">
        <v>93.43</v>
      </c>
      <c r="H183" s="25">
        <v>3089905</v>
      </c>
      <c r="I183" s="25"/>
      <c r="J183" s="24"/>
      <c r="K183" s="22"/>
      <c r="L183" s="22">
        <v>2.8506653947376406E-2</v>
      </c>
      <c r="M183" s="26">
        <v>46287.671388888892</v>
      </c>
      <c r="N183" s="27"/>
      <c r="O183" s="23"/>
      <c r="P183" s="23"/>
    </row>
    <row r="184" spans="1:16" x14ac:dyDescent="0.15">
      <c r="A184" t="s">
        <v>370</v>
      </c>
      <c r="B184" s="24">
        <v>402.43</v>
      </c>
      <c r="C184" s="24"/>
      <c r="D184" s="24"/>
      <c r="E184" s="25"/>
      <c r="F184" s="25"/>
      <c r="G184" s="24">
        <v>410.95</v>
      </c>
      <c r="H184" s="25">
        <v>933962</v>
      </c>
      <c r="I184" s="25"/>
      <c r="J184" s="24"/>
      <c r="K184" s="22"/>
      <c r="L184" s="22">
        <v>2.2871115618971302E-2</v>
      </c>
      <c r="M184" s="26">
        <v>46287.671388888892</v>
      </c>
      <c r="N184" s="27"/>
      <c r="O184" s="23"/>
      <c r="P184" s="23"/>
    </row>
    <row r="185" spans="1:16" x14ac:dyDescent="0.15">
      <c r="A185" t="s">
        <v>694</v>
      </c>
      <c r="B185" s="24">
        <v>756.5</v>
      </c>
      <c r="C185" s="24"/>
      <c r="D185" s="24"/>
      <c r="E185" s="25"/>
      <c r="F185" s="25"/>
      <c r="G185" s="24">
        <v>750.09</v>
      </c>
      <c r="H185" s="25">
        <v>382022</v>
      </c>
      <c r="I185" s="25"/>
      <c r="J185" s="24"/>
      <c r="K185" s="22"/>
      <c r="L185" s="22">
        <v>3.4957271716822322E-2</v>
      </c>
      <c r="M185" s="26">
        <v>46287.671388888892</v>
      </c>
      <c r="N185" s="27"/>
      <c r="O185" s="23"/>
      <c r="P185" s="23"/>
    </row>
    <row r="186" spans="1:16" x14ac:dyDescent="0.15">
      <c r="A186" t="s">
        <v>386</v>
      </c>
      <c r="B186" s="24">
        <v>154.19</v>
      </c>
      <c r="C186" s="24"/>
      <c r="D186" s="24"/>
      <c r="E186" s="25"/>
      <c r="F186" s="25"/>
      <c r="G186" s="24">
        <v>149.91999999999999</v>
      </c>
      <c r="H186" s="25">
        <v>2103773</v>
      </c>
      <c r="I186" s="25"/>
      <c r="J186" s="24"/>
      <c r="K186" s="22"/>
      <c r="L186" s="22">
        <v>1.8235634173328651E-2</v>
      </c>
      <c r="M186" s="26">
        <v>46287.671388888892</v>
      </c>
      <c r="N186" s="27"/>
      <c r="O186" s="23"/>
      <c r="P186" s="23"/>
    </row>
    <row r="187" spans="1:16" x14ac:dyDescent="0.15">
      <c r="A187" t="s">
        <v>420</v>
      </c>
      <c r="B187" s="24">
        <v>139</v>
      </c>
      <c r="C187" s="24"/>
      <c r="D187" s="24"/>
      <c r="E187" s="25"/>
      <c r="F187" s="25"/>
      <c r="G187" s="24">
        <v>144.22999999999999</v>
      </c>
      <c r="H187" s="25">
        <v>2744822</v>
      </c>
      <c r="I187" s="25"/>
      <c r="J187" s="24"/>
      <c r="K187" s="22"/>
      <c r="L187" s="22">
        <v>2.1766310491342117E-2</v>
      </c>
      <c r="M187" s="26">
        <v>46287.671388888892</v>
      </c>
      <c r="N187" s="27"/>
      <c r="O187" s="23"/>
      <c r="P187" s="23"/>
    </row>
    <row r="188" spans="1:16" x14ac:dyDescent="0.15">
      <c r="A188" t="s">
        <v>340</v>
      </c>
      <c r="B188" s="24">
        <v>1059.26</v>
      </c>
      <c r="C188" s="24"/>
      <c r="D188" s="24"/>
      <c r="E188" s="25"/>
      <c r="F188" s="25"/>
      <c r="G188" s="24">
        <v>1021.34</v>
      </c>
      <c r="H188" s="25">
        <v>565190</v>
      </c>
      <c r="I188" s="25"/>
      <c r="J188" s="24"/>
      <c r="K188" s="22"/>
      <c r="L188" s="22">
        <v>1.8414164853099949E-2</v>
      </c>
      <c r="M188" s="26">
        <v>46287.671388888892</v>
      </c>
      <c r="N188" s="27"/>
      <c r="O188" s="23"/>
      <c r="P188" s="23"/>
    </row>
    <row r="189" spans="1:16" x14ac:dyDescent="0.15">
      <c r="A189" t="s">
        <v>722</v>
      </c>
      <c r="B189" s="24">
        <v>50.81</v>
      </c>
      <c r="C189" s="24"/>
      <c r="D189" s="24"/>
      <c r="E189" s="25"/>
      <c r="F189" s="25"/>
      <c r="G189" s="24">
        <v>50</v>
      </c>
      <c r="H189" s="25">
        <v>8281266</v>
      </c>
      <c r="I189" s="25"/>
      <c r="J189" s="24"/>
      <c r="K189" s="22"/>
      <c r="L189" s="22">
        <v>1.8460086765468231E-2</v>
      </c>
      <c r="M189" s="26">
        <v>46287.671388888892</v>
      </c>
      <c r="N189" s="27"/>
      <c r="O189" s="23"/>
      <c r="P189" s="23"/>
    </row>
    <row r="190" spans="1:16" x14ac:dyDescent="0.15">
      <c r="A190" t="s">
        <v>1114</v>
      </c>
      <c r="B190" s="24">
        <v>234.38</v>
      </c>
      <c r="C190" s="24"/>
      <c r="D190" s="24"/>
      <c r="E190" s="25"/>
      <c r="F190" s="25"/>
      <c r="G190" s="24">
        <v>239.05</v>
      </c>
      <c r="H190" s="25">
        <v>280526</v>
      </c>
      <c r="I190" s="25"/>
      <c r="J190" s="24"/>
      <c r="K190" s="22"/>
      <c r="L190" s="22">
        <v>3.0709453491174273E-2</v>
      </c>
      <c r="M190" s="26">
        <v>46287.671388888892</v>
      </c>
      <c r="N190" s="27"/>
      <c r="O190" s="23"/>
      <c r="P190" s="23"/>
    </row>
    <row r="191" spans="1:16" x14ac:dyDescent="0.15">
      <c r="A191" t="s">
        <v>792</v>
      </c>
      <c r="B191" s="24">
        <v>66.38</v>
      </c>
      <c r="C191" s="24"/>
      <c r="D191" s="24"/>
      <c r="E191" s="25"/>
      <c r="F191" s="25"/>
      <c r="G191" s="24">
        <v>67.72</v>
      </c>
      <c r="H191" s="25">
        <v>2519594</v>
      </c>
      <c r="I191" s="25"/>
      <c r="J191" s="24"/>
      <c r="K191" s="22"/>
      <c r="L191" s="22">
        <v>1.2300732260024828E-2</v>
      </c>
      <c r="M191" s="26">
        <v>46287.671388888892</v>
      </c>
      <c r="N191" s="27"/>
      <c r="O191" s="23"/>
      <c r="P191" s="23"/>
    </row>
    <row r="192" spans="1:16" x14ac:dyDescent="0.15">
      <c r="A192" t="s">
        <v>934</v>
      </c>
      <c r="B192" s="24">
        <v>274.76</v>
      </c>
      <c r="C192" s="24"/>
      <c r="D192" s="24"/>
      <c r="E192" s="25"/>
      <c r="F192" s="25"/>
      <c r="G192" s="24">
        <v>270.05</v>
      </c>
      <c r="H192" s="25">
        <v>464703</v>
      </c>
      <c r="I192" s="25"/>
      <c r="J192" s="24"/>
      <c r="K192" s="22"/>
      <c r="L192" s="22">
        <v>1.2831803243497419E-2</v>
      </c>
      <c r="M192" s="26">
        <v>46287.671388888892</v>
      </c>
      <c r="N192" s="27"/>
      <c r="O192" s="23"/>
      <c r="P192" s="23"/>
    </row>
    <row r="193" spans="1:16" x14ac:dyDescent="0.15">
      <c r="A193" t="s">
        <v>262</v>
      </c>
      <c r="B193" s="24">
        <v>442.49</v>
      </c>
      <c r="C193" s="24"/>
      <c r="D193" s="24"/>
      <c r="E193" s="25"/>
      <c r="F193" s="25"/>
      <c r="G193" s="24">
        <v>424.77</v>
      </c>
      <c r="H193" s="25">
        <v>2194857</v>
      </c>
      <c r="I193" s="25"/>
      <c r="J193" s="24"/>
      <c r="K193" s="22"/>
      <c r="L193" s="22">
        <v>3.0079203848243714E-2</v>
      </c>
      <c r="M193" s="26">
        <v>46287.671388888892</v>
      </c>
      <c r="N193" s="27"/>
      <c r="O193" s="23"/>
      <c r="P193" s="23"/>
    </row>
    <row r="194" spans="1:16" x14ac:dyDescent="0.15">
      <c r="A194" t="s">
        <v>572</v>
      </c>
      <c r="B194" s="24">
        <v>101.16</v>
      </c>
      <c r="C194" s="24"/>
      <c r="D194" s="24"/>
      <c r="E194" s="25"/>
      <c r="F194" s="25"/>
      <c r="G194" s="24">
        <v>102.01</v>
      </c>
      <c r="H194" s="25">
        <v>2759338</v>
      </c>
      <c r="I194" s="25"/>
      <c r="J194" s="24"/>
      <c r="K194" s="22"/>
      <c r="L194" s="22">
        <v>1.1436202543959847E-2</v>
      </c>
      <c r="M194" s="26">
        <v>46287.671388888892</v>
      </c>
      <c r="N194" s="27"/>
      <c r="O194" s="23"/>
      <c r="P194" s="23"/>
    </row>
    <row r="195" spans="1:16" x14ac:dyDescent="0.15">
      <c r="A195" t="s">
        <v>910</v>
      </c>
      <c r="B195" s="24">
        <v>79.27</v>
      </c>
      <c r="C195" s="24"/>
      <c r="D195" s="24"/>
      <c r="E195" s="25"/>
      <c r="F195" s="25"/>
      <c r="G195" s="24">
        <v>79.78</v>
      </c>
      <c r="H195" s="25">
        <v>1961716</v>
      </c>
      <c r="I195" s="25"/>
      <c r="J195" s="24"/>
      <c r="K195" s="22"/>
      <c r="L195" s="22">
        <v>9.9035855468147353E-3</v>
      </c>
      <c r="M195" s="26">
        <v>46287.671388888892</v>
      </c>
      <c r="N195" s="27"/>
      <c r="O195" s="23"/>
      <c r="P195" s="23"/>
    </row>
    <row r="196" spans="1:16" x14ac:dyDescent="0.15">
      <c r="A196" t="s">
        <v>558</v>
      </c>
      <c r="B196" s="24">
        <v>88.78</v>
      </c>
      <c r="C196" s="24"/>
      <c r="D196" s="24"/>
      <c r="E196" s="25"/>
      <c r="F196" s="25"/>
      <c r="G196" s="24">
        <v>88.26</v>
      </c>
      <c r="H196" s="25">
        <v>3347116</v>
      </c>
      <c r="I196" s="25"/>
      <c r="J196" s="24"/>
      <c r="K196" s="22"/>
      <c r="L196" s="22">
        <v>1.4964109931621441E-2</v>
      </c>
      <c r="M196" s="26">
        <v>46287.671388888892</v>
      </c>
      <c r="N196" s="27"/>
      <c r="O196" s="23"/>
      <c r="P196" s="23"/>
    </row>
    <row r="197" spans="1:16" x14ac:dyDescent="0.15">
      <c r="A197" t="s">
        <v>610</v>
      </c>
      <c r="B197" s="24">
        <v>41.8</v>
      </c>
      <c r="C197" s="24"/>
      <c r="D197" s="24"/>
      <c r="E197" s="25"/>
      <c r="F197" s="25"/>
      <c r="G197" s="24">
        <v>42.07</v>
      </c>
      <c r="H197" s="25">
        <v>6379329</v>
      </c>
      <c r="I197" s="25"/>
      <c r="J197" s="24"/>
      <c r="K197" s="22"/>
      <c r="L197" s="22">
        <v>1.2017633571444718E-2</v>
      </c>
      <c r="M197" s="26">
        <v>46287.671388888892</v>
      </c>
      <c r="N197" s="27"/>
      <c r="O197" s="23"/>
      <c r="P197" s="23"/>
    </row>
    <row r="198" spans="1:16" x14ac:dyDescent="0.15">
      <c r="A198" t="s">
        <v>880</v>
      </c>
      <c r="B198" s="24">
        <v>87</v>
      </c>
      <c r="C198" s="24"/>
      <c r="D198" s="24"/>
      <c r="E198" s="25"/>
      <c r="F198" s="25"/>
      <c r="G198" s="24">
        <v>87.49</v>
      </c>
      <c r="H198" s="25">
        <v>3516116</v>
      </c>
      <c r="I198" s="25"/>
      <c r="J198" s="24"/>
      <c r="K198" s="22"/>
      <c r="L198" s="22">
        <v>1.8587833258546925E-2</v>
      </c>
      <c r="M198" s="26">
        <v>46287.671388888892</v>
      </c>
      <c r="N198" s="27"/>
      <c r="O198" s="23"/>
      <c r="P198" s="23"/>
    </row>
    <row r="199" spans="1:16" x14ac:dyDescent="0.15">
      <c r="A199" t="s">
        <v>802</v>
      </c>
      <c r="B199" s="24">
        <v>187.51</v>
      </c>
      <c r="C199" s="24"/>
      <c r="D199" s="24"/>
      <c r="E199" s="25"/>
      <c r="F199" s="25"/>
      <c r="G199" s="24">
        <v>190.94</v>
      </c>
      <c r="H199" s="25">
        <v>1284938</v>
      </c>
      <c r="I199" s="25"/>
      <c r="J199" s="24"/>
      <c r="K199" s="22"/>
      <c r="L199" s="22">
        <v>1.5385343422020135E-2</v>
      </c>
      <c r="M199" s="26">
        <v>46287.671388888892</v>
      </c>
      <c r="N199" s="27"/>
      <c r="O199" s="23"/>
      <c r="P199" s="23"/>
    </row>
    <row r="200" spans="1:16" x14ac:dyDescent="0.15">
      <c r="A200" t="s">
        <v>712</v>
      </c>
      <c r="B200" s="24">
        <v>278.01</v>
      </c>
      <c r="C200" s="24"/>
      <c r="D200" s="24"/>
      <c r="E200" s="25"/>
      <c r="F200" s="25"/>
      <c r="G200" s="24">
        <v>279.35000000000002</v>
      </c>
      <c r="H200" s="25">
        <v>1705814</v>
      </c>
      <c r="I200" s="25"/>
      <c r="J200" s="24"/>
      <c r="K200" s="22"/>
      <c r="L200" s="22">
        <v>2.7907602923279932E-2</v>
      </c>
      <c r="M200" s="26">
        <v>46287.671388888892</v>
      </c>
      <c r="N200" s="27"/>
      <c r="O200" s="23"/>
      <c r="P200" s="23"/>
    </row>
    <row r="201" spans="1:16" x14ac:dyDescent="0.15">
      <c r="A201" t="s">
        <v>736</v>
      </c>
      <c r="B201" s="24">
        <v>134.99</v>
      </c>
      <c r="C201" s="24"/>
      <c r="D201" s="24"/>
      <c r="E201" s="25"/>
      <c r="F201" s="25"/>
      <c r="G201" s="24">
        <v>136.71</v>
      </c>
      <c r="H201" s="25">
        <v>1383996</v>
      </c>
      <c r="I201" s="25"/>
      <c r="J201" s="24"/>
      <c r="K201" s="22"/>
      <c r="L201" s="22">
        <v>1.2795595165351505E-2</v>
      </c>
      <c r="M201" s="26">
        <v>46287.671388888892</v>
      </c>
      <c r="N201" s="27"/>
      <c r="O201" s="23"/>
      <c r="P201" s="23"/>
    </row>
    <row r="202" spans="1:16" x14ac:dyDescent="0.15">
      <c r="A202" t="s">
        <v>554</v>
      </c>
      <c r="B202" s="24">
        <v>13.1</v>
      </c>
      <c r="C202" s="24"/>
      <c r="D202" s="24"/>
      <c r="E202" s="25"/>
      <c r="F202" s="25"/>
      <c r="G202" s="24">
        <v>13.21</v>
      </c>
      <c r="H202" s="25">
        <v>50081092</v>
      </c>
      <c r="I202" s="25"/>
      <c r="J202" s="24"/>
      <c r="K202" s="22"/>
      <c r="L202" s="22">
        <v>1.9883275156646046E-2</v>
      </c>
      <c r="M202" s="26">
        <v>46287.671412037038</v>
      </c>
      <c r="N202" s="27"/>
      <c r="O202" s="23"/>
      <c r="P202" s="23"/>
    </row>
    <row r="203" spans="1:16" x14ac:dyDescent="0.15">
      <c r="A203" t="s">
        <v>650</v>
      </c>
      <c r="B203" s="24">
        <v>184.5</v>
      </c>
      <c r="C203" s="24"/>
      <c r="D203" s="24"/>
      <c r="E203" s="25"/>
      <c r="F203" s="25"/>
      <c r="G203" s="24">
        <v>192.42</v>
      </c>
      <c r="H203" s="25">
        <v>3811055</v>
      </c>
      <c r="I203" s="25"/>
      <c r="J203" s="24"/>
      <c r="K203" s="22"/>
      <c r="L203" s="22">
        <v>2.3351807944820457E-2</v>
      </c>
      <c r="M203" s="26">
        <v>46287.671412037038</v>
      </c>
      <c r="N203" s="27"/>
      <c r="O203" s="23"/>
      <c r="P203" s="23"/>
    </row>
    <row r="204" spans="1:16" x14ac:dyDescent="0.15">
      <c r="A204" t="s">
        <v>530</v>
      </c>
      <c r="B204" s="24">
        <v>49.44</v>
      </c>
      <c r="C204" s="24"/>
      <c r="D204" s="24"/>
      <c r="E204" s="25"/>
      <c r="F204" s="25"/>
      <c r="G204" s="24">
        <v>49.01</v>
      </c>
      <c r="H204" s="25">
        <v>4471761</v>
      </c>
      <c r="I204" s="25"/>
      <c r="J204" s="24"/>
      <c r="K204" s="22"/>
      <c r="L204" s="22">
        <v>1.4334829433537411E-2</v>
      </c>
      <c r="M204" s="26">
        <v>46287.671412037038</v>
      </c>
      <c r="N204" s="27"/>
      <c r="O204" s="23"/>
      <c r="P204" s="23"/>
    </row>
    <row r="205" spans="1:16" x14ac:dyDescent="0.15">
      <c r="A205" t="s">
        <v>336</v>
      </c>
      <c r="B205" s="24">
        <v>74.41</v>
      </c>
      <c r="C205" s="24"/>
      <c r="D205" s="24"/>
      <c r="E205" s="25"/>
      <c r="F205" s="25"/>
      <c r="G205" s="24">
        <v>71.540000000000006</v>
      </c>
      <c r="H205" s="25">
        <v>9744289</v>
      </c>
      <c r="I205" s="25"/>
      <c r="J205" s="24"/>
      <c r="K205" s="22"/>
      <c r="L205" s="22">
        <v>2.9470298095920319E-2</v>
      </c>
      <c r="M205" s="26">
        <v>46287.671412037038</v>
      </c>
      <c r="N205" s="27"/>
      <c r="O205" s="23"/>
      <c r="P205" s="23"/>
    </row>
    <row r="206" spans="1:16" x14ac:dyDescent="0.15">
      <c r="A206" t="s">
        <v>1070</v>
      </c>
      <c r="B206" s="24">
        <v>276.42</v>
      </c>
      <c r="C206" s="24"/>
      <c r="D206" s="24"/>
      <c r="E206" s="25"/>
      <c r="F206" s="25"/>
      <c r="G206" s="24">
        <v>283.83</v>
      </c>
      <c r="H206" s="25">
        <v>669866</v>
      </c>
      <c r="I206" s="25"/>
      <c r="J206" s="24"/>
      <c r="K206" s="22"/>
      <c r="L206" s="22">
        <v>3.332645325704487E-2</v>
      </c>
      <c r="M206" s="26">
        <v>46287.671412037038</v>
      </c>
      <c r="N206" s="27"/>
      <c r="O206" s="23"/>
      <c r="P206" s="23"/>
    </row>
    <row r="207" spans="1:16" x14ac:dyDescent="0.15">
      <c r="A207" t="s">
        <v>466</v>
      </c>
      <c r="B207" s="24">
        <v>295.94</v>
      </c>
      <c r="C207" s="24"/>
      <c r="D207" s="24"/>
      <c r="E207" s="25"/>
      <c r="F207" s="25"/>
      <c r="G207" s="24">
        <v>303.64999999999998</v>
      </c>
      <c r="H207" s="25">
        <v>2185493</v>
      </c>
      <c r="I207" s="25"/>
      <c r="J207" s="24"/>
      <c r="K207" s="22"/>
      <c r="L207" s="22">
        <v>1.5621522063507299E-2</v>
      </c>
      <c r="M207" s="26">
        <v>46287.671412037038</v>
      </c>
      <c r="N207" s="27"/>
      <c r="O207" s="23"/>
      <c r="P207" s="23"/>
    </row>
    <row r="208" spans="1:16" x14ac:dyDescent="0.15">
      <c r="A208" t="s">
        <v>982</v>
      </c>
      <c r="B208" s="24">
        <v>119.9735</v>
      </c>
      <c r="C208" s="24"/>
      <c r="D208" s="24"/>
      <c r="E208" s="25"/>
      <c r="F208" s="25"/>
      <c r="G208" s="24">
        <v>120.13</v>
      </c>
      <c r="H208" s="25">
        <v>1682525</v>
      </c>
      <c r="I208" s="25"/>
      <c r="J208" s="24"/>
      <c r="K208" s="22"/>
      <c r="L208" s="22">
        <v>2.9140661997781838E-2</v>
      </c>
      <c r="M208" s="26">
        <v>46287.671412037038</v>
      </c>
      <c r="N208" s="27"/>
      <c r="O208" s="23"/>
      <c r="P208" s="23"/>
    </row>
    <row r="209" spans="1:16" x14ac:dyDescent="0.15">
      <c r="A209" t="s">
        <v>822</v>
      </c>
      <c r="B209" s="24">
        <v>44.73</v>
      </c>
      <c r="C209" s="24"/>
      <c r="D209" s="24"/>
      <c r="E209" s="25"/>
      <c r="F209" s="25"/>
      <c r="G209" s="24">
        <v>45.26</v>
      </c>
      <c r="H209" s="25">
        <v>3280060</v>
      </c>
      <c r="I209" s="25"/>
      <c r="J209" s="24"/>
      <c r="K209" s="22"/>
      <c r="L209" s="22">
        <v>1.0250597784766738E-2</v>
      </c>
      <c r="M209" s="26">
        <v>46287.671412037038</v>
      </c>
      <c r="N209" s="27"/>
      <c r="O209" s="23"/>
      <c r="P209" s="23"/>
    </row>
    <row r="210" spans="1:16" x14ac:dyDescent="0.15">
      <c r="A210" t="s">
        <v>1222</v>
      </c>
      <c r="B210" s="24">
        <v>56.24</v>
      </c>
      <c r="C210" s="24"/>
      <c r="D210" s="24"/>
      <c r="E210" s="25"/>
      <c r="F210" s="25"/>
      <c r="G210" s="24">
        <v>55.04</v>
      </c>
      <c r="H210" s="25">
        <v>1749885</v>
      </c>
      <c r="I210" s="25"/>
      <c r="J210" s="24"/>
      <c r="K210" s="22"/>
      <c r="L210" s="22">
        <v>1.4890263134963798E-2</v>
      </c>
      <c r="M210" s="26">
        <v>46287.671412037038</v>
      </c>
      <c r="N210" s="27"/>
      <c r="O210" s="23"/>
      <c r="P210" s="23"/>
    </row>
    <row r="211" spans="1:16" x14ac:dyDescent="0.15">
      <c r="A211" t="s">
        <v>624</v>
      </c>
      <c r="B211" s="24">
        <v>221.17</v>
      </c>
      <c r="C211" s="24"/>
      <c r="D211" s="24"/>
      <c r="E211" s="25"/>
      <c r="F211" s="25"/>
      <c r="G211" s="24">
        <v>214.43</v>
      </c>
      <c r="H211" s="25">
        <v>1220612</v>
      </c>
      <c r="I211" s="25"/>
      <c r="J211" s="24"/>
      <c r="K211" s="22"/>
      <c r="L211" s="22">
        <v>1.8695240723987313E-2</v>
      </c>
      <c r="M211" s="26">
        <v>46287.671412037038</v>
      </c>
      <c r="N211" s="27"/>
      <c r="O211" s="23"/>
      <c r="P211" s="23"/>
    </row>
    <row r="212" spans="1:16" x14ac:dyDescent="0.15">
      <c r="A212" t="s">
        <v>812</v>
      </c>
      <c r="B212" s="24">
        <v>453.33</v>
      </c>
      <c r="C212" s="24"/>
      <c r="D212" s="24"/>
      <c r="E212" s="25"/>
      <c r="F212" s="25"/>
      <c r="G212" s="24">
        <v>432.03</v>
      </c>
      <c r="H212" s="25">
        <v>683147</v>
      </c>
      <c r="I212" s="25"/>
      <c r="J212" s="24"/>
      <c r="K212" s="22"/>
      <c r="L212" s="22">
        <v>2.4224977581996161E-2</v>
      </c>
      <c r="M212" s="26">
        <v>46287.671412037038</v>
      </c>
      <c r="N212" s="27"/>
      <c r="O212" s="23"/>
      <c r="P212" s="23"/>
    </row>
    <row r="213" spans="1:16" x14ac:dyDescent="0.15">
      <c r="A213" t="s">
        <v>874</v>
      </c>
      <c r="B213" s="24">
        <v>914.48</v>
      </c>
      <c r="C213" s="24"/>
      <c r="D213" s="24"/>
      <c r="E213" s="25"/>
      <c r="F213" s="25"/>
      <c r="G213" s="24">
        <v>949.68</v>
      </c>
      <c r="H213" s="25">
        <v>487564</v>
      </c>
      <c r="I213" s="25"/>
      <c r="J213" s="24"/>
      <c r="K213" s="22"/>
      <c r="L213" s="22">
        <v>4.177594551513656E-2</v>
      </c>
      <c r="M213" s="26">
        <v>46287.671412037038</v>
      </c>
      <c r="N213" s="27"/>
      <c r="O213" s="23"/>
      <c r="P213" s="23"/>
    </row>
    <row r="214" spans="1:16" x14ac:dyDescent="0.15">
      <c r="A214" t="s">
        <v>908</v>
      </c>
      <c r="B214" s="24">
        <v>35.479999999999997</v>
      </c>
      <c r="C214" s="24"/>
      <c r="D214" s="24"/>
      <c r="E214" s="25"/>
      <c r="F214" s="25"/>
      <c r="G214" s="24">
        <v>35.619999999999997</v>
      </c>
      <c r="H214" s="25">
        <v>6091581</v>
      </c>
      <c r="I214" s="25"/>
      <c r="J214" s="24"/>
      <c r="K214" s="22"/>
      <c r="L214" s="22">
        <v>2.3880360265170975E-2</v>
      </c>
      <c r="M214" s="26">
        <v>46287.671412037038</v>
      </c>
      <c r="N214" s="27"/>
      <c r="O214" s="23"/>
      <c r="P214" s="23"/>
    </row>
    <row r="215" spans="1:16" x14ac:dyDescent="0.15">
      <c r="A215" t="s">
        <v>790</v>
      </c>
      <c r="B215" s="24">
        <v>46.1</v>
      </c>
      <c r="C215" s="24"/>
      <c r="D215" s="24"/>
      <c r="E215" s="25"/>
      <c r="F215" s="25"/>
      <c r="G215" s="24">
        <v>47.19</v>
      </c>
      <c r="H215" s="25">
        <v>8640583</v>
      </c>
      <c r="I215" s="25"/>
      <c r="J215" s="24"/>
      <c r="K215" s="22"/>
      <c r="L215" s="22">
        <v>2.5078705125212097E-2</v>
      </c>
      <c r="M215" s="26">
        <v>46287.671412037038</v>
      </c>
      <c r="N215" s="27"/>
      <c r="O215" s="23"/>
      <c r="P215" s="23"/>
    </row>
    <row r="216" spans="1:16" x14ac:dyDescent="0.15">
      <c r="A216" t="s">
        <v>568</v>
      </c>
      <c r="B216" s="24">
        <v>52.76</v>
      </c>
      <c r="C216" s="24"/>
      <c r="D216" s="24"/>
      <c r="E216" s="25"/>
      <c r="F216" s="25"/>
      <c r="G216" s="24">
        <v>52.91</v>
      </c>
      <c r="H216" s="25">
        <v>5310110</v>
      </c>
      <c r="I216" s="25"/>
      <c r="J216" s="24"/>
      <c r="K216" s="22"/>
      <c r="L216" s="22">
        <v>1.3383112241961186E-2</v>
      </c>
      <c r="M216" s="26">
        <v>46287.671412037038</v>
      </c>
      <c r="N216" s="27"/>
      <c r="O216" s="23"/>
      <c r="P216" s="23"/>
    </row>
    <row r="217" spans="1:16" x14ac:dyDescent="0.15">
      <c r="A217" t="s">
        <v>518</v>
      </c>
      <c r="B217" s="24">
        <v>1625.13</v>
      </c>
      <c r="C217" s="24"/>
      <c r="D217" s="24"/>
      <c r="E217" s="25"/>
      <c r="F217" s="25"/>
      <c r="G217" s="24">
        <v>1651.37</v>
      </c>
      <c r="H217" s="25">
        <v>339042</v>
      </c>
      <c r="I217" s="25"/>
      <c r="J217" s="24"/>
      <c r="K217" s="22"/>
      <c r="L217" s="22">
        <v>3.8429640294786814E-2</v>
      </c>
      <c r="M217" s="26">
        <v>46287.671412037038</v>
      </c>
      <c r="N217" s="27"/>
      <c r="O217" s="23"/>
      <c r="P217" s="23"/>
    </row>
    <row r="218" spans="1:16" x14ac:dyDescent="0.15">
      <c r="A218" t="s">
        <v>642</v>
      </c>
      <c r="B218" s="24">
        <v>114.45</v>
      </c>
      <c r="C218" s="24"/>
      <c r="D218" s="24"/>
      <c r="E218" s="25"/>
      <c r="F218" s="25"/>
      <c r="G218" s="24">
        <v>108.51</v>
      </c>
      <c r="H218" s="25">
        <v>2985126</v>
      </c>
      <c r="I218" s="25"/>
      <c r="J218" s="24"/>
      <c r="K218" s="22"/>
      <c r="L218" s="22">
        <v>4.3174547237981947E-2</v>
      </c>
      <c r="M218" s="26">
        <v>46287.671412037038</v>
      </c>
      <c r="N218" s="27"/>
      <c r="O218" s="23"/>
      <c r="P218" s="23"/>
    </row>
    <row r="219" spans="1:16" x14ac:dyDescent="0.15">
      <c r="A219" t="s">
        <v>1102</v>
      </c>
      <c r="B219" s="24">
        <v>57.32</v>
      </c>
      <c r="C219" s="24"/>
      <c r="D219" s="24"/>
      <c r="E219" s="25"/>
      <c r="F219" s="25"/>
      <c r="G219" s="24">
        <v>57.74</v>
      </c>
      <c r="H219" s="25">
        <v>904130</v>
      </c>
      <c r="I219" s="25"/>
      <c r="J219" s="24"/>
      <c r="K219" s="22"/>
      <c r="L219" s="22">
        <v>2.1580904685197737E-2</v>
      </c>
      <c r="M219" s="26">
        <v>46287.671412037038</v>
      </c>
      <c r="N219" s="27"/>
      <c r="O219" s="23"/>
      <c r="P219" s="23"/>
    </row>
    <row r="220" spans="1:16" x14ac:dyDescent="0.15">
      <c r="A220" t="s">
        <v>1018</v>
      </c>
      <c r="B220" s="24">
        <v>62.72</v>
      </c>
      <c r="C220" s="24"/>
      <c r="D220" s="24"/>
      <c r="E220" s="25"/>
      <c r="F220" s="25"/>
      <c r="G220" s="24">
        <v>64.45</v>
      </c>
      <c r="H220" s="25">
        <v>6039522</v>
      </c>
      <c r="I220" s="25"/>
      <c r="J220" s="24"/>
      <c r="K220" s="22"/>
      <c r="L220" s="22">
        <v>2.1672043208109761E-2</v>
      </c>
      <c r="M220" s="26">
        <v>46287.671412037038</v>
      </c>
      <c r="N220" s="27"/>
      <c r="O220" s="23"/>
      <c r="P220" s="23"/>
    </row>
    <row r="221" spans="1:16" x14ac:dyDescent="0.15">
      <c r="A221" t="s">
        <v>1094</v>
      </c>
      <c r="B221" s="24">
        <v>110.46</v>
      </c>
      <c r="C221" s="24"/>
      <c r="D221" s="24"/>
      <c r="E221" s="25"/>
      <c r="F221" s="25"/>
      <c r="G221" s="24">
        <v>110.91</v>
      </c>
      <c r="H221" s="25">
        <v>1472758</v>
      </c>
      <c r="I221" s="25"/>
      <c r="J221" s="24"/>
      <c r="K221" s="22"/>
      <c r="L221" s="22">
        <v>8.9409959582988276E-3</v>
      </c>
      <c r="M221" s="26">
        <v>46287.671412037038</v>
      </c>
      <c r="N221" s="27"/>
      <c r="O221" s="23"/>
      <c r="P221" s="23"/>
    </row>
    <row r="222" spans="1:16" x14ac:dyDescent="0.15">
      <c r="A222" t="s">
        <v>864</v>
      </c>
      <c r="B222" s="24">
        <v>201.2013</v>
      </c>
      <c r="C222" s="24"/>
      <c r="D222" s="24"/>
      <c r="E222" s="25"/>
      <c r="F222" s="25"/>
      <c r="G222" s="24">
        <v>195.96</v>
      </c>
      <c r="H222" s="25">
        <v>1838284</v>
      </c>
      <c r="I222" s="25"/>
      <c r="J222" s="24"/>
      <c r="K222" s="22"/>
      <c r="L222" s="22">
        <v>2.9833439661263398E-2</v>
      </c>
      <c r="M222" s="26">
        <v>46287.671400462961</v>
      </c>
      <c r="N222" s="27"/>
      <c r="O222" s="23"/>
      <c r="P222" s="23"/>
    </row>
    <row r="223" spans="1:16" x14ac:dyDescent="0.15">
      <c r="A223" t="s">
        <v>332</v>
      </c>
      <c r="B223" s="24">
        <v>175.2</v>
      </c>
      <c r="C223" s="24"/>
      <c r="D223" s="24"/>
      <c r="E223" s="25"/>
      <c r="F223" s="25"/>
      <c r="G223" s="24">
        <v>169.84</v>
      </c>
      <c r="H223" s="25">
        <v>3177448</v>
      </c>
      <c r="I223" s="25"/>
      <c r="J223" s="24"/>
      <c r="K223" s="22"/>
      <c r="L223" s="22">
        <v>2.9107923604365257E-2</v>
      </c>
      <c r="M223" s="26">
        <v>46287.671400462961</v>
      </c>
      <c r="N223" s="27"/>
      <c r="O223" s="23"/>
      <c r="P223" s="23"/>
    </row>
    <row r="224" spans="1:16" x14ac:dyDescent="0.15">
      <c r="A224" t="s">
        <v>942</v>
      </c>
      <c r="B224" s="24">
        <v>55.95</v>
      </c>
      <c r="C224" s="24"/>
      <c r="D224" s="24"/>
      <c r="E224" s="25"/>
      <c r="F224" s="25"/>
      <c r="G224" s="24">
        <v>55</v>
      </c>
      <c r="H224" s="25">
        <v>1616402</v>
      </c>
      <c r="I224" s="25"/>
      <c r="J224" s="24"/>
      <c r="K224" s="22"/>
      <c r="L224" s="22">
        <v>1.660717783563093E-2</v>
      </c>
      <c r="M224" s="26">
        <v>46287.671400462961</v>
      </c>
      <c r="N224" s="27"/>
      <c r="O224" s="23"/>
      <c r="P224" s="23"/>
    </row>
    <row r="225" spans="1:16" x14ac:dyDescent="0.15">
      <c r="A225" t="s">
        <v>368</v>
      </c>
      <c r="B225" s="24">
        <v>343.39</v>
      </c>
      <c r="C225" s="24"/>
      <c r="D225" s="24"/>
      <c r="E225" s="25"/>
      <c r="F225" s="25"/>
      <c r="G225" s="24">
        <v>353.05</v>
      </c>
      <c r="H225" s="25">
        <v>926706</v>
      </c>
      <c r="I225" s="25"/>
      <c r="J225" s="24"/>
      <c r="K225" s="22"/>
      <c r="L225" s="22">
        <v>1.1515458040850345E-2</v>
      </c>
      <c r="M225" s="26">
        <v>46287.671400462961</v>
      </c>
      <c r="N225" s="27"/>
      <c r="O225" s="23"/>
      <c r="P225" s="23"/>
    </row>
    <row r="226" spans="1:16" x14ac:dyDescent="0.15">
      <c r="A226" t="s">
        <v>1032</v>
      </c>
      <c r="B226" s="24">
        <v>98.24</v>
      </c>
      <c r="C226" s="24"/>
      <c r="D226" s="24"/>
      <c r="E226" s="25"/>
      <c r="F226" s="25"/>
      <c r="G226" s="24">
        <v>97.46</v>
      </c>
      <c r="H226" s="25">
        <v>2677921</v>
      </c>
      <c r="I226" s="25"/>
      <c r="J226" s="24"/>
      <c r="K226" s="22"/>
      <c r="L226" s="22">
        <v>4.1183403538973519E-2</v>
      </c>
      <c r="M226" s="26">
        <v>46287.671400462961</v>
      </c>
      <c r="N226" s="27"/>
      <c r="O226" s="23"/>
      <c r="P226" s="23"/>
    </row>
    <row r="227" spans="1:16" x14ac:dyDescent="0.15">
      <c r="A227" t="s">
        <v>184</v>
      </c>
      <c r="B227" s="24">
        <v>320</v>
      </c>
      <c r="C227" s="24"/>
      <c r="D227" s="24"/>
      <c r="E227" s="25"/>
      <c r="F227" s="25"/>
      <c r="G227" s="24">
        <v>314.27</v>
      </c>
      <c r="H227" s="25">
        <v>3799562</v>
      </c>
      <c r="I227" s="25"/>
      <c r="J227" s="24"/>
      <c r="K227" s="22"/>
      <c r="L227" s="22">
        <v>1.8352659027335596E-2</v>
      </c>
      <c r="M227" s="26">
        <v>46287.671400462961</v>
      </c>
      <c r="N227" s="27"/>
      <c r="O227" s="23"/>
      <c r="P227" s="23"/>
    </row>
    <row r="228" spans="1:16" x14ac:dyDescent="0.15">
      <c r="A228" t="s">
        <v>734</v>
      </c>
      <c r="B228" s="24">
        <v>66.2</v>
      </c>
      <c r="C228" s="24"/>
      <c r="D228" s="24"/>
      <c r="E228" s="25"/>
      <c r="F228" s="25"/>
      <c r="G228" s="24">
        <v>64.13</v>
      </c>
      <c r="H228" s="25">
        <v>3496471</v>
      </c>
      <c r="I228" s="25"/>
      <c r="J228" s="24"/>
      <c r="K228" s="22"/>
      <c r="L228" s="22">
        <v>2.3911101704571551E-2</v>
      </c>
      <c r="M228" s="26">
        <v>46287.671400462961</v>
      </c>
      <c r="N228" s="27"/>
      <c r="O228" s="23"/>
      <c r="P228" s="23"/>
    </row>
    <row r="229" spans="1:16" x14ac:dyDescent="0.15">
      <c r="A229" t="s">
        <v>962</v>
      </c>
      <c r="B229" s="24">
        <v>27.29</v>
      </c>
      <c r="C229" s="24"/>
      <c r="D229" s="24"/>
      <c r="E229" s="25"/>
      <c r="F229" s="25"/>
      <c r="G229" s="24">
        <v>29.01</v>
      </c>
      <c r="H229" s="25">
        <v>5539552</v>
      </c>
      <c r="I229" s="25"/>
      <c r="J229" s="24"/>
      <c r="K229" s="22"/>
      <c r="L229" s="22">
        <v>2.1604478292415474E-2</v>
      </c>
      <c r="M229" s="26">
        <v>46287.671400462961</v>
      </c>
      <c r="N229" s="27"/>
      <c r="O229" s="23"/>
      <c r="P229" s="23"/>
    </row>
    <row r="230" spans="1:16" x14ac:dyDescent="0.15">
      <c r="A230" t="s">
        <v>204</v>
      </c>
      <c r="B230" s="24">
        <v>950.28</v>
      </c>
      <c r="C230" s="24"/>
      <c r="D230" s="24"/>
      <c r="E230" s="25"/>
      <c r="F230" s="25"/>
      <c r="G230" s="24">
        <v>940.33</v>
      </c>
      <c r="H230" s="25">
        <v>2596021</v>
      </c>
      <c r="I230" s="25"/>
      <c r="J230" s="24"/>
      <c r="K230" s="22"/>
      <c r="L230" s="22">
        <v>3.4328381833330673E-2</v>
      </c>
      <c r="M230" s="26">
        <v>46287.671400462961</v>
      </c>
      <c r="N230" s="27"/>
      <c r="O230" s="23"/>
      <c r="P230" s="23"/>
    </row>
    <row r="231" spans="1:16" x14ac:dyDescent="0.15">
      <c r="A231" t="s">
        <v>238</v>
      </c>
      <c r="B231" s="24">
        <v>152.66999999999999</v>
      </c>
      <c r="C231" s="24"/>
      <c r="D231" s="24"/>
      <c r="E231" s="25"/>
      <c r="F231" s="25"/>
      <c r="G231" s="24">
        <v>150.11000000000001</v>
      </c>
      <c r="H231" s="25">
        <v>5569451</v>
      </c>
      <c r="I231" s="25"/>
      <c r="J231" s="24"/>
      <c r="K231" s="22"/>
      <c r="L231" s="22">
        <v>1.8229342072156072E-2</v>
      </c>
      <c r="M231" s="26">
        <v>46287.671400462961</v>
      </c>
      <c r="N231" s="27"/>
      <c r="O231" s="23"/>
      <c r="P231" s="23"/>
    </row>
    <row r="232" spans="1:16" x14ac:dyDescent="0.15">
      <c r="A232" t="s">
        <v>888</v>
      </c>
      <c r="B232" s="24">
        <v>35.6</v>
      </c>
      <c r="C232" s="24"/>
      <c r="D232" s="24"/>
      <c r="E232" s="25"/>
      <c r="F232" s="25"/>
      <c r="G232" s="24">
        <v>36.32</v>
      </c>
      <c r="H232" s="25">
        <v>9959937</v>
      </c>
      <c r="I232" s="25"/>
      <c r="J232" s="24"/>
      <c r="K232" s="22"/>
      <c r="L232" s="22">
        <v>2.3427339162178304E-2</v>
      </c>
      <c r="M232" s="26">
        <v>46287.671400462961</v>
      </c>
      <c r="N232" s="27"/>
      <c r="O232" s="23"/>
      <c r="P232" s="23"/>
    </row>
    <row r="233" spans="1:16" x14ac:dyDescent="0.15">
      <c r="A233" t="s">
        <v>996</v>
      </c>
      <c r="B233" s="24">
        <v>168.81</v>
      </c>
      <c r="C233" s="24"/>
      <c r="D233" s="24"/>
      <c r="E233" s="25"/>
      <c r="F233" s="25"/>
      <c r="G233" s="24">
        <v>173.42</v>
      </c>
      <c r="H233" s="25">
        <v>321116</v>
      </c>
      <c r="I233" s="25"/>
      <c r="J233" s="24"/>
      <c r="K233" s="22"/>
      <c r="L233" s="22">
        <v>1.4419742730285963E-2</v>
      </c>
      <c r="M233" s="26">
        <v>46287.671400462961</v>
      </c>
      <c r="N233" s="27"/>
      <c r="O233" s="23"/>
      <c r="P233" s="23"/>
    </row>
    <row r="234" spans="1:16" x14ac:dyDescent="0.15">
      <c r="A234" t="s">
        <v>312</v>
      </c>
      <c r="B234" s="24">
        <v>159.69999999999999</v>
      </c>
      <c r="C234" s="24"/>
      <c r="D234" s="24"/>
      <c r="E234" s="25"/>
      <c r="F234" s="25"/>
      <c r="G234" s="24">
        <v>150.13</v>
      </c>
      <c r="H234" s="25">
        <v>9263629</v>
      </c>
      <c r="I234" s="25"/>
      <c r="J234" s="24"/>
      <c r="K234" s="22"/>
      <c r="L234" s="22">
        <v>5.5619918671292679E-2</v>
      </c>
      <c r="M234" s="26">
        <v>46287.671400462961</v>
      </c>
      <c r="N234" s="27"/>
      <c r="O234" s="23"/>
      <c r="P234" s="23"/>
    </row>
    <row r="235" spans="1:16" x14ac:dyDescent="0.15">
      <c r="A235" t="s">
        <v>438</v>
      </c>
      <c r="B235" s="24">
        <v>83.45</v>
      </c>
      <c r="C235" s="24"/>
      <c r="D235" s="24"/>
      <c r="E235" s="25"/>
      <c r="F235" s="25"/>
      <c r="G235" s="24">
        <v>82.2</v>
      </c>
      <c r="H235" s="25">
        <v>7936518</v>
      </c>
      <c r="I235" s="25"/>
      <c r="J235" s="24"/>
      <c r="K235" s="22"/>
      <c r="L235" s="22">
        <v>1.9878138667453055E-2</v>
      </c>
      <c r="M235" s="26">
        <v>46287.671400462961</v>
      </c>
      <c r="N235" s="27"/>
      <c r="O235" s="23"/>
      <c r="P235" s="23"/>
    </row>
    <row r="236" spans="1:16" x14ac:dyDescent="0.15">
      <c r="A236" t="s">
        <v>1034</v>
      </c>
      <c r="B236" s="24">
        <v>206.5</v>
      </c>
      <c r="C236" s="24"/>
      <c r="D236" s="24"/>
      <c r="E236" s="25"/>
      <c r="F236" s="25"/>
      <c r="G236" s="24">
        <v>207.44</v>
      </c>
      <c r="H236" s="25">
        <v>1618302</v>
      </c>
      <c r="I236" s="25"/>
      <c r="J236" s="24"/>
      <c r="K236" s="22"/>
      <c r="L236" s="22">
        <v>3.9351742266759727E-2</v>
      </c>
      <c r="M236" s="26">
        <v>46287.671400462961</v>
      </c>
      <c r="N236" s="27"/>
      <c r="O236" s="23"/>
      <c r="P236" s="23"/>
    </row>
    <row r="237" spans="1:16" x14ac:dyDescent="0.15">
      <c r="A237" t="s">
        <v>130</v>
      </c>
      <c r="B237" s="24">
        <v>347.6</v>
      </c>
      <c r="C237" s="24"/>
      <c r="D237" s="24"/>
      <c r="E237" s="25"/>
      <c r="F237" s="25"/>
      <c r="G237" s="24">
        <v>344.41</v>
      </c>
      <c r="H237" s="25">
        <v>18252186</v>
      </c>
      <c r="I237" s="25"/>
      <c r="J237" s="24"/>
      <c r="K237" s="22"/>
      <c r="L237" s="22">
        <v>2.2025811666466243E-2</v>
      </c>
      <c r="M237" s="26">
        <v>46287.671400462961</v>
      </c>
      <c r="N237" s="27"/>
      <c r="O237" s="23"/>
      <c r="P237" s="23"/>
    </row>
    <row r="238" spans="1:16" x14ac:dyDescent="0.15">
      <c r="A238" t="s">
        <v>126</v>
      </c>
      <c r="B238" s="24">
        <v>351.34</v>
      </c>
      <c r="C238" s="24"/>
      <c r="D238" s="24"/>
      <c r="E238" s="25"/>
      <c r="F238" s="25"/>
      <c r="G238" s="24">
        <v>349.54</v>
      </c>
      <c r="H238" s="25">
        <v>30455629</v>
      </c>
      <c r="I238" s="25"/>
      <c r="J238" s="24"/>
      <c r="K238" s="22"/>
      <c r="L238" s="22">
        <v>2.2324790920215158E-2</v>
      </c>
      <c r="M238" s="26">
        <v>46287.671400462961</v>
      </c>
      <c r="N238" s="27"/>
      <c r="O238" s="23"/>
      <c r="P238" s="23"/>
    </row>
    <row r="239" spans="1:16" x14ac:dyDescent="0.15">
      <c r="A239" t="s">
        <v>928</v>
      </c>
      <c r="B239" s="24">
        <v>129.59</v>
      </c>
      <c r="C239" s="24"/>
      <c r="D239" s="24"/>
      <c r="E239" s="25"/>
      <c r="F239" s="25"/>
      <c r="G239" s="24">
        <v>128.08000000000001</v>
      </c>
      <c r="H239" s="25">
        <v>1024438</v>
      </c>
      <c r="I239" s="25"/>
      <c r="J239" s="24"/>
      <c r="K239" s="22"/>
      <c r="L239" s="22">
        <v>2.3950001183104981E-2</v>
      </c>
      <c r="M239" s="26">
        <v>46287.671400462961</v>
      </c>
      <c r="N239" s="27"/>
      <c r="O239" s="23"/>
      <c r="P239" s="23"/>
    </row>
    <row r="240" spans="1:16" x14ac:dyDescent="0.15">
      <c r="A240" t="s">
        <v>898</v>
      </c>
      <c r="B240" s="24">
        <v>84.78</v>
      </c>
      <c r="C240" s="24"/>
      <c r="D240" s="24"/>
      <c r="E240" s="25"/>
      <c r="F240" s="25"/>
      <c r="G240" s="24">
        <v>85.06</v>
      </c>
      <c r="H240" s="25">
        <v>2673038</v>
      </c>
      <c r="I240" s="25"/>
      <c r="J240" s="24"/>
      <c r="K240" s="22"/>
      <c r="L240" s="22">
        <v>2.4972755013661668E-2</v>
      </c>
      <c r="M240" s="26">
        <v>46287.671400462961</v>
      </c>
      <c r="N240" s="27"/>
      <c r="O240" s="23"/>
      <c r="P240" s="23"/>
    </row>
    <row r="241" spans="1:16" x14ac:dyDescent="0.15">
      <c r="A241" t="s">
        <v>590</v>
      </c>
      <c r="B241" s="24">
        <v>284.67</v>
      </c>
      <c r="C241" s="24"/>
      <c r="D241" s="24"/>
      <c r="E241" s="25"/>
      <c r="F241" s="25"/>
      <c r="G241" s="24">
        <v>280.31</v>
      </c>
      <c r="H241" s="25">
        <v>996838</v>
      </c>
      <c r="I241" s="25"/>
      <c r="J241" s="24"/>
      <c r="K241" s="22"/>
      <c r="L241" s="22">
        <v>2.6569054726030893E-2</v>
      </c>
      <c r="M241" s="26">
        <v>46287.671400462961</v>
      </c>
      <c r="N241" s="27"/>
      <c r="O241" s="23"/>
      <c r="P241" s="23"/>
    </row>
    <row r="242" spans="1:16" x14ac:dyDescent="0.15">
      <c r="A242" t="s">
        <v>194</v>
      </c>
      <c r="B242" s="24">
        <v>949.49</v>
      </c>
      <c r="C242" s="24"/>
      <c r="D242" s="24"/>
      <c r="E242" s="25"/>
      <c r="F242" s="25"/>
      <c r="G242" s="24">
        <v>942</v>
      </c>
      <c r="H242" s="25">
        <v>1864051</v>
      </c>
      <c r="I242" s="25"/>
      <c r="J242" s="24"/>
      <c r="K242" s="22"/>
      <c r="L242" s="22">
        <v>2.3447658555658318E-2</v>
      </c>
      <c r="M242" s="26">
        <v>46287.671412037038</v>
      </c>
      <c r="N242" s="27"/>
      <c r="O242" s="23"/>
      <c r="P242" s="23"/>
    </row>
    <row r="243" spans="1:16" x14ac:dyDescent="0.15">
      <c r="A243" t="s">
        <v>536</v>
      </c>
      <c r="B243" s="24">
        <v>1268.6199999999999</v>
      </c>
      <c r="C243" s="24"/>
      <c r="D243" s="24"/>
      <c r="E243" s="25"/>
      <c r="F243" s="25"/>
      <c r="G243" s="24">
        <v>1277.79</v>
      </c>
      <c r="H243" s="25">
        <v>296627</v>
      </c>
      <c r="I243" s="25"/>
      <c r="J243" s="24"/>
      <c r="K243" s="22"/>
      <c r="L243" s="22">
        <v>1.348439737643551E-2</v>
      </c>
      <c r="M243" s="26">
        <v>46287.671412037038</v>
      </c>
      <c r="N243" s="27"/>
      <c r="O243" s="23"/>
      <c r="P243" s="23"/>
    </row>
    <row r="244" spans="1:16" x14ac:dyDescent="0.15">
      <c r="A244" t="s">
        <v>748</v>
      </c>
      <c r="B244" s="24">
        <v>32.9054</v>
      </c>
      <c r="C244" s="24"/>
      <c r="D244" s="24"/>
      <c r="E244" s="25"/>
      <c r="F244" s="25"/>
      <c r="G244" s="24">
        <v>33.64</v>
      </c>
      <c r="H244" s="25">
        <v>9198102</v>
      </c>
      <c r="I244" s="25"/>
      <c r="J244" s="24"/>
      <c r="K244" s="22"/>
      <c r="L244" s="22">
        <v>2.0740238161857858E-2</v>
      </c>
      <c r="M244" s="26">
        <v>46287.671412037038</v>
      </c>
      <c r="N244" s="27"/>
      <c r="O244" s="23"/>
      <c r="P244" s="23"/>
    </row>
    <row r="245" spans="1:16" x14ac:dyDescent="0.15">
      <c r="A245" t="s">
        <v>1030</v>
      </c>
      <c r="B245" s="24">
        <v>86.91</v>
      </c>
      <c r="C245" s="24"/>
      <c r="D245" s="24"/>
      <c r="E245" s="25"/>
      <c r="F245" s="25"/>
      <c r="G245" s="24">
        <v>87.57</v>
      </c>
      <c r="H245" s="25">
        <v>1459881</v>
      </c>
      <c r="I245" s="25"/>
      <c r="J245" s="24"/>
      <c r="K245" s="22"/>
      <c r="L245" s="22">
        <v>1.9975300177792896E-2</v>
      </c>
      <c r="M245" s="26">
        <v>46287.671412037038</v>
      </c>
      <c r="N245" s="27"/>
      <c r="O245" s="23"/>
      <c r="P245" s="23"/>
    </row>
    <row r="246" spans="1:16" x14ac:dyDescent="0.15">
      <c r="A246" t="s">
        <v>708</v>
      </c>
      <c r="B246" s="24">
        <v>15.69</v>
      </c>
      <c r="C246" s="24"/>
      <c r="D246" s="24"/>
      <c r="E246" s="25"/>
      <c r="F246" s="25"/>
      <c r="G246" s="24">
        <v>15.88</v>
      </c>
      <c r="H246" s="25">
        <v>24038575</v>
      </c>
      <c r="I246" s="25"/>
      <c r="J246" s="24"/>
      <c r="K246" s="22"/>
      <c r="L246" s="22">
        <v>1.5433505539027599E-2</v>
      </c>
      <c r="M246" s="26">
        <v>46287.671412037038</v>
      </c>
      <c r="N246" s="27"/>
      <c r="O246" s="23"/>
      <c r="P246" s="23"/>
    </row>
    <row r="247" spans="1:16" x14ac:dyDescent="0.15">
      <c r="A247" t="s">
        <v>484</v>
      </c>
      <c r="B247" s="24">
        <v>438.12</v>
      </c>
      <c r="C247" s="24"/>
      <c r="D247" s="24"/>
      <c r="E247" s="25"/>
      <c r="F247" s="25"/>
      <c r="G247" s="24">
        <v>427.71</v>
      </c>
      <c r="H247" s="25">
        <v>1418520</v>
      </c>
      <c r="I247" s="25"/>
      <c r="J247" s="24"/>
      <c r="K247" s="22"/>
      <c r="L247" s="22">
        <v>2.2866282156846149E-2</v>
      </c>
      <c r="M247" s="26">
        <v>46287.671412037038</v>
      </c>
      <c r="N247" s="27"/>
      <c r="O247" s="23"/>
      <c r="P247" s="23"/>
    </row>
    <row r="248" spans="1:16" x14ac:dyDescent="0.15">
      <c r="A248" t="s">
        <v>186</v>
      </c>
      <c r="B248" s="24">
        <v>305.49</v>
      </c>
      <c r="C248" s="24"/>
      <c r="D248" s="24"/>
      <c r="E248" s="25"/>
      <c r="F248" s="25"/>
      <c r="G248" s="24">
        <v>299.98</v>
      </c>
      <c r="H248" s="25">
        <v>5434345</v>
      </c>
      <c r="I248" s="25"/>
      <c r="J248" s="24"/>
      <c r="K248" s="22"/>
      <c r="L248" s="22">
        <v>1.4991729904323835E-2</v>
      </c>
      <c r="M248" s="26">
        <v>46287.671412037038</v>
      </c>
      <c r="N248" s="27"/>
      <c r="O248" s="23"/>
      <c r="P248" s="23"/>
    </row>
    <row r="249" spans="1:16" x14ac:dyDescent="0.15">
      <c r="A249" t="s">
        <v>674</v>
      </c>
      <c r="B249" s="24">
        <v>128.72999999999999</v>
      </c>
      <c r="C249" s="24"/>
      <c r="D249" s="24"/>
      <c r="E249" s="25"/>
      <c r="F249" s="25"/>
      <c r="G249" s="24">
        <v>131.88999999999999</v>
      </c>
      <c r="H249" s="25">
        <v>1665985</v>
      </c>
      <c r="I249" s="25"/>
      <c r="J249" s="24"/>
      <c r="K249" s="22"/>
      <c r="L249" s="22">
        <v>1.2900046328937135E-2</v>
      </c>
      <c r="M249" s="26">
        <v>46287.671412037038</v>
      </c>
      <c r="N249" s="27"/>
      <c r="O249" s="23"/>
      <c r="P249" s="23"/>
    </row>
    <row r="250" spans="1:16" x14ac:dyDescent="0.15">
      <c r="A250" t="s">
        <v>1058</v>
      </c>
      <c r="B250" s="24">
        <v>270.95</v>
      </c>
      <c r="C250" s="24"/>
      <c r="D250" s="24"/>
      <c r="E250" s="25"/>
      <c r="F250" s="25"/>
      <c r="G250" s="24">
        <v>272.86</v>
      </c>
      <c r="H250" s="25">
        <v>425066</v>
      </c>
      <c r="I250" s="25"/>
      <c r="J250" s="24"/>
      <c r="K250" s="22"/>
      <c r="L250" s="22">
        <v>2.5441417973232759E-2</v>
      </c>
      <c r="M250" s="26">
        <v>46287.671412037038</v>
      </c>
      <c r="N250" s="27"/>
      <c r="O250" s="23"/>
      <c r="P250" s="23"/>
    </row>
    <row r="251" spans="1:16" x14ac:dyDescent="0.15">
      <c r="A251" t="s">
        <v>456</v>
      </c>
      <c r="B251" s="24">
        <v>308.44</v>
      </c>
      <c r="C251" s="24"/>
      <c r="D251" s="24"/>
      <c r="E251" s="25"/>
      <c r="F251" s="25"/>
      <c r="G251" s="24">
        <v>305.73</v>
      </c>
      <c r="H251" s="25">
        <v>2128313</v>
      </c>
      <c r="I251" s="25"/>
      <c r="J251" s="24"/>
      <c r="K251" s="22"/>
      <c r="L251" s="22">
        <v>1.4390010275767716E-2</v>
      </c>
      <c r="M251" s="26">
        <v>46287.671412037038</v>
      </c>
      <c r="N251" s="27"/>
      <c r="O251" s="23"/>
      <c r="P251" s="23"/>
    </row>
    <row r="252" spans="1:16" x14ac:dyDescent="0.15">
      <c r="A252" t="s">
        <v>470</v>
      </c>
      <c r="B252" s="24">
        <v>211.85</v>
      </c>
      <c r="C252" s="24"/>
      <c r="D252" s="24"/>
      <c r="E252" s="25"/>
      <c r="F252" s="25"/>
      <c r="G252" s="24">
        <v>206.46</v>
      </c>
      <c r="H252" s="25">
        <v>3436508</v>
      </c>
      <c r="I252" s="25"/>
      <c r="J252" s="24"/>
      <c r="K252" s="22"/>
      <c r="L252" s="22">
        <v>1.9302755784654842E-2</v>
      </c>
      <c r="M252" s="26">
        <v>46287.671412037038</v>
      </c>
      <c r="N252" s="27"/>
      <c r="O252" s="23"/>
      <c r="P252" s="23"/>
    </row>
    <row r="253" spans="1:16" x14ac:dyDescent="0.15">
      <c r="A253" t="s">
        <v>550</v>
      </c>
      <c r="B253" s="24">
        <v>167.32</v>
      </c>
      <c r="C253" s="24"/>
      <c r="D253" s="24"/>
      <c r="E253" s="25"/>
      <c r="F253" s="25"/>
      <c r="G253" s="24">
        <v>163.6</v>
      </c>
      <c r="H253" s="25">
        <v>3975160</v>
      </c>
      <c r="I253" s="25"/>
      <c r="J253" s="24"/>
      <c r="K253" s="22"/>
      <c r="L253" s="22">
        <v>4.3906541688828918E-2</v>
      </c>
      <c r="M253" s="26">
        <v>46287.671412037038</v>
      </c>
      <c r="N253" s="27"/>
      <c r="O253" s="23"/>
      <c r="P253" s="23"/>
    </row>
    <row r="254" spans="1:16" x14ac:dyDescent="0.15">
      <c r="A254" t="s">
        <v>354</v>
      </c>
      <c r="B254" s="24">
        <v>123.92</v>
      </c>
      <c r="C254" s="24"/>
      <c r="D254" s="24"/>
      <c r="E254" s="25"/>
      <c r="F254" s="25"/>
      <c r="G254" s="24">
        <v>119.82</v>
      </c>
      <c r="H254" s="25">
        <v>28301630</v>
      </c>
      <c r="I254" s="25"/>
      <c r="J254" s="24"/>
      <c r="K254" s="22"/>
      <c r="L254" s="22">
        <v>4.7339829463400582E-2</v>
      </c>
      <c r="M254" s="26">
        <v>46287.671412037038</v>
      </c>
      <c r="N254" s="27"/>
      <c r="O254" s="23"/>
      <c r="P254" s="23"/>
    </row>
    <row r="255" spans="1:16" x14ac:dyDescent="0.15">
      <c r="A255" t="s">
        <v>400</v>
      </c>
      <c r="B255" s="24">
        <v>60.8</v>
      </c>
      <c r="C255" s="24"/>
      <c r="D255" s="24"/>
      <c r="E255" s="25"/>
      <c r="F255" s="25"/>
      <c r="G255" s="24">
        <v>60.76</v>
      </c>
      <c r="H255" s="25">
        <v>20471000</v>
      </c>
      <c r="I255" s="25"/>
      <c r="J255" s="24"/>
      <c r="K255" s="22"/>
      <c r="L255" s="22">
        <v>4.3534074545645972E-2</v>
      </c>
      <c r="M255" s="26">
        <v>46287.671412037038</v>
      </c>
      <c r="N255" s="27"/>
      <c r="O255" s="23"/>
      <c r="P255" s="23"/>
    </row>
    <row r="256" spans="1:16" x14ac:dyDescent="0.15">
      <c r="A256" t="s">
        <v>718</v>
      </c>
      <c r="B256" s="24">
        <v>32.04</v>
      </c>
      <c r="C256" s="24"/>
      <c r="D256" s="24"/>
      <c r="E256" s="25"/>
      <c r="F256" s="25"/>
      <c r="G256" s="24">
        <v>34.4</v>
      </c>
      <c r="H256" s="25">
        <v>16120798</v>
      </c>
      <c r="I256" s="25"/>
      <c r="J256" s="24"/>
      <c r="K256" s="22"/>
      <c r="L256" s="22">
        <v>3.2449530626525072E-2</v>
      </c>
      <c r="M256" s="26">
        <v>46287.671412037038</v>
      </c>
      <c r="N256" s="27"/>
      <c r="O256" s="23"/>
      <c r="P256" s="23"/>
    </row>
    <row r="257" spans="1:16" x14ac:dyDescent="0.15">
      <c r="A257" t="s">
        <v>1112</v>
      </c>
      <c r="B257" s="24">
        <v>20.329999999999998</v>
      </c>
      <c r="C257" s="24"/>
      <c r="D257" s="24"/>
      <c r="E257" s="25"/>
      <c r="F257" s="25"/>
      <c r="G257" s="24">
        <v>20.83</v>
      </c>
      <c r="H257" s="25">
        <v>5281299</v>
      </c>
      <c r="I257" s="25"/>
      <c r="J257" s="24"/>
      <c r="K257" s="22"/>
      <c r="L257" s="22">
        <v>1.9211039632628178E-2</v>
      </c>
      <c r="M257" s="26">
        <v>46287.671412037038</v>
      </c>
      <c r="N257" s="27"/>
      <c r="O257" s="23"/>
      <c r="P257" s="23"/>
    </row>
    <row r="258" spans="1:16" x14ac:dyDescent="0.15">
      <c r="A258" t="s">
        <v>1098</v>
      </c>
      <c r="B258" s="24">
        <v>87.43</v>
      </c>
      <c r="C258" s="24"/>
      <c r="D258" s="24"/>
      <c r="E258" s="25"/>
      <c r="F258" s="25"/>
      <c r="G258" s="24">
        <v>85.2</v>
      </c>
      <c r="H258" s="25">
        <v>1062070</v>
      </c>
      <c r="I258" s="25"/>
      <c r="J258" s="24"/>
      <c r="K258" s="22"/>
      <c r="L258" s="22">
        <v>1.2133150060325358E-2</v>
      </c>
      <c r="M258" s="26">
        <v>46287.671412037038</v>
      </c>
      <c r="N258" s="27"/>
      <c r="O258" s="23"/>
      <c r="P258" s="23"/>
    </row>
    <row r="259" spans="1:16" x14ac:dyDescent="0.15">
      <c r="A259" t="s">
        <v>972</v>
      </c>
      <c r="B259" s="24">
        <v>22.23</v>
      </c>
      <c r="C259" s="24"/>
      <c r="D259" s="24"/>
      <c r="E259" s="25"/>
      <c r="F259" s="25"/>
      <c r="G259" s="24">
        <v>21.84</v>
      </c>
      <c r="H259" s="25">
        <v>7581483</v>
      </c>
      <c r="I259" s="25"/>
      <c r="J259" s="24"/>
      <c r="K259" s="22"/>
      <c r="L259" s="22">
        <v>1.5211054251570551E-2</v>
      </c>
      <c r="M259" s="26">
        <v>46287.671412037038</v>
      </c>
      <c r="N259" s="27"/>
      <c r="O259" s="23"/>
      <c r="P259" s="23"/>
    </row>
    <row r="260" spans="1:16" x14ac:dyDescent="0.15">
      <c r="A260" t="s">
        <v>804</v>
      </c>
      <c r="B260" s="24">
        <v>168.46</v>
      </c>
      <c r="C260" s="24"/>
      <c r="D260" s="24"/>
      <c r="E260" s="25"/>
      <c r="F260" s="25"/>
      <c r="G260" s="24">
        <v>169.79</v>
      </c>
      <c r="H260" s="25">
        <v>1439304</v>
      </c>
      <c r="I260" s="25"/>
      <c r="J260" s="24"/>
      <c r="K260" s="22"/>
      <c r="L260" s="22">
        <v>1.5152696687792681E-2</v>
      </c>
      <c r="M260" s="26">
        <v>46287.671412037038</v>
      </c>
      <c r="N260" s="27"/>
      <c r="O260" s="23"/>
      <c r="P260" s="23"/>
    </row>
    <row r="261" spans="1:16" x14ac:dyDescent="0.15">
      <c r="A261" t="s">
        <v>820</v>
      </c>
      <c r="B261" s="24">
        <v>458.83</v>
      </c>
      <c r="C261" s="24"/>
      <c r="D261" s="24"/>
      <c r="E261" s="25"/>
      <c r="F261" s="25"/>
      <c r="G261" s="24">
        <v>446.92</v>
      </c>
      <c r="H261" s="25">
        <v>422910</v>
      </c>
      <c r="I261" s="25"/>
      <c r="J261" s="24"/>
      <c r="K261" s="22"/>
      <c r="L261" s="22">
        <v>2.1214694652736628E-2</v>
      </c>
      <c r="M261" s="26">
        <v>46287.671412037038</v>
      </c>
      <c r="N261" s="27"/>
      <c r="O261" s="23"/>
      <c r="P261" s="23"/>
    </row>
    <row r="262" spans="1:16" x14ac:dyDescent="0.15">
      <c r="A262" t="s">
        <v>582</v>
      </c>
      <c r="B262" s="24">
        <v>372</v>
      </c>
      <c r="C262" s="24"/>
      <c r="D262" s="24"/>
      <c r="E262" s="25"/>
      <c r="F262" s="25"/>
      <c r="G262" s="24">
        <v>386.22</v>
      </c>
      <c r="H262" s="25">
        <v>925970</v>
      </c>
      <c r="I262" s="25"/>
      <c r="J262" s="24"/>
      <c r="K262" s="22"/>
      <c r="L262" s="22">
        <v>2.1301842743391045E-2</v>
      </c>
      <c r="M262" s="26">
        <v>46287.671412037038</v>
      </c>
      <c r="N262" s="27"/>
      <c r="O262" s="23"/>
      <c r="P262" s="23"/>
    </row>
    <row r="263" spans="1:16" x14ac:dyDescent="0.15">
      <c r="A263" t="s">
        <v>366</v>
      </c>
      <c r="B263" s="24">
        <v>225.36</v>
      </c>
      <c r="C263" s="24"/>
      <c r="D263" s="24"/>
      <c r="E263" s="25"/>
      <c r="F263" s="25"/>
      <c r="G263" s="24">
        <v>229.67</v>
      </c>
      <c r="H263" s="25">
        <v>2822161</v>
      </c>
      <c r="I263" s="25"/>
      <c r="J263" s="24"/>
      <c r="K263" s="22"/>
      <c r="L263" s="22">
        <v>2.377151924276177E-2</v>
      </c>
      <c r="M263" s="26">
        <v>46287.671412037038</v>
      </c>
      <c r="N263" s="27"/>
      <c r="O263" s="23"/>
      <c r="P263" s="23"/>
    </row>
    <row r="264" spans="1:16" x14ac:dyDescent="0.15">
      <c r="A264" t="s">
        <v>634</v>
      </c>
      <c r="B264" s="24">
        <v>91.88</v>
      </c>
      <c r="C264" s="24"/>
      <c r="D264" s="24"/>
      <c r="E264" s="25"/>
      <c r="F264" s="25"/>
      <c r="G264" s="24">
        <v>90.69</v>
      </c>
      <c r="H264" s="25">
        <v>3475741</v>
      </c>
      <c r="I264" s="25"/>
      <c r="J264" s="24"/>
      <c r="K264" s="22"/>
      <c r="L264" s="22">
        <v>2.7141795847358971E-2</v>
      </c>
      <c r="M264" s="26">
        <v>46287.671412037038</v>
      </c>
      <c r="N264" s="27"/>
      <c r="O264" s="23"/>
      <c r="P264" s="23"/>
    </row>
    <row r="265" spans="1:16" x14ac:dyDescent="0.15">
      <c r="A265" t="s">
        <v>218</v>
      </c>
      <c r="B265" s="24">
        <v>231.38</v>
      </c>
      <c r="C265" s="24"/>
      <c r="D265" s="24"/>
      <c r="E265" s="25"/>
      <c r="F265" s="25"/>
      <c r="G265" s="24">
        <v>229.55</v>
      </c>
      <c r="H265" s="25">
        <v>8200101</v>
      </c>
      <c r="I265" s="25"/>
      <c r="J265" s="24"/>
      <c r="K265" s="22"/>
      <c r="L265" s="22">
        <v>3.9667487264238716E-2</v>
      </c>
      <c r="M265" s="26">
        <v>46287.671412037038</v>
      </c>
      <c r="N265" s="27"/>
      <c r="O265" s="23"/>
      <c r="P265" s="23"/>
    </row>
    <row r="266" spans="1:16" x14ac:dyDescent="0.15">
      <c r="A266" t="s">
        <v>374</v>
      </c>
      <c r="B266" s="24">
        <v>152.93</v>
      </c>
      <c r="C266" s="24"/>
      <c r="D266" s="24"/>
      <c r="E266" s="25"/>
      <c r="F266" s="25"/>
      <c r="G266" s="24">
        <v>155.47</v>
      </c>
      <c r="H266" s="25">
        <v>2986933</v>
      </c>
      <c r="I266" s="25"/>
      <c r="J266" s="24"/>
      <c r="K266" s="22"/>
      <c r="L266" s="22">
        <v>1.4995011572669234E-2</v>
      </c>
      <c r="M266" s="26">
        <v>46287.671412037038</v>
      </c>
      <c r="N266" s="27"/>
      <c r="O266" s="23"/>
      <c r="P266" s="23"/>
    </row>
    <row r="267" spans="1:16" x14ac:dyDescent="0.15">
      <c r="A267" t="s">
        <v>638</v>
      </c>
      <c r="B267" s="24">
        <v>521.5</v>
      </c>
      <c r="C267" s="24"/>
      <c r="D267" s="24"/>
      <c r="E267" s="25"/>
      <c r="F267" s="25"/>
      <c r="G267" s="24">
        <v>511.65</v>
      </c>
      <c r="H267" s="25">
        <v>513210</v>
      </c>
      <c r="I267" s="25"/>
      <c r="J267" s="24"/>
      <c r="K267" s="22"/>
      <c r="L267" s="22">
        <v>1.8101007591739431E-2</v>
      </c>
      <c r="M267" s="26">
        <v>46287.671412037038</v>
      </c>
      <c r="N267" s="27"/>
      <c r="O267" s="23"/>
      <c r="P267" s="23"/>
    </row>
    <row r="268" spans="1:16" x14ac:dyDescent="0.15">
      <c r="A268" t="s">
        <v>944</v>
      </c>
      <c r="B268" s="24">
        <v>225.69</v>
      </c>
      <c r="C268" s="24"/>
      <c r="D268" s="24"/>
      <c r="E268" s="25"/>
      <c r="F268" s="25"/>
      <c r="G268" s="24">
        <v>223.72</v>
      </c>
      <c r="H268" s="25">
        <v>708195</v>
      </c>
      <c r="I268" s="25"/>
      <c r="J268" s="24"/>
      <c r="K268" s="22"/>
      <c r="L268" s="22">
        <v>1.1350735825575052E-2</v>
      </c>
      <c r="M268" s="26">
        <v>46287.671412037038</v>
      </c>
      <c r="N268" s="27"/>
      <c r="O268" s="23"/>
      <c r="P268" s="23"/>
    </row>
    <row r="269" spans="1:16" x14ac:dyDescent="0.15">
      <c r="A269" t="s">
        <v>860</v>
      </c>
      <c r="B269" s="24">
        <v>85.79</v>
      </c>
      <c r="C269" s="24"/>
      <c r="D269" s="24"/>
      <c r="E269" s="25"/>
      <c r="F269" s="25"/>
      <c r="G269" s="24">
        <v>82.96</v>
      </c>
      <c r="H269" s="25">
        <v>1606315</v>
      </c>
      <c r="I269" s="25"/>
      <c r="J269" s="24"/>
      <c r="K269" s="22"/>
      <c r="L269" s="22">
        <v>2.0953832275195528E-2</v>
      </c>
      <c r="M269" s="26">
        <v>46287.671412037038</v>
      </c>
      <c r="N269" s="27"/>
      <c r="O269" s="23"/>
      <c r="P269" s="23"/>
    </row>
    <row r="270" spans="1:16" x14ac:dyDescent="0.15">
      <c r="A270" t="s">
        <v>71</v>
      </c>
      <c r="B270" s="24">
        <v>51.229700000000001</v>
      </c>
      <c r="C270" s="24"/>
      <c r="D270" s="24"/>
      <c r="E270" s="25"/>
      <c r="F270" s="25"/>
      <c r="G270" s="24">
        <v>51.26</v>
      </c>
      <c r="H270" s="25">
        <v>1741540</v>
      </c>
      <c r="I270" s="25"/>
      <c r="J270" s="24"/>
      <c r="K270" s="22"/>
      <c r="L270" s="22">
        <v>2.6809645917625115E-3</v>
      </c>
      <c r="M270" s="26">
        <v>46287.671412037038</v>
      </c>
      <c r="N270" s="27"/>
      <c r="O270" s="23"/>
      <c r="P270" s="23"/>
    </row>
    <row r="271" spans="1:16" x14ac:dyDescent="0.15">
      <c r="A271" t="s">
        <v>670</v>
      </c>
      <c r="B271" s="24">
        <v>247.46</v>
      </c>
      <c r="C271" s="24"/>
      <c r="D271" s="24"/>
      <c r="E271" s="25"/>
      <c r="F271" s="25"/>
      <c r="G271" s="24">
        <v>239.62</v>
      </c>
      <c r="H271" s="25">
        <v>3188898</v>
      </c>
      <c r="I271" s="25"/>
      <c r="J271" s="24"/>
      <c r="K271" s="22"/>
      <c r="L271" s="22">
        <v>2.9106506883686992E-2</v>
      </c>
      <c r="M271" s="26">
        <v>46287.671412037038</v>
      </c>
      <c r="N271" s="27"/>
      <c r="O271" s="23"/>
      <c r="P271" s="23"/>
    </row>
    <row r="272" spans="1:16" x14ac:dyDescent="0.15">
      <c r="A272" t="s">
        <v>858</v>
      </c>
      <c r="B272" s="24">
        <v>126.93</v>
      </c>
      <c r="C272" s="24"/>
      <c r="D272" s="24"/>
      <c r="E272" s="25"/>
      <c r="F272" s="25"/>
      <c r="G272" s="24">
        <v>125.31</v>
      </c>
      <c r="H272" s="25">
        <v>1270883</v>
      </c>
      <c r="I272" s="25"/>
      <c r="J272" s="24"/>
      <c r="K272" s="22"/>
      <c r="L272" s="22">
        <v>2.1000074850377456E-2</v>
      </c>
      <c r="M272" s="26">
        <v>46287.671412037038</v>
      </c>
      <c r="N272" s="27"/>
      <c r="O272" s="23"/>
      <c r="P272" s="23"/>
    </row>
    <row r="273" spans="1:16" x14ac:dyDescent="0.15">
      <c r="A273" t="s">
        <v>152</v>
      </c>
      <c r="B273" s="24">
        <v>123.7</v>
      </c>
      <c r="C273" s="24"/>
      <c r="D273" s="24"/>
      <c r="E273" s="25"/>
      <c r="F273" s="25"/>
      <c r="G273" s="24">
        <v>121.78</v>
      </c>
      <c r="H273" s="25">
        <v>84541514</v>
      </c>
      <c r="I273" s="25"/>
      <c r="J273" s="24"/>
      <c r="K273" s="22"/>
      <c r="L273" s="22">
        <v>4.873641804384006E-2</v>
      </c>
      <c r="M273" s="26">
        <v>46287.671412037038</v>
      </c>
      <c r="N273" s="27"/>
      <c r="O273" s="23"/>
      <c r="P273" s="23"/>
    </row>
    <row r="274" spans="1:16" x14ac:dyDescent="0.15">
      <c r="A274" t="s">
        <v>390</v>
      </c>
      <c r="B274" s="24">
        <v>292.08999999999997</v>
      </c>
      <c r="C274" s="24"/>
      <c r="D274" s="24"/>
      <c r="E274" s="25"/>
      <c r="F274" s="25"/>
      <c r="G274" s="24">
        <v>303.19</v>
      </c>
      <c r="H274" s="25">
        <v>2950748</v>
      </c>
      <c r="I274" s="25"/>
      <c r="J274" s="24"/>
      <c r="K274" s="22"/>
      <c r="L274" s="22">
        <v>2.9653530766357718E-2</v>
      </c>
      <c r="M274" s="26">
        <v>46287.671412037038</v>
      </c>
      <c r="N274" s="27"/>
      <c r="O274" s="23"/>
      <c r="P274" s="23"/>
    </row>
    <row r="275" spans="1:16" x14ac:dyDescent="0.15">
      <c r="A275" t="s">
        <v>980</v>
      </c>
      <c r="B275" s="24">
        <v>27.14</v>
      </c>
      <c r="C275" s="24"/>
      <c r="D275" s="24"/>
      <c r="E275" s="25"/>
      <c r="F275" s="25"/>
      <c r="G275" s="24">
        <v>26.91</v>
      </c>
      <c r="H275" s="25">
        <v>4694289</v>
      </c>
      <c r="I275" s="25"/>
      <c r="J275" s="24"/>
      <c r="K275" s="22"/>
      <c r="L275" s="22">
        <v>1.0848367706352764E-2</v>
      </c>
      <c r="M275" s="26">
        <v>46287.671412037038</v>
      </c>
      <c r="N275" s="27"/>
      <c r="O275" s="23"/>
      <c r="P275" s="23"/>
    </row>
    <row r="276" spans="1:16" x14ac:dyDescent="0.15">
      <c r="A276" t="s">
        <v>914</v>
      </c>
      <c r="B276" s="24">
        <v>35.71</v>
      </c>
      <c r="C276" s="24"/>
      <c r="D276" s="24"/>
      <c r="E276" s="25"/>
      <c r="F276" s="25"/>
      <c r="G276" s="24">
        <v>34.53</v>
      </c>
      <c r="H276" s="25">
        <v>4820745</v>
      </c>
      <c r="I276" s="25"/>
      <c r="J276" s="24"/>
      <c r="K276" s="22"/>
      <c r="L276" s="22">
        <v>2.6910834295601038E-2</v>
      </c>
      <c r="M276" s="26">
        <v>46287.671412037038</v>
      </c>
      <c r="N276" s="27"/>
      <c r="O276" s="23"/>
      <c r="P276" s="23"/>
    </row>
    <row r="277" spans="1:16" x14ac:dyDescent="0.15">
      <c r="A277" t="s">
        <v>608</v>
      </c>
      <c r="B277" s="24">
        <v>270.08999999999997</v>
      </c>
      <c r="C277" s="24"/>
      <c r="D277" s="24"/>
      <c r="E277" s="25"/>
      <c r="F277" s="25"/>
      <c r="G277" s="24">
        <v>269.88</v>
      </c>
      <c r="H277" s="25">
        <v>918981</v>
      </c>
      <c r="I277" s="25"/>
      <c r="J277" s="24"/>
      <c r="K277" s="22"/>
      <c r="L277" s="22">
        <v>2.5381835570378489E-2</v>
      </c>
      <c r="M277" s="26">
        <v>46287.671412037038</v>
      </c>
      <c r="N277" s="27"/>
      <c r="O277" s="23"/>
      <c r="P277" s="23"/>
    </row>
    <row r="278" spans="1:16" x14ac:dyDescent="0.15">
      <c r="A278" t="s">
        <v>806</v>
      </c>
      <c r="B278" s="24">
        <v>75.510000000000005</v>
      </c>
      <c r="C278" s="24"/>
      <c r="D278" s="24"/>
      <c r="E278" s="25"/>
      <c r="F278" s="25"/>
      <c r="G278" s="24">
        <v>71.83</v>
      </c>
      <c r="H278" s="25">
        <v>4160658</v>
      </c>
      <c r="I278" s="25"/>
      <c r="J278" s="24"/>
      <c r="K278" s="22"/>
      <c r="L278" s="22">
        <v>1.8539608244052645E-2</v>
      </c>
      <c r="M278" s="26">
        <v>46287.671412037038</v>
      </c>
      <c r="N278" s="27"/>
      <c r="O278" s="23"/>
      <c r="P278" s="23"/>
    </row>
    <row r="279" spans="1:16" x14ac:dyDescent="0.15">
      <c r="A279" t="s">
        <v>686</v>
      </c>
      <c r="B279" s="24">
        <v>118.13</v>
      </c>
      <c r="C279" s="24"/>
      <c r="D279" s="24"/>
      <c r="E279" s="25"/>
      <c r="F279" s="25"/>
      <c r="G279" s="24">
        <v>114.34</v>
      </c>
      <c r="H279" s="25">
        <v>1218920</v>
      </c>
      <c r="I279" s="25"/>
      <c r="J279" s="24"/>
      <c r="K279" s="22"/>
      <c r="L279" s="22">
        <v>1.9360945848949117E-2</v>
      </c>
      <c r="M279" s="26">
        <v>46287.671412037038</v>
      </c>
      <c r="N279" s="27"/>
      <c r="O279" s="23"/>
      <c r="P279" s="23"/>
    </row>
    <row r="280" spans="1:16" x14ac:dyDescent="0.15">
      <c r="A280" t="s">
        <v>284</v>
      </c>
      <c r="B280" s="24">
        <v>402.09</v>
      </c>
      <c r="C280" s="24"/>
      <c r="D280" s="24"/>
      <c r="E280" s="25"/>
      <c r="F280" s="25"/>
      <c r="G280" s="24">
        <v>393.33</v>
      </c>
      <c r="H280" s="25">
        <v>2972899</v>
      </c>
      <c r="I280" s="25"/>
      <c r="J280" s="24"/>
      <c r="K280" s="22"/>
      <c r="L280" s="22">
        <v>3.0646702163704877E-2</v>
      </c>
      <c r="M280" s="26">
        <v>46287.671412037038</v>
      </c>
      <c r="N280" s="27"/>
      <c r="O280" s="23"/>
      <c r="P280" s="23"/>
    </row>
    <row r="281" spans="1:16" x14ac:dyDescent="0.15">
      <c r="A281" t="s">
        <v>1042</v>
      </c>
      <c r="B281" s="24">
        <v>178.75</v>
      </c>
      <c r="C281" s="24"/>
      <c r="D281" s="24"/>
      <c r="E281" s="25"/>
      <c r="F281" s="25"/>
      <c r="G281" s="24">
        <v>183.32</v>
      </c>
      <c r="H281" s="25">
        <v>923639</v>
      </c>
      <c r="I281" s="25"/>
      <c r="J281" s="24"/>
      <c r="K281" s="22"/>
      <c r="L281" s="22">
        <v>4.6801796646580483E-2</v>
      </c>
      <c r="M281" s="26">
        <v>46287.671412037038</v>
      </c>
      <c r="N281" s="27"/>
      <c r="O281" s="23"/>
      <c r="P281" s="23"/>
    </row>
    <row r="282" spans="1:16" x14ac:dyDescent="0.15">
      <c r="A282" t="s">
        <v>446</v>
      </c>
      <c r="B282" s="24">
        <v>270.47000000000003</v>
      </c>
      <c r="C282" s="24"/>
      <c r="D282" s="24"/>
      <c r="E282" s="25"/>
      <c r="F282" s="25"/>
      <c r="G282" s="24">
        <v>269.42</v>
      </c>
      <c r="H282" s="25">
        <v>1637582</v>
      </c>
      <c r="I282" s="25"/>
      <c r="J282" s="24"/>
      <c r="K282" s="22"/>
      <c r="L282" s="22">
        <v>1.3271379821195318E-2</v>
      </c>
      <c r="M282" s="26">
        <v>46287.671423611115</v>
      </c>
      <c r="N282" s="27"/>
      <c r="O282" s="23"/>
      <c r="P282" s="23"/>
    </row>
    <row r="283" spans="1:16" x14ac:dyDescent="0.15">
      <c r="A283" t="s">
        <v>1240</v>
      </c>
      <c r="B283" s="24">
        <v>776.95</v>
      </c>
      <c r="C283" s="24"/>
      <c r="D283" s="24"/>
      <c r="E283" s="25"/>
      <c r="F283" s="25"/>
      <c r="G283" s="24">
        <v>764.92</v>
      </c>
      <c r="H283" s="25">
        <v>9247951</v>
      </c>
      <c r="I283" s="25"/>
      <c r="J283" s="24"/>
      <c r="K283" s="22"/>
      <c r="L283" s="22">
        <v>7.4463835834743001E-3</v>
      </c>
      <c r="M283" s="26">
        <v>46287.671423611115</v>
      </c>
      <c r="N283" s="27"/>
      <c r="O283" s="23"/>
      <c r="P283" s="23"/>
    </row>
    <row r="284" spans="1:16" x14ac:dyDescent="0.15">
      <c r="A284" t="s">
        <v>994</v>
      </c>
      <c r="B284" s="24">
        <v>30.85</v>
      </c>
      <c r="C284" s="24"/>
      <c r="D284" s="24"/>
      <c r="E284" s="25"/>
      <c r="F284" s="25"/>
      <c r="G284" s="24">
        <v>30.53</v>
      </c>
      <c r="H284" s="25">
        <v>4190870</v>
      </c>
      <c r="I284" s="25"/>
      <c r="J284" s="24"/>
      <c r="K284" s="22"/>
      <c r="L284" s="22">
        <v>2.0897195051431908E-2</v>
      </c>
      <c r="M284" s="26">
        <v>46287.671423611115</v>
      </c>
      <c r="N284" s="27"/>
      <c r="O284" s="23"/>
      <c r="P284" s="23"/>
    </row>
    <row r="285" spans="1:16" x14ac:dyDescent="0.15">
      <c r="A285" t="s">
        <v>936</v>
      </c>
      <c r="B285" s="24">
        <v>143.12</v>
      </c>
      <c r="C285" s="24"/>
      <c r="D285" s="24"/>
      <c r="E285" s="25"/>
      <c r="F285" s="25"/>
      <c r="G285" s="24">
        <v>143.4</v>
      </c>
      <c r="H285" s="25">
        <v>818135</v>
      </c>
      <c r="I285" s="25"/>
      <c r="J285" s="24"/>
      <c r="K285" s="22"/>
      <c r="L285" s="22">
        <v>1.5111112561346842E-2</v>
      </c>
      <c r="M285" s="26">
        <v>46287.671423611115</v>
      </c>
      <c r="N285" s="27"/>
      <c r="O285" s="23"/>
      <c r="P285" s="23"/>
    </row>
    <row r="286" spans="1:16" x14ac:dyDescent="0.15">
      <c r="A286" t="s">
        <v>932</v>
      </c>
      <c r="B286" s="24">
        <v>237.41</v>
      </c>
      <c r="C286" s="24"/>
      <c r="D286" s="24"/>
      <c r="E286" s="25"/>
      <c r="F286" s="25"/>
      <c r="G286" s="24">
        <v>234.25</v>
      </c>
      <c r="H286" s="25">
        <v>1025554</v>
      </c>
      <c r="I286" s="25"/>
      <c r="J286" s="24"/>
      <c r="K286" s="22"/>
      <c r="L286" s="22">
        <v>2.6792700656509155E-2</v>
      </c>
      <c r="M286" s="26">
        <v>46287.671423611115</v>
      </c>
      <c r="N286" s="27"/>
      <c r="O286" s="23"/>
      <c r="P286" s="23"/>
    </row>
    <row r="287" spans="1:16" x14ac:dyDescent="0.15">
      <c r="A287" t="s">
        <v>720</v>
      </c>
      <c r="B287" s="24">
        <v>308.98</v>
      </c>
      <c r="C287" s="24"/>
      <c r="D287" s="24"/>
      <c r="E287" s="25"/>
      <c r="F287" s="25"/>
      <c r="G287" s="24">
        <v>299.57</v>
      </c>
      <c r="H287" s="25">
        <v>1404107</v>
      </c>
      <c r="I287" s="25"/>
      <c r="J287" s="24"/>
      <c r="K287" s="22"/>
      <c r="L287" s="22">
        <v>3.2752008903142699E-2</v>
      </c>
      <c r="M287" s="26">
        <v>46287.671423611115</v>
      </c>
      <c r="N287" s="27"/>
      <c r="O287" s="23"/>
      <c r="P287" s="23"/>
    </row>
    <row r="288" spans="1:16" x14ac:dyDescent="0.15">
      <c r="A288" t="s">
        <v>378</v>
      </c>
      <c r="B288" s="24">
        <v>146.71</v>
      </c>
      <c r="C288" s="24"/>
      <c r="D288" s="24"/>
      <c r="E288" s="25"/>
      <c r="F288" s="25"/>
      <c r="G288" s="24">
        <v>143.28</v>
      </c>
      <c r="H288" s="25">
        <v>2174115</v>
      </c>
      <c r="I288" s="25"/>
      <c r="J288" s="24"/>
      <c r="K288" s="22"/>
      <c r="L288" s="22">
        <v>1.9013277310411358E-2</v>
      </c>
      <c r="M288" s="26">
        <v>46287.671423611115</v>
      </c>
      <c r="N288" s="27"/>
      <c r="O288" s="23"/>
      <c r="P288" s="23"/>
    </row>
    <row r="289" spans="1:16" x14ac:dyDescent="0.15">
      <c r="A289" t="s">
        <v>1052</v>
      </c>
      <c r="B289" s="24">
        <v>149.1</v>
      </c>
      <c r="C289" s="24"/>
      <c r="D289" s="24"/>
      <c r="E289" s="25"/>
      <c r="F289" s="25"/>
      <c r="G289" s="24">
        <v>154.85</v>
      </c>
      <c r="H289" s="25">
        <v>1059129</v>
      </c>
      <c r="I289" s="25"/>
      <c r="J289" s="24"/>
      <c r="K289" s="22"/>
      <c r="L289" s="22">
        <v>2.2500621680227588E-2</v>
      </c>
      <c r="M289" s="26">
        <v>46287.671423611115</v>
      </c>
      <c r="N289" s="27"/>
      <c r="O289" s="23"/>
      <c r="P289" s="23"/>
    </row>
    <row r="290" spans="1:16" x14ac:dyDescent="0.15">
      <c r="A290" t="s">
        <v>148</v>
      </c>
      <c r="B290" s="24">
        <v>269.19</v>
      </c>
      <c r="C290" s="24"/>
      <c r="D290" s="24"/>
      <c r="E290" s="25"/>
      <c r="F290" s="25"/>
      <c r="G290" s="24">
        <v>269.99</v>
      </c>
      <c r="H290" s="25">
        <v>4487741</v>
      </c>
      <c r="I290" s="25"/>
      <c r="J290" s="24"/>
      <c r="K290" s="22"/>
      <c r="L290" s="22">
        <v>1.5061651698494745E-2</v>
      </c>
      <c r="M290" s="26">
        <v>46287.671423611115</v>
      </c>
      <c r="N290" s="27"/>
      <c r="O290" s="23"/>
      <c r="P290" s="23"/>
    </row>
    <row r="291" spans="1:16" x14ac:dyDescent="0.15">
      <c r="A291" t="s">
        <v>73</v>
      </c>
      <c r="B291" s="24">
        <v>94.72</v>
      </c>
      <c r="C291" s="24"/>
      <c r="D291" s="24"/>
      <c r="E291" s="25"/>
      <c r="F291" s="25"/>
      <c r="G291" s="24">
        <v>94.55</v>
      </c>
      <c r="H291" s="25">
        <v>1305555</v>
      </c>
      <c r="I291" s="25"/>
      <c r="J291" s="24"/>
      <c r="K291" s="22"/>
      <c r="L291" s="22">
        <v>1.7315538023517289E-3</v>
      </c>
      <c r="M291" s="26">
        <v>46287.671423611115</v>
      </c>
      <c r="N291" s="27"/>
      <c r="O291" s="23"/>
      <c r="P291" s="23"/>
    </row>
    <row r="292" spans="1:16" x14ac:dyDescent="0.15">
      <c r="A292" t="s">
        <v>140</v>
      </c>
      <c r="B292" s="24">
        <v>340.19</v>
      </c>
      <c r="C292" s="24"/>
      <c r="D292" s="24"/>
      <c r="E292" s="25"/>
      <c r="F292" s="25"/>
      <c r="G292" s="24">
        <v>349.67</v>
      </c>
      <c r="H292" s="25">
        <v>6414696</v>
      </c>
      <c r="I292" s="25"/>
      <c r="J292" s="24"/>
      <c r="K292" s="22"/>
      <c r="L292" s="22">
        <v>1.1337587894607882E-2</v>
      </c>
      <c r="M292" s="26">
        <v>46287.671423611115</v>
      </c>
      <c r="N292" s="27"/>
      <c r="O292" s="23"/>
      <c r="P292" s="23"/>
    </row>
    <row r="293" spans="1:16" x14ac:dyDescent="0.15">
      <c r="A293" t="s">
        <v>620</v>
      </c>
      <c r="B293" s="24">
        <v>31.51</v>
      </c>
      <c r="C293" s="24"/>
      <c r="D293" s="24"/>
      <c r="E293" s="25"/>
      <c r="F293" s="25"/>
      <c r="G293" s="24">
        <v>30.96</v>
      </c>
      <c r="H293" s="25">
        <v>10501266</v>
      </c>
      <c r="I293" s="25"/>
      <c r="J293" s="24"/>
      <c r="K293" s="22"/>
      <c r="L293" s="22">
        <v>1.8325684545606648E-2</v>
      </c>
      <c r="M293" s="26">
        <v>46287.671423611115</v>
      </c>
      <c r="N293" s="27"/>
      <c r="O293" s="23"/>
      <c r="P293" s="23"/>
    </row>
    <row r="294" spans="1:16" x14ac:dyDescent="0.15">
      <c r="A294" t="s">
        <v>900</v>
      </c>
      <c r="B294" s="24">
        <v>20.48</v>
      </c>
      <c r="C294" s="24"/>
      <c r="D294" s="24"/>
      <c r="E294" s="25"/>
      <c r="F294" s="25"/>
      <c r="G294" s="24">
        <v>20.81</v>
      </c>
      <c r="H294" s="25">
        <v>14976804</v>
      </c>
      <c r="I294" s="25"/>
      <c r="J294" s="24"/>
      <c r="K294" s="22"/>
      <c r="L294" s="22">
        <v>1.3354293813539031E-2</v>
      </c>
      <c r="M294" s="26">
        <v>46287.671423611115</v>
      </c>
      <c r="N294" s="27"/>
      <c r="O294" s="23"/>
      <c r="P294" s="23"/>
    </row>
    <row r="295" spans="1:16" x14ac:dyDescent="0.15">
      <c r="A295" t="s">
        <v>522</v>
      </c>
      <c r="B295" s="24">
        <v>347.32</v>
      </c>
      <c r="C295" s="24"/>
      <c r="D295" s="24"/>
      <c r="E295" s="25"/>
      <c r="F295" s="25"/>
      <c r="G295" s="24">
        <v>335</v>
      </c>
      <c r="H295" s="25">
        <v>764902</v>
      </c>
      <c r="I295" s="25"/>
      <c r="J295" s="24"/>
      <c r="K295" s="22"/>
      <c r="L295" s="22">
        <v>2.96161070355185E-2</v>
      </c>
      <c r="M295" s="26">
        <v>46287.671423611115</v>
      </c>
      <c r="N295" s="27"/>
      <c r="O295" s="23"/>
      <c r="P295" s="23"/>
    </row>
    <row r="296" spans="1:16" x14ac:dyDescent="0.15">
      <c r="A296" t="s">
        <v>862</v>
      </c>
      <c r="B296" s="24">
        <v>24.05</v>
      </c>
      <c r="C296" s="24"/>
      <c r="D296" s="24"/>
      <c r="E296" s="25"/>
      <c r="F296" s="25"/>
      <c r="G296" s="24">
        <v>24.43</v>
      </c>
      <c r="H296" s="25">
        <v>14042699</v>
      </c>
      <c r="I296" s="25"/>
      <c r="J296" s="24"/>
      <c r="K296" s="22"/>
      <c r="L296" s="22">
        <v>1.982051798373196E-2</v>
      </c>
      <c r="M296" s="26">
        <v>46287.671423611115</v>
      </c>
      <c r="N296" s="27"/>
      <c r="O296" s="23"/>
      <c r="P296" s="23"/>
    </row>
    <row r="297" spans="1:16" x14ac:dyDescent="0.15">
      <c r="A297" t="s">
        <v>966</v>
      </c>
      <c r="B297" s="24">
        <v>22.54</v>
      </c>
      <c r="C297" s="24"/>
      <c r="D297" s="24"/>
      <c r="E297" s="25"/>
      <c r="F297" s="25"/>
      <c r="G297" s="24">
        <v>22.53</v>
      </c>
      <c r="H297" s="25">
        <v>3756349</v>
      </c>
      <c r="I297" s="25"/>
      <c r="J297" s="24"/>
      <c r="K297" s="22"/>
      <c r="L297" s="22">
        <v>1.0008875646215656E-2</v>
      </c>
      <c r="M297" s="26">
        <v>46287.671423611115</v>
      </c>
      <c r="N297" s="27"/>
      <c r="O297" s="23"/>
      <c r="P297" s="23"/>
    </row>
    <row r="298" spans="1:16" x14ac:dyDescent="0.15">
      <c r="A298" t="s">
        <v>460</v>
      </c>
      <c r="B298" s="24">
        <v>98.44</v>
      </c>
      <c r="C298" s="24"/>
      <c r="D298" s="24"/>
      <c r="E298" s="25"/>
      <c r="F298" s="25"/>
      <c r="G298" s="24">
        <v>98.81</v>
      </c>
      <c r="H298" s="25">
        <v>2894827</v>
      </c>
      <c r="I298" s="25"/>
      <c r="J298" s="24"/>
      <c r="K298" s="22"/>
      <c r="L298" s="22">
        <v>2.3474108356558155E-2</v>
      </c>
      <c r="M298" s="26">
        <v>46287.671423611115</v>
      </c>
      <c r="N298" s="27"/>
      <c r="O298" s="23"/>
      <c r="P298" s="23"/>
    </row>
    <row r="299" spans="1:16" x14ac:dyDescent="0.15">
      <c r="A299" t="s">
        <v>214</v>
      </c>
      <c r="B299" s="24">
        <v>188.17</v>
      </c>
      <c r="C299" s="24"/>
      <c r="D299" s="24"/>
      <c r="E299" s="25"/>
      <c r="F299" s="25"/>
      <c r="G299" s="24">
        <v>176.99</v>
      </c>
      <c r="H299" s="25">
        <v>9649866</v>
      </c>
      <c r="I299" s="25"/>
      <c r="J299" s="24"/>
      <c r="K299" s="22"/>
      <c r="L299" s="22">
        <v>4.5141876051720847E-2</v>
      </c>
      <c r="M299" s="26">
        <v>46287.671423611115</v>
      </c>
      <c r="N299" s="27"/>
      <c r="O299" s="23"/>
      <c r="P299" s="23"/>
    </row>
    <row r="300" spans="1:16" x14ac:dyDescent="0.15">
      <c r="A300" t="s">
        <v>700</v>
      </c>
      <c r="B300" s="24">
        <v>98.84</v>
      </c>
      <c r="C300" s="24"/>
      <c r="D300" s="24"/>
      <c r="E300" s="25"/>
      <c r="F300" s="25"/>
      <c r="G300" s="24">
        <v>97.86</v>
      </c>
      <c r="H300" s="25">
        <v>3628369</v>
      </c>
      <c r="I300" s="25"/>
      <c r="J300" s="24"/>
      <c r="K300" s="22"/>
      <c r="L300" s="22">
        <v>1.6185826303489012E-2</v>
      </c>
      <c r="M300" s="26">
        <v>46287.671423611115</v>
      </c>
      <c r="N300" s="27"/>
      <c r="O300" s="23"/>
      <c r="P300" s="23"/>
    </row>
    <row r="301" spans="1:16" x14ac:dyDescent="0.15">
      <c r="A301" t="s">
        <v>492</v>
      </c>
      <c r="B301" s="24">
        <v>31.27</v>
      </c>
      <c r="C301" s="24"/>
      <c r="D301" s="24"/>
      <c r="E301" s="25"/>
      <c r="F301" s="25"/>
      <c r="G301" s="24">
        <v>31.84</v>
      </c>
      <c r="H301" s="25">
        <v>12231022</v>
      </c>
      <c r="I301" s="25"/>
      <c r="J301" s="24"/>
      <c r="K301" s="22"/>
      <c r="L301" s="22">
        <v>1.3624769718848316E-2</v>
      </c>
      <c r="M301" s="26">
        <v>46287.671423611115</v>
      </c>
      <c r="N301" s="27"/>
      <c r="O301" s="23"/>
      <c r="P301" s="23"/>
    </row>
    <row r="302" spans="1:16" x14ac:dyDescent="0.15">
      <c r="A302" t="s">
        <v>178</v>
      </c>
      <c r="B302" s="24">
        <v>88.614000000000004</v>
      </c>
      <c r="C302" s="24"/>
      <c r="D302" s="24"/>
      <c r="E302" s="25"/>
      <c r="F302" s="25"/>
      <c r="G302" s="24">
        <v>88.25</v>
      </c>
      <c r="H302" s="25">
        <v>18100477</v>
      </c>
      <c r="I302" s="25"/>
      <c r="J302" s="24"/>
      <c r="K302" s="22"/>
      <c r="L302" s="22">
        <v>1.4039522649744972E-2</v>
      </c>
      <c r="M302" s="26">
        <v>46287.671412037038</v>
      </c>
      <c r="N302" s="27"/>
      <c r="O302" s="23"/>
      <c r="P302" s="23"/>
    </row>
    <row r="303" spans="1:16" x14ac:dyDescent="0.15">
      <c r="A303" t="s">
        <v>684</v>
      </c>
      <c r="B303" s="24">
        <v>58.56</v>
      </c>
      <c r="C303" s="24"/>
      <c r="D303" s="24"/>
      <c r="E303" s="25"/>
      <c r="F303" s="25"/>
      <c r="G303" s="24">
        <v>59.69</v>
      </c>
      <c r="H303" s="25">
        <v>4273208</v>
      </c>
      <c r="I303" s="25"/>
      <c r="J303" s="24"/>
      <c r="K303" s="22"/>
      <c r="L303" s="22">
        <v>1.7287386501416188E-2</v>
      </c>
      <c r="M303" s="26">
        <v>46287.671412037038</v>
      </c>
      <c r="N303" s="27"/>
      <c r="O303" s="23"/>
      <c r="P303" s="23"/>
    </row>
    <row r="304" spans="1:16" x14ac:dyDescent="0.15">
      <c r="A304" t="s">
        <v>688</v>
      </c>
      <c r="B304" s="24">
        <v>17.86</v>
      </c>
      <c r="C304" s="24"/>
      <c r="D304" s="24"/>
      <c r="E304" s="25"/>
      <c r="F304" s="25"/>
      <c r="G304" s="24">
        <v>17.809999999999999</v>
      </c>
      <c r="H304" s="25">
        <v>25683727</v>
      </c>
      <c r="I304" s="25"/>
      <c r="J304" s="24"/>
      <c r="K304" s="22"/>
      <c r="L304" s="22">
        <v>1.333150179135997E-2</v>
      </c>
      <c r="M304" s="26">
        <v>46287.671412037038</v>
      </c>
      <c r="N304" s="27"/>
      <c r="O304" s="23"/>
      <c r="P304" s="23"/>
    </row>
    <row r="305" spans="1:16" x14ac:dyDescent="0.15">
      <c r="A305" t="s">
        <v>926</v>
      </c>
      <c r="B305" s="24">
        <v>105.91</v>
      </c>
      <c r="C305" s="24"/>
      <c r="D305" s="24"/>
      <c r="E305" s="25"/>
      <c r="F305" s="25"/>
      <c r="G305" s="24">
        <v>106.75</v>
      </c>
      <c r="H305" s="25">
        <v>1748781</v>
      </c>
      <c r="I305" s="25"/>
      <c r="J305" s="24"/>
      <c r="K305" s="22"/>
      <c r="L305" s="22">
        <v>8.945666279609495E-3</v>
      </c>
      <c r="M305" s="26">
        <v>46287.671412037038</v>
      </c>
      <c r="N305" s="27"/>
      <c r="O305" s="23"/>
      <c r="P305" s="23"/>
    </row>
    <row r="306" spans="1:16" x14ac:dyDescent="0.15">
      <c r="A306" t="s">
        <v>950</v>
      </c>
      <c r="B306" s="24">
        <v>123.31</v>
      </c>
      <c r="C306" s="24"/>
      <c r="D306" s="24"/>
      <c r="E306" s="25"/>
      <c r="F306" s="25"/>
      <c r="G306" s="24">
        <v>127.69</v>
      </c>
      <c r="H306" s="25">
        <v>1122607</v>
      </c>
      <c r="I306" s="25"/>
      <c r="J306" s="24"/>
      <c r="K306" s="22"/>
      <c r="L306" s="22">
        <v>2.4435304596039587E-2</v>
      </c>
      <c r="M306" s="26">
        <v>46287.671412037038</v>
      </c>
      <c r="N306" s="27"/>
      <c r="O306" s="23"/>
      <c r="P306" s="23"/>
    </row>
    <row r="307" spans="1:16" x14ac:dyDescent="0.15">
      <c r="A307" t="s">
        <v>976</v>
      </c>
      <c r="B307" s="24">
        <v>83.06</v>
      </c>
      <c r="C307" s="24"/>
      <c r="D307" s="24"/>
      <c r="E307" s="25"/>
      <c r="F307" s="25"/>
      <c r="G307" s="24">
        <v>76.430000000000007</v>
      </c>
      <c r="H307" s="25">
        <v>4951499</v>
      </c>
      <c r="I307" s="25"/>
      <c r="J307" s="24"/>
      <c r="K307" s="22"/>
      <c r="L307" s="22">
        <v>2.1371021831702329E-2</v>
      </c>
      <c r="M307" s="26">
        <v>46287.671412037038</v>
      </c>
      <c r="N307" s="27"/>
      <c r="O307" s="23"/>
      <c r="P307" s="23"/>
    </row>
    <row r="308" spans="1:16" x14ac:dyDescent="0.15">
      <c r="A308" t="s">
        <v>784</v>
      </c>
      <c r="B308" s="24">
        <v>311.54000000000002</v>
      </c>
      <c r="C308" s="24"/>
      <c r="D308" s="24"/>
      <c r="E308" s="25"/>
      <c r="F308" s="25"/>
      <c r="G308" s="24">
        <v>320.70999999999998</v>
      </c>
      <c r="H308" s="25">
        <v>488128</v>
      </c>
      <c r="I308" s="25"/>
      <c r="J308" s="24"/>
      <c r="K308" s="22"/>
      <c r="L308" s="22">
        <v>1.5627505338087662E-2</v>
      </c>
      <c r="M308" s="26">
        <v>46287.671412037038</v>
      </c>
      <c r="N308" s="27"/>
      <c r="O308" s="23"/>
      <c r="P308" s="23"/>
    </row>
    <row r="309" spans="1:16" x14ac:dyDescent="0.15">
      <c r="A309" t="s">
        <v>586</v>
      </c>
      <c r="B309" s="24">
        <v>239.89</v>
      </c>
      <c r="C309" s="24"/>
      <c r="D309" s="24"/>
      <c r="E309" s="25"/>
      <c r="F309" s="25"/>
      <c r="G309" s="24">
        <v>247.29</v>
      </c>
      <c r="H309" s="25">
        <v>1461890</v>
      </c>
      <c r="I309" s="25"/>
      <c r="J309" s="24"/>
      <c r="K309" s="22"/>
      <c r="L309" s="22">
        <v>1.8654928750806883E-2</v>
      </c>
      <c r="M309" s="26">
        <v>46287.671412037038</v>
      </c>
      <c r="N309" s="27"/>
      <c r="O309" s="23"/>
      <c r="P309" s="23"/>
    </row>
    <row r="310" spans="1:16" x14ac:dyDescent="0.15">
      <c r="A310" t="s">
        <v>1046</v>
      </c>
      <c r="B310" s="24">
        <v>371.68</v>
      </c>
      <c r="C310" s="24"/>
      <c r="D310" s="24"/>
      <c r="E310" s="25"/>
      <c r="F310" s="25"/>
      <c r="G310" s="24">
        <v>359.23</v>
      </c>
      <c r="H310" s="25">
        <v>369917</v>
      </c>
      <c r="I310" s="25"/>
      <c r="J310" s="24"/>
      <c r="K310" s="22"/>
      <c r="L310" s="22">
        <v>3.1824877615340329E-2</v>
      </c>
      <c r="M310" s="26">
        <v>46287.671412037038</v>
      </c>
      <c r="N310" s="27"/>
      <c r="O310" s="23"/>
      <c r="P310" s="23"/>
    </row>
    <row r="311" spans="1:16" x14ac:dyDescent="0.15">
      <c r="A311" t="s">
        <v>222</v>
      </c>
      <c r="B311" s="24">
        <v>464.91</v>
      </c>
      <c r="C311" s="24"/>
      <c r="D311" s="24"/>
      <c r="E311" s="25"/>
      <c r="F311" s="25"/>
      <c r="G311" s="24">
        <v>460.4</v>
      </c>
      <c r="H311" s="25">
        <v>2017537</v>
      </c>
      <c r="I311" s="25"/>
      <c r="J311" s="24"/>
      <c r="K311" s="22"/>
      <c r="L311" s="22">
        <v>1.2949783594289796E-2</v>
      </c>
      <c r="M311" s="26">
        <v>46287.671412037038</v>
      </c>
      <c r="N311" s="27"/>
      <c r="O311" s="23"/>
      <c r="P311" s="23"/>
    </row>
    <row r="312" spans="1:16" x14ac:dyDescent="0.15">
      <c r="A312" t="s">
        <v>392</v>
      </c>
      <c r="B312" s="24">
        <v>945.67</v>
      </c>
      <c r="C312" s="24"/>
      <c r="D312" s="24"/>
      <c r="E312" s="25"/>
      <c r="F312" s="25"/>
      <c r="G312" s="24">
        <v>930.91</v>
      </c>
      <c r="H312" s="25">
        <v>4719470</v>
      </c>
      <c r="I312" s="25"/>
      <c r="J312" s="24"/>
      <c r="K312" s="22"/>
      <c r="L312" s="22">
        <v>6.3255843223841771E-2</v>
      </c>
      <c r="M312" s="26">
        <v>46287.671412037038</v>
      </c>
      <c r="N312" s="27"/>
      <c r="O312" s="23"/>
      <c r="P312" s="23"/>
    </row>
    <row r="313" spans="1:16" x14ac:dyDescent="0.15">
      <c r="A313" t="s">
        <v>142</v>
      </c>
      <c r="B313" s="24">
        <v>1169</v>
      </c>
      <c r="C313" s="24"/>
      <c r="D313" s="24"/>
      <c r="E313" s="25"/>
      <c r="F313" s="25"/>
      <c r="G313" s="24">
        <v>1152.93</v>
      </c>
      <c r="H313" s="25">
        <v>2480210</v>
      </c>
      <c r="I313" s="25"/>
      <c r="J313" s="24"/>
      <c r="K313" s="22"/>
      <c r="L313" s="22">
        <v>2.1168383782813379E-2</v>
      </c>
      <c r="M313" s="26">
        <v>46287.671412037038</v>
      </c>
      <c r="N313" s="27"/>
      <c r="O313" s="23"/>
      <c r="P313" s="23"/>
    </row>
    <row r="314" spans="1:16" x14ac:dyDescent="0.15">
      <c r="A314" t="s">
        <v>326</v>
      </c>
      <c r="B314" s="24">
        <v>522.34</v>
      </c>
      <c r="C314" s="24"/>
      <c r="D314" s="24"/>
      <c r="E314" s="25"/>
      <c r="F314" s="25"/>
      <c r="G314" s="24">
        <v>533.38</v>
      </c>
      <c r="H314" s="25">
        <v>967055</v>
      </c>
      <c r="I314" s="25"/>
      <c r="J314" s="24"/>
      <c r="K314" s="22"/>
      <c r="L314" s="22">
        <v>2.0688779195048451E-2</v>
      </c>
      <c r="M314" s="26">
        <v>46287.671412037038</v>
      </c>
      <c r="N314" s="27"/>
      <c r="O314" s="23"/>
      <c r="P314" s="23"/>
    </row>
    <row r="315" spans="1:16" x14ac:dyDescent="0.15">
      <c r="A315" t="s">
        <v>940</v>
      </c>
      <c r="B315" s="24">
        <v>64.62</v>
      </c>
      <c r="C315" s="24"/>
      <c r="D315" s="24"/>
      <c r="E315" s="25"/>
      <c r="F315" s="25"/>
      <c r="G315" s="24">
        <v>65.605000000000004</v>
      </c>
      <c r="H315" s="25">
        <v>3064466</v>
      </c>
      <c r="I315" s="25"/>
      <c r="J315" s="24"/>
      <c r="K315" s="22"/>
      <c r="L315" s="22">
        <v>1.121288588061152E-2</v>
      </c>
      <c r="M315" s="26">
        <v>46287.671412037038</v>
      </c>
      <c r="N315" s="27"/>
      <c r="O315" s="23"/>
      <c r="P315" s="23"/>
    </row>
    <row r="316" spans="1:16" x14ac:dyDescent="0.15">
      <c r="A316" t="s">
        <v>328</v>
      </c>
      <c r="B316" s="24">
        <v>196.08</v>
      </c>
      <c r="C316" s="24"/>
      <c r="D316" s="24"/>
      <c r="E316" s="25"/>
      <c r="F316" s="25"/>
      <c r="G316" s="24">
        <v>192.49</v>
      </c>
      <c r="H316" s="25">
        <v>3559480</v>
      </c>
      <c r="I316" s="25"/>
      <c r="J316" s="24"/>
      <c r="K316" s="22"/>
      <c r="L316" s="22">
        <v>1.6169484929271685E-2</v>
      </c>
      <c r="M316" s="26">
        <v>46287.671412037038</v>
      </c>
      <c r="N316" s="27"/>
      <c r="O316" s="23"/>
      <c r="P316" s="23"/>
    </row>
    <row r="317" spans="1:16" x14ac:dyDescent="0.15">
      <c r="A317" t="s">
        <v>174</v>
      </c>
      <c r="B317" s="24">
        <v>310.18</v>
      </c>
      <c r="C317" s="24"/>
      <c r="D317" s="24"/>
      <c r="E317" s="25"/>
      <c r="F317" s="25"/>
      <c r="G317" s="24">
        <v>288.11</v>
      </c>
      <c r="H317" s="25">
        <v>11335968</v>
      </c>
      <c r="I317" s="25"/>
      <c r="J317" s="24"/>
      <c r="K317" s="22"/>
      <c r="L317" s="22">
        <v>4.9771255496279559E-2</v>
      </c>
      <c r="M317" s="26">
        <v>46287.671412037038</v>
      </c>
      <c r="N317" s="27"/>
      <c r="O317" s="23"/>
      <c r="P317" s="23"/>
    </row>
    <row r="318" spans="1:16" x14ac:dyDescent="0.15">
      <c r="A318" t="s">
        <v>1064</v>
      </c>
      <c r="B318" s="24">
        <v>103.73</v>
      </c>
      <c r="C318" s="24"/>
      <c r="D318" s="24"/>
      <c r="E318" s="25"/>
      <c r="F318" s="25"/>
      <c r="G318" s="24">
        <v>98.06</v>
      </c>
      <c r="H318" s="25">
        <v>5787152</v>
      </c>
      <c r="I318" s="25"/>
      <c r="J318" s="24"/>
      <c r="K318" s="22"/>
      <c r="L318" s="22">
        <v>3.2652053441556521E-2</v>
      </c>
      <c r="M318" s="26">
        <v>46287.671412037038</v>
      </c>
      <c r="N318" s="27"/>
      <c r="O318" s="23"/>
      <c r="P318" s="23"/>
    </row>
    <row r="319" spans="1:16" x14ac:dyDescent="0.15">
      <c r="A319" t="s">
        <v>882</v>
      </c>
      <c r="B319" s="24">
        <v>42.08</v>
      </c>
      <c r="C319" s="24"/>
      <c r="D319" s="24"/>
      <c r="E319" s="25"/>
      <c r="F319" s="25"/>
      <c r="G319" s="24">
        <v>40.98</v>
      </c>
      <c r="H319" s="25">
        <v>6337435</v>
      </c>
      <c r="I319" s="25"/>
      <c r="J319" s="24"/>
      <c r="K319" s="22"/>
      <c r="L319" s="22">
        <v>2.1349089988732774E-2</v>
      </c>
      <c r="M319" s="26">
        <v>46287.671412037038</v>
      </c>
      <c r="N319" s="27"/>
      <c r="O319" s="23"/>
      <c r="P319" s="23"/>
    </row>
    <row r="320" spans="1:16" x14ac:dyDescent="0.15">
      <c r="A320" t="s">
        <v>1066</v>
      </c>
      <c r="B320" s="24">
        <v>39.700000000000003</v>
      </c>
      <c r="C320" s="24"/>
      <c r="D320" s="24"/>
      <c r="E320" s="25"/>
      <c r="F320" s="25"/>
      <c r="G320" s="24">
        <v>39.979999999999997</v>
      </c>
      <c r="H320" s="25">
        <v>4542541</v>
      </c>
      <c r="I320" s="25"/>
      <c r="J320" s="24"/>
      <c r="K320" s="22"/>
      <c r="L320" s="22">
        <v>1.5546227491685613E-2</v>
      </c>
      <c r="M320" s="26">
        <v>46287.671412037038</v>
      </c>
      <c r="N320" s="27"/>
      <c r="O320" s="23"/>
      <c r="P320" s="23"/>
    </row>
    <row r="321" spans="1:16" x14ac:dyDescent="0.15">
      <c r="A321" t="s">
        <v>952</v>
      </c>
      <c r="B321" s="24">
        <v>59.24</v>
      </c>
      <c r="C321" s="24"/>
      <c r="D321" s="24"/>
      <c r="E321" s="25"/>
      <c r="F321" s="25"/>
      <c r="G321" s="24">
        <v>61.93</v>
      </c>
      <c r="H321" s="25">
        <v>3201487</v>
      </c>
      <c r="I321" s="25"/>
      <c r="J321" s="24"/>
      <c r="K321" s="22"/>
      <c r="L321" s="22">
        <v>2.2220864106303039E-2</v>
      </c>
      <c r="M321" s="26">
        <v>46287.671412037038</v>
      </c>
      <c r="N321" s="27"/>
      <c r="O321" s="23"/>
      <c r="P321" s="23"/>
    </row>
    <row r="322" spans="1:16" x14ac:dyDescent="0.15">
      <c r="A322" t="s">
        <v>772</v>
      </c>
      <c r="B322" s="24">
        <v>169.84</v>
      </c>
      <c r="C322" s="24"/>
      <c r="D322" s="24"/>
      <c r="E322" s="25"/>
      <c r="F322" s="25"/>
      <c r="G322" s="24">
        <v>167.12</v>
      </c>
      <c r="H322" s="25">
        <v>1872208</v>
      </c>
      <c r="I322" s="25"/>
      <c r="J322" s="24"/>
      <c r="K322" s="22"/>
      <c r="L322" s="22">
        <v>1.5503470765184445E-2</v>
      </c>
      <c r="M322" s="26">
        <v>46287.671412037038</v>
      </c>
      <c r="N322" s="27"/>
      <c r="O322" s="23"/>
      <c r="P322" s="23"/>
    </row>
    <row r="323" spans="1:16" x14ac:dyDescent="0.15">
      <c r="A323" t="s">
        <v>158</v>
      </c>
      <c r="B323" s="24">
        <v>557.88</v>
      </c>
      <c r="C323" s="24"/>
      <c r="D323" s="24"/>
      <c r="E323" s="25"/>
      <c r="F323" s="25"/>
      <c r="G323" s="24">
        <v>565.24</v>
      </c>
      <c r="H323" s="25">
        <v>2572680</v>
      </c>
      <c r="I323" s="25"/>
      <c r="J323" s="24"/>
      <c r="K323" s="22"/>
      <c r="L323" s="22">
        <v>1.3354027864215532E-2</v>
      </c>
      <c r="M323" s="26">
        <v>46287.671412037038</v>
      </c>
      <c r="N323" s="27"/>
      <c r="O323" s="23"/>
      <c r="P323" s="23"/>
    </row>
    <row r="324" spans="1:16" x14ac:dyDescent="0.15">
      <c r="A324" t="s">
        <v>990</v>
      </c>
      <c r="B324" s="24">
        <v>119.15</v>
      </c>
      <c r="C324" s="24"/>
      <c r="D324" s="24"/>
      <c r="E324" s="25"/>
      <c r="F324" s="25"/>
      <c r="G324" s="24">
        <v>118.93</v>
      </c>
      <c r="H324" s="25">
        <v>1100176</v>
      </c>
      <c r="I324" s="25"/>
      <c r="J324" s="24"/>
      <c r="K324" s="22"/>
      <c r="L324" s="22">
        <v>1.1795650987388167E-2</v>
      </c>
      <c r="M324" s="26">
        <v>46287.671412037038</v>
      </c>
      <c r="N324" s="27"/>
      <c r="O324" s="23"/>
      <c r="P324" s="23"/>
    </row>
    <row r="325" spans="1:16" x14ac:dyDescent="0.15">
      <c r="A325" t="s">
        <v>436</v>
      </c>
      <c r="B325" s="24">
        <v>348.4</v>
      </c>
      <c r="C325" s="24"/>
      <c r="D325" s="24"/>
      <c r="E325" s="25"/>
      <c r="F325" s="25"/>
      <c r="G325" s="24">
        <v>338.92</v>
      </c>
      <c r="H325" s="25">
        <v>1166963</v>
      </c>
      <c r="I325" s="25"/>
      <c r="J325" s="24"/>
      <c r="K325" s="22"/>
      <c r="L325" s="22">
        <v>1.6638842440032983E-2</v>
      </c>
      <c r="M325" s="26">
        <v>46287.671412037038</v>
      </c>
      <c r="N325" s="27"/>
      <c r="O325" s="23"/>
      <c r="P325" s="23"/>
    </row>
    <row r="326" spans="1:16" x14ac:dyDescent="0.15">
      <c r="A326" t="s">
        <v>1008</v>
      </c>
      <c r="B326" s="24">
        <v>69.959999999999994</v>
      </c>
      <c r="C326" s="24"/>
      <c r="D326" s="24"/>
      <c r="E326" s="25"/>
      <c r="F326" s="25"/>
      <c r="G326" s="24">
        <v>68.06</v>
      </c>
      <c r="H326" s="25">
        <v>1798463</v>
      </c>
      <c r="I326" s="25"/>
      <c r="J326" s="24"/>
      <c r="K326" s="22"/>
      <c r="L326" s="22">
        <v>2.3020320537659726E-2</v>
      </c>
      <c r="M326" s="26">
        <v>46287.671412037038</v>
      </c>
      <c r="N326" s="27"/>
      <c r="O326" s="23"/>
      <c r="P326" s="23"/>
    </row>
    <row r="327" spans="1:16" x14ac:dyDescent="0.15">
      <c r="A327" t="s">
        <v>248</v>
      </c>
      <c r="B327" s="24">
        <v>250.35</v>
      </c>
      <c r="C327" s="24"/>
      <c r="D327" s="24"/>
      <c r="E327" s="25"/>
      <c r="F327" s="25"/>
      <c r="G327" s="24">
        <v>248.24</v>
      </c>
      <c r="H327" s="25">
        <v>6334671</v>
      </c>
      <c r="I327" s="25"/>
      <c r="J327" s="24"/>
      <c r="K327" s="22"/>
      <c r="L327" s="22">
        <v>1.3370038423884083E-2</v>
      </c>
      <c r="M327" s="26">
        <v>46287.671412037038</v>
      </c>
      <c r="N327" s="27"/>
      <c r="O327" s="23"/>
      <c r="P327" s="23"/>
    </row>
    <row r="328" spans="1:16" x14ac:dyDescent="0.15">
      <c r="A328" t="s">
        <v>644</v>
      </c>
      <c r="B328" s="24">
        <v>75.819999999999993</v>
      </c>
      <c r="C328" s="24"/>
      <c r="D328" s="24"/>
      <c r="E328" s="25"/>
      <c r="F328" s="25"/>
      <c r="G328" s="24">
        <v>73.27</v>
      </c>
      <c r="H328" s="25">
        <v>9677910</v>
      </c>
      <c r="I328" s="25"/>
      <c r="J328" s="24"/>
      <c r="K328" s="22"/>
      <c r="L328" s="22">
        <v>3.4615681600724812E-2</v>
      </c>
      <c r="M328" s="26">
        <v>46287.671412037038</v>
      </c>
      <c r="N328" s="27"/>
      <c r="O328" s="23"/>
      <c r="P328" s="23"/>
    </row>
    <row r="329" spans="1:16" x14ac:dyDescent="0.15">
      <c r="A329" t="s">
        <v>338</v>
      </c>
      <c r="B329" s="24">
        <v>891.23</v>
      </c>
      <c r="C329" s="24"/>
      <c r="D329" s="24"/>
      <c r="E329" s="25"/>
      <c r="F329" s="25"/>
      <c r="G329" s="24">
        <v>874.65</v>
      </c>
      <c r="H329" s="25">
        <v>940314</v>
      </c>
      <c r="I329" s="25"/>
      <c r="J329" s="24"/>
      <c r="K329" s="22"/>
      <c r="L329" s="22">
        <v>2.0297757384825713E-2</v>
      </c>
      <c r="M329" s="26">
        <v>46287.671412037038</v>
      </c>
      <c r="N329" s="27"/>
      <c r="O329" s="23"/>
      <c r="P329" s="23"/>
    </row>
    <row r="330" spans="1:16" x14ac:dyDescent="0.15">
      <c r="A330" t="s">
        <v>450</v>
      </c>
      <c r="B330" s="24">
        <v>469.25</v>
      </c>
      <c r="C330" s="24"/>
      <c r="D330" s="24"/>
      <c r="E330" s="25"/>
      <c r="F330" s="25"/>
      <c r="G330" s="24">
        <v>468.59</v>
      </c>
      <c r="H330" s="25">
        <v>685143</v>
      </c>
      <c r="I330" s="25"/>
      <c r="J330" s="24"/>
      <c r="K330" s="22"/>
      <c r="L330" s="22">
        <v>1.7265492221654719E-2</v>
      </c>
      <c r="M330" s="26">
        <v>46287.671412037038</v>
      </c>
      <c r="N330" s="27"/>
      <c r="O330" s="23"/>
      <c r="P330" s="23"/>
    </row>
    <row r="331" spans="1:16" x14ac:dyDescent="0.15">
      <c r="A331" t="s">
        <v>410</v>
      </c>
      <c r="B331" s="24">
        <v>61.08</v>
      </c>
      <c r="C331" s="24"/>
      <c r="D331" s="24"/>
      <c r="E331" s="25"/>
      <c r="F331" s="25"/>
      <c r="G331" s="24">
        <v>60.85</v>
      </c>
      <c r="H331" s="25">
        <v>9425036</v>
      </c>
      <c r="I331" s="25"/>
      <c r="J331" s="24"/>
      <c r="K331" s="22"/>
      <c r="L331" s="22">
        <v>1.6204589117838189E-2</v>
      </c>
      <c r="M331" s="26">
        <v>46287.671412037038</v>
      </c>
      <c r="N331" s="27"/>
      <c r="O331" s="23"/>
      <c r="P331" s="23"/>
    </row>
    <row r="332" spans="1:16" x14ac:dyDescent="0.15">
      <c r="A332" t="s">
        <v>314</v>
      </c>
      <c r="B332" s="24">
        <v>91.074600000000004</v>
      </c>
      <c r="C332" s="24"/>
      <c r="D332" s="24"/>
      <c r="E332" s="25"/>
      <c r="F332" s="25"/>
      <c r="G332" s="24">
        <v>92.13</v>
      </c>
      <c r="H332" s="25">
        <v>7311929</v>
      </c>
      <c r="I332" s="25"/>
      <c r="J332" s="24"/>
      <c r="K332" s="22"/>
      <c r="L332" s="22">
        <v>1.6959901038487078E-2</v>
      </c>
      <c r="M332" s="26">
        <v>46287.671412037038</v>
      </c>
      <c r="N332" s="27"/>
      <c r="O332" s="23"/>
      <c r="P332" s="23"/>
    </row>
    <row r="333" spans="1:16" x14ac:dyDescent="0.15">
      <c r="A333" t="s">
        <v>1175</v>
      </c>
      <c r="B333" s="24">
        <v>1826.58</v>
      </c>
      <c r="C333" s="24"/>
      <c r="D333" s="24"/>
      <c r="E333" s="25"/>
      <c r="F333" s="25"/>
      <c r="G333" s="24">
        <v>1787.39</v>
      </c>
      <c r="H333" s="25">
        <v>1064983</v>
      </c>
      <c r="I333" s="25"/>
      <c r="J333" s="24"/>
      <c r="K333" s="22"/>
      <c r="L333" s="22">
        <v>2.1943576568248486E-2</v>
      </c>
      <c r="M333" s="26">
        <v>46287.671412037038</v>
      </c>
      <c r="N333" s="27"/>
      <c r="O333" s="23"/>
      <c r="P333" s="23"/>
    </row>
    <row r="334" spans="1:16" x14ac:dyDescent="0.15">
      <c r="A334" t="s">
        <v>556</v>
      </c>
      <c r="B334" s="24">
        <v>95.92</v>
      </c>
      <c r="C334" s="24"/>
      <c r="D334" s="24"/>
      <c r="E334" s="25"/>
      <c r="F334" s="25"/>
      <c r="G334" s="24">
        <v>97.04</v>
      </c>
      <c r="H334" s="25">
        <v>1933428</v>
      </c>
      <c r="I334" s="25"/>
      <c r="J334" s="24"/>
      <c r="K334" s="22"/>
      <c r="L334" s="22">
        <v>1.3569112246801903E-2</v>
      </c>
      <c r="M334" s="26">
        <v>46287.671412037038</v>
      </c>
      <c r="N334" s="27"/>
      <c r="O334" s="23"/>
      <c r="P334" s="23"/>
    </row>
    <row r="335" spans="1:16" x14ac:dyDescent="0.15">
      <c r="A335" t="s">
        <v>132</v>
      </c>
      <c r="B335" s="24">
        <v>736.76900000000001</v>
      </c>
      <c r="C335" s="24"/>
      <c r="D335" s="24"/>
      <c r="E335" s="25"/>
      <c r="F335" s="25"/>
      <c r="G335" s="24">
        <v>665.22500000000002</v>
      </c>
      <c r="H335" s="25">
        <v>48721935</v>
      </c>
      <c r="I335" s="25"/>
      <c r="J335" s="24"/>
      <c r="K335" s="22"/>
      <c r="L335" s="22">
        <v>3.1917473324100637E-2</v>
      </c>
      <c r="M335" s="26">
        <v>46287.671412037038</v>
      </c>
      <c r="N335" s="27"/>
      <c r="O335" s="23"/>
      <c r="P335" s="23"/>
    </row>
    <row r="336" spans="1:16" x14ac:dyDescent="0.15">
      <c r="A336" t="s">
        <v>1104</v>
      </c>
      <c r="B336" s="24">
        <v>39</v>
      </c>
      <c r="C336" s="24"/>
      <c r="D336" s="24"/>
      <c r="E336" s="25"/>
      <c r="F336" s="25"/>
      <c r="G336" s="24">
        <v>37.81</v>
      </c>
      <c r="H336" s="25">
        <v>2461095</v>
      </c>
      <c r="I336" s="25"/>
      <c r="J336" s="24"/>
      <c r="K336" s="22"/>
      <c r="L336" s="22">
        <v>1.3767099036664909E-2</v>
      </c>
      <c r="M336" s="26">
        <v>46287.671412037038</v>
      </c>
      <c r="N336" s="27"/>
      <c r="O336" s="23"/>
      <c r="P336" s="23"/>
    </row>
    <row r="337" spans="1:16" x14ac:dyDescent="0.15">
      <c r="A337" t="s">
        <v>1028</v>
      </c>
      <c r="B337" s="24">
        <v>49.42</v>
      </c>
      <c r="C337" s="24"/>
      <c r="D337" s="24"/>
      <c r="E337" s="25"/>
      <c r="F337" s="25"/>
      <c r="G337" s="24">
        <v>48.72</v>
      </c>
      <c r="H337" s="25">
        <v>3560642</v>
      </c>
      <c r="I337" s="25"/>
      <c r="J337" s="24"/>
      <c r="K337" s="22"/>
      <c r="L337" s="22">
        <v>1.9123490996047772E-2</v>
      </c>
      <c r="M337" s="26">
        <v>46287.671412037038</v>
      </c>
      <c r="N337" s="27"/>
      <c r="O337" s="23"/>
      <c r="P337" s="23"/>
    </row>
    <row r="338" spans="1:16" x14ac:dyDescent="0.15">
      <c r="A338" t="s">
        <v>728</v>
      </c>
      <c r="B338" s="24">
        <v>499.34</v>
      </c>
      <c r="C338" s="24"/>
      <c r="D338" s="24"/>
      <c r="E338" s="25"/>
      <c r="F338" s="25"/>
      <c r="G338" s="24">
        <v>490.64</v>
      </c>
      <c r="H338" s="25">
        <v>969155</v>
      </c>
      <c r="I338" s="25"/>
      <c r="J338" s="24"/>
      <c r="K338" s="22"/>
      <c r="L338" s="22">
        <v>1.9798919698241199E-2</v>
      </c>
      <c r="M338" s="26">
        <v>46287.671412037038</v>
      </c>
      <c r="N338" s="27"/>
      <c r="O338" s="23"/>
      <c r="P338" s="23"/>
    </row>
    <row r="339" spans="1:16" x14ac:dyDescent="0.15">
      <c r="A339" t="s">
        <v>380</v>
      </c>
      <c r="B339" s="24">
        <v>169.3</v>
      </c>
      <c r="C339" s="24"/>
      <c r="D339" s="24"/>
      <c r="E339" s="25"/>
      <c r="F339" s="25"/>
      <c r="G339" s="24">
        <v>164.97</v>
      </c>
      <c r="H339" s="25">
        <v>1949651</v>
      </c>
      <c r="I339" s="25"/>
      <c r="J339" s="24"/>
      <c r="K339" s="22"/>
      <c r="L339" s="22">
        <v>1.5745266019434479E-2</v>
      </c>
      <c r="M339" s="26">
        <v>46287.671412037038</v>
      </c>
      <c r="N339" s="27"/>
      <c r="O339" s="23"/>
      <c r="P339" s="23"/>
    </row>
    <row r="340" spans="1:16" x14ac:dyDescent="0.15">
      <c r="A340" t="s">
        <v>476</v>
      </c>
      <c r="B340" s="24">
        <v>44.27</v>
      </c>
      <c r="C340" s="24"/>
      <c r="D340" s="24"/>
      <c r="E340" s="25"/>
      <c r="F340" s="25"/>
      <c r="G340" s="24">
        <v>44.71</v>
      </c>
      <c r="H340" s="25">
        <v>10230389</v>
      </c>
      <c r="I340" s="25"/>
      <c r="J340" s="24"/>
      <c r="K340" s="22"/>
      <c r="L340" s="22">
        <v>1.5449914741560799E-2</v>
      </c>
      <c r="M340" s="26">
        <v>46287.671412037038</v>
      </c>
      <c r="N340" s="27"/>
      <c r="O340" s="23"/>
      <c r="P340" s="23"/>
    </row>
    <row r="341" spans="1:16" x14ac:dyDescent="0.15">
      <c r="A341" t="s">
        <v>316</v>
      </c>
      <c r="B341" s="24">
        <v>68.64</v>
      </c>
      <c r="C341" s="24"/>
      <c r="D341" s="24"/>
      <c r="E341" s="25"/>
      <c r="F341" s="25"/>
      <c r="G341" s="24">
        <v>69.52</v>
      </c>
      <c r="H341" s="25">
        <v>8020430</v>
      </c>
      <c r="I341" s="25"/>
      <c r="J341" s="24"/>
      <c r="K341" s="22"/>
      <c r="L341" s="22">
        <v>1.9192631282561504E-2</v>
      </c>
      <c r="M341" s="26">
        <v>46287.671412037038</v>
      </c>
      <c r="N341" s="27"/>
      <c r="O341" s="23"/>
      <c r="P341" s="23"/>
    </row>
    <row r="342" spans="1:16" x14ac:dyDescent="0.15">
      <c r="A342" t="s">
        <v>1100</v>
      </c>
      <c r="B342" s="24">
        <v>24.73</v>
      </c>
      <c r="C342" s="24"/>
      <c r="D342" s="24"/>
      <c r="E342" s="25"/>
      <c r="F342" s="25"/>
      <c r="G342" s="24">
        <v>24.48</v>
      </c>
      <c r="H342" s="25">
        <v>13091541</v>
      </c>
      <c r="I342" s="25"/>
      <c r="J342" s="24"/>
      <c r="K342" s="22"/>
      <c r="L342" s="22">
        <v>2.4385634905319104E-2</v>
      </c>
      <c r="M342" s="26">
        <v>46287.671423611115</v>
      </c>
      <c r="N342" s="27"/>
      <c r="O342" s="23"/>
      <c r="P342" s="23"/>
    </row>
    <row r="343" spans="1:16" x14ac:dyDescent="0.15">
      <c r="A343" t="s">
        <v>306</v>
      </c>
      <c r="B343" s="24">
        <v>390.47</v>
      </c>
      <c r="C343" s="24"/>
      <c r="D343" s="24"/>
      <c r="E343" s="25"/>
      <c r="F343" s="25"/>
      <c r="G343" s="24">
        <v>424.89</v>
      </c>
      <c r="H343" s="25">
        <v>4451109</v>
      </c>
      <c r="I343" s="25"/>
      <c r="J343" s="24"/>
      <c r="K343" s="22"/>
      <c r="L343" s="22">
        <v>2.1944606243271197E-2</v>
      </c>
      <c r="M343" s="26">
        <v>46287.671423611115</v>
      </c>
      <c r="N343" s="27"/>
      <c r="O343" s="23"/>
      <c r="P343" s="23"/>
    </row>
    <row r="344" spans="1:16" x14ac:dyDescent="0.15">
      <c r="A344" t="s">
        <v>502</v>
      </c>
      <c r="B344" s="24">
        <v>1381.99</v>
      </c>
      <c r="C344" s="24"/>
      <c r="D344" s="24"/>
      <c r="E344" s="25"/>
      <c r="F344" s="25"/>
      <c r="G344" s="24">
        <v>1217.8</v>
      </c>
      <c r="H344" s="25">
        <v>1030126</v>
      </c>
      <c r="I344" s="25"/>
      <c r="J344" s="24"/>
      <c r="K344" s="22"/>
      <c r="L344" s="22">
        <v>3.5303737264005458E-2</v>
      </c>
      <c r="M344" s="26">
        <v>46287.671423611115</v>
      </c>
      <c r="N344" s="27"/>
      <c r="O344" s="23"/>
      <c r="P344" s="23"/>
    </row>
    <row r="345" spans="1:16" x14ac:dyDescent="0.15">
      <c r="A345" t="s">
        <v>172</v>
      </c>
      <c r="B345" s="24">
        <v>150.91</v>
      </c>
      <c r="C345" s="24"/>
      <c r="D345" s="24"/>
      <c r="E345" s="25"/>
      <c r="F345" s="25"/>
      <c r="G345" s="24">
        <v>146.87</v>
      </c>
      <c r="H345" s="25">
        <v>7996436</v>
      </c>
      <c r="I345" s="25"/>
      <c r="J345" s="24"/>
      <c r="K345" s="22"/>
      <c r="L345" s="22">
        <v>2.2604168156857927E-2</v>
      </c>
      <c r="M345" s="26">
        <v>46287.671423611115</v>
      </c>
      <c r="N345" s="27"/>
      <c r="O345" s="23"/>
      <c r="P345" s="23"/>
    </row>
    <row r="346" spans="1:16" x14ac:dyDescent="0.15">
      <c r="A346" t="s">
        <v>524</v>
      </c>
      <c r="B346" s="24">
        <v>181.78870000000001</v>
      </c>
      <c r="C346" s="24"/>
      <c r="D346" s="24"/>
      <c r="E346" s="25"/>
      <c r="F346" s="25"/>
      <c r="G346" s="24">
        <v>154.04</v>
      </c>
      <c r="H346" s="25">
        <v>21018315</v>
      </c>
      <c r="I346" s="25"/>
      <c r="J346" s="24"/>
      <c r="K346" s="22"/>
      <c r="L346" s="22">
        <v>0.23607073490502289</v>
      </c>
      <c r="M346" s="26">
        <v>46287.671423611115</v>
      </c>
      <c r="N346" s="27"/>
      <c r="O346" s="23"/>
      <c r="P346" s="23"/>
    </row>
    <row r="347" spans="1:16" x14ac:dyDescent="0.15">
      <c r="A347" t="s">
        <v>384</v>
      </c>
      <c r="B347" s="24">
        <v>170.01</v>
      </c>
      <c r="C347" s="24"/>
      <c r="D347" s="24"/>
      <c r="E347" s="25"/>
      <c r="F347" s="25"/>
      <c r="G347" s="24">
        <v>175.01</v>
      </c>
      <c r="H347" s="25">
        <v>2862370</v>
      </c>
      <c r="I347" s="25"/>
      <c r="J347" s="24"/>
      <c r="K347" s="22"/>
      <c r="L347" s="22">
        <v>1.7547831680873299E-2</v>
      </c>
      <c r="M347" s="26">
        <v>46287.671423611115</v>
      </c>
      <c r="N347" s="27"/>
      <c r="O347" s="23"/>
      <c r="P347" s="23"/>
    </row>
    <row r="348" spans="1:16" x14ac:dyDescent="0.15">
      <c r="A348" t="s">
        <v>220</v>
      </c>
      <c r="B348" s="24">
        <v>261.84989999999999</v>
      </c>
      <c r="C348" s="24"/>
      <c r="D348" s="24"/>
      <c r="E348" s="25"/>
      <c r="F348" s="25"/>
      <c r="G348" s="24">
        <v>244.25</v>
      </c>
      <c r="H348" s="25">
        <v>21466254</v>
      </c>
      <c r="I348" s="25"/>
      <c r="J348" s="24"/>
      <c r="K348" s="22"/>
      <c r="L348" s="22">
        <v>5.5112789144071257E-2</v>
      </c>
      <c r="M348" s="26">
        <v>46287.671423611115</v>
      </c>
      <c r="N348" s="27"/>
      <c r="O348" s="23"/>
      <c r="P348" s="23"/>
    </row>
    <row r="349" spans="1:16" x14ac:dyDescent="0.15">
      <c r="A349" t="s">
        <v>210</v>
      </c>
      <c r="B349" s="24">
        <v>200.18</v>
      </c>
      <c r="C349" s="24"/>
      <c r="D349" s="24"/>
      <c r="E349" s="25"/>
      <c r="F349" s="25"/>
      <c r="G349" s="24">
        <v>202.58</v>
      </c>
      <c r="H349" s="25">
        <v>4042273</v>
      </c>
      <c r="I349" s="25"/>
      <c r="J349" s="24"/>
      <c r="K349" s="22"/>
      <c r="L349" s="22">
        <v>1.7978796334836837E-2</v>
      </c>
      <c r="M349" s="26">
        <v>46287.671423611115</v>
      </c>
      <c r="N349" s="27"/>
      <c r="O349" s="23"/>
      <c r="P349" s="23"/>
    </row>
    <row r="350" spans="1:16" x14ac:dyDescent="0.15">
      <c r="A350" t="s">
        <v>640</v>
      </c>
      <c r="B350" s="24">
        <v>548.88</v>
      </c>
      <c r="C350" s="24"/>
      <c r="D350" s="24"/>
      <c r="E350" s="25"/>
      <c r="F350" s="25"/>
      <c r="G350" s="24">
        <v>552.87</v>
      </c>
      <c r="H350" s="25">
        <v>430746</v>
      </c>
      <c r="I350" s="25"/>
      <c r="J350" s="24"/>
      <c r="K350" s="22"/>
      <c r="L350" s="22">
        <v>2.0680688020434761E-2</v>
      </c>
      <c r="M350" s="26">
        <v>46287.671423611115</v>
      </c>
      <c r="N350" s="27"/>
      <c r="O350" s="23"/>
      <c r="P350" s="23"/>
    </row>
    <row r="351" spans="1:16" x14ac:dyDescent="0.15">
      <c r="A351" t="s">
        <v>122</v>
      </c>
      <c r="B351" s="24">
        <v>497.83249999999998</v>
      </c>
      <c r="C351" s="24"/>
      <c r="D351" s="24"/>
      <c r="E351" s="25"/>
      <c r="F351" s="25"/>
      <c r="G351" s="24">
        <v>501.61</v>
      </c>
      <c r="H351" s="25">
        <v>16019410</v>
      </c>
      <c r="I351" s="25"/>
      <c r="J351" s="24"/>
      <c r="K351" s="22"/>
      <c r="L351" s="22">
        <v>2.6179693325035364E-2</v>
      </c>
      <c r="M351" s="26">
        <v>46287.671423611115</v>
      </c>
      <c r="N351" s="27"/>
      <c r="O351" s="23"/>
      <c r="P351" s="23"/>
    </row>
    <row r="352" spans="1:16" x14ac:dyDescent="0.15">
      <c r="A352" t="s">
        <v>416</v>
      </c>
      <c r="B352" s="24">
        <v>456.7</v>
      </c>
      <c r="C352" s="24"/>
      <c r="D352" s="24"/>
      <c r="E352" s="25"/>
      <c r="F352" s="25"/>
      <c r="G352" s="24">
        <v>458.67</v>
      </c>
      <c r="H352" s="25">
        <v>653704</v>
      </c>
      <c r="I352" s="25"/>
      <c r="J352" s="24"/>
      <c r="K352" s="22"/>
      <c r="L352" s="22">
        <v>1.6767383612984549E-2</v>
      </c>
      <c r="M352" s="26">
        <v>46287.671423611115</v>
      </c>
      <c r="N352" s="27"/>
      <c r="O352" s="23"/>
      <c r="P352" s="23"/>
    </row>
    <row r="353" spans="1:16" x14ac:dyDescent="0.15">
      <c r="A353" t="s">
        <v>1208</v>
      </c>
      <c r="B353" s="24">
        <v>166.87569999999999</v>
      </c>
      <c r="C353" s="24"/>
      <c r="D353" s="24"/>
      <c r="E353" s="25"/>
      <c r="F353" s="25"/>
      <c r="G353" s="24">
        <v>153.91999999999999</v>
      </c>
      <c r="H353" s="25">
        <v>41898751</v>
      </c>
      <c r="I353" s="25"/>
      <c r="J353" s="24"/>
      <c r="K353" s="22"/>
      <c r="L353" s="22">
        <v>5.7227819384499015E-2</v>
      </c>
      <c r="M353" s="26">
        <v>46287.671423611115</v>
      </c>
      <c r="N353" s="27"/>
      <c r="O353" s="23"/>
      <c r="P353" s="23"/>
    </row>
    <row r="354" spans="1:16" x14ac:dyDescent="0.15">
      <c r="A354" t="s">
        <v>698</v>
      </c>
      <c r="B354" s="24">
        <v>223.42</v>
      </c>
      <c r="C354" s="24"/>
      <c r="D354" s="24"/>
      <c r="E354" s="25"/>
      <c r="F354" s="25"/>
      <c r="G354" s="24">
        <v>226.96</v>
      </c>
      <c r="H354" s="25">
        <v>903715</v>
      </c>
      <c r="I354" s="25"/>
      <c r="J354" s="24"/>
      <c r="K354" s="22"/>
      <c r="L354" s="22">
        <v>1.2618719702560175E-2</v>
      </c>
      <c r="M354" s="26">
        <v>46287.671423611115</v>
      </c>
      <c r="N354" s="27"/>
      <c r="O354" s="23"/>
      <c r="P354" s="23"/>
    </row>
    <row r="355" spans="1:16" x14ac:dyDescent="0.15">
      <c r="A355" t="s">
        <v>750</v>
      </c>
      <c r="B355" s="24">
        <v>1490.76</v>
      </c>
      <c r="C355" s="24"/>
      <c r="D355" s="24"/>
      <c r="E355" s="25"/>
      <c r="F355" s="25"/>
      <c r="G355" s="24">
        <v>1392.32</v>
      </c>
      <c r="H355" s="25">
        <v>169186</v>
      </c>
      <c r="I355" s="25"/>
      <c r="J355" s="24"/>
      <c r="K355" s="22"/>
      <c r="L355" s="22">
        <v>1.6423584603133642E-2</v>
      </c>
      <c r="M355" s="26">
        <v>46287.671423611115</v>
      </c>
      <c r="N355" s="27"/>
      <c r="O355" s="23"/>
      <c r="P355" s="23"/>
    </row>
    <row r="356" spans="1:16" x14ac:dyDescent="0.15">
      <c r="A356" t="s">
        <v>134</v>
      </c>
      <c r="B356" s="24">
        <v>1094.79</v>
      </c>
      <c r="C356" s="24"/>
      <c r="D356" s="24"/>
      <c r="E356" s="25"/>
      <c r="F356" s="25"/>
      <c r="G356" s="24">
        <v>1015.8</v>
      </c>
      <c r="H356" s="25">
        <v>28174888</v>
      </c>
      <c r="I356" s="25"/>
      <c r="J356" s="24"/>
      <c r="K356" s="22"/>
      <c r="L356" s="22">
        <v>5.1230991344927236E-2</v>
      </c>
      <c r="M356" s="26">
        <v>46287.671423611115</v>
      </c>
      <c r="N356" s="27"/>
      <c r="O356" s="23"/>
      <c r="P356" s="23"/>
    </row>
    <row r="357" spans="1:16" x14ac:dyDescent="0.15">
      <c r="A357" t="s">
        <v>1210</v>
      </c>
      <c r="B357" s="24">
        <v>235.65369999999999</v>
      </c>
      <c r="C357" s="24"/>
      <c r="D357" s="24"/>
      <c r="E357" s="25"/>
      <c r="F357" s="25"/>
      <c r="G357" s="24">
        <v>223.54</v>
      </c>
      <c r="H357" s="25">
        <v>17531135</v>
      </c>
      <c r="I357" s="25"/>
      <c r="J357" s="24"/>
      <c r="K357" s="22"/>
      <c r="L357" s="22">
        <v>8.8942332216950221E-2</v>
      </c>
      <c r="M357" s="26">
        <v>46287.671423611115</v>
      </c>
      <c r="N357" s="27"/>
      <c r="O357" s="23"/>
      <c r="P357" s="23"/>
    </row>
    <row r="358" spans="1:16" x14ac:dyDescent="0.15">
      <c r="A358" t="s">
        <v>1106</v>
      </c>
      <c r="B358" s="24">
        <v>14.24</v>
      </c>
      <c r="C358" s="24"/>
      <c r="D358" s="24"/>
      <c r="E358" s="25"/>
      <c r="F358" s="25"/>
      <c r="G358" s="24">
        <v>14.12</v>
      </c>
      <c r="H358" s="25">
        <v>16684465</v>
      </c>
      <c r="I358" s="25"/>
      <c r="J358" s="24"/>
      <c r="K358" s="22"/>
      <c r="L358" s="22">
        <v>2.9007178735803888E-2</v>
      </c>
      <c r="M358" s="26">
        <v>46287.671423611115</v>
      </c>
      <c r="N358" s="27"/>
      <c r="O358" s="23"/>
      <c r="P358" s="23"/>
    </row>
    <row r="359" spans="1:16" x14ac:dyDescent="0.15">
      <c r="A359" t="s">
        <v>628</v>
      </c>
      <c r="B359" s="24">
        <v>94</v>
      </c>
      <c r="C359" s="24"/>
      <c r="D359" s="24"/>
      <c r="E359" s="25"/>
      <c r="F359" s="25"/>
      <c r="G359" s="24">
        <v>93.54</v>
      </c>
      <c r="H359" s="25">
        <v>2945348</v>
      </c>
      <c r="I359" s="25"/>
      <c r="J359" s="24"/>
      <c r="K359" s="22"/>
      <c r="L359" s="22">
        <v>1.7262782352838391E-2</v>
      </c>
      <c r="M359" s="26">
        <v>46287.671423611115</v>
      </c>
      <c r="N359" s="27"/>
      <c r="O359" s="23"/>
      <c r="P359" s="23"/>
    </row>
    <row r="360" spans="1:16" x14ac:dyDescent="0.15">
      <c r="A360" t="s">
        <v>946</v>
      </c>
      <c r="B360" s="24">
        <v>319.67</v>
      </c>
      <c r="C360" s="24"/>
      <c r="D360" s="24"/>
      <c r="E360" s="25"/>
      <c r="F360" s="25"/>
      <c r="G360" s="24">
        <v>311.57</v>
      </c>
      <c r="H360" s="25">
        <v>310742</v>
      </c>
      <c r="I360" s="25"/>
      <c r="J360" s="24"/>
      <c r="K360" s="22"/>
      <c r="L360" s="22">
        <v>1.5869142753491151E-2</v>
      </c>
      <c r="M360" s="26">
        <v>46287.671423611115</v>
      </c>
      <c r="N360" s="27"/>
      <c r="O360" s="23"/>
      <c r="P360" s="23"/>
    </row>
    <row r="361" spans="1:16" x14ac:dyDescent="0.15">
      <c r="A361" t="s">
        <v>258</v>
      </c>
      <c r="B361" s="24">
        <v>79.260000000000005</v>
      </c>
      <c r="C361" s="24"/>
      <c r="D361" s="24"/>
      <c r="E361" s="25"/>
      <c r="F361" s="25"/>
      <c r="G361" s="24">
        <v>80.47</v>
      </c>
      <c r="H361" s="25">
        <v>9303129</v>
      </c>
      <c r="I361" s="25"/>
      <c r="J361" s="24"/>
      <c r="K361" s="22"/>
      <c r="L361" s="22">
        <v>8.9669741775905924E-3</v>
      </c>
      <c r="M361" s="26">
        <v>46287.671423611115</v>
      </c>
      <c r="N361" s="27"/>
      <c r="O361" s="23"/>
      <c r="P361" s="23"/>
    </row>
    <row r="362" spans="1:16" x14ac:dyDescent="0.15">
      <c r="A362" t="s">
        <v>288</v>
      </c>
      <c r="B362" s="24">
        <v>127.1751</v>
      </c>
      <c r="C362" s="24"/>
      <c r="D362" s="24"/>
      <c r="E362" s="25"/>
      <c r="F362" s="25"/>
      <c r="G362" s="24">
        <v>123.41</v>
      </c>
      <c r="H362" s="25">
        <v>5651039</v>
      </c>
      <c r="I362" s="25"/>
      <c r="J362" s="24"/>
      <c r="K362" s="22"/>
      <c r="L362" s="22">
        <v>2.7326349698542002E-2</v>
      </c>
      <c r="M362" s="26">
        <v>46287.671435185184</v>
      </c>
      <c r="N362" s="27"/>
      <c r="O362" s="23"/>
      <c r="P362" s="23"/>
    </row>
    <row r="363" spans="1:16" x14ac:dyDescent="0.15">
      <c r="A363" t="s">
        <v>188</v>
      </c>
      <c r="B363" s="24">
        <v>72.13</v>
      </c>
      <c r="C363" s="24"/>
      <c r="D363" s="24"/>
      <c r="E363" s="25"/>
      <c r="F363" s="25"/>
      <c r="G363" s="24">
        <v>71.790000000000006</v>
      </c>
      <c r="H363" s="25">
        <v>36948267</v>
      </c>
      <c r="I363" s="25"/>
      <c r="J363" s="24"/>
      <c r="K363" s="22"/>
      <c r="L363" s="22">
        <v>2.4190236273434067E-2</v>
      </c>
      <c r="M363" s="26">
        <v>46287.671435185184</v>
      </c>
      <c r="N363" s="27"/>
      <c r="O363" s="23"/>
      <c r="P363" s="23"/>
    </row>
    <row r="364" spans="1:16" x14ac:dyDescent="0.15">
      <c r="A364" t="s">
        <v>886</v>
      </c>
      <c r="B364" s="24">
        <v>39.880000000000003</v>
      </c>
      <c r="C364" s="24"/>
      <c r="D364" s="24"/>
      <c r="E364" s="25"/>
      <c r="F364" s="25"/>
      <c r="G364" s="24">
        <v>40.58</v>
      </c>
      <c r="H364" s="25">
        <v>8278438</v>
      </c>
      <c r="I364" s="25"/>
      <c r="J364" s="24"/>
      <c r="K364" s="22"/>
      <c r="L364" s="22">
        <v>1.2071452134019636E-2</v>
      </c>
      <c r="M364" s="26">
        <v>46287.671435185184</v>
      </c>
      <c r="N364" s="27"/>
      <c r="O364" s="23"/>
      <c r="P364" s="23"/>
    </row>
    <row r="365" spans="1:16" x14ac:dyDescent="0.15">
      <c r="A365" t="s">
        <v>616</v>
      </c>
      <c r="B365" s="24">
        <v>36.110700000000001</v>
      </c>
      <c r="C365" s="24"/>
      <c r="D365" s="24"/>
      <c r="E365" s="25"/>
      <c r="F365" s="25"/>
      <c r="G365" s="24">
        <v>35.51</v>
      </c>
      <c r="H365" s="25">
        <v>42128809</v>
      </c>
      <c r="I365" s="25"/>
      <c r="J365" s="24"/>
      <c r="K365" s="22"/>
      <c r="L365" s="22">
        <v>1.9678331634864342E-2</v>
      </c>
      <c r="M365" s="26">
        <v>46287.671435185184</v>
      </c>
      <c r="N365" s="27"/>
      <c r="O365" s="23"/>
      <c r="P365" s="23"/>
    </row>
    <row r="366" spans="1:16" x14ac:dyDescent="0.15">
      <c r="A366" t="s">
        <v>442</v>
      </c>
      <c r="B366" s="24">
        <v>509.86</v>
      </c>
      <c r="C366" s="24"/>
      <c r="D366" s="24"/>
      <c r="E366" s="25"/>
      <c r="F366" s="25"/>
      <c r="G366" s="24">
        <v>527.39</v>
      </c>
      <c r="H366" s="25">
        <v>1077597</v>
      </c>
      <c r="I366" s="25"/>
      <c r="J366" s="24"/>
      <c r="K366" s="22"/>
      <c r="L366" s="22">
        <v>1.6230306409822121E-2</v>
      </c>
      <c r="M366" s="26">
        <v>46287.671435185184</v>
      </c>
      <c r="N366" s="27"/>
      <c r="O366" s="23"/>
      <c r="P366" s="23"/>
    </row>
    <row r="367" spans="1:16" x14ac:dyDescent="0.15">
      <c r="A367" t="s">
        <v>282</v>
      </c>
      <c r="B367" s="24">
        <v>136.88999999999999</v>
      </c>
      <c r="C367" s="24"/>
      <c r="D367" s="24"/>
      <c r="E367" s="25"/>
      <c r="F367" s="25"/>
      <c r="G367" s="24">
        <v>135.47</v>
      </c>
      <c r="H367" s="25">
        <v>10893056</v>
      </c>
      <c r="I367" s="25"/>
      <c r="J367" s="24"/>
      <c r="K367" s="22"/>
      <c r="L367" s="22">
        <v>3.8306590260685239E-2</v>
      </c>
      <c r="M367" s="26">
        <v>46287.671435185184</v>
      </c>
      <c r="N367" s="27"/>
      <c r="O367" s="23"/>
      <c r="P367" s="23"/>
    </row>
    <row r="368" spans="1:16" x14ac:dyDescent="0.15">
      <c r="A368" t="s">
        <v>852</v>
      </c>
      <c r="B368" s="24">
        <v>102.75</v>
      </c>
      <c r="C368" s="24"/>
      <c r="D368" s="24"/>
      <c r="E368" s="25"/>
      <c r="F368" s="25"/>
      <c r="G368" s="24">
        <v>103.66</v>
      </c>
      <c r="H368" s="25">
        <v>3634787</v>
      </c>
      <c r="I368" s="25"/>
      <c r="J368" s="24"/>
      <c r="K368" s="22"/>
      <c r="L368" s="22">
        <v>3.5066998790812938E-2</v>
      </c>
      <c r="M368" s="26">
        <v>46287.671435185184</v>
      </c>
      <c r="N368" s="27"/>
      <c r="O368" s="23"/>
      <c r="P368" s="23"/>
    </row>
    <row r="369" spans="1:16" x14ac:dyDescent="0.15">
      <c r="A369" t="s">
        <v>444</v>
      </c>
      <c r="B369" s="24">
        <v>314</v>
      </c>
      <c r="C369" s="24"/>
      <c r="D369" s="24"/>
      <c r="E369" s="25"/>
      <c r="F369" s="25"/>
      <c r="G369" s="24">
        <v>314.16000000000003</v>
      </c>
      <c r="H369" s="25">
        <v>1739192</v>
      </c>
      <c r="I369" s="25"/>
      <c r="J369" s="24"/>
      <c r="K369" s="22"/>
      <c r="L369" s="22">
        <v>1.3078815542950154E-2</v>
      </c>
      <c r="M369" s="26">
        <v>46287.671435185184</v>
      </c>
      <c r="N369" s="27"/>
      <c r="O369" s="23"/>
      <c r="P369" s="23"/>
    </row>
    <row r="370" spans="1:16" x14ac:dyDescent="0.15">
      <c r="A370" t="s">
        <v>658</v>
      </c>
      <c r="B370" s="24">
        <v>192.91</v>
      </c>
      <c r="C370" s="24"/>
      <c r="D370" s="24"/>
      <c r="E370" s="25"/>
      <c r="F370" s="25"/>
      <c r="G370" s="24">
        <v>197.79</v>
      </c>
      <c r="H370" s="25">
        <v>1801481</v>
      </c>
      <c r="I370" s="25"/>
      <c r="J370" s="24"/>
      <c r="K370" s="22"/>
      <c r="L370" s="22">
        <v>2.7495544741212397E-2</v>
      </c>
      <c r="M370" s="26">
        <v>46287.671435185184</v>
      </c>
      <c r="N370" s="27"/>
      <c r="O370" s="23"/>
      <c r="P370" s="23"/>
    </row>
    <row r="371" spans="1:16" x14ac:dyDescent="0.15">
      <c r="A371" t="s">
        <v>702</v>
      </c>
      <c r="B371" s="24">
        <v>173.4</v>
      </c>
      <c r="C371" s="24"/>
      <c r="D371" s="24"/>
      <c r="E371" s="25"/>
      <c r="F371" s="25"/>
      <c r="G371" s="24">
        <v>177.89</v>
      </c>
      <c r="H371" s="25">
        <v>797055</v>
      </c>
      <c r="I371" s="25"/>
      <c r="J371" s="24"/>
      <c r="K371" s="22"/>
      <c r="L371" s="22">
        <v>1.3607361680693751E-2</v>
      </c>
      <c r="M371" s="26">
        <v>46287.671435185184</v>
      </c>
      <c r="N371" s="27"/>
      <c r="O371" s="23"/>
      <c r="P371" s="23"/>
    </row>
    <row r="372" spans="1:16" x14ac:dyDescent="0.15">
      <c r="A372" t="s">
        <v>532</v>
      </c>
      <c r="B372" s="24">
        <v>245.66</v>
      </c>
      <c r="C372" s="24"/>
      <c r="D372" s="24"/>
      <c r="E372" s="25"/>
      <c r="F372" s="25"/>
      <c r="G372" s="24">
        <v>248.38</v>
      </c>
      <c r="H372" s="25">
        <v>1851078</v>
      </c>
      <c r="I372" s="25"/>
      <c r="J372" s="24"/>
      <c r="K372" s="22"/>
      <c r="L372" s="22">
        <v>2.3767095456381959E-2</v>
      </c>
      <c r="M372" s="26">
        <v>46287.671435185184</v>
      </c>
      <c r="N372" s="27"/>
      <c r="O372" s="23"/>
      <c r="P372" s="23"/>
    </row>
    <row r="373" spans="1:16" x14ac:dyDescent="0.15">
      <c r="A373" t="s">
        <v>119</v>
      </c>
      <c r="B373" s="24">
        <v>228.38820000000001</v>
      </c>
      <c r="C373" s="24"/>
      <c r="D373" s="24"/>
      <c r="E373" s="25"/>
      <c r="F373" s="25"/>
      <c r="G373" s="24">
        <v>222.27</v>
      </c>
      <c r="H373" s="25">
        <v>109980196</v>
      </c>
      <c r="I373" s="25"/>
      <c r="J373" s="24"/>
      <c r="K373" s="22"/>
      <c r="L373" s="22">
        <v>2.5073561590479024E-2</v>
      </c>
      <c r="M373" s="26">
        <v>46287.671435185184</v>
      </c>
      <c r="N373" s="27"/>
      <c r="O373" s="23"/>
      <c r="P373" s="23"/>
    </row>
    <row r="374" spans="1:16" x14ac:dyDescent="0.15">
      <c r="A374" t="s">
        <v>964</v>
      </c>
      <c r="B374" s="24">
        <v>6338.92</v>
      </c>
      <c r="C374" s="24"/>
      <c r="D374" s="24"/>
      <c r="E374" s="25"/>
      <c r="F374" s="25"/>
      <c r="G374" s="24">
        <v>6150.47</v>
      </c>
      <c r="H374" s="25">
        <v>39567</v>
      </c>
      <c r="I374" s="25"/>
      <c r="J374" s="24"/>
      <c r="K374" s="22"/>
      <c r="L374" s="22">
        <v>1.6595822303930557E-2</v>
      </c>
      <c r="M374" s="26">
        <v>46287.671435185184</v>
      </c>
      <c r="N374" s="27"/>
      <c r="O374" s="23"/>
      <c r="P374" s="23"/>
    </row>
    <row r="375" spans="1:16" x14ac:dyDescent="0.15">
      <c r="A375" t="s">
        <v>1122</v>
      </c>
      <c r="B375" s="24">
        <v>32.380000000000003</v>
      </c>
      <c r="C375" s="24"/>
      <c r="D375" s="24"/>
      <c r="E375" s="25"/>
      <c r="F375" s="25"/>
      <c r="G375" s="24">
        <v>32.68</v>
      </c>
      <c r="H375" s="25">
        <v>912743</v>
      </c>
      <c r="I375" s="25"/>
      <c r="J375" s="24"/>
      <c r="K375" s="22"/>
      <c r="L375" s="22">
        <v>1.8518727285214556E-2</v>
      </c>
      <c r="M375" s="26">
        <v>46287.671435185184</v>
      </c>
      <c r="N375" s="27"/>
      <c r="O375" s="23"/>
      <c r="P375" s="23"/>
    </row>
    <row r="376" spans="1:16" x14ac:dyDescent="0.15">
      <c r="A376" t="s">
        <v>1054</v>
      </c>
      <c r="B376" s="24">
        <v>29.25</v>
      </c>
      <c r="C376" s="24"/>
      <c r="D376" s="24"/>
      <c r="E376" s="25"/>
      <c r="F376" s="25"/>
      <c r="G376" s="24">
        <v>29.78</v>
      </c>
      <c r="H376" s="25">
        <v>3226580</v>
      </c>
      <c r="I376" s="25"/>
      <c r="J376" s="24"/>
      <c r="K376" s="22"/>
      <c r="L376" s="22">
        <v>1.728445586601628E-2</v>
      </c>
      <c r="M376" s="26">
        <v>46287.671435185184</v>
      </c>
      <c r="N376" s="27"/>
      <c r="O376" s="23"/>
      <c r="P376" s="23"/>
    </row>
    <row r="377" spans="1:16" x14ac:dyDescent="0.15">
      <c r="A377" t="s">
        <v>520</v>
      </c>
      <c r="B377" s="24">
        <v>237.2</v>
      </c>
      <c r="C377" s="24"/>
      <c r="D377" s="24"/>
      <c r="E377" s="25"/>
      <c r="F377" s="25"/>
      <c r="G377" s="24">
        <v>227.99</v>
      </c>
      <c r="H377" s="25">
        <v>4859254</v>
      </c>
      <c r="I377" s="25"/>
      <c r="J377" s="24"/>
      <c r="K377" s="22"/>
      <c r="L377" s="22">
        <v>2.6978160105984542E-2</v>
      </c>
      <c r="M377" s="26">
        <v>46287.671435185184</v>
      </c>
      <c r="N377" s="27"/>
      <c r="O377" s="23"/>
      <c r="P377" s="23"/>
    </row>
    <row r="378" spans="1:16" x14ac:dyDescent="0.15">
      <c r="A378" t="s">
        <v>542</v>
      </c>
      <c r="B378" s="24">
        <v>56.53</v>
      </c>
      <c r="C378" s="24"/>
      <c r="D378" s="24"/>
      <c r="E378" s="25"/>
      <c r="F378" s="25"/>
      <c r="G378" s="24">
        <v>56.66</v>
      </c>
      <c r="H378" s="25">
        <v>8624675</v>
      </c>
      <c r="I378" s="25"/>
      <c r="J378" s="24"/>
      <c r="K378" s="22"/>
      <c r="L378" s="22">
        <v>1.0654178744328748E-2</v>
      </c>
      <c r="M378" s="26">
        <v>46287.671435185184</v>
      </c>
      <c r="N378" s="27"/>
      <c r="O378" s="23"/>
      <c r="P378" s="23"/>
    </row>
    <row r="379" spans="1:16" x14ac:dyDescent="0.15">
      <c r="A379" t="s">
        <v>706</v>
      </c>
      <c r="B379" s="24">
        <v>177.37</v>
      </c>
      <c r="C379" s="24"/>
      <c r="D379" s="24"/>
      <c r="E379" s="25"/>
      <c r="F379" s="25"/>
      <c r="G379" s="24">
        <v>173</v>
      </c>
      <c r="H379" s="25">
        <v>1775954</v>
      </c>
      <c r="I379" s="25"/>
      <c r="J379" s="24"/>
      <c r="K379" s="22"/>
      <c r="L379" s="22">
        <v>1.9032249166077403E-2</v>
      </c>
      <c r="M379" s="26">
        <v>46287.671435185184</v>
      </c>
      <c r="N379" s="27"/>
      <c r="O379" s="23"/>
      <c r="P379" s="23"/>
    </row>
    <row r="380" spans="1:16" x14ac:dyDescent="0.15">
      <c r="A380" t="s">
        <v>512</v>
      </c>
      <c r="B380" s="24">
        <v>90.09</v>
      </c>
      <c r="C380" s="24"/>
      <c r="D380" s="24"/>
      <c r="E380" s="25"/>
      <c r="F380" s="25"/>
      <c r="G380" s="24">
        <v>93.46</v>
      </c>
      <c r="H380" s="25">
        <v>3255336</v>
      </c>
      <c r="I380" s="25"/>
      <c r="J380" s="24"/>
      <c r="K380" s="22"/>
      <c r="L380" s="22">
        <v>1.623582294966985E-2</v>
      </c>
      <c r="M380" s="26">
        <v>46287.671435185184</v>
      </c>
      <c r="N380" s="27"/>
      <c r="O380" s="23"/>
      <c r="P380" s="23"/>
    </row>
    <row r="381" spans="1:16" x14ac:dyDescent="0.15">
      <c r="A381" t="s">
        <v>866</v>
      </c>
      <c r="B381" s="24">
        <v>75.34</v>
      </c>
      <c r="C381" s="24"/>
      <c r="D381" s="24"/>
      <c r="E381" s="25"/>
      <c r="F381" s="25"/>
      <c r="G381" s="24">
        <v>76.569999999999993</v>
      </c>
      <c r="H381" s="25">
        <v>3705380</v>
      </c>
      <c r="I381" s="25"/>
      <c r="J381" s="24"/>
      <c r="K381" s="22"/>
      <c r="L381" s="22">
        <v>2.2768397600546421E-2</v>
      </c>
      <c r="M381" s="26">
        <v>46287.671435185184</v>
      </c>
      <c r="N381" s="27"/>
      <c r="O381" s="23"/>
      <c r="P381" s="23"/>
    </row>
    <row r="382" spans="1:16" x14ac:dyDescent="0.15">
      <c r="A382" t="s">
        <v>760</v>
      </c>
      <c r="B382" s="24">
        <v>73.5</v>
      </c>
      <c r="C382" s="24"/>
      <c r="D382" s="24"/>
      <c r="E382" s="25"/>
      <c r="F382" s="25"/>
      <c r="G382" s="24">
        <v>69.98</v>
      </c>
      <c r="H382" s="25">
        <v>12338000</v>
      </c>
      <c r="I382" s="25"/>
      <c r="J382" s="24"/>
      <c r="K382" s="22"/>
      <c r="L382" s="22">
        <v>4.6345216306767405E-2</v>
      </c>
      <c r="M382" s="26">
        <v>46287.671423611115</v>
      </c>
      <c r="N382" s="27"/>
      <c r="O382" s="23"/>
      <c r="P382" s="23"/>
    </row>
    <row r="383" spans="1:16" x14ac:dyDescent="0.15">
      <c r="A383" t="s">
        <v>202</v>
      </c>
      <c r="B383" s="24">
        <v>149.17140000000001</v>
      </c>
      <c r="C383" s="24"/>
      <c r="D383" s="24"/>
      <c r="E383" s="25"/>
      <c r="F383" s="25"/>
      <c r="G383" s="24">
        <v>147.61000000000001</v>
      </c>
      <c r="H383" s="25">
        <v>22418391</v>
      </c>
      <c r="I383" s="25"/>
      <c r="J383" s="24"/>
      <c r="K383" s="22"/>
      <c r="L383" s="22">
        <v>3.4582771027341939E-2</v>
      </c>
      <c r="M383" s="26">
        <v>46287.671423611115</v>
      </c>
      <c r="N383" s="27"/>
      <c r="O383" s="23"/>
      <c r="P383" s="23"/>
    </row>
    <row r="384" spans="1:16" x14ac:dyDescent="0.15">
      <c r="A384" t="s">
        <v>458</v>
      </c>
      <c r="B384" s="24">
        <v>85.82</v>
      </c>
      <c r="C384" s="24"/>
      <c r="D384" s="24"/>
      <c r="E384" s="25"/>
      <c r="F384" s="25"/>
      <c r="G384" s="24">
        <v>84.71</v>
      </c>
      <c r="H384" s="25">
        <v>7782577</v>
      </c>
      <c r="I384" s="25"/>
      <c r="J384" s="24"/>
      <c r="K384" s="22"/>
      <c r="L384" s="22">
        <v>1.9638958238970765E-2</v>
      </c>
      <c r="M384" s="26">
        <v>46287.671423611115</v>
      </c>
      <c r="N384" s="27"/>
      <c r="O384" s="23"/>
      <c r="P384" s="23"/>
    </row>
    <row r="385" spans="1:16" x14ac:dyDescent="0.15">
      <c r="A385" t="s">
        <v>778</v>
      </c>
      <c r="B385" s="24">
        <v>68.08</v>
      </c>
      <c r="C385" s="24"/>
      <c r="D385" s="24"/>
      <c r="E385" s="25"/>
      <c r="F385" s="25"/>
      <c r="G385" s="24">
        <v>68.52</v>
      </c>
      <c r="H385" s="25">
        <v>4734794</v>
      </c>
      <c r="I385" s="25"/>
      <c r="J385" s="24"/>
      <c r="K385" s="22"/>
      <c r="L385" s="22">
        <v>1.4600588783760683E-2</v>
      </c>
      <c r="M385" s="26">
        <v>46287.671423611115</v>
      </c>
      <c r="N385" s="27"/>
      <c r="O385" s="23"/>
      <c r="P385" s="23"/>
    </row>
    <row r="386" spans="1:16" x14ac:dyDescent="0.15">
      <c r="A386" t="s">
        <v>614</v>
      </c>
      <c r="B386" s="24">
        <v>56.31</v>
      </c>
      <c r="C386" s="24"/>
      <c r="D386" s="24"/>
      <c r="E386" s="25"/>
      <c r="F386" s="25"/>
      <c r="G386" s="24">
        <v>58.84</v>
      </c>
      <c r="H386" s="25">
        <v>8899594</v>
      </c>
      <c r="I386" s="25"/>
      <c r="J386" s="24"/>
      <c r="K386" s="22"/>
      <c r="L386" s="22">
        <v>2.2056898194996309E-2</v>
      </c>
      <c r="M386" s="26">
        <v>46287.671423611115</v>
      </c>
      <c r="N386" s="27"/>
      <c r="O386" s="23"/>
      <c r="P386" s="23"/>
    </row>
    <row r="387" spans="1:16" x14ac:dyDescent="0.15">
      <c r="A387" t="s">
        <v>682</v>
      </c>
      <c r="B387" s="24">
        <v>110</v>
      </c>
      <c r="C387" s="24"/>
      <c r="D387" s="24"/>
      <c r="E387" s="25"/>
      <c r="F387" s="25"/>
      <c r="G387" s="24">
        <v>104.14</v>
      </c>
      <c r="H387" s="25">
        <v>7342560</v>
      </c>
      <c r="I387" s="25"/>
      <c r="J387" s="24"/>
      <c r="K387" s="22"/>
      <c r="L387" s="22">
        <v>4.5610387645350345E-2</v>
      </c>
      <c r="M387" s="26">
        <v>46287.671423611115</v>
      </c>
      <c r="N387" s="27"/>
      <c r="O387" s="23"/>
      <c r="P387" s="23"/>
    </row>
    <row r="388" spans="1:16" x14ac:dyDescent="0.15">
      <c r="A388" t="s">
        <v>190</v>
      </c>
      <c r="B388" s="24">
        <v>374.7</v>
      </c>
      <c r="C388" s="24"/>
      <c r="D388" s="24"/>
      <c r="E388" s="25"/>
      <c r="F388" s="25"/>
      <c r="G388" s="24">
        <v>363.58</v>
      </c>
      <c r="H388" s="25">
        <v>5385845</v>
      </c>
      <c r="I388" s="25"/>
      <c r="J388" s="24"/>
      <c r="K388" s="22"/>
      <c r="L388" s="22">
        <v>4.0146803773223577E-2</v>
      </c>
      <c r="M388" s="26">
        <v>46287.671423611115</v>
      </c>
      <c r="N388" s="27"/>
      <c r="O388" s="23"/>
      <c r="P388" s="23"/>
    </row>
    <row r="389" spans="1:16" x14ac:dyDescent="0.15">
      <c r="A389" t="s">
        <v>664</v>
      </c>
      <c r="B389" s="24">
        <v>114.53</v>
      </c>
      <c r="C389" s="24"/>
      <c r="D389" s="24"/>
      <c r="E389" s="25"/>
      <c r="F389" s="25"/>
      <c r="G389" s="24">
        <v>116.14</v>
      </c>
      <c r="H389" s="25">
        <v>2915056</v>
      </c>
      <c r="I389" s="25"/>
      <c r="J389" s="24"/>
      <c r="K389" s="22"/>
      <c r="L389" s="22">
        <v>1.9897672804243146E-2</v>
      </c>
      <c r="M389" s="26">
        <v>46287.671423611115</v>
      </c>
      <c r="N389" s="27"/>
      <c r="O389" s="23"/>
      <c r="P389" s="23"/>
    </row>
    <row r="390" spans="1:16" x14ac:dyDescent="0.15">
      <c r="A390" t="s">
        <v>498</v>
      </c>
      <c r="B390" s="24">
        <v>113.9</v>
      </c>
      <c r="C390" s="24"/>
      <c r="D390" s="24"/>
      <c r="E390" s="25"/>
      <c r="F390" s="25"/>
      <c r="G390" s="24">
        <v>116.06</v>
      </c>
      <c r="H390" s="25">
        <v>5239605</v>
      </c>
      <c r="I390" s="25"/>
      <c r="J390" s="24"/>
      <c r="K390" s="22"/>
      <c r="L390" s="22">
        <v>1.5971525821968799E-2</v>
      </c>
      <c r="M390" s="26">
        <v>46287.671423611115</v>
      </c>
      <c r="N390" s="27"/>
      <c r="O390" s="23"/>
      <c r="P390" s="23"/>
    </row>
    <row r="391" spans="1:16" x14ac:dyDescent="0.15">
      <c r="A391" t="s">
        <v>732</v>
      </c>
      <c r="B391" s="24">
        <v>12.91</v>
      </c>
      <c r="C391" s="24"/>
      <c r="D391" s="24"/>
      <c r="E391" s="25"/>
      <c r="F391" s="25"/>
      <c r="G391" s="24">
        <v>13.2</v>
      </c>
      <c r="H391" s="25">
        <v>48394008</v>
      </c>
      <c r="I391" s="25"/>
      <c r="J391" s="24"/>
      <c r="K391" s="22"/>
      <c r="L391" s="22">
        <v>3.4765374027020249E-2</v>
      </c>
      <c r="M391" s="26">
        <v>46287.671423611115</v>
      </c>
      <c r="N391" s="27"/>
      <c r="O391" s="23"/>
      <c r="P391" s="23"/>
    </row>
    <row r="392" spans="1:16" x14ac:dyDescent="0.15">
      <c r="A392" t="s">
        <v>1203</v>
      </c>
      <c r="B392" s="24">
        <v>80.349999999999994</v>
      </c>
      <c r="C392" s="24"/>
      <c r="D392" s="24"/>
      <c r="E392" s="25"/>
      <c r="F392" s="25"/>
      <c r="G392" s="24">
        <v>78.900000000000006</v>
      </c>
      <c r="H392" s="25">
        <v>6500902</v>
      </c>
      <c r="I392" s="25"/>
      <c r="J392" s="24"/>
      <c r="K392" s="22"/>
      <c r="L392" s="22">
        <v>2.0777940577761462E-2</v>
      </c>
      <c r="M392" s="26">
        <v>46287.671423611115</v>
      </c>
      <c r="N392" s="27"/>
      <c r="O392" s="23"/>
      <c r="P392" s="23"/>
    </row>
    <row r="393" spans="1:16" x14ac:dyDescent="0.15">
      <c r="A393" t="s">
        <v>680</v>
      </c>
      <c r="B393" s="24">
        <v>69.12</v>
      </c>
      <c r="C393" s="24"/>
      <c r="D393" s="24"/>
      <c r="E393" s="25"/>
      <c r="F393" s="25"/>
      <c r="G393" s="24">
        <v>69.77</v>
      </c>
      <c r="H393" s="25">
        <v>3821477</v>
      </c>
      <c r="I393" s="25"/>
      <c r="J393" s="24"/>
      <c r="K393" s="22"/>
      <c r="L393" s="22">
        <v>9.7255849538361271E-3</v>
      </c>
      <c r="M393" s="26">
        <v>46287.671423611115</v>
      </c>
      <c r="N393" s="27"/>
      <c r="O393" s="23"/>
      <c r="P393" s="23"/>
    </row>
    <row r="394" spans="1:16" x14ac:dyDescent="0.15">
      <c r="A394" t="s">
        <v>246</v>
      </c>
      <c r="B394" s="24">
        <v>131.19</v>
      </c>
      <c r="C394" s="24"/>
      <c r="D394" s="24"/>
      <c r="E394" s="25"/>
      <c r="F394" s="25"/>
      <c r="G394" s="24">
        <v>129.75</v>
      </c>
      <c r="H394" s="25">
        <v>12011336</v>
      </c>
      <c r="I394" s="25"/>
      <c r="J394" s="24"/>
      <c r="K394" s="22"/>
      <c r="L394" s="22">
        <v>1.4189000549451453E-2</v>
      </c>
      <c r="M394" s="26">
        <v>46287.671423611115</v>
      </c>
      <c r="N394" s="27"/>
      <c r="O394" s="23"/>
      <c r="P394" s="23"/>
    </row>
    <row r="395" spans="1:16" x14ac:dyDescent="0.15">
      <c r="A395" t="s">
        <v>272</v>
      </c>
      <c r="B395" s="24">
        <v>27.93</v>
      </c>
      <c r="C395" s="24"/>
      <c r="D395" s="24"/>
      <c r="E395" s="25"/>
      <c r="F395" s="25"/>
      <c r="G395" s="24">
        <v>27.66</v>
      </c>
      <c r="H395" s="25">
        <v>28776660</v>
      </c>
      <c r="I395" s="25"/>
      <c r="J395" s="24"/>
      <c r="K395" s="22"/>
      <c r="L395" s="22">
        <v>1.2771998290586192E-2</v>
      </c>
      <c r="M395" s="26">
        <v>46287.671423611115</v>
      </c>
      <c r="N395" s="27"/>
      <c r="O395" s="23"/>
      <c r="P395" s="23"/>
    </row>
    <row r="396" spans="1:16" x14ac:dyDescent="0.15">
      <c r="A396" t="s">
        <v>836</v>
      </c>
      <c r="B396" s="24">
        <v>113.59</v>
      </c>
      <c r="C396" s="24"/>
      <c r="D396" s="24"/>
      <c r="E396" s="25"/>
      <c r="F396" s="25"/>
      <c r="G396" s="24">
        <v>117.67</v>
      </c>
      <c r="H396" s="25">
        <v>1219518</v>
      </c>
      <c r="I396" s="25"/>
      <c r="J396" s="24"/>
      <c r="K396" s="22"/>
      <c r="L396" s="22">
        <v>1.4683235161173314E-2</v>
      </c>
      <c r="M396" s="26">
        <v>46287.671423611115</v>
      </c>
      <c r="N396" s="27"/>
      <c r="O396" s="23"/>
      <c r="P396" s="23"/>
    </row>
    <row r="397" spans="1:16" x14ac:dyDescent="0.15">
      <c r="A397" t="s">
        <v>180</v>
      </c>
      <c r="B397" s="24">
        <v>148.22</v>
      </c>
      <c r="C397" s="24"/>
      <c r="D397" s="24"/>
      <c r="E397" s="25"/>
      <c r="F397" s="25"/>
      <c r="G397" s="24">
        <v>146.38999999999999</v>
      </c>
      <c r="H397" s="25">
        <v>5825561</v>
      </c>
      <c r="I397" s="25"/>
      <c r="J397" s="24"/>
      <c r="K397" s="22"/>
      <c r="L397" s="22">
        <v>1.1268495861867348E-2</v>
      </c>
      <c r="M397" s="26">
        <v>46287.671423611115</v>
      </c>
      <c r="N397" s="27"/>
      <c r="O397" s="23"/>
      <c r="P397" s="23"/>
    </row>
    <row r="398" spans="1:16" x14ac:dyDescent="0.15">
      <c r="A398" t="s">
        <v>298</v>
      </c>
      <c r="B398" s="24">
        <v>206.94</v>
      </c>
      <c r="C398" s="24"/>
      <c r="D398" s="24"/>
      <c r="E398" s="25"/>
      <c r="F398" s="25"/>
      <c r="G398" s="24">
        <v>213.48</v>
      </c>
      <c r="H398" s="25">
        <v>2206815</v>
      </c>
      <c r="I398" s="25"/>
      <c r="J398" s="24"/>
      <c r="K398" s="22"/>
      <c r="L398" s="22">
        <v>2.1174465756099905E-2</v>
      </c>
      <c r="M398" s="26">
        <v>46287.671423611115</v>
      </c>
      <c r="N398" s="27"/>
      <c r="O398" s="23"/>
      <c r="P398" s="23"/>
    </row>
    <row r="399" spans="1:16" x14ac:dyDescent="0.15">
      <c r="A399" t="s">
        <v>308</v>
      </c>
      <c r="B399" s="24">
        <v>959</v>
      </c>
      <c r="C399" s="24"/>
      <c r="D399" s="24"/>
      <c r="E399" s="25"/>
      <c r="F399" s="25"/>
      <c r="G399" s="24">
        <v>943.54</v>
      </c>
      <c r="H399" s="25">
        <v>647065</v>
      </c>
      <c r="I399" s="25"/>
      <c r="J399" s="24"/>
      <c r="K399" s="22"/>
      <c r="L399" s="22">
        <v>1.6844509749850176E-2</v>
      </c>
      <c r="M399" s="26">
        <v>46287.671423611115</v>
      </c>
      <c r="N399" s="27"/>
      <c r="O399" s="23"/>
      <c r="P399" s="23"/>
    </row>
    <row r="400" spans="1:16" x14ac:dyDescent="0.15">
      <c r="A400" t="s">
        <v>850</v>
      </c>
      <c r="B400" s="24">
        <v>122.29</v>
      </c>
      <c r="C400" s="24"/>
      <c r="D400" s="24"/>
      <c r="E400" s="25"/>
      <c r="F400" s="25"/>
      <c r="G400" s="24">
        <v>117.26</v>
      </c>
      <c r="H400" s="25">
        <v>1587909</v>
      </c>
      <c r="I400" s="25"/>
      <c r="J400" s="24"/>
      <c r="K400" s="22"/>
      <c r="L400" s="22">
        <v>1.940207534248839E-2</v>
      </c>
      <c r="M400" s="26">
        <v>46287.671423611115</v>
      </c>
      <c r="N400" s="27"/>
      <c r="O400" s="23"/>
      <c r="P400" s="23"/>
    </row>
    <row r="401" spans="1:16" x14ac:dyDescent="0.15">
      <c r="A401" t="s">
        <v>872</v>
      </c>
      <c r="B401" s="24">
        <v>238.23</v>
      </c>
      <c r="C401" s="24"/>
      <c r="D401" s="24"/>
      <c r="E401" s="25"/>
      <c r="F401" s="25"/>
      <c r="G401" s="24">
        <v>232.77</v>
      </c>
      <c r="H401" s="25">
        <v>720261</v>
      </c>
      <c r="I401" s="25"/>
      <c r="J401" s="24"/>
      <c r="K401" s="22"/>
      <c r="L401" s="22">
        <v>1.7996399430201114E-2</v>
      </c>
      <c r="M401" s="26">
        <v>46287.671423611115</v>
      </c>
      <c r="N401" s="27"/>
      <c r="O401" s="23"/>
      <c r="P401" s="23"/>
    </row>
    <row r="402" spans="1:16" x14ac:dyDescent="0.15">
      <c r="A402" t="s">
        <v>294</v>
      </c>
      <c r="B402" s="24"/>
      <c r="C402" s="24"/>
      <c r="D402" s="24"/>
      <c r="E402" s="25"/>
      <c r="F402" s="25"/>
      <c r="G402" s="24">
        <v>135.82000732421875</v>
      </c>
      <c r="H402" s="25"/>
      <c r="I402" s="25"/>
      <c r="J402" s="24"/>
      <c r="K402" s="22"/>
      <c r="L402" s="22">
        <v>1.3432073739188531E-2</v>
      </c>
      <c r="M402" s="26"/>
      <c r="N402" s="27"/>
      <c r="O402" s="23"/>
      <c r="P402" s="23"/>
    </row>
    <row r="403" spans="1:16" x14ac:dyDescent="0.15">
      <c r="A403" t="s">
        <v>164</v>
      </c>
      <c r="B403" s="24"/>
      <c r="C403" s="24"/>
      <c r="D403" s="24"/>
      <c r="E403" s="25"/>
      <c r="F403" s="25"/>
      <c r="G403" s="24">
        <v>183.08999633789062</v>
      </c>
      <c r="H403" s="25"/>
      <c r="I403" s="25"/>
      <c r="J403" s="24"/>
      <c r="K403" s="22"/>
      <c r="L403" s="22">
        <v>4.9655692736837093E-2</v>
      </c>
      <c r="M403" s="26"/>
      <c r="N403" s="27"/>
      <c r="O403" s="23"/>
      <c r="P403" s="23"/>
    </row>
    <row r="404" spans="1:16" x14ac:dyDescent="0.15">
      <c r="A404" t="s">
        <v>192</v>
      </c>
      <c r="B404" s="24"/>
      <c r="C404" s="24"/>
      <c r="D404" s="24"/>
      <c r="E404" s="25"/>
      <c r="F404" s="25"/>
      <c r="G404" s="24">
        <v>187.47999572753906</v>
      </c>
      <c r="H404" s="25"/>
      <c r="I404" s="25"/>
      <c r="J404" s="24"/>
      <c r="K404" s="22"/>
      <c r="L404" s="22">
        <v>1.702730142267686E-2</v>
      </c>
      <c r="M404" s="26"/>
      <c r="N404" s="27"/>
      <c r="O404" s="23"/>
      <c r="P404" s="23"/>
    </row>
    <row r="405" spans="1:16" x14ac:dyDescent="0.15">
      <c r="A405" t="s">
        <v>362</v>
      </c>
      <c r="B405" s="24"/>
      <c r="C405" s="24"/>
      <c r="D405" s="24"/>
      <c r="E405" s="25"/>
      <c r="F405" s="25"/>
      <c r="G405" s="24">
        <v>233.25</v>
      </c>
      <c r="H405" s="25"/>
      <c r="I405" s="25"/>
      <c r="J405" s="24"/>
      <c r="K405" s="22"/>
      <c r="L405" s="22">
        <v>1.124947385466009E-2</v>
      </c>
      <c r="M405" s="26"/>
      <c r="N405" s="27"/>
      <c r="O405" s="23"/>
      <c r="P405" s="23"/>
    </row>
    <row r="406" spans="1:16" x14ac:dyDescent="0.15">
      <c r="A406" t="s">
        <v>1092</v>
      </c>
      <c r="B406" s="24"/>
      <c r="C406" s="24"/>
      <c r="D406" s="24"/>
      <c r="E406" s="25"/>
      <c r="F406" s="25"/>
      <c r="G406" s="24">
        <v>55.779998779296875</v>
      </c>
      <c r="H406" s="25"/>
      <c r="I406" s="25"/>
      <c r="J406" s="24"/>
      <c r="K406" s="22"/>
      <c r="L406" s="22">
        <v>2.5950325165996883E-2</v>
      </c>
      <c r="M406" s="26"/>
      <c r="N406" s="27"/>
      <c r="O406" s="23"/>
      <c r="P406" s="23"/>
    </row>
    <row r="407" spans="1:16" x14ac:dyDescent="0.15">
      <c r="A407" t="s">
        <v>1044</v>
      </c>
      <c r="B407" s="24"/>
      <c r="C407" s="24"/>
      <c r="D407" s="24"/>
      <c r="E407" s="25"/>
      <c r="F407" s="25"/>
      <c r="G407" s="24">
        <v>93.30999755859375</v>
      </c>
      <c r="H407" s="25"/>
      <c r="I407" s="25"/>
      <c r="J407" s="24"/>
      <c r="K407" s="22"/>
      <c r="L407" s="22">
        <v>1.0222201902625573E-2</v>
      </c>
      <c r="M407" s="26"/>
      <c r="N407" s="27"/>
      <c r="O407" s="23"/>
      <c r="P407" s="23"/>
    </row>
    <row r="408" spans="1:16" x14ac:dyDescent="0.15">
      <c r="A408" t="s">
        <v>1078</v>
      </c>
      <c r="B408" s="24"/>
      <c r="C408" s="24"/>
      <c r="D408" s="24"/>
      <c r="E408" s="25"/>
      <c r="F408" s="25"/>
      <c r="G408" s="24">
        <v>140.52999877929688</v>
      </c>
      <c r="H408" s="25"/>
      <c r="I408" s="25"/>
      <c r="J408" s="24"/>
      <c r="K408" s="22"/>
      <c r="L408" s="22">
        <v>3.4612084094194251E-2</v>
      </c>
      <c r="M408" s="26"/>
      <c r="N408" s="27"/>
      <c r="O408" s="23"/>
      <c r="P408" s="23"/>
    </row>
    <row r="409" spans="1:16" x14ac:dyDescent="0.15">
      <c r="A409" t="s">
        <v>824</v>
      </c>
      <c r="B409" s="24"/>
      <c r="C409" s="24"/>
      <c r="D409" s="24"/>
      <c r="E409" s="25"/>
      <c r="F409" s="25"/>
      <c r="G409" s="24">
        <v>106.625</v>
      </c>
      <c r="H409" s="25"/>
      <c r="I409" s="25"/>
      <c r="J409" s="24"/>
      <c r="K409" s="22"/>
      <c r="L409" s="22">
        <v>1.8388115140879256E-2</v>
      </c>
      <c r="M409" s="26"/>
      <c r="N409" s="27"/>
      <c r="O409" s="23"/>
      <c r="P409" s="23"/>
    </row>
    <row r="410" spans="1:16" x14ac:dyDescent="0.15">
      <c r="A410" t="s">
        <v>796</v>
      </c>
      <c r="B410" s="24"/>
      <c r="C410" s="24"/>
      <c r="D410" s="24"/>
      <c r="E410" s="25"/>
      <c r="F410" s="25"/>
      <c r="G410" s="24">
        <v>33.049999237060547</v>
      </c>
      <c r="H410" s="25"/>
      <c r="I410" s="25"/>
      <c r="J410" s="24"/>
      <c r="K410" s="22"/>
      <c r="L410" s="22">
        <v>1.1572117039637873E-2</v>
      </c>
      <c r="M410" s="26"/>
      <c r="N410" s="27"/>
      <c r="O410" s="23"/>
      <c r="P410" s="23"/>
    </row>
    <row r="411" spans="1:16" x14ac:dyDescent="0.15">
      <c r="A411" t="s">
        <v>636</v>
      </c>
      <c r="B411" s="24"/>
      <c r="C411" s="24"/>
      <c r="D411" s="24"/>
      <c r="E411" s="25"/>
      <c r="F411" s="25"/>
      <c r="G411" s="24">
        <v>118.52999877929688</v>
      </c>
      <c r="H411" s="25"/>
      <c r="I411" s="25"/>
      <c r="J411" s="24"/>
      <c r="K411" s="22"/>
      <c r="L411" s="22">
        <v>1.2920512339970531E-2</v>
      </c>
      <c r="M411" s="26"/>
      <c r="N411" s="27"/>
      <c r="O411" s="23"/>
      <c r="P411" s="23"/>
    </row>
    <row r="412" spans="1:16" x14ac:dyDescent="0.15">
      <c r="A412" t="s">
        <v>562</v>
      </c>
      <c r="B412" s="24"/>
      <c r="C412" s="24"/>
      <c r="D412" s="24"/>
      <c r="E412" s="25"/>
      <c r="F412" s="25"/>
      <c r="G412" s="24">
        <v>296.67001342773438</v>
      </c>
      <c r="H412" s="25"/>
      <c r="I412" s="25"/>
      <c r="J412" s="24"/>
      <c r="K412" s="22"/>
      <c r="L412" s="22">
        <v>1.3692049477927461E-2</v>
      </c>
      <c r="M412" s="26"/>
      <c r="N412" s="27"/>
      <c r="O412" s="23"/>
      <c r="P412" s="23"/>
    </row>
    <row r="413" spans="1:16" x14ac:dyDescent="0.15">
      <c r="A413" t="s">
        <v>1118</v>
      </c>
      <c r="B413" s="24"/>
      <c r="C413" s="24"/>
      <c r="D413" s="24"/>
      <c r="E413" s="25"/>
      <c r="F413" s="25"/>
      <c r="G413" s="24">
        <v>9.9099998474121094</v>
      </c>
      <c r="H413" s="25"/>
      <c r="I413" s="25"/>
      <c r="J413" s="24"/>
      <c r="K413" s="22"/>
      <c r="L413" s="22">
        <v>2.529436431673053E-2</v>
      </c>
      <c r="M413" s="26"/>
      <c r="N413" s="27"/>
      <c r="O413" s="23"/>
      <c r="P413" s="23"/>
    </row>
    <row r="414" spans="1:16" x14ac:dyDescent="0.15">
      <c r="A414" t="s">
        <v>324</v>
      </c>
      <c r="B414" s="24"/>
      <c r="C414" s="24"/>
      <c r="D414" s="24"/>
      <c r="E414" s="25"/>
      <c r="F414" s="25"/>
      <c r="G414" s="24">
        <v>261.75</v>
      </c>
      <c r="H414" s="25"/>
      <c r="I414" s="25"/>
      <c r="J414" s="24"/>
      <c r="K414" s="22"/>
      <c r="L414" s="22">
        <v>1.9987499356207198E-2</v>
      </c>
      <c r="M414" s="26"/>
      <c r="N414" s="27"/>
      <c r="O414" s="23"/>
      <c r="P414" s="23"/>
    </row>
    <row r="415" spans="1:16" x14ac:dyDescent="0.15">
      <c r="A415" t="s">
        <v>978</v>
      </c>
      <c r="B415" s="24"/>
      <c r="C415" s="24"/>
      <c r="D415" s="24"/>
      <c r="E415" s="25"/>
      <c r="F415" s="25"/>
      <c r="G415" s="24">
        <v>135.27999877929688</v>
      </c>
      <c r="H415" s="25"/>
      <c r="I415" s="25"/>
      <c r="J415" s="24"/>
      <c r="K415" s="22"/>
      <c r="L415" s="22">
        <v>2.8034384768098143E-2</v>
      </c>
      <c r="M415" s="26"/>
      <c r="N415" s="27"/>
      <c r="O415" s="23"/>
      <c r="P415" s="23"/>
    </row>
    <row r="416" spans="1:16" x14ac:dyDescent="0.15">
      <c r="A416" t="s">
        <v>352</v>
      </c>
      <c r="B416" s="24"/>
      <c r="C416" s="24"/>
      <c r="D416" s="24"/>
      <c r="E416" s="25"/>
      <c r="F416" s="25"/>
      <c r="G416" s="24">
        <v>642.6099853515625</v>
      </c>
      <c r="H416" s="25"/>
      <c r="I416" s="25"/>
      <c r="J416" s="24"/>
      <c r="K416" s="22"/>
      <c r="L416" s="22">
        <v>3.3427209802732255E-2</v>
      </c>
      <c r="M416" s="26"/>
      <c r="N416" s="27"/>
      <c r="O416" s="23"/>
      <c r="P416" s="23"/>
    </row>
    <row r="417" spans="1:16" x14ac:dyDescent="0.15">
      <c r="A417" t="s">
        <v>596</v>
      </c>
      <c r="B417" s="24"/>
      <c r="C417" s="24"/>
      <c r="D417" s="24"/>
      <c r="E417" s="25"/>
      <c r="F417" s="25"/>
      <c r="G417" s="24">
        <v>52.619998931884766</v>
      </c>
      <c r="H417" s="25"/>
      <c r="I417" s="25"/>
      <c r="J417" s="24"/>
      <c r="K417" s="22"/>
      <c r="L417" s="22">
        <v>3.3183089128117425E-2</v>
      </c>
      <c r="M417" s="26"/>
      <c r="N417" s="27"/>
      <c r="O417" s="23"/>
      <c r="P417" s="23"/>
    </row>
    <row r="418" spans="1:16" x14ac:dyDescent="0.15">
      <c r="A418" t="s">
        <v>794</v>
      </c>
      <c r="B418" s="24"/>
      <c r="C418" s="24"/>
      <c r="D418" s="24"/>
      <c r="E418" s="25"/>
      <c r="F418" s="25"/>
      <c r="G418" s="24">
        <v>121.81999969482422</v>
      </c>
      <c r="H418" s="25"/>
      <c r="I418" s="25"/>
      <c r="J418" s="24"/>
      <c r="K418" s="22"/>
      <c r="L418" s="22">
        <v>3.1622491175397449E-2</v>
      </c>
      <c r="M418" s="26"/>
      <c r="N418" s="27"/>
      <c r="O418" s="23"/>
      <c r="P418" s="23"/>
    </row>
    <row r="419" spans="1:16" x14ac:dyDescent="0.15">
      <c r="A419" t="s">
        <v>236</v>
      </c>
      <c r="B419" s="24"/>
      <c r="C419" s="24"/>
      <c r="D419" s="24"/>
      <c r="E419" s="25"/>
      <c r="F419" s="25"/>
      <c r="G419" s="24">
        <v>194.22999572753906</v>
      </c>
      <c r="H419" s="25"/>
      <c r="I419" s="25"/>
      <c r="J419" s="24"/>
      <c r="K419" s="22"/>
      <c r="L419" s="22">
        <v>3.0390756480305869E-2</v>
      </c>
      <c r="M419" s="26"/>
      <c r="N419" s="27"/>
      <c r="O419" s="23"/>
      <c r="P419" s="23"/>
    </row>
    <row r="420" spans="1:16" x14ac:dyDescent="0.15">
      <c r="A420" t="s">
        <v>43</v>
      </c>
      <c r="B420" s="24"/>
      <c r="C420" s="24"/>
      <c r="D420" s="24"/>
      <c r="E420" s="25"/>
      <c r="F420" s="25"/>
      <c r="G420" s="24">
        <v>305.26998901367188</v>
      </c>
      <c r="H420" s="25"/>
      <c r="I420" s="25"/>
      <c r="J420" s="24"/>
      <c r="K420" s="22"/>
      <c r="L420" s="22">
        <v>1.3168030547543751E-2</v>
      </c>
      <c r="M420" s="26"/>
      <c r="N420" s="27"/>
      <c r="O420" s="23"/>
      <c r="P420" s="23"/>
    </row>
    <row r="421" spans="1:16" x14ac:dyDescent="0.15">
      <c r="A421" t="s">
        <v>500</v>
      </c>
      <c r="B421" s="24"/>
      <c r="C421" s="24"/>
      <c r="D421" s="24"/>
      <c r="E421" s="25"/>
      <c r="F421" s="25"/>
      <c r="G421" s="24">
        <v>250.25</v>
      </c>
      <c r="H421" s="25"/>
      <c r="I421" s="25"/>
      <c r="J421" s="24"/>
      <c r="K421" s="22"/>
      <c r="L421" s="22">
        <v>1.9188701989488431E-2</v>
      </c>
      <c r="M421" s="26"/>
      <c r="N421" s="27"/>
      <c r="O421" s="23"/>
      <c r="P421" s="23"/>
    </row>
    <row r="422" spans="1:16" x14ac:dyDescent="0.15">
      <c r="A422" t="s">
        <v>848</v>
      </c>
      <c r="B422" s="24">
        <v>155.66999999999999</v>
      </c>
      <c r="C422" s="24"/>
      <c r="D422" s="24"/>
      <c r="E422" s="25"/>
      <c r="F422" s="25"/>
      <c r="G422" s="24">
        <v>150.85</v>
      </c>
      <c r="H422" s="25">
        <v>5464344</v>
      </c>
      <c r="I422" s="25"/>
      <c r="J422" s="24"/>
      <c r="K422" s="22"/>
      <c r="L422" s="22">
        <v>5.2335757748128583E-2</v>
      </c>
      <c r="M422" s="26">
        <v>46287.671423611115</v>
      </c>
      <c r="N422" s="27"/>
      <c r="O422" s="23"/>
      <c r="P422" s="23"/>
    </row>
    <row r="423" spans="1:16" x14ac:dyDescent="0.15">
      <c r="A423" t="s">
        <v>1036</v>
      </c>
      <c r="B423" s="24">
        <v>73.13</v>
      </c>
      <c r="C423" s="24"/>
      <c r="D423" s="24"/>
      <c r="E423" s="25"/>
      <c r="F423" s="25"/>
      <c r="G423" s="24">
        <v>72.95</v>
      </c>
      <c r="H423" s="25">
        <v>1346042</v>
      </c>
      <c r="I423" s="25"/>
      <c r="J423" s="24"/>
      <c r="K423" s="22"/>
      <c r="L423" s="22">
        <v>9.7697251963319368E-3</v>
      </c>
      <c r="M423" s="26">
        <v>46287.671423611115</v>
      </c>
      <c r="N423" s="27"/>
      <c r="O423" s="23"/>
      <c r="P423" s="23"/>
    </row>
    <row r="424" spans="1:16" x14ac:dyDescent="0.15">
      <c r="A424" t="s">
        <v>414</v>
      </c>
      <c r="B424" s="24">
        <v>803.9</v>
      </c>
      <c r="C424" s="24"/>
      <c r="D424" s="24"/>
      <c r="E424" s="25"/>
      <c r="F424" s="25"/>
      <c r="G424" s="24">
        <v>784.85</v>
      </c>
      <c r="H424" s="25">
        <v>704529</v>
      </c>
      <c r="I424" s="25"/>
      <c r="J424" s="24"/>
      <c r="K424" s="22"/>
      <c r="L424" s="22">
        <v>1.9518228345241327E-2</v>
      </c>
      <c r="M424" s="26">
        <v>46287.671423611115</v>
      </c>
      <c r="N424" s="27"/>
      <c r="O424" s="23"/>
      <c r="P424" s="23"/>
    </row>
    <row r="425" spans="1:16" x14ac:dyDescent="0.15">
      <c r="A425" t="s">
        <v>814</v>
      </c>
      <c r="B425" s="24">
        <v>27.91</v>
      </c>
      <c r="C425" s="24"/>
      <c r="D425" s="24"/>
      <c r="E425" s="25"/>
      <c r="F425" s="25"/>
      <c r="G425" s="24">
        <v>28.5</v>
      </c>
      <c r="H425" s="25">
        <v>6634025</v>
      </c>
      <c r="I425" s="25"/>
      <c r="J425" s="24"/>
      <c r="K425" s="22"/>
      <c r="L425" s="22">
        <v>1.3324889833972431E-2</v>
      </c>
      <c r="M425" s="26">
        <v>46287.671423611115</v>
      </c>
      <c r="N425" s="27"/>
      <c r="O425" s="23"/>
      <c r="P425" s="23"/>
    </row>
    <row r="426" spans="1:16" x14ac:dyDescent="0.15">
      <c r="A426" t="s">
        <v>742</v>
      </c>
      <c r="B426" s="24">
        <v>159.38999999999999</v>
      </c>
      <c r="C426" s="24"/>
      <c r="D426" s="24"/>
      <c r="E426" s="25"/>
      <c r="F426" s="25"/>
      <c r="G426" s="24">
        <v>165.19</v>
      </c>
      <c r="H426" s="25">
        <v>2122223</v>
      </c>
      <c r="I426" s="25"/>
      <c r="J426" s="24"/>
      <c r="K426" s="22"/>
      <c r="L426" s="22">
        <v>1.4686976596708567E-2</v>
      </c>
      <c r="M426" s="26">
        <v>46287.671423611115</v>
      </c>
      <c r="N426" s="27"/>
      <c r="O426" s="23"/>
      <c r="P426" s="23"/>
    </row>
    <row r="427" spans="1:16" x14ac:dyDescent="0.15">
      <c r="A427" t="s">
        <v>1227</v>
      </c>
      <c r="B427" s="24">
        <v>71.903999999999996</v>
      </c>
      <c r="C427" s="24"/>
      <c r="D427" s="24"/>
      <c r="E427" s="25"/>
      <c r="F427" s="25"/>
      <c r="G427" s="24">
        <v>64.569999999999993</v>
      </c>
      <c r="H427" s="25">
        <v>26038799</v>
      </c>
      <c r="I427" s="25"/>
      <c r="J427" s="24"/>
      <c r="K427" s="22"/>
      <c r="L427" s="22">
        <v>4.9921502635950174E-2</v>
      </c>
      <c r="M427" s="26">
        <v>46287.671423611115</v>
      </c>
      <c r="N427" s="27"/>
      <c r="O427" s="23"/>
      <c r="P427" s="23"/>
    </row>
    <row r="428" spans="1:16" x14ac:dyDescent="0.15">
      <c r="A428" t="s">
        <v>1026</v>
      </c>
      <c r="B428" s="24">
        <v>346.06</v>
      </c>
      <c r="C428" s="24"/>
      <c r="D428" s="24"/>
      <c r="E428" s="25"/>
      <c r="F428" s="25"/>
      <c r="G428" s="24">
        <v>335.1</v>
      </c>
      <c r="H428" s="25">
        <v>666337</v>
      </c>
      <c r="I428" s="25"/>
      <c r="J428" s="24"/>
      <c r="K428" s="22"/>
      <c r="L428" s="22">
        <v>1.8893260719184977E-2</v>
      </c>
      <c r="M428" s="26">
        <v>46287.671423611115</v>
      </c>
      <c r="N428" s="27"/>
      <c r="O428" s="23"/>
      <c r="P428" s="23"/>
    </row>
    <row r="429" spans="1:16" x14ac:dyDescent="0.15">
      <c r="A429" t="s">
        <v>704</v>
      </c>
      <c r="B429" s="24">
        <v>221.97</v>
      </c>
      <c r="C429" s="24"/>
      <c r="D429" s="24"/>
      <c r="E429" s="25"/>
      <c r="F429" s="25"/>
      <c r="G429" s="24">
        <v>224.99</v>
      </c>
      <c r="H429" s="25">
        <v>1072146</v>
      </c>
      <c r="I429" s="25"/>
      <c r="J429" s="24"/>
      <c r="K429" s="22"/>
      <c r="L429" s="22">
        <v>2.3049145461731653E-2</v>
      </c>
      <c r="M429" s="26">
        <v>46287.671423611115</v>
      </c>
      <c r="N429" s="27"/>
      <c r="O429" s="23"/>
      <c r="P429" s="23"/>
    </row>
    <row r="430" spans="1:16" x14ac:dyDescent="0.15">
      <c r="A430" t="s">
        <v>584</v>
      </c>
      <c r="B430" s="24">
        <v>428.75</v>
      </c>
      <c r="C430" s="24"/>
      <c r="D430" s="24"/>
      <c r="E430" s="25"/>
      <c r="F430" s="25"/>
      <c r="G430" s="24">
        <v>415.62</v>
      </c>
      <c r="H430" s="25">
        <v>755318</v>
      </c>
      <c r="I430" s="25"/>
      <c r="J430" s="24"/>
      <c r="K430" s="22"/>
      <c r="L430" s="22">
        <v>1.7914010981173421E-2</v>
      </c>
      <c r="M430" s="26">
        <v>46287.671423611115</v>
      </c>
      <c r="N430" s="27"/>
      <c r="O430" s="23"/>
      <c r="P430" s="23"/>
    </row>
    <row r="431" spans="1:16" x14ac:dyDescent="0.15">
      <c r="A431" t="s">
        <v>1086</v>
      </c>
      <c r="B431" s="24">
        <v>32.86</v>
      </c>
      <c r="C431" s="24"/>
      <c r="D431" s="24"/>
      <c r="E431" s="25"/>
      <c r="F431" s="25"/>
      <c r="G431" s="24">
        <v>32.43</v>
      </c>
      <c r="H431" s="25">
        <v>6589851</v>
      </c>
      <c r="I431" s="25"/>
      <c r="J431" s="24"/>
      <c r="K431" s="22"/>
      <c r="L431" s="22">
        <v>1.9033208193944398E-2</v>
      </c>
      <c r="M431" s="26">
        <v>46287.671423611115</v>
      </c>
      <c r="N431" s="27"/>
      <c r="O431" s="23"/>
      <c r="P431" s="23"/>
    </row>
    <row r="432" spans="1:16" x14ac:dyDescent="0.15">
      <c r="A432" t="s">
        <v>666</v>
      </c>
      <c r="B432" s="24">
        <v>363.85</v>
      </c>
      <c r="C432" s="24"/>
      <c r="D432" s="24"/>
      <c r="E432" s="25"/>
      <c r="F432" s="25"/>
      <c r="G432" s="24">
        <v>372.74</v>
      </c>
      <c r="H432" s="25">
        <v>1030938</v>
      </c>
      <c r="I432" s="25"/>
      <c r="J432" s="24"/>
      <c r="K432" s="22"/>
      <c r="L432" s="22">
        <v>2.20172969337004E-2</v>
      </c>
      <c r="M432" s="26">
        <v>46287.671423611115</v>
      </c>
      <c r="N432" s="27"/>
      <c r="O432" s="23"/>
      <c r="P432" s="23"/>
    </row>
    <row r="433" spans="1:16" x14ac:dyDescent="0.15">
      <c r="A433" t="s">
        <v>434</v>
      </c>
      <c r="B433" s="24">
        <v>232.51</v>
      </c>
      <c r="C433" s="24"/>
      <c r="D433" s="24"/>
      <c r="E433" s="25"/>
      <c r="F433" s="25"/>
      <c r="G433" s="24">
        <v>226.61</v>
      </c>
      <c r="H433" s="25">
        <v>2228670</v>
      </c>
      <c r="I433" s="25"/>
      <c r="J433" s="24"/>
      <c r="K433" s="22"/>
      <c r="L433" s="22">
        <v>1.591896402562577E-2</v>
      </c>
      <c r="M433" s="26">
        <v>46287.671423611115</v>
      </c>
      <c r="N433" s="27"/>
      <c r="O433" s="23"/>
      <c r="P433" s="23"/>
    </row>
    <row r="434" spans="1:16" x14ac:dyDescent="0.15">
      <c r="A434" t="s">
        <v>618</v>
      </c>
      <c r="B434" s="24">
        <v>213.88</v>
      </c>
      <c r="C434" s="24"/>
      <c r="D434" s="24"/>
      <c r="E434" s="25"/>
      <c r="F434" s="25"/>
      <c r="G434" s="24">
        <v>218.07</v>
      </c>
      <c r="H434" s="25">
        <v>2082072</v>
      </c>
      <c r="I434" s="25"/>
      <c r="J434" s="24"/>
      <c r="K434" s="22"/>
      <c r="L434" s="22">
        <v>1.290470039079253E-2</v>
      </c>
      <c r="M434" s="26">
        <v>46287.671423611115</v>
      </c>
      <c r="N434" s="27"/>
      <c r="O434" s="23"/>
      <c r="P434" s="23"/>
    </row>
    <row r="435" spans="1:16" x14ac:dyDescent="0.15">
      <c r="A435" t="s">
        <v>198</v>
      </c>
      <c r="B435" s="24">
        <v>190.99</v>
      </c>
      <c r="C435" s="24"/>
      <c r="D435" s="24"/>
      <c r="E435" s="25"/>
      <c r="F435" s="25"/>
      <c r="G435" s="24">
        <v>194</v>
      </c>
      <c r="H435" s="25">
        <v>2930285</v>
      </c>
      <c r="I435" s="25"/>
      <c r="J435" s="24"/>
      <c r="K435" s="22"/>
      <c r="L435" s="22">
        <v>1.5948279097712958E-2</v>
      </c>
      <c r="M435" s="26">
        <v>46287.671423611115</v>
      </c>
      <c r="N435" s="27"/>
      <c r="O435" s="23"/>
      <c r="P435" s="23"/>
    </row>
    <row r="436" spans="1:16" x14ac:dyDescent="0.15">
      <c r="A436" t="s">
        <v>956</v>
      </c>
      <c r="B436" s="24">
        <v>143.31</v>
      </c>
      <c r="C436" s="24"/>
      <c r="D436" s="24"/>
      <c r="E436" s="25"/>
      <c r="F436" s="25"/>
      <c r="G436" s="24">
        <v>143.44999999999999</v>
      </c>
      <c r="H436" s="25">
        <v>2062191</v>
      </c>
      <c r="I436" s="25"/>
      <c r="J436" s="24"/>
      <c r="K436" s="22"/>
      <c r="L436" s="22">
        <v>2.3263305358173191E-2</v>
      </c>
      <c r="M436" s="26">
        <v>46287.671423611115</v>
      </c>
      <c r="N436" s="27"/>
      <c r="O436" s="23"/>
      <c r="P436" s="23"/>
    </row>
    <row r="437" spans="1:16" x14ac:dyDescent="0.15">
      <c r="A437" t="s">
        <v>896</v>
      </c>
      <c r="B437" s="24">
        <v>175.84</v>
      </c>
      <c r="C437" s="24"/>
      <c r="D437" s="24"/>
      <c r="E437" s="25"/>
      <c r="F437" s="25"/>
      <c r="G437" s="24">
        <v>178.59</v>
      </c>
      <c r="H437" s="25">
        <v>871078</v>
      </c>
      <c r="I437" s="25"/>
      <c r="J437" s="24"/>
      <c r="K437" s="22"/>
      <c r="L437" s="22">
        <v>1.9476166668122564E-2</v>
      </c>
      <c r="M437" s="26">
        <v>46287.671423611115</v>
      </c>
      <c r="N437" s="27"/>
      <c r="O437" s="23"/>
      <c r="P437" s="23"/>
    </row>
    <row r="438" spans="1:16" x14ac:dyDescent="0.15">
      <c r="A438" t="s">
        <v>322</v>
      </c>
      <c r="B438" s="24">
        <v>95.17</v>
      </c>
      <c r="C438" s="24"/>
      <c r="D438" s="24"/>
      <c r="E438" s="25"/>
      <c r="F438" s="25"/>
      <c r="G438" s="24">
        <v>95.83</v>
      </c>
      <c r="H438" s="25">
        <v>7182396</v>
      </c>
      <c r="I438" s="25"/>
      <c r="J438" s="24"/>
      <c r="K438" s="22"/>
      <c r="L438" s="22">
        <v>1.3615012404862481E-2</v>
      </c>
      <c r="M438" s="26">
        <v>46287.671423611115</v>
      </c>
      <c r="N438" s="27"/>
      <c r="O438" s="23"/>
      <c r="P438" s="23"/>
    </row>
    <row r="439" spans="1:16" x14ac:dyDescent="0.15">
      <c r="A439" t="s">
        <v>1241</v>
      </c>
      <c r="B439" s="24">
        <v>23.9</v>
      </c>
      <c r="C439" s="24"/>
      <c r="D439" s="24"/>
      <c r="E439" s="25"/>
      <c r="F439" s="25"/>
      <c r="G439" s="24">
        <v>23.89</v>
      </c>
      <c r="H439" s="25">
        <v>4113380</v>
      </c>
      <c r="I439" s="25"/>
      <c r="J439" s="24"/>
      <c r="K439" s="22"/>
      <c r="L439" s="22">
        <v>8.0856109971752727E-4</v>
      </c>
      <c r="M439" s="26">
        <v>46287.671423611115</v>
      </c>
      <c r="N439" s="27"/>
      <c r="O439" s="23"/>
      <c r="P439" s="23"/>
    </row>
    <row r="440" spans="1:16" x14ac:dyDescent="0.15">
      <c r="A440" t="s">
        <v>79</v>
      </c>
      <c r="B440" s="24">
        <v>25.52</v>
      </c>
      <c r="C440" s="24">
        <v>25.51</v>
      </c>
      <c r="D440" s="24">
        <v>25.52</v>
      </c>
      <c r="E440" s="25">
        <v>1500</v>
      </c>
      <c r="F440" s="25">
        <v>70385</v>
      </c>
      <c r="G440" s="24">
        <v>25.44</v>
      </c>
      <c r="H440" s="25">
        <v>5560989</v>
      </c>
      <c r="I440" s="25"/>
      <c r="J440" s="24"/>
      <c r="K440" s="22"/>
      <c r="L440" s="22">
        <v>2.1269904579473906E-3</v>
      </c>
      <c r="M440" s="26">
        <v>46287.683333333334</v>
      </c>
      <c r="N440" s="27"/>
      <c r="O440" s="23"/>
      <c r="P440" s="23"/>
    </row>
    <row r="441" spans="1:16" x14ac:dyDescent="0.15">
      <c r="A441" t="s">
        <v>1242</v>
      </c>
      <c r="B441" s="24">
        <v>23.99</v>
      </c>
      <c r="C441" s="24"/>
      <c r="D441" s="24"/>
      <c r="E441" s="25"/>
      <c r="F441" s="25"/>
      <c r="G441" s="24">
        <v>23.93</v>
      </c>
      <c r="H441" s="25">
        <v>2749449</v>
      </c>
      <c r="I441" s="25"/>
      <c r="J441" s="24"/>
      <c r="K441" s="22"/>
      <c r="L441" s="22">
        <v>2.075587135647657E-3</v>
      </c>
      <c r="M441" s="26">
        <v>46287.671423611115</v>
      </c>
      <c r="N441" s="27"/>
      <c r="O441" s="23"/>
      <c r="P441" s="23"/>
    </row>
    <row r="442" spans="1:16" x14ac:dyDescent="0.15">
      <c r="A442" t="s">
        <v>256</v>
      </c>
      <c r="B442" s="24">
        <v>100.8</v>
      </c>
      <c r="C442" s="24"/>
      <c r="D442" s="24"/>
      <c r="E442" s="25"/>
      <c r="F442" s="25"/>
      <c r="G442" s="24">
        <v>105.25</v>
      </c>
      <c r="H442" s="25">
        <v>5444867</v>
      </c>
      <c r="I442" s="25"/>
      <c r="J442" s="24"/>
      <c r="K442" s="22"/>
      <c r="L442" s="22">
        <v>1.3679852826476267E-2</v>
      </c>
      <c r="M442" s="26">
        <v>46287.671423611115</v>
      </c>
      <c r="N442" s="27"/>
      <c r="O442" s="23"/>
      <c r="P442" s="23"/>
    </row>
    <row r="443" spans="1:16" x14ac:dyDescent="0.15">
      <c r="A443" t="s">
        <v>1243</v>
      </c>
      <c r="B443" s="24">
        <v>22.49</v>
      </c>
      <c r="C443" s="24"/>
      <c r="D443" s="24"/>
      <c r="E443" s="25"/>
      <c r="F443" s="25"/>
      <c r="G443" s="24">
        <v>22.42</v>
      </c>
      <c r="H443" s="25">
        <v>1569205</v>
      </c>
      <c r="I443" s="25"/>
      <c r="J443" s="24"/>
      <c r="K443" s="22"/>
      <c r="L443" s="22">
        <v>2.4568744368883041E-3</v>
      </c>
      <c r="M443" s="26">
        <v>46287.671423611115</v>
      </c>
      <c r="N443" s="27"/>
      <c r="O443" s="23"/>
      <c r="P443" s="23"/>
    </row>
    <row r="444" spans="1:16" x14ac:dyDescent="0.15">
      <c r="A444" t="s">
        <v>1159</v>
      </c>
      <c r="B444" s="24">
        <v>147.69</v>
      </c>
      <c r="C444" s="24"/>
      <c r="D444" s="24"/>
      <c r="E444" s="25"/>
      <c r="F444" s="25"/>
      <c r="G444" s="24">
        <v>128.5</v>
      </c>
      <c r="H444" s="25">
        <v>16650102</v>
      </c>
      <c r="I444" s="25"/>
      <c r="J444" s="24"/>
      <c r="K444" s="22"/>
      <c r="L444" s="22">
        <v>4.0328054512345592E-2</v>
      </c>
      <c r="M444" s="26">
        <v>46287.671423611115</v>
      </c>
      <c r="N444" s="27"/>
      <c r="O444" s="23"/>
      <c r="P444" s="23"/>
    </row>
    <row r="445" spans="1:16" x14ac:dyDescent="0.15">
      <c r="A445" t="s">
        <v>428</v>
      </c>
      <c r="B445" s="24">
        <v>328.35</v>
      </c>
      <c r="C445" s="24"/>
      <c r="D445" s="24"/>
      <c r="E445" s="25"/>
      <c r="F445" s="25"/>
      <c r="G445" s="24">
        <v>320.73</v>
      </c>
      <c r="H445" s="25">
        <v>1511664</v>
      </c>
      <c r="I445" s="25"/>
      <c r="J445" s="24"/>
      <c r="K445" s="22"/>
      <c r="L445" s="22">
        <v>1.9421171495837431E-2</v>
      </c>
      <c r="M445" s="26">
        <v>46287.671423611115</v>
      </c>
      <c r="N445" s="27"/>
      <c r="O445" s="23"/>
      <c r="P445" s="23"/>
    </row>
    <row r="446" spans="1:16" x14ac:dyDescent="0.15">
      <c r="A446" t="s">
        <v>1010</v>
      </c>
      <c r="B446" s="24">
        <v>121.11</v>
      </c>
      <c r="C446" s="24"/>
      <c r="D446" s="24"/>
      <c r="E446" s="25"/>
      <c r="F446" s="25"/>
      <c r="G446" s="24">
        <v>122.95</v>
      </c>
      <c r="H446" s="25">
        <v>1364576</v>
      </c>
      <c r="I446" s="25"/>
      <c r="J446" s="24"/>
      <c r="K446" s="22"/>
      <c r="L446" s="22">
        <v>1.8700437631186562E-2</v>
      </c>
      <c r="M446" s="26">
        <v>46287.671423611115</v>
      </c>
      <c r="N446" s="27"/>
      <c r="O446" s="23"/>
      <c r="P446" s="23"/>
    </row>
    <row r="447" spans="1:16" x14ac:dyDescent="0.15">
      <c r="A447" t="s">
        <v>418</v>
      </c>
      <c r="B447" s="24">
        <v>52.12</v>
      </c>
      <c r="C447" s="24"/>
      <c r="D447" s="24"/>
      <c r="E447" s="25"/>
      <c r="F447" s="25"/>
      <c r="G447" s="24">
        <v>51.12</v>
      </c>
      <c r="H447" s="25">
        <v>11322082</v>
      </c>
      <c r="I447" s="25"/>
      <c r="J447" s="24"/>
      <c r="K447" s="22"/>
      <c r="L447" s="22">
        <v>2.5103962964625165E-2</v>
      </c>
      <c r="M447" s="26">
        <v>46287.671423611115</v>
      </c>
      <c r="N447" s="27"/>
      <c r="O447" s="23"/>
      <c r="P447" s="23"/>
    </row>
    <row r="448" spans="1:16" x14ac:dyDescent="0.15">
      <c r="A448" t="s">
        <v>846</v>
      </c>
      <c r="B448" s="24">
        <v>41.39</v>
      </c>
      <c r="C448" s="24"/>
      <c r="D448" s="24"/>
      <c r="E448" s="25"/>
      <c r="F448" s="25"/>
      <c r="G448" s="24">
        <v>39.090000000000003</v>
      </c>
      <c r="H448" s="25">
        <v>48218370</v>
      </c>
      <c r="I448" s="25"/>
      <c r="J448" s="24"/>
      <c r="K448" s="22"/>
      <c r="L448" s="22">
        <v>5.7824485422649029E-2</v>
      </c>
      <c r="M448" s="26">
        <v>46287.671423611115</v>
      </c>
      <c r="N448" s="27"/>
      <c r="O448" s="23"/>
      <c r="P448" s="23"/>
    </row>
    <row r="449" spans="1:16" x14ac:dyDescent="0.15">
      <c r="A449" t="s">
        <v>890</v>
      </c>
      <c r="B449" s="24">
        <v>371.8</v>
      </c>
      <c r="C449" s="24"/>
      <c r="D449" s="24"/>
      <c r="E449" s="25"/>
      <c r="F449" s="25"/>
      <c r="G449" s="24">
        <v>372.15</v>
      </c>
      <c r="H449" s="25">
        <v>326473</v>
      </c>
      <c r="I449" s="25"/>
      <c r="J449" s="24"/>
      <c r="K449" s="22"/>
      <c r="L449" s="22">
        <v>1.0828264182496616E-2</v>
      </c>
      <c r="M449" s="26">
        <v>46287.671423611115</v>
      </c>
      <c r="N449" s="27"/>
      <c r="O449" s="23"/>
      <c r="P449" s="23"/>
    </row>
    <row r="450" spans="1:16" x14ac:dyDescent="0.15">
      <c r="A450" t="s">
        <v>196</v>
      </c>
      <c r="B450" s="24">
        <v>1881.155</v>
      </c>
      <c r="C450" s="24"/>
      <c r="D450" s="24"/>
      <c r="E450" s="25"/>
      <c r="F450" s="25"/>
      <c r="G450" s="24">
        <v>1791.82</v>
      </c>
      <c r="H450" s="25">
        <v>10442863</v>
      </c>
      <c r="I450" s="25"/>
      <c r="J450" s="24"/>
      <c r="K450" s="22"/>
      <c r="L450" s="22">
        <v>7.9073153064465759E-2</v>
      </c>
      <c r="M450" s="26">
        <v>46287.671423611115</v>
      </c>
      <c r="N450" s="27"/>
      <c r="O450" s="23"/>
      <c r="P450" s="23"/>
    </row>
    <row r="451" spans="1:16" x14ac:dyDescent="0.15">
      <c r="A451" t="s">
        <v>424</v>
      </c>
      <c r="B451" s="24">
        <v>409.24</v>
      </c>
      <c r="C451" s="24"/>
      <c r="D451" s="24"/>
      <c r="E451" s="25"/>
      <c r="F451" s="25"/>
      <c r="G451" s="24">
        <v>384.97</v>
      </c>
      <c r="H451" s="25">
        <v>1669226</v>
      </c>
      <c r="I451" s="25"/>
      <c r="J451" s="24"/>
      <c r="K451" s="22"/>
      <c r="L451" s="22">
        <v>3.0250066878032458E-2</v>
      </c>
      <c r="M451" s="26">
        <v>46287.671423611115</v>
      </c>
      <c r="N451" s="27"/>
      <c r="O451" s="23"/>
      <c r="P451" s="23"/>
    </row>
    <row r="452" spans="1:16" x14ac:dyDescent="0.15">
      <c r="A452" t="s">
        <v>346</v>
      </c>
      <c r="B452" s="24">
        <v>85.15</v>
      </c>
      <c r="C452" s="24"/>
      <c r="D452" s="24"/>
      <c r="E452" s="25"/>
      <c r="F452" s="25"/>
      <c r="G452" s="24">
        <v>85.52</v>
      </c>
      <c r="H452" s="25">
        <v>7828975</v>
      </c>
      <c r="I452" s="25"/>
      <c r="J452" s="24"/>
      <c r="K452" s="22"/>
      <c r="L452" s="22">
        <v>1.0218182907638353E-2</v>
      </c>
      <c r="M452" s="26">
        <v>46287.671423611115</v>
      </c>
      <c r="N452" s="27"/>
      <c r="O452" s="23"/>
      <c r="P452" s="23"/>
    </row>
    <row r="453" spans="1:16" x14ac:dyDescent="0.15">
      <c r="A453" t="s">
        <v>1022</v>
      </c>
      <c r="B453" s="24">
        <v>88.75</v>
      </c>
      <c r="C453" s="24"/>
      <c r="D453" s="24"/>
      <c r="E453" s="25"/>
      <c r="F453" s="25"/>
      <c r="G453" s="24">
        <v>88.84</v>
      </c>
      <c r="H453" s="25">
        <v>660323</v>
      </c>
      <c r="I453" s="25"/>
      <c r="J453" s="24"/>
      <c r="K453" s="22"/>
      <c r="L453" s="22">
        <v>1.9370128687270369E-2</v>
      </c>
      <c r="M453" s="26">
        <v>46287.671423611115</v>
      </c>
      <c r="N453" s="27"/>
      <c r="O453" s="23"/>
      <c r="P453" s="23"/>
    </row>
    <row r="454" spans="1:16" x14ac:dyDescent="0.15">
      <c r="A454" t="s">
        <v>1144</v>
      </c>
      <c r="B454" s="24">
        <v>154.52080000000001</v>
      </c>
      <c r="C454" s="24"/>
      <c r="D454" s="24"/>
      <c r="E454" s="25"/>
      <c r="F454" s="25"/>
      <c r="G454" s="24">
        <v>152.71</v>
      </c>
      <c r="H454" s="25">
        <v>82284950</v>
      </c>
      <c r="I454" s="25"/>
      <c r="J454" s="24"/>
      <c r="K454" s="22"/>
      <c r="L454" s="22">
        <v>4.707937136440915E-2</v>
      </c>
      <c r="M454" s="26">
        <v>46287.671423611115</v>
      </c>
      <c r="N454" s="27"/>
      <c r="O454" s="23"/>
      <c r="P454" s="23"/>
    </row>
    <row r="455" spans="1:16" x14ac:dyDescent="0.15">
      <c r="A455" t="s">
        <v>468</v>
      </c>
      <c r="B455" s="24">
        <v>206.07</v>
      </c>
      <c r="C455" s="24"/>
      <c r="D455" s="24"/>
      <c r="E455" s="25"/>
      <c r="F455" s="25"/>
      <c r="G455" s="24">
        <v>205.32</v>
      </c>
      <c r="H455" s="25">
        <v>957452</v>
      </c>
      <c r="I455" s="25"/>
      <c r="J455" s="24"/>
      <c r="K455" s="22"/>
      <c r="L455" s="22">
        <v>1.0936508394873893E-2</v>
      </c>
      <c r="M455" s="26">
        <v>46287.671423611115</v>
      </c>
      <c r="N455" s="27"/>
      <c r="O455" s="23"/>
      <c r="P455" s="23"/>
    </row>
    <row r="456" spans="1:16" x14ac:dyDescent="0.15">
      <c r="A456" t="s">
        <v>302</v>
      </c>
      <c r="B456" s="24">
        <v>402.44</v>
      </c>
      <c r="C456" s="24"/>
      <c r="D456" s="24"/>
      <c r="E456" s="25"/>
      <c r="F456" s="25"/>
      <c r="G456" s="24">
        <v>405.32</v>
      </c>
      <c r="H456" s="25">
        <v>1286871</v>
      </c>
      <c r="I456" s="25"/>
      <c r="J456" s="24"/>
      <c r="K456" s="22"/>
      <c r="L456" s="22">
        <v>2.1412776053557594E-2</v>
      </c>
      <c r="M456" s="26">
        <v>46287.671423611115</v>
      </c>
      <c r="N456" s="27"/>
      <c r="O456" s="23"/>
      <c r="P456" s="23"/>
    </row>
    <row r="457" spans="1:16" x14ac:dyDescent="0.15">
      <c r="A457" t="s">
        <v>1244</v>
      </c>
      <c r="B457" s="24">
        <v>24.75</v>
      </c>
      <c r="C457" s="24"/>
      <c r="D457" s="24"/>
      <c r="E457" s="25"/>
      <c r="F457" s="25"/>
      <c r="G457" s="24">
        <v>24.67</v>
      </c>
      <c r="H457" s="25">
        <v>318694</v>
      </c>
      <c r="I457" s="25"/>
      <c r="J457" s="24"/>
      <c r="K457" s="22"/>
      <c r="L457" s="22">
        <v>2.2908965065134147E-3</v>
      </c>
      <c r="M457" s="26">
        <v>46287.671423611115</v>
      </c>
      <c r="N457" s="27"/>
      <c r="O457" s="23"/>
      <c r="P457" s="23"/>
    </row>
    <row r="458" spans="1:16" x14ac:dyDescent="0.15">
      <c r="A458" t="s">
        <v>1245</v>
      </c>
      <c r="B458" s="24">
        <v>24.921399999999998</v>
      </c>
      <c r="C458" s="24"/>
      <c r="D458" s="24"/>
      <c r="E458" s="25"/>
      <c r="F458" s="25"/>
      <c r="G458" s="24">
        <v>24.77</v>
      </c>
      <c r="H458" s="25">
        <v>5809931</v>
      </c>
      <c r="I458" s="25"/>
      <c r="J458" s="24"/>
      <c r="K458" s="22"/>
      <c r="L458" s="22">
        <v>5.5420125612848335E-3</v>
      </c>
      <c r="M458" s="26">
        <v>46287.671423611115</v>
      </c>
      <c r="N458" s="27"/>
      <c r="O458" s="23"/>
      <c r="P458" s="23"/>
    </row>
    <row r="459" spans="1:16" x14ac:dyDescent="0.15">
      <c r="A459" t="s">
        <v>546</v>
      </c>
      <c r="B459" s="24">
        <v>80.98</v>
      </c>
      <c r="C459" s="24"/>
      <c r="D459" s="24"/>
      <c r="E459" s="25"/>
      <c r="F459" s="25"/>
      <c r="G459" s="24">
        <v>81.31</v>
      </c>
      <c r="H459" s="25">
        <v>3171191</v>
      </c>
      <c r="I459" s="25"/>
      <c r="J459" s="24"/>
      <c r="K459" s="22"/>
      <c r="L459" s="22">
        <v>1.4292443090869755E-2</v>
      </c>
      <c r="M459" s="26">
        <v>46287.671423611115</v>
      </c>
      <c r="N459" s="27"/>
      <c r="O459" s="23"/>
      <c r="P459" s="23"/>
    </row>
    <row r="460" spans="1:16" x14ac:dyDescent="0.15">
      <c r="A460" t="s">
        <v>878</v>
      </c>
      <c r="B460" s="24">
        <v>208.79</v>
      </c>
      <c r="C460" s="24"/>
      <c r="D460" s="24"/>
      <c r="E460" s="25"/>
      <c r="F460" s="25"/>
      <c r="G460" s="24">
        <v>205.04</v>
      </c>
      <c r="H460" s="25">
        <v>984822</v>
      </c>
      <c r="I460" s="25"/>
      <c r="J460" s="24"/>
      <c r="K460" s="22"/>
      <c r="L460" s="22">
        <v>1.7328135812575814E-2</v>
      </c>
      <c r="M460" s="26">
        <v>46287.671423611115</v>
      </c>
      <c r="N460" s="27"/>
      <c r="O460" s="23"/>
      <c r="P460" s="23"/>
    </row>
    <row r="461" spans="1:16" x14ac:dyDescent="0.15">
      <c r="A461" t="s">
        <v>716</v>
      </c>
      <c r="B461" s="24">
        <v>233.99</v>
      </c>
      <c r="C461" s="24"/>
      <c r="D461" s="24"/>
      <c r="E461" s="25"/>
      <c r="F461" s="25"/>
      <c r="G461" s="24">
        <v>235.26</v>
      </c>
      <c r="H461" s="25">
        <v>863876</v>
      </c>
      <c r="I461" s="25"/>
      <c r="J461" s="24"/>
      <c r="K461" s="22"/>
      <c r="L461" s="22">
        <v>2.4384657143086883E-2</v>
      </c>
      <c r="M461" s="26">
        <v>46287.671423611115</v>
      </c>
      <c r="N461" s="27"/>
      <c r="O461" s="23"/>
      <c r="P461" s="23"/>
    </row>
    <row r="462" spans="1:16" x14ac:dyDescent="0.15">
      <c r="A462" t="s">
        <v>560</v>
      </c>
      <c r="B462" s="24">
        <v>180.25</v>
      </c>
      <c r="C462" s="24"/>
      <c r="D462" s="24"/>
      <c r="E462" s="25"/>
      <c r="F462" s="25"/>
      <c r="G462" s="24">
        <v>182.87</v>
      </c>
      <c r="H462" s="25">
        <v>1668403</v>
      </c>
      <c r="I462" s="25"/>
      <c r="J462" s="24"/>
      <c r="K462" s="22"/>
      <c r="L462" s="22">
        <v>1.4533211035291968E-2</v>
      </c>
      <c r="M462" s="26">
        <v>46287.671423611115</v>
      </c>
      <c r="N462" s="27"/>
      <c r="O462" s="23"/>
      <c r="P462" s="23"/>
    </row>
    <row r="463" spans="1:16" x14ac:dyDescent="0.15">
      <c r="A463" t="s">
        <v>232</v>
      </c>
      <c r="B463" s="24">
        <v>918.15</v>
      </c>
      <c r="C463" s="24"/>
      <c r="D463" s="24"/>
      <c r="E463" s="25"/>
      <c r="F463" s="25"/>
      <c r="G463" s="24">
        <v>877.32500000000005</v>
      </c>
      <c r="H463" s="25">
        <v>5200241</v>
      </c>
      <c r="I463" s="25"/>
      <c r="J463" s="24"/>
      <c r="K463" s="22"/>
      <c r="L463" s="22">
        <v>5.214824952490936E-2</v>
      </c>
      <c r="M463" s="26">
        <v>46287.671423611115</v>
      </c>
      <c r="N463" s="27"/>
      <c r="O463" s="23"/>
      <c r="P463" s="23"/>
    </row>
    <row r="464" spans="1:16" x14ac:dyDescent="0.15">
      <c r="A464" t="s">
        <v>924</v>
      </c>
      <c r="B464" s="24">
        <v>117.59</v>
      </c>
      <c r="C464" s="24"/>
      <c r="D464" s="24"/>
      <c r="E464" s="25"/>
      <c r="F464" s="25"/>
      <c r="G464" s="24">
        <v>118.97</v>
      </c>
      <c r="H464" s="25">
        <v>2629836</v>
      </c>
      <c r="I464" s="25"/>
      <c r="J464" s="24"/>
      <c r="K464" s="22"/>
      <c r="L464" s="22">
        <v>1.9097042055228473E-2</v>
      </c>
      <c r="M464" s="26">
        <v>46287.671423611115</v>
      </c>
      <c r="N464" s="27"/>
      <c r="O464" s="23"/>
      <c r="P464" s="23"/>
    </row>
    <row r="465" spans="1:16" x14ac:dyDescent="0.15">
      <c r="A465" t="s">
        <v>826</v>
      </c>
      <c r="B465" s="24">
        <v>46.45</v>
      </c>
      <c r="C465" s="24"/>
      <c r="D465" s="24"/>
      <c r="E465" s="25"/>
      <c r="F465" s="25"/>
      <c r="G465" s="24">
        <v>44.33</v>
      </c>
      <c r="H465" s="25">
        <v>3684674</v>
      </c>
      <c r="I465" s="25"/>
      <c r="J465" s="24"/>
      <c r="K465" s="22"/>
      <c r="L465" s="22">
        <v>2.7488370524288548E-2</v>
      </c>
      <c r="M465" s="26">
        <v>46287.671423611115</v>
      </c>
      <c r="N465" s="27"/>
      <c r="O465" s="23"/>
      <c r="P465" s="23"/>
    </row>
    <row r="466" spans="1:16" x14ac:dyDescent="0.15">
      <c r="A466" t="s">
        <v>1002</v>
      </c>
      <c r="B466" s="24">
        <v>92.13</v>
      </c>
      <c r="C466" s="24"/>
      <c r="D466" s="24"/>
      <c r="E466" s="25"/>
      <c r="F466" s="25"/>
      <c r="G466" s="24">
        <v>89.58</v>
      </c>
      <c r="H466" s="25">
        <v>1489978</v>
      </c>
      <c r="I466" s="25"/>
      <c r="J466" s="24"/>
      <c r="K466" s="22"/>
      <c r="L466" s="22">
        <v>1.9363241148146478E-2</v>
      </c>
      <c r="M466" s="26">
        <v>46287.671423611115</v>
      </c>
      <c r="N466" s="27"/>
      <c r="O466" s="23"/>
      <c r="P466" s="23"/>
    </row>
    <row r="467" spans="1:16" x14ac:dyDescent="0.15">
      <c r="A467" t="s">
        <v>1004</v>
      </c>
      <c r="B467" s="24">
        <v>89.96</v>
      </c>
      <c r="C467" s="24"/>
      <c r="D467" s="24"/>
      <c r="E467" s="25"/>
      <c r="F467" s="25"/>
      <c r="G467" s="24">
        <v>88.76</v>
      </c>
      <c r="H467" s="25">
        <v>4411872</v>
      </c>
      <c r="I467" s="25"/>
      <c r="J467" s="24"/>
      <c r="K467" s="22"/>
      <c r="L467" s="22">
        <v>3.9023672049214024E-2</v>
      </c>
      <c r="M467" s="26">
        <v>46287.671423611115</v>
      </c>
      <c r="N467" s="27"/>
      <c r="O467" s="23"/>
      <c r="P467" s="23"/>
    </row>
    <row r="468" spans="1:16" x14ac:dyDescent="0.15">
      <c r="A468" t="s">
        <v>816</v>
      </c>
      <c r="B468" s="24">
        <v>72.67</v>
      </c>
      <c r="C468" s="24"/>
      <c r="D468" s="24"/>
      <c r="E468" s="25"/>
      <c r="F468" s="25"/>
      <c r="G468" s="24">
        <v>75.040000000000006</v>
      </c>
      <c r="H468" s="25">
        <v>2359516</v>
      </c>
      <c r="I468" s="25"/>
      <c r="J468" s="24"/>
      <c r="K468" s="22"/>
      <c r="L468" s="22">
        <v>2.0844280974695633E-2</v>
      </c>
      <c r="M468" s="26">
        <v>46287.671423611115</v>
      </c>
      <c r="N468" s="27"/>
      <c r="O468" s="23"/>
      <c r="P468" s="23"/>
    </row>
    <row r="469" spans="1:16" x14ac:dyDescent="0.15">
      <c r="A469" t="s">
        <v>348</v>
      </c>
      <c r="B469" s="24">
        <v>275.08999999999997</v>
      </c>
      <c r="C469" s="24"/>
      <c r="D469" s="24"/>
      <c r="E469" s="25"/>
      <c r="F469" s="25"/>
      <c r="G469" s="24">
        <v>275.12</v>
      </c>
      <c r="H469" s="25">
        <v>2759209</v>
      </c>
      <c r="I469" s="25"/>
      <c r="J469" s="24"/>
      <c r="K469" s="22"/>
      <c r="L469" s="22">
        <v>2.6445324056786516E-2</v>
      </c>
      <c r="M469" s="26">
        <v>46287.671423611115</v>
      </c>
      <c r="N469" s="27"/>
      <c r="O469" s="23"/>
      <c r="P469" s="23"/>
    </row>
    <row r="470" spans="1:16" x14ac:dyDescent="0.15">
      <c r="A470" t="s">
        <v>660</v>
      </c>
      <c r="B470" s="24">
        <v>78.67</v>
      </c>
      <c r="C470" s="24"/>
      <c r="D470" s="24"/>
      <c r="E470" s="25"/>
      <c r="F470" s="25"/>
      <c r="G470" s="24">
        <v>79.05</v>
      </c>
      <c r="H470" s="25">
        <v>3929284</v>
      </c>
      <c r="I470" s="25"/>
      <c r="J470" s="24"/>
      <c r="K470" s="22"/>
      <c r="L470" s="22">
        <v>1.2902116753706248E-2</v>
      </c>
      <c r="M470" s="26">
        <v>46287.671423611115</v>
      </c>
      <c r="N470" s="27"/>
      <c r="O470" s="23"/>
      <c r="P470" s="23"/>
    </row>
    <row r="471" spans="1:16" x14ac:dyDescent="0.15">
      <c r="A471" t="s">
        <v>250</v>
      </c>
      <c r="B471" s="24">
        <v>25.153400000000001</v>
      </c>
      <c r="C471" s="24"/>
      <c r="D471" s="24"/>
      <c r="E471" s="25"/>
      <c r="F471" s="25"/>
      <c r="G471" s="24">
        <v>25.4</v>
      </c>
      <c r="H471" s="25">
        <v>35284583</v>
      </c>
      <c r="I471" s="25"/>
      <c r="J471" s="24"/>
      <c r="K471" s="22"/>
      <c r="L471" s="22">
        <v>1.8073531684888563E-2</v>
      </c>
      <c r="M471" s="26">
        <v>46287.671423611115</v>
      </c>
      <c r="N471" s="27"/>
      <c r="O471" s="23"/>
      <c r="P471" s="23"/>
    </row>
    <row r="472" spans="1:16" x14ac:dyDescent="0.15">
      <c r="A472" t="s">
        <v>504</v>
      </c>
      <c r="B472" s="24">
        <v>1112.42</v>
      </c>
      <c r="C472" s="24"/>
      <c r="D472" s="24"/>
      <c r="E472" s="25"/>
      <c r="F472" s="25"/>
      <c r="G472" s="24">
        <v>1109.6500000000001</v>
      </c>
      <c r="H472" s="25">
        <v>542552</v>
      </c>
      <c r="I472" s="25"/>
      <c r="J472" s="24"/>
      <c r="K472" s="22"/>
      <c r="L472" s="22">
        <v>1.6103155849574381E-2</v>
      </c>
      <c r="M472" s="26">
        <v>46287.671423611115</v>
      </c>
      <c r="N472" s="27"/>
      <c r="O472" s="23"/>
      <c r="P472" s="23"/>
    </row>
    <row r="473" spans="1:16" x14ac:dyDescent="0.15">
      <c r="A473" t="s">
        <v>752</v>
      </c>
      <c r="B473" s="24">
        <v>612.74</v>
      </c>
      <c r="C473" s="24"/>
      <c r="D473" s="24"/>
      <c r="E473" s="25"/>
      <c r="F473" s="25"/>
      <c r="G473" s="24">
        <v>603.46</v>
      </c>
      <c r="H473" s="25">
        <v>306890</v>
      </c>
      <c r="I473" s="25"/>
      <c r="J473" s="24"/>
      <c r="K473" s="22"/>
      <c r="L473" s="22">
        <v>1.4005083492479933E-2</v>
      </c>
      <c r="M473" s="26">
        <v>46287.671423611115</v>
      </c>
      <c r="N473" s="27"/>
      <c r="O473" s="23"/>
      <c r="P473" s="23"/>
    </row>
    <row r="474" spans="1:16" x14ac:dyDescent="0.15">
      <c r="A474" t="s">
        <v>1048</v>
      </c>
      <c r="B474" s="24">
        <v>72.55</v>
      </c>
      <c r="C474" s="24"/>
      <c r="D474" s="24"/>
      <c r="E474" s="25"/>
      <c r="F474" s="25"/>
      <c r="G474" s="24">
        <v>72.37</v>
      </c>
      <c r="H474" s="25">
        <v>4667197</v>
      </c>
      <c r="I474" s="25"/>
      <c r="J474" s="24"/>
      <c r="K474" s="22"/>
      <c r="L474" s="22">
        <v>2.5254623723287221E-3</v>
      </c>
      <c r="M474" s="26">
        <v>46287.671423611115</v>
      </c>
      <c r="N474" s="27"/>
      <c r="O474" s="23"/>
      <c r="P474" s="23"/>
    </row>
    <row r="475" spans="1:16" x14ac:dyDescent="0.15">
      <c r="A475" t="s">
        <v>508</v>
      </c>
      <c r="B475" s="24">
        <v>212</v>
      </c>
      <c r="C475" s="24"/>
      <c r="D475" s="24"/>
      <c r="E475" s="25"/>
      <c r="F475" s="25"/>
      <c r="G475" s="24">
        <v>205.42</v>
      </c>
      <c r="H475" s="25">
        <v>1759955</v>
      </c>
      <c r="I475" s="25"/>
      <c r="J475" s="24"/>
      <c r="K475" s="22"/>
      <c r="L475" s="22">
        <v>1.9874588007308555E-2</v>
      </c>
      <c r="M475" s="26">
        <v>46287.671423611115</v>
      </c>
      <c r="N475" s="27"/>
      <c r="O475" s="23"/>
      <c r="P475" s="23"/>
    </row>
    <row r="476" spans="1:16" x14ac:dyDescent="0.15">
      <c r="A476" t="s">
        <v>516</v>
      </c>
      <c r="B476" s="24">
        <v>398.69</v>
      </c>
      <c r="C476" s="24"/>
      <c r="D476" s="24"/>
      <c r="E476" s="25"/>
      <c r="F476" s="25"/>
      <c r="G476" s="24">
        <v>371.47</v>
      </c>
      <c r="H476" s="25">
        <v>3394390</v>
      </c>
      <c r="I476" s="25"/>
      <c r="J476" s="24"/>
      <c r="K476" s="22"/>
      <c r="L476" s="22">
        <v>5.515328533744028E-2</v>
      </c>
      <c r="M476" s="26">
        <v>46287.671423611115</v>
      </c>
      <c r="N476" s="27"/>
      <c r="O476" s="23"/>
      <c r="P476" s="23"/>
    </row>
    <row r="477" spans="1:16" x14ac:dyDescent="0.15">
      <c r="A477" t="s">
        <v>510</v>
      </c>
      <c r="B477" s="24">
        <v>48.07</v>
      </c>
      <c r="C477" s="24"/>
      <c r="D477" s="24"/>
      <c r="E477" s="25"/>
      <c r="F477" s="25"/>
      <c r="G477" s="24">
        <v>48.56</v>
      </c>
      <c r="H477" s="25">
        <v>9847561</v>
      </c>
      <c r="I477" s="25"/>
      <c r="J477" s="24"/>
      <c r="K477" s="22"/>
      <c r="L477" s="22">
        <v>1.3594217933783801E-2</v>
      </c>
      <c r="M477" s="26">
        <v>46287.671423611115</v>
      </c>
      <c r="N477" s="27"/>
      <c r="O477" s="23"/>
      <c r="P477" s="23"/>
    </row>
    <row r="478" spans="1:16" x14ac:dyDescent="0.15">
      <c r="A478" t="s">
        <v>440</v>
      </c>
      <c r="B478" s="24">
        <v>159.02000000000001</v>
      </c>
      <c r="C478" s="24"/>
      <c r="D478" s="24"/>
      <c r="E478" s="25"/>
      <c r="F478" s="25"/>
      <c r="G478" s="24">
        <v>158.19</v>
      </c>
      <c r="H478" s="25">
        <v>2255324</v>
      </c>
      <c r="I478" s="25"/>
      <c r="J478" s="24"/>
      <c r="K478" s="22"/>
      <c r="L478" s="22">
        <v>1.9705597246620511E-2</v>
      </c>
      <c r="M478" s="26">
        <v>46287.671423611115</v>
      </c>
      <c r="N478" s="27"/>
      <c r="O478" s="23"/>
      <c r="P478" s="23"/>
    </row>
    <row r="479" spans="1:16" x14ac:dyDescent="0.15">
      <c r="A479" t="s">
        <v>280</v>
      </c>
      <c r="B479" s="24">
        <v>130.79</v>
      </c>
      <c r="C479" s="24"/>
      <c r="D479" s="24"/>
      <c r="E479" s="25"/>
      <c r="F479" s="25"/>
      <c r="G479" s="24">
        <v>127.24</v>
      </c>
      <c r="H479" s="25">
        <v>11409590</v>
      </c>
      <c r="I479" s="25"/>
      <c r="J479" s="24"/>
      <c r="K479" s="22"/>
      <c r="L479" s="22">
        <v>1.4605759209873026E-2</v>
      </c>
      <c r="M479" s="26">
        <v>46287.671423611115</v>
      </c>
      <c r="N479" s="27"/>
      <c r="O479" s="23"/>
      <c r="P479" s="23"/>
    </row>
    <row r="480" spans="1:16" x14ac:dyDescent="0.15">
      <c r="A480" t="s">
        <v>1050</v>
      </c>
      <c r="B480" s="24">
        <v>188.87</v>
      </c>
      <c r="C480" s="24"/>
      <c r="D480" s="24"/>
      <c r="E480" s="25"/>
      <c r="F480" s="25"/>
      <c r="G480" s="24">
        <v>189.26</v>
      </c>
      <c r="H480" s="25">
        <v>1041833</v>
      </c>
      <c r="I480" s="25"/>
      <c r="J480" s="24"/>
      <c r="K480" s="22"/>
      <c r="L480" s="22">
        <v>2.0891183194988405E-2</v>
      </c>
      <c r="M480" s="26">
        <v>46287.671423611115</v>
      </c>
      <c r="N480" s="27"/>
      <c r="O480" s="23"/>
      <c r="P480" s="23"/>
    </row>
    <row r="481" spans="1:16" x14ac:dyDescent="0.15">
      <c r="A481" t="s">
        <v>212</v>
      </c>
      <c r="B481" s="24">
        <v>658.52</v>
      </c>
      <c r="C481" s="24"/>
      <c r="D481" s="24"/>
      <c r="E481" s="25"/>
      <c r="F481" s="25"/>
      <c r="G481" s="24">
        <v>651.45000000000005</v>
      </c>
      <c r="H481" s="25">
        <v>2303878</v>
      </c>
      <c r="I481" s="25"/>
      <c r="J481" s="24"/>
      <c r="K481" s="22"/>
      <c r="L481" s="22">
        <v>1.8413045868330015E-2</v>
      </c>
      <c r="M481" s="26">
        <v>46287.671423611115</v>
      </c>
      <c r="N481" s="27"/>
      <c r="O481" s="23"/>
      <c r="P481" s="23"/>
    </row>
    <row r="482" spans="1:16" x14ac:dyDescent="0.15">
      <c r="A482" t="s">
        <v>396</v>
      </c>
      <c r="B482" s="24"/>
      <c r="C482" s="24"/>
      <c r="D482" s="24"/>
      <c r="E482" s="25"/>
      <c r="F482" s="25"/>
      <c r="G482" s="24">
        <v>165.27000427246094</v>
      </c>
      <c r="H482" s="25"/>
      <c r="I482" s="25"/>
      <c r="J482" s="24"/>
      <c r="K482" s="22"/>
      <c r="L482" s="22">
        <v>2.6340043336911277E-2</v>
      </c>
      <c r="M482" s="26"/>
      <c r="N482" s="27"/>
      <c r="O482" s="23"/>
      <c r="P482" s="23"/>
    </row>
    <row r="483" spans="1:16" x14ac:dyDescent="0.15">
      <c r="A483" t="s">
        <v>870</v>
      </c>
      <c r="B483" s="24"/>
      <c r="C483" s="24"/>
      <c r="D483" s="24"/>
      <c r="E483" s="25"/>
      <c r="F483" s="25"/>
      <c r="G483" s="24">
        <v>366.79998779296875</v>
      </c>
      <c r="H483" s="25"/>
      <c r="I483" s="25"/>
      <c r="J483" s="24"/>
      <c r="K483" s="22"/>
      <c r="L483" s="22">
        <v>2.8531829670365876E-2</v>
      </c>
      <c r="M483" s="26"/>
      <c r="N483" s="27"/>
      <c r="O483" s="23"/>
      <c r="P483" s="23"/>
    </row>
    <row r="484" spans="1:16" x14ac:dyDescent="0.15">
      <c r="A484" t="s">
        <v>838</v>
      </c>
      <c r="B484" s="24"/>
      <c r="C484" s="24"/>
      <c r="D484" s="24"/>
      <c r="E484" s="25"/>
      <c r="F484" s="25"/>
      <c r="G484" s="24">
        <v>113.06999969482422</v>
      </c>
      <c r="H484" s="25"/>
      <c r="I484" s="25"/>
      <c r="J484" s="24"/>
      <c r="K484" s="22"/>
      <c r="L484" s="22">
        <v>2.8806705024954908E-2</v>
      </c>
      <c r="M484" s="26"/>
      <c r="N484" s="27"/>
      <c r="O484" s="23"/>
      <c r="P484" s="23"/>
    </row>
    <row r="485" spans="1:16" x14ac:dyDescent="0.15">
      <c r="A485" t="s">
        <v>488</v>
      </c>
      <c r="B485" s="24"/>
      <c r="C485" s="24"/>
      <c r="D485" s="24"/>
      <c r="E485" s="25"/>
      <c r="F485" s="25"/>
      <c r="G485" s="24">
        <v>289.3599853515625</v>
      </c>
      <c r="H485" s="25"/>
      <c r="I485" s="25"/>
      <c r="J485" s="24"/>
      <c r="K485" s="22"/>
      <c r="L485" s="22">
        <v>2.0159760198539517E-2</v>
      </c>
      <c r="M485" s="26"/>
      <c r="N485" s="27"/>
      <c r="O485" s="23"/>
      <c r="P485" s="23"/>
    </row>
    <row r="486" spans="1:16" x14ac:dyDescent="0.15">
      <c r="A486" t="s">
        <v>1233</v>
      </c>
      <c r="B486" s="24"/>
      <c r="C486" s="24"/>
      <c r="D486" s="24"/>
      <c r="E486" s="25"/>
      <c r="F486" s="25"/>
      <c r="G486" s="24">
        <v>95.430000305175781</v>
      </c>
      <c r="H486" s="25"/>
      <c r="I486" s="25"/>
      <c r="J486" s="24"/>
      <c r="K486" s="22"/>
      <c r="L486" s="22">
        <v>3.8488761612295724E-2</v>
      </c>
      <c r="M486" s="26"/>
      <c r="N486" s="27"/>
      <c r="O486" s="23"/>
      <c r="P486" s="23"/>
    </row>
    <row r="487" spans="1:16" x14ac:dyDescent="0.15">
      <c r="A487" t="s">
        <v>998</v>
      </c>
      <c r="B487" s="24"/>
      <c r="C487" s="24"/>
      <c r="D487" s="24"/>
      <c r="E487" s="25"/>
      <c r="F487" s="25"/>
      <c r="G487" s="24">
        <v>57.75</v>
      </c>
      <c r="H487" s="25"/>
      <c r="I487" s="25"/>
      <c r="J487" s="24"/>
      <c r="K487" s="22"/>
      <c r="L487" s="22">
        <v>2.0923543092965312E-2</v>
      </c>
      <c r="M487" s="26"/>
      <c r="N487" s="27"/>
      <c r="O487" s="23"/>
      <c r="P487" s="23"/>
    </row>
    <row r="488" spans="1:16" x14ac:dyDescent="0.15">
      <c r="A488" t="s">
        <v>842</v>
      </c>
      <c r="B488" s="24"/>
      <c r="C488" s="24"/>
      <c r="D488" s="24"/>
      <c r="E488" s="25"/>
      <c r="F488" s="25"/>
      <c r="G488" s="24">
        <v>104.62999725341797</v>
      </c>
      <c r="H488" s="25"/>
      <c r="I488" s="25"/>
      <c r="J488" s="24"/>
      <c r="K488" s="22"/>
      <c r="L488" s="22">
        <v>1.6845280195363639E-2</v>
      </c>
      <c r="M488" s="26"/>
      <c r="N488" s="27"/>
      <c r="O488" s="23"/>
      <c r="P488" s="23"/>
    </row>
    <row r="489" spans="1:16" x14ac:dyDescent="0.15">
      <c r="A489" t="s">
        <v>406</v>
      </c>
      <c r="B489" s="24"/>
      <c r="C489" s="24"/>
      <c r="D489" s="24"/>
      <c r="E489" s="25"/>
      <c r="F489" s="25"/>
      <c r="G489" s="24">
        <v>371.1300048828125</v>
      </c>
      <c r="H489" s="25"/>
      <c r="I489" s="25"/>
      <c r="J489" s="24"/>
      <c r="K489" s="22"/>
      <c r="L489" s="22">
        <v>1.7787952598580247E-2</v>
      </c>
      <c r="M489" s="26"/>
      <c r="N489" s="27"/>
      <c r="O489" s="23"/>
      <c r="P489" s="23"/>
    </row>
    <row r="490" spans="1:16" x14ac:dyDescent="0.15">
      <c r="A490" t="s">
        <v>938</v>
      </c>
      <c r="B490" s="24"/>
      <c r="C490" s="24"/>
      <c r="D490" s="24"/>
      <c r="E490" s="25"/>
      <c r="F490" s="25"/>
      <c r="G490" s="24">
        <v>32.330001831054688</v>
      </c>
      <c r="H490" s="25"/>
      <c r="I490" s="25"/>
      <c r="J490" s="24"/>
      <c r="K490" s="22"/>
      <c r="L490" s="22">
        <v>1.9343653796560733E-2</v>
      </c>
      <c r="M490" s="26"/>
      <c r="N490" s="27"/>
      <c r="O490" s="23"/>
      <c r="P490" s="23"/>
    </row>
    <row r="491" spans="1:16" x14ac:dyDescent="0.15">
      <c r="A491" t="s">
        <v>136</v>
      </c>
      <c r="B491" s="24"/>
      <c r="C491" s="24"/>
      <c r="D491" s="24"/>
      <c r="E491" s="25"/>
      <c r="F491" s="25"/>
      <c r="G491" s="24">
        <v>375.29998779296875</v>
      </c>
      <c r="H491" s="25"/>
      <c r="I491" s="25"/>
      <c r="J491" s="24"/>
      <c r="K491" s="22"/>
      <c r="L491" s="22">
        <v>3.5527392546571307E-2</v>
      </c>
      <c r="M491" s="26"/>
      <c r="N491" s="27"/>
      <c r="O491" s="23"/>
      <c r="P491" s="23"/>
    </row>
    <row r="492" spans="1:16" x14ac:dyDescent="0.15">
      <c r="A492" t="s">
        <v>974</v>
      </c>
      <c r="B492" s="24"/>
      <c r="C492" s="24"/>
      <c r="D492" s="24"/>
      <c r="E492" s="25"/>
      <c r="F492" s="25"/>
      <c r="G492" s="24">
        <v>52.505001068115234</v>
      </c>
      <c r="H492" s="25"/>
      <c r="I492" s="25"/>
      <c r="J492" s="24"/>
      <c r="K492" s="22"/>
      <c r="L492" s="22">
        <v>1.7397600017834164E-2</v>
      </c>
      <c r="M492" s="26"/>
      <c r="N492" s="27"/>
      <c r="O492" s="23"/>
      <c r="P492" s="23"/>
    </row>
    <row r="493" spans="1:16" x14ac:dyDescent="0.15">
      <c r="A493" t="s">
        <v>356</v>
      </c>
      <c r="B493" s="24"/>
      <c r="C493" s="24"/>
      <c r="D493" s="24"/>
      <c r="E493" s="25"/>
      <c r="F493" s="25"/>
      <c r="G493" s="24">
        <v>433.32000732421875</v>
      </c>
      <c r="H493" s="25"/>
      <c r="I493" s="25"/>
      <c r="J493" s="24"/>
      <c r="K493" s="22"/>
      <c r="L493" s="22">
        <v>1.6432043266604444E-2</v>
      </c>
      <c r="M493" s="26"/>
      <c r="N493" s="27"/>
      <c r="O493" s="23"/>
      <c r="P493" s="23"/>
    </row>
    <row r="494" spans="1:16" x14ac:dyDescent="0.15">
      <c r="A494" t="s">
        <v>672</v>
      </c>
      <c r="B494" s="24"/>
      <c r="C494" s="24"/>
      <c r="D494" s="24"/>
      <c r="E494" s="25"/>
      <c r="F494" s="25"/>
      <c r="G494" s="24">
        <v>209.91999816894531</v>
      </c>
      <c r="H494" s="25"/>
      <c r="I494" s="25"/>
      <c r="J494" s="24"/>
      <c r="K494" s="22"/>
      <c r="L494" s="22">
        <v>2.1962941248459766E-2</v>
      </c>
      <c r="M494" s="26"/>
      <c r="N494" s="27"/>
      <c r="O494" s="23"/>
      <c r="P494" s="23"/>
    </row>
    <row r="495" spans="1:16" x14ac:dyDescent="0.15">
      <c r="A495" t="s">
        <v>206</v>
      </c>
      <c r="B495" s="24"/>
      <c r="C495" s="24"/>
      <c r="D495" s="24"/>
      <c r="E495" s="25"/>
      <c r="F495" s="25"/>
      <c r="G495" s="24">
        <v>270.8699951171875</v>
      </c>
      <c r="H495" s="25"/>
      <c r="I495" s="25"/>
      <c r="J495" s="24"/>
      <c r="K495" s="22"/>
      <c r="L495" s="22">
        <v>2.4398093791509142E-2</v>
      </c>
      <c r="M495" s="26"/>
      <c r="N495" s="27"/>
      <c r="O495" s="23"/>
      <c r="P495" s="23"/>
    </row>
    <row r="496" spans="1:16" x14ac:dyDescent="0.15">
      <c r="A496" t="s">
        <v>992</v>
      </c>
      <c r="B496" s="24"/>
      <c r="C496" s="24"/>
      <c r="D496" s="24"/>
      <c r="E496" s="25"/>
      <c r="F496" s="25"/>
      <c r="G496" s="24">
        <v>79.410003662109375</v>
      </c>
      <c r="H496" s="25"/>
      <c r="I496" s="25"/>
      <c r="J496" s="24"/>
      <c r="K496" s="22"/>
      <c r="L496" s="22">
        <v>1.7005100108830641E-2</v>
      </c>
      <c r="M496" s="26"/>
      <c r="N496" s="27"/>
      <c r="O496" s="23"/>
      <c r="P496" s="23"/>
    </row>
    <row r="497" spans="1:16" x14ac:dyDescent="0.15">
      <c r="A497" t="s">
        <v>1024</v>
      </c>
      <c r="B497" s="24"/>
      <c r="C497" s="24"/>
      <c r="D497" s="24"/>
      <c r="E497" s="25"/>
      <c r="F497" s="25"/>
      <c r="G497" s="24">
        <v>332.45999145507812</v>
      </c>
      <c r="H497" s="25"/>
      <c r="I497" s="25"/>
      <c r="J497" s="24"/>
      <c r="K497" s="22"/>
      <c r="L497" s="22">
        <v>2.8810993942861553E-2</v>
      </c>
      <c r="M497" s="26"/>
      <c r="N497" s="27"/>
      <c r="O497" s="23"/>
      <c r="P497" s="23"/>
    </row>
    <row r="498" spans="1:16" x14ac:dyDescent="0.15">
      <c r="A498" t="s">
        <v>676</v>
      </c>
      <c r="B498" s="24"/>
      <c r="C498" s="24"/>
      <c r="D498" s="24"/>
      <c r="E498" s="25"/>
      <c r="F498" s="25"/>
      <c r="G498" s="24">
        <v>114.38999938964844</v>
      </c>
      <c r="H498" s="25"/>
      <c r="I498" s="25"/>
      <c r="J498" s="24"/>
      <c r="K498" s="22"/>
      <c r="L498" s="22">
        <v>2.3545697026104397E-2</v>
      </c>
      <c r="M498" s="26"/>
      <c r="N498" s="27"/>
      <c r="O498" s="23"/>
      <c r="P498" s="23"/>
    </row>
    <row r="499" spans="1:16" x14ac:dyDescent="0.15">
      <c r="A499" t="s">
        <v>278</v>
      </c>
      <c r="B499" s="24"/>
      <c r="C499" s="24"/>
      <c r="D499" s="24"/>
      <c r="E499" s="25"/>
      <c r="F499" s="25"/>
      <c r="G499" s="24">
        <v>70.839996337890625</v>
      </c>
      <c r="H499" s="25"/>
      <c r="I499" s="25"/>
      <c r="J499" s="24"/>
      <c r="K499" s="22"/>
      <c r="L499" s="22">
        <v>2.446444474440277E-2</v>
      </c>
      <c r="M499" s="26"/>
      <c r="N499" s="27"/>
      <c r="O499" s="23"/>
      <c r="P499" s="23"/>
    </row>
    <row r="500" spans="1:16" x14ac:dyDescent="0.15">
      <c r="A500" t="s">
        <v>1074</v>
      </c>
      <c r="B500" s="24"/>
      <c r="C500" s="24"/>
      <c r="D500" s="24"/>
      <c r="E500" s="25"/>
      <c r="F500" s="25"/>
      <c r="G500" s="24">
        <v>33.889999389648438</v>
      </c>
      <c r="H500" s="25"/>
      <c r="I500" s="25"/>
      <c r="J500" s="24"/>
      <c r="K500" s="22"/>
      <c r="L500" s="22">
        <v>1.208226640806649E-2</v>
      </c>
      <c r="M500" s="26"/>
      <c r="N500" s="27"/>
      <c r="O500" s="23"/>
      <c r="P500" s="23"/>
    </row>
    <row r="501" spans="1:16" x14ac:dyDescent="0.15">
      <c r="A501" t="s">
        <v>1090</v>
      </c>
      <c r="B501" s="24"/>
      <c r="C501" s="24"/>
      <c r="D501" s="24"/>
      <c r="E501" s="25"/>
      <c r="F501" s="25"/>
      <c r="G501" s="24">
        <v>174.74000549316406</v>
      </c>
      <c r="H501" s="25"/>
      <c r="I501" s="25"/>
      <c r="J501" s="24"/>
      <c r="K501" s="22"/>
      <c r="L501" s="22">
        <v>1.9848344413673148E-2</v>
      </c>
      <c r="M501" s="26"/>
      <c r="N501" s="27"/>
      <c r="O501" s="23"/>
      <c r="P501" s="23"/>
    </row>
    <row r="502" spans="1:16" x14ac:dyDescent="0.15">
      <c r="A502" t="s">
        <v>828</v>
      </c>
      <c r="B502" s="24"/>
      <c r="C502" s="24"/>
      <c r="D502" s="24"/>
      <c r="E502" s="25"/>
      <c r="F502" s="25"/>
      <c r="G502" s="24">
        <v>557.8599853515625</v>
      </c>
      <c r="H502" s="25"/>
      <c r="I502" s="25"/>
      <c r="J502" s="24"/>
      <c r="K502" s="22"/>
      <c r="L502" s="22">
        <v>2.2257568814195054E-2</v>
      </c>
      <c r="M502" s="26"/>
      <c r="N502" s="27"/>
      <c r="O502" s="23"/>
      <c r="P502" s="23"/>
    </row>
    <row r="503" spans="1:16" x14ac:dyDescent="0.15">
      <c r="A503" t="s">
        <v>182</v>
      </c>
      <c r="B503" s="24"/>
      <c r="C503" s="24"/>
      <c r="D503" s="24"/>
      <c r="E503" s="25"/>
      <c r="F503" s="25"/>
      <c r="G503" s="24">
        <v>377.55999755859375</v>
      </c>
      <c r="H503" s="25"/>
      <c r="I503" s="25"/>
      <c r="J503" s="24"/>
      <c r="K503" s="22"/>
      <c r="L503" s="22">
        <v>1.4832489086863878E-2</v>
      </c>
      <c r="M503" s="26"/>
      <c r="N503" s="27"/>
      <c r="O503" s="23"/>
      <c r="P503" s="23"/>
    </row>
    <row r="504" spans="1:16" x14ac:dyDescent="0.15">
      <c r="A504" t="s">
        <v>260</v>
      </c>
      <c r="B504" s="24"/>
      <c r="C504" s="24"/>
      <c r="D504" s="24"/>
      <c r="E504" s="25"/>
      <c r="F504" s="25"/>
      <c r="G504" s="24">
        <v>269.6300048828125</v>
      </c>
      <c r="H504" s="25"/>
      <c r="I504" s="25"/>
      <c r="J504" s="24"/>
      <c r="K504" s="22"/>
      <c r="L504" s="22">
        <v>1.3728436012745728E-2</v>
      </c>
      <c r="M504" s="26"/>
      <c r="N504" s="27"/>
      <c r="O504" s="23"/>
      <c r="P504" s="23"/>
    </row>
    <row r="505" spans="1:16" x14ac:dyDescent="0.15">
      <c r="A505" t="s">
        <v>422</v>
      </c>
      <c r="B505" s="24"/>
      <c r="C505" s="24"/>
      <c r="D505" s="24"/>
      <c r="E505" s="25"/>
      <c r="F505" s="25"/>
      <c r="G505" s="24">
        <v>94.75</v>
      </c>
      <c r="H505" s="25"/>
      <c r="I505" s="25"/>
      <c r="J505" s="24"/>
      <c r="K505" s="22"/>
      <c r="L505" s="22">
        <v>1.8218305256589892E-2</v>
      </c>
      <c r="M505" s="26"/>
      <c r="N505" s="27"/>
      <c r="O505" s="23"/>
      <c r="P505" s="23"/>
    </row>
    <row r="506" spans="1:16" x14ac:dyDescent="0.15">
      <c r="A506" t="s">
        <v>480</v>
      </c>
      <c r="B506" s="24"/>
      <c r="C506" s="24"/>
      <c r="D506" s="24"/>
      <c r="E506" s="25"/>
      <c r="F506" s="25"/>
      <c r="G506" s="24">
        <v>1029.9200439453125</v>
      </c>
      <c r="H506" s="25"/>
      <c r="I506" s="25"/>
      <c r="J506" s="24"/>
      <c r="K506" s="22"/>
      <c r="L506" s="22">
        <v>2.308073202050933E-2</v>
      </c>
      <c r="M506" s="26"/>
      <c r="N506" s="27"/>
      <c r="O506" s="23"/>
      <c r="P506" s="23"/>
    </row>
    <row r="507" spans="1:16" x14ac:dyDescent="0.15">
      <c r="A507" t="s">
        <v>360</v>
      </c>
      <c r="B507" s="24"/>
      <c r="C507" s="24"/>
      <c r="D507" s="24"/>
      <c r="E507" s="25"/>
      <c r="F507" s="25"/>
      <c r="G507" s="24">
        <v>60.439998626708984</v>
      </c>
      <c r="H507" s="25"/>
      <c r="I507" s="25"/>
      <c r="J507" s="24"/>
      <c r="K507" s="22"/>
      <c r="L507" s="22">
        <v>1.2659662355317864E-2</v>
      </c>
      <c r="M507" s="26"/>
      <c r="N507" s="27"/>
      <c r="O507" s="23"/>
      <c r="P507" s="23"/>
    </row>
    <row r="508" spans="1:16" x14ac:dyDescent="0.15">
      <c r="A508" t="s">
        <v>1246</v>
      </c>
      <c r="B508" s="24"/>
      <c r="C508" s="24"/>
      <c r="D508" s="24"/>
      <c r="E508" s="25"/>
      <c r="F508" s="25"/>
      <c r="G508" s="24">
        <v>36.409999847412109</v>
      </c>
      <c r="H508" s="25"/>
      <c r="I508" s="25"/>
      <c r="J508" s="24"/>
      <c r="K508" s="22"/>
      <c r="L508" s="22">
        <v>1.7582722144908176E-3</v>
      </c>
      <c r="M508" s="26"/>
      <c r="N508" s="27"/>
      <c r="O508" s="23"/>
      <c r="P508" s="23"/>
    </row>
    <row r="509" spans="1:16" x14ac:dyDescent="0.15">
      <c r="A509" t="s">
        <v>150</v>
      </c>
      <c r="B509" s="24"/>
      <c r="C509" s="24"/>
      <c r="D509" s="24"/>
      <c r="E509" s="25"/>
      <c r="F509" s="25"/>
      <c r="G509" s="24">
        <v>369.95001220703125</v>
      </c>
      <c r="H509" s="25"/>
      <c r="I509" s="25"/>
      <c r="J509" s="24"/>
      <c r="K509" s="22"/>
      <c r="L509" s="22">
        <v>1.265704152520911E-2</v>
      </c>
      <c r="M509" s="26"/>
      <c r="N509" s="27"/>
      <c r="O509" s="23"/>
      <c r="P509" s="23"/>
    </row>
    <row r="510" spans="1:16" x14ac:dyDescent="0.15">
      <c r="A510" t="s">
        <v>50</v>
      </c>
      <c r="B510" s="24"/>
      <c r="C510" s="24"/>
      <c r="D510" s="24"/>
      <c r="E510" s="25"/>
      <c r="F510" s="25"/>
      <c r="G510" s="24">
        <v>176.11000061035156</v>
      </c>
      <c r="H510" s="25"/>
      <c r="I510" s="25"/>
      <c r="J510" s="24"/>
      <c r="K510" s="22"/>
      <c r="L510" s="22">
        <v>1.379743559424549E-2</v>
      </c>
      <c r="M510" s="26"/>
      <c r="N510" s="27"/>
      <c r="O510" s="23"/>
      <c r="P510" s="23"/>
    </row>
    <row r="511" spans="1:16" x14ac:dyDescent="0.15">
      <c r="A511" t="s">
        <v>654</v>
      </c>
      <c r="B511" s="24"/>
      <c r="C511" s="24"/>
      <c r="D511" s="24"/>
      <c r="E511" s="25"/>
      <c r="F511" s="25"/>
      <c r="G511" s="24">
        <v>261.30999755859375</v>
      </c>
      <c r="H511" s="25"/>
      <c r="I511" s="25"/>
      <c r="J511" s="24"/>
      <c r="K511" s="22"/>
      <c r="L511" s="22">
        <v>3.1558226455212487E-2</v>
      </c>
      <c r="M511" s="26"/>
      <c r="N511" s="27"/>
      <c r="O511" s="23"/>
      <c r="P511" s="23"/>
    </row>
    <row r="512" spans="1:16" x14ac:dyDescent="0.15">
      <c r="A512" t="s">
        <v>48</v>
      </c>
      <c r="B512" s="24"/>
      <c r="C512" s="24"/>
      <c r="D512" s="24"/>
      <c r="E512" s="25"/>
      <c r="F512" s="25"/>
      <c r="G512" s="24">
        <v>136.75999450683594</v>
      </c>
      <c r="H512" s="25"/>
      <c r="I512" s="25"/>
      <c r="J512" s="24"/>
      <c r="K512" s="22"/>
      <c r="L512" s="22">
        <v>8.1557244660122111E-3</v>
      </c>
      <c r="M512" s="26"/>
      <c r="N512" s="27"/>
      <c r="O512" s="23"/>
      <c r="P512" s="23"/>
    </row>
    <row r="513" spans="1:16" x14ac:dyDescent="0.15">
      <c r="A513" t="s">
        <v>63</v>
      </c>
      <c r="B513" s="24">
        <v>57.32</v>
      </c>
      <c r="C513" s="24">
        <v>57.32</v>
      </c>
      <c r="D513" s="24">
        <v>57.33</v>
      </c>
      <c r="E513" s="25">
        <v>4200</v>
      </c>
      <c r="F513" s="25">
        <v>29600</v>
      </c>
      <c r="G513" s="24">
        <v>57.310001373291016</v>
      </c>
      <c r="H513" s="25"/>
      <c r="I513" s="25"/>
      <c r="J513" s="24"/>
      <c r="K513" s="22"/>
      <c r="L513" s="22">
        <v>2.0782566366531418E-3</v>
      </c>
      <c r="M513" s="26">
        <v>46287.683333333334</v>
      </c>
      <c r="N513" s="27"/>
      <c r="O513" s="23"/>
      <c r="P513" s="23"/>
    </row>
    <row r="514" spans="1:16" x14ac:dyDescent="0.15">
      <c r="A514" t="s">
        <v>60</v>
      </c>
      <c r="B514" s="24">
        <v>52.41</v>
      </c>
      <c r="C514" s="24">
        <v>52.4</v>
      </c>
      <c r="D514" s="24">
        <v>52.42</v>
      </c>
      <c r="E514" s="25">
        <v>5400</v>
      </c>
      <c r="F514" s="25">
        <v>10300</v>
      </c>
      <c r="G514" s="24">
        <v>52.419998168945312</v>
      </c>
      <c r="H514" s="25"/>
      <c r="I514" s="25"/>
      <c r="J514" s="24"/>
      <c r="K514" s="22"/>
      <c r="L514" s="22">
        <v>5.5148539830318921E-3</v>
      </c>
      <c r="M514" s="26">
        <v>46287.683333333334</v>
      </c>
      <c r="N514" s="27"/>
      <c r="O514" s="23"/>
      <c r="P514" s="23"/>
    </row>
    <row r="515" spans="1:16" x14ac:dyDescent="0.15">
      <c r="A515" t="s">
        <v>66</v>
      </c>
      <c r="B515" s="24">
        <v>57.65</v>
      </c>
      <c r="C515" s="24">
        <v>57.64</v>
      </c>
      <c r="D515" s="24">
        <v>57.65</v>
      </c>
      <c r="E515" s="25">
        <v>91916</v>
      </c>
      <c r="F515" s="25">
        <v>70100</v>
      </c>
      <c r="G515" s="24">
        <v>57.630001068115234</v>
      </c>
      <c r="H515" s="25"/>
      <c r="I515" s="25"/>
      <c r="J515" s="24"/>
      <c r="K515" s="22"/>
      <c r="L515" s="22">
        <v>8.081001337377075E-4</v>
      </c>
      <c r="M515" s="26">
        <v>46287.683333333334</v>
      </c>
      <c r="N515" s="27"/>
      <c r="O515" s="23"/>
      <c r="P515" s="23"/>
    </row>
    <row r="516" spans="1:16" x14ac:dyDescent="0.15">
      <c r="A516" t="s">
        <v>46</v>
      </c>
      <c r="B516" s="24"/>
      <c r="C516" s="24"/>
      <c r="D516" s="24"/>
      <c r="E516" s="25"/>
      <c r="F516" s="25"/>
      <c r="G516" s="24">
        <v>125.55999755859375</v>
      </c>
      <c r="H516" s="25"/>
      <c r="I516" s="25"/>
      <c r="J516" s="24"/>
      <c r="K516" s="22"/>
      <c r="L516" s="22">
        <v>1.6387346335874121E-2</v>
      </c>
      <c r="M516" s="26"/>
      <c r="N516" s="27"/>
      <c r="O516" s="23"/>
      <c r="P516" s="23"/>
    </row>
    <row r="517" spans="1:16" x14ac:dyDescent="0.15">
      <c r="A517" t="s">
        <v>52</v>
      </c>
      <c r="B517" s="24"/>
      <c r="C517" s="24"/>
      <c r="D517" s="24"/>
      <c r="E517" s="25"/>
      <c r="F517" s="25"/>
      <c r="G517" s="24">
        <v>317.42999267578125</v>
      </c>
      <c r="H517" s="25"/>
      <c r="I517" s="25"/>
      <c r="J517" s="24"/>
      <c r="K517" s="22"/>
      <c r="L517" s="22">
        <v>1.1208268622790627E-2</v>
      </c>
      <c r="M517" s="26"/>
      <c r="N517" s="27"/>
      <c r="O517" s="23"/>
      <c r="P517" s="23"/>
    </row>
    <row r="518" spans="1:16" x14ac:dyDescent="0.15">
      <c r="A518" t="s">
        <v>776</v>
      </c>
      <c r="B518" s="24"/>
      <c r="C518" s="24"/>
      <c r="D518" s="24"/>
      <c r="E518" s="25"/>
      <c r="F518" s="25"/>
      <c r="G518" s="24">
        <v>24.049999237060547</v>
      </c>
      <c r="H518" s="25"/>
      <c r="I518" s="25"/>
      <c r="J518" s="24"/>
      <c r="K518" s="22"/>
      <c r="L518" s="22">
        <v>1.2965222278650122E-2</v>
      </c>
      <c r="M518" s="26"/>
      <c r="N518" s="27"/>
      <c r="O518" s="23"/>
      <c r="P518" s="23"/>
    </row>
    <row r="519" spans="1:16" x14ac:dyDescent="0.15">
      <c r="A519" t="s">
        <v>310</v>
      </c>
      <c r="B519" s="24"/>
      <c r="C519" s="24"/>
      <c r="D519" s="24"/>
      <c r="E519" s="25"/>
      <c r="F519" s="25"/>
      <c r="G519" s="24">
        <v>393.26998901367188</v>
      </c>
      <c r="H519" s="25"/>
      <c r="I519" s="25"/>
      <c r="J519" s="24"/>
      <c r="K519" s="22"/>
      <c r="L519" s="22">
        <v>2.1767265776075555E-2</v>
      </c>
      <c r="M519" s="26"/>
      <c r="N519" s="27"/>
      <c r="O519" s="23"/>
      <c r="P519" s="23"/>
    </row>
    <row r="520" spans="1:16" x14ac:dyDescent="0.15">
      <c r="A520" t="s">
        <v>834</v>
      </c>
      <c r="B520" s="24"/>
      <c r="C520" s="24"/>
      <c r="D520" s="24"/>
      <c r="E520" s="25"/>
      <c r="F520" s="25"/>
      <c r="G520" s="24">
        <v>95.180000305175781</v>
      </c>
      <c r="H520" s="25"/>
      <c r="I520" s="25"/>
      <c r="J520" s="24"/>
      <c r="K520" s="22"/>
      <c r="L520" s="22">
        <v>1.5198539005724231E-2</v>
      </c>
      <c r="M520" s="26"/>
      <c r="N520" s="27"/>
      <c r="O520" s="23"/>
      <c r="P520" s="23"/>
    </row>
    <row r="521" spans="1:16" x14ac:dyDescent="0.15">
      <c r="A521" t="s">
        <v>724</v>
      </c>
      <c r="B521" s="24"/>
      <c r="C521" s="24"/>
      <c r="D521" s="24"/>
      <c r="E521" s="25"/>
      <c r="F521" s="25"/>
      <c r="G521" s="24">
        <v>246.19999694824219</v>
      </c>
      <c r="H521" s="25"/>
      <c r="I521" s="25"/>
      <c r="J521" s="24"/>
      <c r="K521" s="22"/>
      <c r="L521" s="22">
        <v>1.862645718847666E-2</v>
      </c>
      <c r="M521" s="26"/>
      <c r="N521" s="27"/>
      <c r="O521" s="23"/>
      <c r="P521" s="23"/>
    </row>
    <row r="522" spans="1:16" x14ac:dyDescent="0.15">
      <c r="A522" t="s">
        <v>606</v>
      </c>
      <c r="B522" s="24"/>
      <c r="C522" s="24"/>
      <c r="D522" s="24"/>
      <c r="E522" s="25"/>
      <c r="F522" s="25"/>
      <c r="G522" s="24">
        <v>61.360000610351562</v>
      </c>
      <c r="H522" s="25"/>
      <c r="I522" s="25"/>
      <c r="J522" s="24"/>
      <c r="K522" s="22"/>
      <c r="L522" s="22">
        <v>1.4399562957343071E-2</v>
      </c>
      <c r="M522" s="26"/>
      <c r="N522" s="27"/>
      <c r="O522" s="23"/>
      <c r="P522" s="23"/>
    </row>
    <row r="523" spans="1:16" x14ac:dyDescent="0.15">
      <c r="A523" t="s">
        <v>1247</v>
      </c>
      <c r="B523" s="24"/>
      <c r="C523" s="24"/>
      <c r="D523" s="24"/>
      <c r="E523" s="25"/>
      <c r="F523" s="25"/>
      <c r="G523" s="24">
        <v>712.780029296875</v>
      </c>
      <c r="H523" s="25"/>
      <c r="I523" s="25"/>
      <c r="J523" s="24"/>
      <c r="K523" s="22"/>
      <c r="L523" s="22">
        <v>7.3022542881285612E-3</v>
      </c>
      <c r="M523" s="26"/>
      <c r="N523" s="27"/>
      <c r="O523" s="23"/>
      <c r="P523" s="23"/>
    </row>
    <row r="524" spans="1:16" x14ac:dyDescent="0.15">
      <c r="A524" t="s">
        <v>832</v>
      </c>
      <c r="B524" s="24"/>
      <c r="C524" s="24"/>
      <c r="D524" s="24"/>
      <c r="E524" s="25"/>
      <c r="F524" s="25"/>
      <c r="G524" s="24">
        <v>172.02000427246094</v>
      </c>
      <c r="H524" s="25"/>
      <c r="I524" s="25"/>
      <c r="J524" s="24"/>
      <c r="K524" s="22"/>
      <c r="L524" s="22">
        <v>2.5294916695761213E-2</v>
      </c>
      <c r="M524" s="26"/>
      <c r="N524" s="27"/>
      <c r="O524" s="23"/>
      <c r="P524" s="23"/>
    </row>
    <row r="525" spans="1:16" x14ac:dyDescent="0.15">
      <c r="A525" t="s">
        <v>808</v>
      </c>
      <c r="B525" s="24"/>
      <c r="C525" s="24"/>
      <c r="D525" s="24"/>
      <c r="E525" s="25"/>
      <c r="F525" s="25"/>
      <c r="G525" s="24">
        <v>308.17999267578125</v>
      </c>
      <c r="H525" s="25"/>
      <c r="I525" s="25"/>
      <c r="J525" s="24"/>
      <c r="K525" s="22"/>
      <c r="L525" s="22">
        <v>1.831622912466141E-2</v>
      </c>
      <c r="M525" s="26"/>
      <c r="N525" s="27"/>
      <c r="O525" s="23"/>
      <c r="P525" s="23"/>
    </row>
    <row r="526" spans="1:16" x14ac:dyDescent="0.15">
      <c r="A526" t="s">
        <v>350</v>
      </c>
      <c r="B526" s="24"/>
      <c r="C526" s="24"/>
      <c r="D526" s="24"/>
      <c r="E526" s="25"/>
      <c r="F526" s="25"/>
      <c r="G526" s="24">
        <v>250.86000061035156</v>
      </c>
      <c r="H526" s="25"/>
      <c r="I526" s="25"/>
      <c r="J526" s="24"/>
      <c r="K526" s="22"/>
      <c r="L526" s="22">
        <v>4.5391291245289726E-2</v>
      </c>
      <c r="M526" s="26"/>
      <c r="N526" s="27"/>
      <c r="O526" s="23"/>
      <c r="P526" s="23"/>
    </row>
    <row r="527" spans="1:16" x14ac:dyDescent="0.15">
      <c r="A527" t="s">
        <v>292</v>
      </c>
      <c r="B527" s="24"/>
      <c r="C527" s="24"/>
      <c r="D527" s="24"/>
      <c r="E527" s="25"/>
      <c r="F527" s="25"/>
      <c r="G527" s="24">
        <v>510.72000122070312</v>
      </c>
      <c r="H527" s="25"/>
      <c r="I527" s="25"/>
      <c r="J527" s="24"/>
      <c r="K527" s="22"/>
      <c r="L527" s="22">
        <v>1.8933847179628177E-2</v>
      </c>
      <c r="M527" s="26"/>
      <c r="N527" s="27"/>
      <c r="O527" s="23"/>
      <c r="P527" s="23"/>
    </row>
    <row r="528" spans="1:16" x14ac:dyDescent="0.15">
      <c r="A528" t="s">
        <v>604</v>
      </c>
      <c r="B528" s="24"/>
      <c r="C528" s="24"/>
      <c r="D528" s="24"/>
      <c r="E528" s="25"/>
      <c r="F528" s="25"/>
      <c r="G528" s="24">
        <v>140.77999877929688</v>
      </c>
      <c r="H528" s="25"/>
      <c r="I528" s="25"/>
      <c r="J528" s="24"/>
      <c r="K528" s="22"/>
      <c r="L528" s="22">
        <v>2.6047806761010209E-2</v>
      </c>
      <c r="M528" s="26"/>
      <c r="N528" s="27"/>
      <c r="O528" s="23"/>
      <c r="P528" s="23"/>
    </row>
    <row r="529" spans="1:16" x14ac:dyDescent="0.15">
      <c r="A529" t="s">
        <v>82</v>
      </c>
      <c r="B529" s="24">
        <v>48.5</v>
      </c>
      <c r="C529" s="24">
        <v>48.18</v>
      </c>
      <c r="D529" s="24">
        <v>52.64</v>
      </c>
      <c r="E529" s="25">
        <v>2</v>
      </c>
      <c r="F529" s="25">
        <v>100</v>
      </c>
      <c r="G529" s="24">
        <v>48.259998321533203</v>
      </c>
      <c r="H529" s="25"/>
      <c r="I529" s="25"/>
      <c r="J529" s="24"/>
      <c r="K529" s="22"/>
      <c r="L529" s="22">
        <v>2.1741426501989394E-3</v>
      </c>
      <c r="M529" s="26">
        <v>46287.683333333334</v>
      </c>
      <c r="N529" s="27"/>
      <c r="O529" s="23"/>
      <c r="P529" s="23"/>
    </row>
    <row r="530" spans="1:16" x14ac:dyDescent="0.15">
      <c r="A530" t="s">
        <v>598</v>
      </c>
      <c r="B530" s="24"/>
      <c r="C530" s="24"/>
      <c r="D530" s="24"/>
      <c r="E530" s="25"/>
      <c r="F530" s="25"/>
      <c r="G530" s="24">
        <v>87.029998779296875</v>
      </c>
      <c r="H530" s="25"/>
      <c r="I530" s="25"/>
      <c r="J530" s="24"/>
      <c r="K530" s="22"/>
      <c r="L530" s="22">
        <v>1.636248639499659E-2</v>
      </c>
      <c r="M530" s="26"/>
      <c r="N530" s="27"/>
      <c r="O530" s="23"/>
      <c r="P530" s="23"/>
    </row>
    <row r="531" spans="1:16" x14ac:dyDescent="0.15">
      <c r="A531" t="s">
        <v>884</v>
      </c>
      <c r="B531" s="24"/>
      <c r="C531" s="24"/>
      <c r="D531" s="24"/>
      <c r="E531" s="25"/>
      <c r="F531" s="25"/>
      <c r="G531" s="24">
        <v>17.100000381469727</v>
      </c>
      <c r="H531" s="25"/>
      <c r="I531" s="25"/>
      <c r="J531" s="24"/>
      <c r="K531" s="22"/>
      <c r="L531" s="22">
        <v>1.8086495633492482E-2</v>
      </c>
      <c r="M531" s="26"/>
      <c r="N531" s="27"/>
      <c r="O531" s="23"/>
      <c r="P531" s="23"/>
    </row>
    <row r="532" spans="1:16" x14ac:dyDescent="0.15">
      <c r="A532" t="s">
        <v>55</v>
      </c>
      <c r="B532" s="24">
        <v>116.4</v>
      </c>
      <c r="C532" s="24">
        <v>116.35</v>
      </c>
      <c r="D532" s="24">
        <v>116.38</v>
      </c>
      <c r="E532" s="25">
        <v>1300</v>
      </c>
      <c r="F532" s="25">
        <v>1300</v>
      </c>
      <c r="G532" s="24">
        <v>115.73999786376953</v>
      </c>
      <c r="H532" s="25"/>
      <c r="I532" s="25"/>
      <c r="J532" s="24"/>
      <c r="K532" s="22"/>
      <c r="L532" s="22">
        <v>8.0839738382777176E-3</v>
      </c>
      <c r="M532" s="26">
        <v>46287.683333333334</v>
      </c>
      <c r="N532" s="27"/>
      <c r="O532" s="23"/>
      <c r="P532" s="23"/>
    </row>
    <row r="533" spans="1:16" x14ac:dyDescent="0.15">
      <c r="A533" t="s">
        <v>228</v>
      </c>
      <c r="B533" s="24"/>
      <c r="C533" s="24"/>
      <c r="D533" s="24"/>
      <c r="E533" s="25"/>
      <c r="F533" s="25"/>
      <c r="G533" s="24">
        <v>47.680000305175781</v>
      </c>
      <c r="H533" s="25"/>
      <c r="I533" s="25"/>
      <c r="J533" s="24"/>
      <c r="K533" s="22"/>
      <c r="L533" s="22">
        <v>1.6888413207210726E-2</v>
      </c>
      <c r="M533" s="26"/>
      <c r="N533" s="27"/>
      <c r="O533" s="23"/>
      <c r="P533" s="23"/>
    </row>
    <row r="534" spans="1:16" x14ac:dyDescent="0.15">
      <c r="A534" t="s">
        <v>576</v>
      </c>
      <c r="B534" s="24"/>
      <c r="C534" s="24"/>
      <c r="D534" s="24"/>
      <c r="E534" s="25"/>
      <c r="F534" s="25"/>
      <c r="G534" s="24">
        <v>283.3800048828125</v>
      </c>
      <c r="H534" s="25"/>
      <c r="I534" s="25"/>
      <c r="J534" s="24"/>
      <c r="K534" s="22"/>
      <c r="L534" s="22">
        <v>1.9169878779615415E-2</v>
      </c>
      <c r="M534" s="26"/>
      <c r="N534" s="27"/>
      <c r="O534" s="23"/>
      <c r="P534" s="23"/>
    </row>
    <row r="535" spans="1:16" x14ac:dyDescent="0.15">
      <c r="A535" t="s">
        <v>626</v>
      </c>
      <c r="B535" s="24"/>
      <c r="C535" s="24"/>
      <c r="D535" s="24"/>
      <c r="E535" s="25"/>
      <c r="F535" s="25"/>
      <c r="G535" s="24">
        <v>423.92001342773438</v>
      </c>
      <c r="H535" s="25"/>
      <c r="I535" s="25"/>
      <c r="J535" s="24"/>
      <c r="K535" s="22"/>
      <c r="L535" s="22">
        <v>1.6946844196795499E-2</v>
      </c>
      <c r="M535" s="26"/>
      <c r="N535" s="27"/>
      <c r="O535" s="23"/>
      <c r="P535" s="23"/>
    </row>
    <row r="536" spans="1:16" x14ac:dyDescent="0.15">
      <c r="A536" t="s">
        <v>448</v>
      </c>
      <c r="B536" s="24"/>
      <c r="C536" s="24"/>
      <c r="D536" s="24"/>
      <c r="E536" s="25"/>
      <c r="F536" s="25"/>
      <c r="G536" s="24">
        <v>30.799999237060547</v>
      </c>
      <c r="H536" s="25"/>
      <c r="I536" s="25"/>
      <c r="J536" s="24"/>
      <c r="K536" s="22"/>
      <c r="L536" s="22">
        <v>1.8111702610771045E-2</v>
      </c>
      <c r="M536" s="26"/>
      <c r="N536" s="27"/>
      <c r="O536" s="23"/>
      <c r="P536" s="23"/>
    </row>
    <row r="537" spans="1:16" x14ac:dyDescent="0.15">
      <c r="A537" t="s">
        <v>656</v>
      </c>
      <c r="B537" s="24"/>
      <c r="C537" s="24"/>
      <c r="D537" s="24"/>
      <c r="E537" s="25"/>
      <c r="F537" s="25"/>
      <c r="G537" s="24">
        <v>191.91999816894531</v>
      </c>
      <c r="H537" s="25"/>
      <c r="I537" s="25"/>
      <c r="J537" s="24"/>
      <c r="K537" s="22"/>
      <c r="L537" s="22">
        <v>4.3368546092453518E-2</v>
      </c>
      <c r="M537" s="26"/>
      <c r="N537" s="27"/>
      <c r="O537" s="23"/>
      <c r="P537" s="23"/>
    </row>
    <row r="538" spans="1:16" x14ac:dyDescent="0.15">
      <c r="A538" t="s">
        <v>268</v>
      </c>
      <c r="B538" s="24"/>
      <c r="C538" s="24"/>
      <c r="D538" s="24"/>
      <c r="E538" s="25"/>
      <c r="F538" s="25"/>
      <c r="G538" s="24">
        <v>448.17001342773438</v>
      </c>
      <c r="H538" s="25"/>
      <c r="I538" s="25"/>
      <c r="J538" s="24"/>
      <c r="K538" s="22"/>
      <c r="L538" s="22">
        <v>5.7287518652674237E-2</v>
      </c>
      <c r="M538" s="26"/>
      <c r="N538" s="27"/>
      <c r="O538" s="23"/>
      <c r="P538" s="23"/>
    </row>
    <row r="539" spans="1:16" x14ac:dyDescent="0.15">
      <c r="A539" t="s">
        <v>690</v>
      </c>
      <c r="B539" s="24"/>
      <c r="C539" s="24"/>
      <c r="D539" s="24"/>
      <c r="E539" s="25"/>
      <c r="F539" s="25"/>
      <c r="G539" s="24">
        <v>103.48000335693359</v>
      </c>
      <c r="H539" s="25"/>
      <c r="I539" s="25"/>
      <c r="J539" s="24"/>
      <c r="K539" s="22"/>
      <c r="L539" s="22">
        <v>1.0918848079212222E-2</v>
      </c>
      <c r="M539" s="26"/>
      <c r="N539" s="27"/>
      <c r="O539" s="23"/>
      <c r="P539" s="23"/>
    </row>
    <row r="540" spans="1:16" x14ac:dyDescent="0.15">
      <c r="A540" t="s">
        <v>264</v>
      </c>
      <c r="B540" s="24"/>
      <c r="C540" s="24"/>
      <c r="D540" s="24"/>
      <c r="E540" s="25"/>
      <c r="F540" s="25"/>
      <c r="G540" s="24">
        <v>232.75999450683594</v>
      </c>
      <c r="H540" s="25"/>
      <c r="I540" s="25"/>
      <c r="J540" s="24"/>
      <c r="K540" s="22"/>
      <c r="L540" s="22">
        <v>1.3402779507677787E-2</v>
      </c>
      <c r="M540" s="26"/>
      <c r="N540" s="27"/>
      <c r="O540" s="23"/>
      <c r="P540" s="23"/>
    </row>
    <row r="541" spans="1:16" x14ac:dyDescent="0.15">
      <c r="A541" t="s">
        <v>200</v>
      </c>
      <c r="B541" s="24"/>
      <c r="C541" s="24"/>
      <c r="D541" s="24"/>
      <c r="E541" s="25"/>
      <c r="F541" s="25"/>
      <c r="G541" s="24">
        <v>86.540000915527344</v>
      </c>
      <c r="H541" s="25"/>
      <c r="I541" s="25"/>
      <c r="J541" s="24"/>
      <c r="K541" s="22"/>
      <c r="L541" s="22">
        <v>1.4890690194839859E-2</v>
      </c>
      <c r="M541" s="26"/>
      <c r="N541" s="27"/>
      <c r="O541" s="23"/>
      <c r="P541" s="23"/>
    </row>
    <row r="542" spans="1:16" x14ac:dyDescent="0.15">
      <c r="A542" t="s">
        <v>402</v>
      </c>
      <c r="B542" s="24"/>
      <c r="C542" s="24"/>
      <c r="D542" s="24"/>
      <c r="E542" s="25"/>
      <c r="F542" s="25"/>
      <c r="G542" s="24">
        <v>207.03999328613281</v>
      </c>
      <c r="H542" s="25"/>
      <c r="I542" s="25"/>
      <c r="J542" s="24"/>
      <c r="K542" s="22"/>
      <c r="L542" s="22">
        <v>1.359349026371774E-2</v>
      </c>
      <c r="M542" s="26"/>
      <c r="N542" s="27"/>
      <c r="O542" s="23"/>
      <c r="P542" s="23"/>
    </row>
    <row r="543" spans="1:16" x14ac:dyDescent="0.15">
      <c r="A543" t="s">
        <v>372</v>
      </c>
      <c r="B543" s="24"/>
      <c r="C543" s="24"/>
      <c r="D543" s="24"/>
      <c r="E543" s="25"/>
      <c r="F543" s="25"/>
      <c r="G543" s="24">
        <v>71.650001525878906</v>
      </c>
      <c r="H543" s="25"/>
      <c r="I543" s="25"/>
      <c r="J543" s="24"/>
      <c r="K543" s="22"/>
      <c r="L543" s="22">
        <v>1.7062294253513684E-2</v>
      </c>
      <c r="M543" s="26"/>
      <c r="N543" s="27"/>
      <c r="O543" s="23"/>
      <c r="P543" s="23"/>
    </row>
    <row r="544" spans="1:16" x14ac:dyDescent="0.15">
      <c r="A544" t="s">
        <v>154</v>
      </c>
      <c r="B544" s="24"/>
      <c r="C544" s="24"/>
      <c r="D544" s="24"/>
      <c r="E544" s="25"/>
      <c r="F544" s="25"/>
      <c r="G544" s="24">
        <v>107.44000244140625</v>
      </c>
      <c r="H544" s="25"/>
      <c r="I544" s="25"/>
      <c r="J544" s="24"/>
      <c r="K544" s="22"/>
      <c r="L544" s="22">
        <v>1.7752342971913717E-2</v>
      </c>
      <c r="M544" s="26"/>
      <c r="N544" s="27"/>
      <c r="O544" s="23"/>
      <c r="P544" s="23"/>
    </row>
    <row r="545" spans="1:16" x14ac:dyDescent="0.15">
      <c r="A545" t="s">
        <v>960</v>
      </c>
      <c r="B545" s="24"/>
      <c r="C545" s="24"/>
      <c r="D545" s="24"/>
      <c r="E545" s="25"/>
      <c r="F545" s="25"/>
      <c r="G545" s="24">
        <v>68.790000915527344</v>
      </c>
      <c r="H545" s="25"/>
      <c r="I545" s="25"/>
      <c r="J545" s="24"/>
      <c r="K545" s="22"/>
      <c r="L545" s="22">
        <v>1.2939839851636489E-2</v>
      </c>
      <c r="M545" s="26"/>
      <c r="N545" s="27"/>
      <c r="O545" s="23"/>
      <c r="P545" s="23"/>
    </row>
    <row r="546" spans="1:16" x14ac:dyDescent="0.15">
      <c r="A546" t="s">
        <v>774</v>
      </c>
      <c r="B546" s="24"/>
      <c r="C546" s="24"/>
      <c r="D546" s="24"/>
      <c r="E546" s="25"/>
      <c r="F546" s="25"/>
      <c r="G546" s="24">
        <v>227.16000366210938</v>
      </c>
      <c r="H546" s="25"/>
      <c r="I546" s="25"/>
      <c r="J546" s="24"/>
      <c r="K546" s="22"/>
      <c r="L546" s="22">
        <v>1.7821456505277795E-2</v>
      </c>
      <c r="M546" s="26"/>
      <c r="N546" s="27"/>
      <c r="O546" s="23"/>
      <c r="P546" s="23"/>
    </row>
    <row r="547" spans="1:16" x14ac:dyDescent="0.15">
      <c r="A547" t="s">
        <v>786</v>
      </c>
      <c r="B547" s="24"/>
      <c r="C547" s="24"/>
      <c r="D547" s="24"/>
      <c r="E547" s="25"/>
      <c r="F547" s="25"/>
      <c r="G547" s="24">
        <v>361.77999877929688</v>
      </c>
      <c r="H547" s="25"/>
      <c r="I547" s="25"/>
      <c r="J547" s="24"/>
      <c r="K547" s="22"/>
      <c r="L547" s="22">
        <v>1.5595531478796687E-2</v>
      </c>
      <c r="M547" s="26"/>
      <c r="N547" s="27"/>
      <c r="O547" s="23"/>
      <c r="P547" s="23"/>
    </row>
    <row r="548" spans="1:16" x14ac:dyDescent="0.15">
      <c r="A548" t="s">
        <v>738</v>
      </c>
      <c r="B548" s="24"/>
      <c r="C548" s="24"/>
      <c r="D548" s="24"/>
      <c r="E548" s="25"/>
      <c r="F548" s="25"/>
      <c r="G548" s="24">
        <v>306.82000732421875</v>
      </c>
      <c r="H548" s="25"/>
      <c r="I548" s="25"/>
      <c r="J548" s="24"/>
      <c r="K548" s="22"/>
      <c r="L548" s="22">
        <v>1.9883187365909449E-2</v>
      </c>
      <c r="M548" s="26"/>
      <c r="N548" s="27"/>
      <c r="O548" s="23"/>
      <c r="P548" s="23"/>
    </row>
    <row r="549" spans="1:16" x14ac:dyDescent="0.15">
      <c r="A549" t="s">
        <v>970</v>
      </c>
      <c r="B549" s="24"/>
      <c r="C549" s="24"/>
      <c r="D549" s="24"/>
      <c r="E549" s="25"/>
      <c r="F549" s="25"/>
      <c r="G549" s="24">
        <v>21.010000228881836</v>
      </c>
      <c r="H549" s="25"/>
      <c r="I549" s="25"/>
      <c r="J549" s="24"/>
      <c r="K549" s="22"/>
      <c r="L549" s="22">
        <v>1.8497123275335481E-2</v>
      </c>
      <c r="M549" s="26"/>
      <c r="N549" s="27"/>
      <c r="O549" s="23"/>
      <c r="P549" s="23"/>
    </row>
    <row r="550" spans="1:16" x14ac:dyDescent="0.15">
      <c r="A550" t="s">
        <v>1116</v>
      </c>
      <c r="B550" s="24"/>
      <c r="C550" s="24"/>
      <c r="D550" s="24"/>
      <c r="E550" s="25"/>
      <c r="F550" s="25"/>
      <c r="G550" s="24">
        <v>83.319999694824219</v>
      </c>
      <c r="H550" s="25"/>
      <c r="I550" s="25"/>
      <c r="J550" s="24"/>
      <c r="K550" s="22"/>
      <c r="L550" s="22">
        <v>1.5444646334468902E-2</v>
      </c>
      <c r="M550" s="26"/>
      <c r="N550" s="27"/>
      <c r="O550" s="23"/>
      <c r="P550" s="23"/>
    </row>
    <row r="551" spans="1:16" x14ac:dyDescent="0.15">
      <c r="A551" t="s">
        <v>592</v>
      </c>
      <c r="B551" s="24"/>
      <c r="C551" s="24"/>
      <c r="D551" s="24"/>
      <c r="E551" s="25"/>
      <c r="F551" s="25"/>
      <c r="G551" s="24">
        <v>71.849998474121094</v>
      </c>
      <c r="H551" s="25"/>
      <c r="I551" s="25"/>
      <c r="J551" s="24"/>
      <c r="K551" s="22"/>
      <c r="L551" s="22">
        <v>1.1272577830784091E-2</v>
      </c>
      <c r="M551" s="26"/>
      <c r="N551" s="27"/>
      <c r="O551" s="23"/>
      <c r="P551" s="23"/>
    </row>
    <row r="552" spans="1:16" x14ac:dyDescent="0.15">
      <c r="A552" t="s">
        <v>146</v>
      </c>
      <c r="B552" s="24"/>
      <c r="C552" s="24"/>
      <c r="D552" s="24"/>
      <c r="E552" s="25"/>
      <c r="F552" s="25"/>
      <c r="G552" s="24">
        <v>158.30000305175781</v>
      </c>
      <c r="H552" s="25"/>
      <c r="I552" s="25"/>
      <c r="J552" s="24"/>
      <c r="K552" s="22"/>
      <c r="L552" s="22">
        <v>1.6503579122045125E-2</v>
      </c>
      <c r="M552" s="26"/>
      <c r="N552" s="27"/>
      <c r="O552" s="23"/>
      <c r="P552" s="23"/>
    </row>
    <row r="553" spans="1:16" x14ac:dyDescent="0.15">
      <c r="A553" t="s">
        <v>798</v>
      </c>
      <c r="B553" s="24"/>
      <c r="C553" s="24"/>
      <c r="D553" s="24"/>
      <c r="E553" s="25"/>
      <c r="F553" s="25"/>
      <c r="G553" s="24">
        <v>107.23999786376953</v>
      </c>
      <c r="H553" s="25"/>
      <c r="I553" s="25"/>
      <c r="J553" s="24"/>
      <c r="K553" s="22"/>
      <c r="L553" s="22">
        <v>1.6205859855558169E-2</v>
      </c>
      <c r="M553" s="26"/>
      <c r="N553" s="27"/>
      <c r="O553" s="23"/>
      <c r="P553" s="23"/>
    </row>
    <row r="554" spans="1:16" x14ac:dyDescent="0.15">
      <c r="A554" t="s">
        <v>630</v>
      </c>
      <c r="B554" s="24"/>
      <c r="C554" s="24"/>
      <c r="D554" s="24"/>
      <c r="E554" s="25"/>
      <c r="F554" s="25"/>
      <c r="G554" s="24">
        <v>77.910003662109375</v>
      </c>
      <c r="H554" s="25"/>
      <c r="I554" s="25"/>
      <c r="J554" s="24"/>
      <c r="K554" s="22"/>
      <c r="L554" s="22">
        <v>2.3446639353716357E-2</v>
      </c>
      <c r="M554" s="26"/>
      <c r="N554" s="27"/>
      <c r="O554" s="23"/>
      <c r="P554" s="23"/>
    </row>
    <row r="555" spans="1:16" x14ac:dyDescent="0.15">
      <c r="A555" t="s">
        <v>662</v>
      </c>
      <c r="B555" s="24"/>
      <c r="C555" s="24"/>
      <c r="D555" s="24"/>
      <c r="E555" s="25"/>
      <c r="F555" s="25"/>
      <c r="G555" s="24">
        <v>139.33000183105469</v>
      </c>
      <c r="H555" s="25"/>
      <c r="I555" s="25"/>
      <c r="J555" s="24"/>
      <c r="K555" s="22"/>
      <c r="L555" s="22">
        <v>1.9508883264855538E-2</v>
      </c>
      <c r="M555" s="26"/>
      <c r="N555" s="27"/>
      <c r="O555" s="23"/>
      <c r="P555" s="23"/>
    </row>
    <row r="556" spans="1:16" x14ac:dyDescent="0.15">
      <c r="A556" t="s">
        <v>918</v>
      </c>
      <c r="B556" s="24"/>
      <c r="C556" s="24"/>
      <c r="D556" s="24"/>
      <c r="E556" s="25"/>
      <c r="F556" s="25"/>
      <c r="G556" s="24">
        <v>94.319999694824219</v>
      </c>
      <c r="H556" s="25"/>
      <c r="I556" s="25"/>
      <c r="J556" s="24"/>
      <c r="K556" s="22"/>
      <c r="L556" s="22">
        <v>2.0998600213130821E-2</v>
      </c>
      <c r="M556" s="26"/>
      <c r="N556" s="27"/>
      <c r="O556" s="23"/>
      <c r="P556" s="23"/>
    </row>
    <row r="557" spans="1:16" x14ac:dyDescent="0.15">
      <c r="A557" t="s">
        <v>948</v>
      </c>
      <c r="B557" s="24"/>
      <c r="C557" s="24"/>
      <c r="D557" s="24"/>
      <c r="E557" s="25"/>
      <c r="F557" s="25"/>
      <c r="G557" s="24">
        <v>350.83999633789062</v>
      </c>
      <c r="H557" s="25"/>
      <c r="I557" s="25"/>
      <c r="J557" s="24"/>
      <c r="K557" s="22"/>
      <c r="L557" s="22">
        <v>3.9267131208315743E-2</v>
      </c>
      <c r="M557" s="26"/>
      <c r="N557" s="27"/>
      <c r="O557" s="23"/>
      <c r="P557" s="23"/>
    </row>
    <row r="558" spans="1:16" x14ac:dyDescent="0.15">
      <c r="A558" t="s">
        <v>730</v>
      </c>
      <c r="B558" s="24"/>
      <c r="C558" s="24"/>
      <c r="D558" s="24"/>
      <c r="E558" s="25"/>
      <c r="F558" s="25"/>
      <c r="G558" s="24">
        <v>71.330001831054688</v>
      </c>
      <c r="H558" s="25"/>
      <c r="I558" s="25"/>
      <c r="J558" s="24"/>
      <c r="K558" s="22"/>
      <c r="L558" s="22">
        <v>1.9879320503342516E-2</v>
      </c>
      <c r="M558" s="26"/>
      <c r="N558" s="27"/>
      <c r="O558" s="23"/>
      <c r="P558" s="23"/>
    </row>
    <row r="559" spans="1:16" x14ac:dyDescent="0.15">
      <c r="A559" t="s">
        <v>1248</v>
      </c>
      <c r="B559" s="24"/>
      <c r="C559" s="24"/>
      <c r="D559" s="24"/>
      <c r="E559" s="25"/>
      <c r="F559" s="25"/>
      <c r="G559" s="24"/>
      <c r="H559" s="25"/>
      <c r="I559" s="25"/>
      <c r="J559" s="24"/>
      <c r="K559" s="22"/>
      <c r="L559" s="22">
        <v>7.2114744566044615E-3</v>
      </c>
      <c r="M559" s="26"/>
      <c r="N559" s="27"/>
      <c r="O559" s="23"/>
      <c r="P559" s="23"/>
    </row>
    <row r="560" spans="1:16" x14ac:dyDescent="0.15">
      <c r="A560" t="s">
        <v>1249</v>
      </c>
      <c r="B560" s="24"/>
      <c r="C560" s="24"/>
      <c r="D560" s="24"/>
      <c r="E560" s="25"/>
      <c r="F560" s="25"/>
      <c r="G560" s="24"/>
      <c r="H560" s="25"/>
      <c r="I560" s="25"/>
      <c r="J560" s="24"/>
      <c r="K560" s="22"/>
      <c r="L560" s="22">
        <v>1.3382349743576492E-2</v>
      </c>
      <c r="M560" s="26"/>
      <c r="N560" s="27"/>
      <c r="O560" s="23"/>
      <c r="P560" s="23"/>
    </row>
    <row r="561" spans="1:16" x14ac:dyDescent="0.15">
      <c r="A561" t="s">
        <v>1250</v>
      </c>
      <c r="B561" s="24"/>
      <c r="C561" s="24"/>
      <c r="D561" s="24"/>
      <c r="E561" s="25"/>
      <c r="F561" s="25"/>
      <c r="G561" s="24"/>
      <c r="H561" s="25"/>
      <c r="I561" s="25"/>
      <c r="J561" s="24"/>
      <c r="K561" s="22"/>
      <c r="L561" s="22">
        <v>1.7895275660671724E-2</v>
      </c>
      <c r="M561" s="26"/>
      <c r="N561" s="27"/>
      <c r="O561" s="23"/>
      <c r="P561" s="23"/>
    </row>
    <row r="562" spans="1:16" x14ac:dyDescent="0.15">
      <c r="A562" t="s">
        <v>1251</v>
      </c>
      <c r="B562" s="24"/>
      <c r="C562" s="24"/>
      <c r="D562" s="24"/>
      <c r="E562" s="25"/>
      <c r="F562" s="25"/>
      <c r="G562" s="24"/>
      <c r="H562" s="25"/>
      <c r="I562" s="25"/>
      <c r="J562" s="24"/>
      <c r="K562" s="22"/>
      <c r="L562" s="22">
        <v>8.107433326899588E-3</v>
      </c>
      <c r="M562" s="26"/>
      <c r="N562" s="27"/>
      <c r="O562" s="23"/>
      <c r="P562" s="23"/>
    </row>
    <row r="563" spans="1:16" x14ac:dyDescent="0.15">
      <c r="A563" t="s">
        <v>1252</v>
      </c>
      <c r="B563" s="24"/>
      <c r="C563" s="24"/>
      <c r="D563" s="24"/>
      <c r="E563" s="25"/>
      <c r="F563" s="25"/>
      <c r="G563" s="24"/>
      <c r="H563" s="25"/>
      <c r="I563" s="25"/>
      <c r="J563" s="24"/>
      <c r="K563" s="22"/>
      <c r="L563" s="22">
        <v>1.382642126682353E-2</v>
      </c>
      <c r="M563" s="26"/>
      <c r="N563" s="27"/>
      <c r="O563" s="23"/>
      <c r="P563" s="23"/>
    </row>
    <row r="564" spans="1:16" x14ac:dyDescent="0.15">
      <c r="A564" t="s">
        <v>1253</v>
      </c>
      <c r="B564" s="24"/>
      <c r="C564" s="24"/>
      <c r="D564" s="24"/>
      <c r="E564" s="25"/>
      <c r="F564" s="25"/>
      <c r="G564" s="24"/>
      <c r="H564" s="25"/>
      <c r="I564" s="25"/>
      <c r="J564" s="24"/>
      <c r="K564" s="22"/>
      <c r="L564" s="22">
        <v>1.2162635520833832E-2</v>
      </c>
      <c r="M564" s="26"/>
      <c r="N564" s="27"/>
      <c r="O564" s="23"/>
      <c r="P564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Dashboard</vt:lpstr>
      <vt:lpstr>Universe</vt:lpstr>
      <vt:lpstr>Holdings</vt:lpstr>
      <vt:lpstr>Charts</vt:lpstr>
      <vt:lpstr>Chart Data</vt:lpstr>
      <vt:lpstr>Config</vt:lpstr>
      <vt:lpstr>Feed</vt:lpstr>
      <vt:lpstr>Anchor</vt:lpstr>
      <vt:lpstr>CostEq</vt:lpstr>
      <vt:lpstr>CostFI</vt:lpstr>
      <vt:lpstr>EdgeEq</vt:lpstr>
      <vt:lpstr>EdgeFI</vt:lpstr>
      <vt:lpstr>ExDivFlag</vt:lpstr>
      <vt:lpstr>SessionLeft</vt:lpstr>
      <vt:lpstr>StaleMin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Varas Hiza</cp:lastModifiedBy>
  <dcterms:created xsi:type="dcterms:W3CDTF">2026-09-21T20:34:45Z</dcterms:created>
  <dcterms:modified xsi:type="dcterms:W3CDTF">2026-09-23T13:02:17Z</dcterms:modified>
</cp:coreProperties>
</file>